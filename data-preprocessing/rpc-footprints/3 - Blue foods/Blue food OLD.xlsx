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66925"/>
  <mc:AlternateContent xmlns:mc="http://schemas.openxmlformats.org/markup-compatibility/2006">
    <mc:Choice Requires="x15">
      <x15ac:absPath xmlns:x15ac="http://schemas.microsoft.com/office/spreadsheetml/2010/11/ac" url="https://svelantbruksuniversitet-my.sharepoint.com/personal/elin_roos_slu_se/Documents/Dokument/SLU/Projekt 42 - Plan'eat/WP3/3 - Blue foods/"/>
    </mc:Choice>
  </mc:AlternateContent>
  <xr:revisionPtr revIDLastSave="1436" documentId="13_ncr:1_{535AC8B3-68BD-D141-AC22-0E5D07BABB25}" xr6:coauthVersionLast="47" xr6:coauthVersionMax="47" xr10:uidLastSave="{E9A7BFCC-CC25-452D-BCCE-3BE18EE3F496}"/>
  <bookViews>
    <workbookView xWindow="-108" yWindow="-108" windowWidth="23256" windowHeight="12576" activeTab="3" xr2:uid="{00000000-000D-0000-FFFF-FFFF00000000}"/>
  </bookViews>
  <sheets>
    <sheet name="Footprints, results per kg" sheetId="4" r:id="rId1"/>
    <sheet name="Translation" sheetId="5" r:id="rId2"/>
    <sheet name="Yields" sheetId="6" r:id="rId3"/>
    <sheet name="Data Gephart" sheetId="3" r:id="rId4"/>
    <sheet name="Production vs. consumption SWE" sheetId="7"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4" i="6" l="1"/>
  <c r="E55" i="6"/>
  <c r="E56" i="6"/>
  <c r="E57" i="6"/>
  <c r="E58" i="6"/>
  <c r="E59" i="6"/>
  <c r="E60" i="6"/>
  <c r="E61" i="6"/>
  <c r="E53"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11" i="6"/>
  <c r="E12" i="6"/>
  <c r="E10" i="6"/>
  <c r="E6" i="6"/>
  <c r="E7" i="6"/>
  <c r="E8" i="6"/>
  <c r="E9" i="6"/>
  <c r="E5" i="6"/>
  <c r="F5" i="6"/>
  <c r="D25" i="6"/>
  <c r="D14" i="6"/>
  <c r="K12" i="7"/>
  <c r="K10" i="7"/>
  <c r="K9" i="7"/>
  <c r="K4" i="7"/>
  <c r="C33" i="6"/>
  <c r="C16" i="6"/>
  <c r="L7" i="4"/>
  <c r="M7" i="4"/>
  <c r="N7" i="4"/>
  <c r="O7" i="4"/>
  <c r="L8" i="4"/>
  <c r="M8" i="4"/>
  <c r="N8" i="4"/>
  <c r="O8" i="4"/>
  <c r="L9" i="4"/>
  <c r="M9" i="4"/>
  <c r="N9" i="4"/>
  <c r="O9" i="4"/>
  <c r="L10" i="4"/>
  <c r="M10" i="4"/>
  <c r="N10" i="4"/>
  <c r="O10" i="4"/>
  <c r="O6" i="4"/>
  <c r="N6" i="4"/>
  <c r="M6" i="4"/>
  <c r="L6" i="4"/>
  <c r="L12" i="4"/>
  <c r="M12" i="4"/>
  <c r="N12" i="4"/>
  <c r="O12" i="4"/>
  <c r="L13" i="4"/>
  <c r="M13" i="4"/>
  <c r="N13" i="4"/>
  <c r="O13" i="4"/>
  <c r="L14" i="4"/>
  <c r="M14" i="4"/>
  <c r="N14" i="4"/>
  <c r="O14" i="4"/>
  <c r="L15" i="4"/>
  <c r="M15" i="4"/>
  <c r="N15" i="4"/>
  <c r="O15" i="4"/>
  <c r="L16" i="4"/>
  <c r="M16" i="4"/>
  <c r="N16" i="4"/>
  <c r="O16" i="4"/>
  <c r="L17" i="4"/>
  <c r="M17" i="4"/>
  <c r="N17" i="4"/>
  <c r="O17" i="4"/>
  <c r="L18" i="4"/>
  <c r="M18" i="4"/>
  <c r="N18" i="4"/>
  <c r="O18" i="4"/>
  <c r="L19" i="4"/>
  <c r="M19" i="4"/>
  <c r="N19" i="4"/>
  <c r="O19" i="4"/>
  <c r="L20" i="4"/>
  <c r="M20" i="4"/>
  <c r="N20" i="4"/>
  <c r="O20" i="4"/>
  <c r="L21" i="4"/>
  <c r="M21" i="4"/>
  <c r="N21" i="4"/>
  <c r="O21" i="4"/>
  <c r="L22" i="4"/>
  <c r="M22" i="4"/>
  <c r="N22" i="4"/>
  <c r="O22" i="4"/>
  <c r="L23" i="4"/>
  <c r="M23" i="4"/>
  <c r="N23" i="4"/>
  <c r="O23" i="4"/>
  <c r="L24" i="4"/>
  <c r="M24" i="4"/>
  <c r="N24" i="4"/>
  <c r="O24" i="4"/>
  <c r="L25" i="4"/>
  <c r="M25" i="4"/>
  <c r="N25" i="4"/>
  <c r="O25" i="4"/>
  <c r="L26" i="4"/>
  <c r="M26" i="4"/>
  <c r="N26" i="4"/>
  <c r="O26" i="4"/>
  <c r="L27" i="4"/>
  <c r="M27" i="4"/>
  <c r="N27" i="4"/>
  <c r="O27" i="4"/>
  <c r="L28" i="4"/>
  <c r="M28" i="4"/>
  <c r="N28" i="4"/>
  <c r="O28" i="4"/>
  <c r="L29" i="4"/>
  <c r="M29" i="4"/>
  <c r="N29" i="4"/>
  <c r="O29" i="4"/>
  <c r="L30" i="4"/>
  <c r="M30" i="4"/>
  <c r="N30" i="4"/>
  <c r="O30" i="4"/>
  <c r="L31" i="4"/>
  <c r="M31" i="4"/>
  <c r="N31" i="4"/>
  <c r="O31" i="4"/>
  <c r="L32" i="4"/>
  <c r="M32" i="4"/>
  <c r="N32" i="4"/>
  <c r="O32" i="4"/>
  <c r="L33" i="4"/>
  <c r="M33" i="4"/>
  <c r="N33" i="4"/>
  <c r="O33" i="4"/>
  <c r="L34" i="4"/>
  <c r="M34" i="4"/>
  <c r="N34" i="4"/>
  <c r="O34" i="4"/>
  <c r="L35" i="4"/>
  <c r="M35" i="4"/>
  <c r="N35" i="4"/>
  <c r="O35" i="4"/>
  <c r="L36" i="4"/>
  <c r="M36" i="4"/>
  <c r="N36" i="4"/>
  <c r="O36" i="4"/>
  <c r="L37" i="4"/>
  <c r="M37" i="4"/>
  <c r="N37" i="4"/>
  <c r="O37" i="4"/>
  <c r="L38" i="4"/>
  <c r="M38" i="4"/>
  <c r="N38" i="4"/>
  <c r="O38" i="4"/>
  <c r="L39" i="4"/>
  <c r="M39" i="4"/>
  <c r="N39" i="4"/>
  <c r="O39" i="4"/>
  <c r="L40" i="4"/>
  <c r="M40" i="4"/>
  <c r="N40" i="4"/>
  <c r="O40" i="4"/>
  <c r="L41" i="4"/>
  <c r="M41" i="4"/>
  <c r="N41" i="4"/>
  <c r="O41" i="4"/>
  <c r="L42" i="4"/>
  <c r="M42" i="4"/>
  <c r="N42" i="4"/>
  <c r="O42" i="4"/>
  <c r="L43" i="4"/>
  <c r="M43" i="4"/>
  <c r="N43" i="4"/>
  <c r="O43" i="4"/>
  <c r="L44" i="4"/>
  <c r="M44" i="4"/>
  <c r="N44" i="4"/>
  <c r="O44" i="4"/>
  <c r="L45" i="4"/>
  <c r="M45" i="4"/>
  <c r="N45" i="4"/>
  <c r="O45" i="4"/>
  <c r="L46" i="4"/>
  <c r="M46" i="4"/>
  <c r="N46" i="4"/>
  <c r="O46" i="4"/>
  <c r="L47" i="4"/>
  <c r="M47" i="4"/>
  <c r="N47" i="4"/>
  <c r="O47" i="4"/>
  <c r="L48" i="4"/>
  <c r="M48" i="4"/>
  <c r="N48" i="4"/>
  <c r="O48" i="4"/>
  <c r="L49" i="4"/>
  <c r="M49" i="4"/>
  <c r="N49" i="4"/>
  <c r="O49" i="4"/>
  <c r="L50" i="4"/>
  <c r="M50" i="4"/>
  <c r="N50" i="4"/>
  <c r="O50" i="4"/>
  <c r="L51" i="4"/>
  <c r="M51" i="4"/>
  <c r="N51" i="4"/>
  <c r="O51" i="4"/>
  <c r="L52" i="4"/>
  <c r="M52" i="4"/>
  <c r="N52" i="4"/>
  <c r="O52" i="4"/>
  <c r="L53" i="4"/>
  <c r="M53" i="4"/>
  <c r="N53" i="4"/>
  <c r="O53" i="4"/>
  <c r="L54" i="4"/>
  <c r="M54" i="4"/>
  <c r="N54" i="4"/>
  <c r="O54" i="4"/>
  <c r="L55" i="4"/>
  <c r="M55" i="4"/>
  <c r="N55" i="4"/>
  <c r="O55" i="4"/>
  <c r="L56" i="4"/>
  <c r="M56" i="4"/>
  <c r="N56" i="4"/>
  <c r="O56" i="4"/>
  <c r="L57" i="4"/>
  <c r="M57" i="4"/>
  <c r="N57" i="4"/>
  <c r="O57" i="4"/>
  <c r="L58" i="4"/>
  <c r="M58" i="4"/>
  <c r="N58" i="4"/>
  <c r="O58" i="4"/>
  <c r="L59" i="4"/>
  <c r="M59" i="4"/>
  <c r="N59" i="4"/>
  <c r="O59" i="4"/>
  <c r="L60" i="4"/>
  <c r="M60" i="4"/>
  <c r="N60" i="4"/>
  <c r="O60" i="4"/>
  <c r="L61" i="4"/>
  <c r="M61" i="4"/>
  <c r="N61" i="4"/>
  <c r="O61" i="4"/>
  <c r="O11" i="4" l="1"/>
  <c r="N11" i="4"/>
  <c r="M11" i="4"/>
  <c r="L11"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rachel.mazac</author>
  </authors>
  <commentList>
    <comment ref="C4" authorId="0" shapeId="0" xr:uid="{F13D7F77-C42B-4C2E-9A71-027E595212E9}">
      <text>
        <r>
          <rPr>
            <sz val="11"/>
            <color theme="1"/>
            <rFont val="Calibri"/>
            <family val="2"/>
            <scheme val="minor"/>
          </rPr>
          <t>Source: RISE Report Swedish consumption of seafood
Sara Hornborg, Kristina Bergman and Friederike 
Ziegler
RISE Report 2021: 83
(originally in Swedish)</t>
        </r>
      </text>
    </comment>
    <comment ref="F4" authorId="0" shapeId="0" xr:uid="{537DC844-2136-4FBE-961E-29A701B1ACBA}">
      <text>
        <r>
          <rPr>
            <sz val="11"/>
            <color theme="1"/>
            <rFont val="Calibri"/>
            <family val="2"/>
            <scheme val="minor"/>
          </rPr>
          <t>From Figure 1 OR Appendix Table 1 (Fished=F, Farmed=O)
in Svensk konsumtion av sjömaten växande mångfald
Friederike Ziegler &amp; Kristina Bergman
SP Rapport 2017:07</t>
        </r>
      </text>
    </comment>
    <comment ref="G4" authorId="0" shapeId="0" xr:uid="{B5C637C4-8D81-4DB8-8EF1-A90D1DF47956}">
      <text>
        <r>
          <rPr>
            <sz val="11"/>
            <color theme="1"/>
            <rFont val="Calibri"/>
            <family val="2"/>
            <scheme val="minor"/>
          </rPr>
          <t>From Figure 1 OR Appendix Table 1 (Fished=F, Farmed=O)
in Svensk konsumtion av sjömaten växande mångfald
Friederike Ziegler &amp; Kristina Bergman
SP Rapport 2017:07</t>
        </r>
      </text>
    </comment>
    <comment ref="C7" authorId="0" shapeId="0" xr:uid="{37655F22-1186-44CE-8E48-12BBE7352A11}">
      <text>
        <r>
          <rPr>
            <sz val="11"/>
            <color theme="1"/>
            <rFont val="Calibri"/>
            <family val="2"/>
            <scheme val="minor"/>
          </rPr>
          <t>FAO Data
https://www.fao.org/3/T0219E/T0219E04.htm#ch3.22</t>
        </r>
      </text>
    </comment>
    <comment ref="C16" authorId="0" shapeId="0" xr:uid="{323A7FFA-FE27-44FE-B236-C5FE65ED3399}">
      <text>
        <r>
          <rPr>
            <sz val="11"/>
            <color theme="1"/>
            <rFont val="Calibri"/>
            <family val="2"/>
            <scheme val="minor"/>
          </rPr>
          <t>Average of tuna species available</t>
        </r>
      </text>
    </comment>
    <comment ref="C17" authorId="0" shapeId="0" xr:uid="{6E1EEDD0-47DD-4B6C-8463-748E7965D7AF}">
      <text>
        <r>
          <rPr>
            <sz val="11"/>
            <color theme="1"/>
            <rFont val="Calibri"/>
            <family val="2"/>
            <scheme val="minor"/>
          </rPr>
          <t>FAO Data
https://www.fao.org/3/T0219E/T0219E04.htm#ch3.22</t>
        </r>
      </text>
    </comment>
    <comment ref="C18" authorId="0" shapeId="0" xr:uid="{5B13A204-B0E3-4750-8684-6FF2A8A34407}">
      <text>
        <r>
          <rPr>
            <sz val="11"/>
            <color theme="1"/>
            <rFont val="Calibri"/>
            <family val="2"/>
            <scheme val="minor"/>
          </rPr>
          <t>FAO Data
https://www.fao.org/3/T0219E/T0219E04.htm#ch3.22</t>
        </r>
      </text>
    </comment>
    <comment ref="C55" authorId="0" shapeId="0" xr:uid="{9AC0ED04-B462-4641-8341-10626CEFBE9F}">
      <text>
        <r>
          <rPr>
            <sz val="11"/>
            <color theme="1"/>
            <rFont val="Calibri"/>
            <family val="2"/>
            <scheme val="minor"/>
          </rPr>
          <t xml:space="preserve">estimate based on other fish with the same type and average, no data (reliable) available </t>
        </r>
      </text>
    </comment>
    <comment ref="C60" authorId="0" shapeId="0" xr:uid="{D1E5C02B-1738-42F2-8F8B-74D528AD7920}">
      <text>
        <r>
          <rPr>
            <sz val="11"/>
            <color theme="1"/>
            <rFont val="Calibri"/>
            <family val="2"/>
            <scheme val="minor"/>
          </rPr>
          <t>FAO Data
https://www.fao.org/3/T0219E/T0219E04.htm#ch3.22</t>
        </r>
      </text>
    </comment>
  </commentList>
</comments>
</file>

<file path=xl/sharedStrings.xml><?xml version="1.0" encoding="utf-8"?>
<sst xmlns="http://schemas.openxmlformats.org/spreadsheetml/2006/main" count="2063" uniqueCount="574">
  <si>
    <t>Blue food</t>
  </si>
  <si>
    <t>Species</t>
  </si>
  <si>
    <t>Climate</t>
  </si>
  <si>
    <t>Land</t>
  </si>
  <si>
    <t>Nitrogen</t>
  </si>
  <si>
    <t>Phosphorus</t>
  </si>
  <si>
    <t>Water</t>
  </si>
  <si>
    <t>Pesticides</t>
  </si>
  <si>
    <t>Biodiversity</t>
  </si>
  <si>
    <t>Ammonia</t>
  </si>
  <si>
    <t>Labour</t>
  </si>
  <si>
    <t>Animal welfare</t>
  </si>
  <si>
    <t>Use of antibiotics</t>
  </si>
  <si>
    <t>Category</t>
  </si>
  <si>
    <t>Country</t>
  </si>
  <si>
    <t>Country code</t>
  </si>
  <si>
    <t>Carbon footprint, kg CO2e/kg</t>
  </si>
  <si>
    <t>Carbon dioxide, kg CO2/kg</t>
  </si>
  <si>
    <t>Methane, fossil, kg CH4/kg</t>
  </si>
  <si>
    <t>Methane, biogenic, kg CH4/kg</t>
  </si>
  <si>
    <t>Nitrous oxide, kg N2O/kg</t>
  </si>
  <si>
    <t>HFCs, kg HFCs/kg</t>
  </si>
  <si>
    <t>Cropland use, m2/kg</t>
  </si>
  <si>
    <t>New N input, kg N/kg</t>
  </si>
  <si>
    <t>New P input, kg P/kg</t>
  </si>
  <si>
    <t>Blue freshwater use, m3/kg</t>
  </si>
  <si>
    <t>Pesticide use,               g a.i./kg</t>
  </si>
  <si>
    <t>Extinction rate, E/MSY/kg</t>
  </si>
  <si>
    <t>Ammonia emission, kg NH3/kg</t>
  </si>
  <si>
    <t>Labour requirements, h/kg</t>
  </si>
  <si>
    <t>Animal welfare index per kg of bonefree meat</t>
  </si>
  <si>
    <t>A02DE</t>
  </si>
  <si>
    <t>Herrings</t>
  </si>
  <si>
    <t>Rest of World</t>
  </si>
  <si>
    <t>RoW</t>
  </si>
  <si>
    <t>A02ES</t>
  </si>
  <si>
    <t>Herring roe</t>
  </si>
  <si>
    <t>A02DH</t>
  </si>
  <si>
    <t>Sprat</t>
  </si>
  <si>
    <t>A02DB</t>
  </si>
  <si>
    <t>European sardine</t>
  </si>
  <si>
    <t>A02DD</t>
  </si>
  <si>
    <t>Anchovies</t>
  </si>
  <si>
    <t>A029M</t>
  </si>
  <si>
    <t>Char</t>
  </si>
  <si>
    <t>A029B</t>
  </si>
  <si>
    <t>Smelt</t>
  </si>
  <si>
    <t>A029Q</t>
  </si>
  <si>
    <t>Whitefishes or coregonus</t>
  </si>
  <si>
    <t>A027N</t>
  </si>
  <si>
    <t>Perch</t>
  </si>
  <si>
    <t>A029T</t>
  </si>
  <si>
    <t>Sea bass</t>
  </si>
  <si>
    <t>A02CT</t>
  </si>
  <si>
    <t>Mackerel</t>
  </si>
  <si>
    <t>A02DR</t>
  </si>
  <si>
    <t>Tuna and bonito (generic)</t>
  </si>
  <si>
    <t>A02AD</t>
  </si>
  <si>
    <t>Mullets</t>
  </si>
  <si>
    <t>A02CB</t>
  </si>
  <si>
    <t>Hakes</t>
  </si>
  <si>
    <t>A02AT</t>
  </si>
  <si>
    <t>Flounders</t>
  </si>
  <si>
    <t>A02AY</t>
  </si>
  <si>
    <t>Halibut</t>
  </si>
  <si>
    <t>A02BC</t>
  </si>
  <si>
    <t>Plaice</t>
  </si>
  <si>
    <t>A02BF</t>
  </si>
  <si>
    <t>Sole</t>
  </si>
  <si>
    <t>A027C</t>
  </si>
  <si>
    <t>Carps</t>
  </si>
  <si>
    <t>A027B</t>
  </si>
  <si>
    <t>Freshwater bream - Europe</t>
  </si>
  <si>
    <t>A028G</t>
  </si>
  <si>
    <t>River eels</t>
  </si>
  <si>
    <t>A02BJ</t>
  </si>
  <si>
    <t>Anglerfish and monkfish</t>
  </si>
  <si>
    <t>A02DJ</t>
  </si>
  <si>
    <t>Sharks</t>
  </si>
  <si>
    <t>A02DQ</t>
  </si>
  <si>
    <t>Rays</t>
  </si>
  <si>
    <t>A02FA</t>
  </si>
  <si>
    <t>Sturgeon roe</t>
  </si>
  <si>
    <t>A02DS</t>
  </si>
  <si>
    <t>Bonito</t>
  </si>
  <si>
    <t>A02DA</t>
  </si>
  <si>
    <t>Sardines and sardine-type fishes</t>
  </si>
  <si>
    <t>A07Y0</t>
  </si>
  <si>
    <t>Swordfish</t>
  </si>
  <si>
    <t>A02FF</t>
  </si>
  <si>
    <t>Freshwater crabs</t>
  </si>
  <si>
    <t>A02FP</t>
  </si>
  <si>
    <t>Lobsters</t>
  </si>
  <si>
    <t>A02FS</t>
  </si>
  <si>
    <t>Lobster, norway</t>
  </si>
  <si>
    <t>A02FY</t>
  </si>
  <si>
    <t>Prawn, giant tiger</t>
  </si>
  <si>
    <t>A02GA</t>
  </si>
  <si>
    <t>White shrimp</t>
  </si>
  <si>
    <t>A02FV</t>
  </si>
  <si>
    <t>Spiny and rock lobsters</t>
  </si>
  <si>
    <t>A02FG</t>
  </si>
  <si>
    <t>Freshwater crayfishes</t>
  </si>
  <si>
    <t>A02JH</t>
  </si>
  <si>
    <t>Squids</t>
  </si>
  <si>
    <t>A02JD</t>
  </si>
  <si>
    <t>Octopuses</t>
  </si>
  <si>
    <t>A02JA</t>
  </si>
  <si>
    <t>Cuttlefishes</t>
  </si>
  <si>
    <t>A02HA</t>
  </si>
  <si>
    <t>Clams</t>
  </si>
  <si>
    <t>A02HE</t>
  </si>
  <si>
    <t>Cockles</t>
  </si>
  <si>
    <t>A02HF</t>
  </si>
  <si>
    <t>Mussels</t>
  </si>
  <si>
    <t>A02HG</t>
  </si>
  <si>
    <t>Oysters</t>
  </si>
  <si>
    <t>A02HN</t>
  </si>
  <si>
    <t>Scallops, pectens</t>
  </si>
  <si>
    <t>A02GX</t>
  </si>
  <si>
    <t>Water snails, conches and whelks</t>
  </si>
  <si>
    <t>A02KR</t>
  </si>
  <si>
    <t>Frogs (legs)</t>
  </si>
  <si>
    <t>A02LK</t>
  </si>
  <si>
    <t>Snails</t>
  </si>
  <si>
    <t>A0C75</t>
  </si>
  <si>
    <t>Salmons</t>
  </si>
  <si>
    <t>A029F</t>
  </si>
  <si>
    <t>Trouts</t>
  </si>
  <si>
    <t>A027J</t>
  </si>
  <si>
    <t>Catfishes (freshwater)</t>
  </si>
  <si>
    <t>A029Z</t>
  </si>
  <si>
    <t>Wolffish</t>
  </si>
  <si>
    <t>A02BV</t>
  </si>
  <si>
    <t>Cod</t>
  </si>
  <si>
    <t>A02EL</t>
  </si>
  <si>
    <t>Cod liver</t>
  </si>
  <si>
    <t>A02EP</t>
  </si>
  <si>
    <t>Cod roe</t>
  </si>
  <si>
    <t>A02CG</t>
  </si>
  <si>
    <t>Whiting</t>
  </si>
  <si>
    <t>A02CA</t>
  </si>
  <si>
    <t>Haddock</t>
  </si>
  <si>
    <t>A0F7F</t>
  </si>
  <si>
    <t>Lumpfish roe</t>
  </si>
  <si>
    <t>I dietfilerna</t>
  </si>
  <si>
    <t>Översatt till "vårt" EFSA-format</t>
  </si>
  <si>
    <t>Vad vi har miljödata för</t>
  </si>
  <si>
    <t>FoodEx2 Code</t>
  </si>
  <si>
    <t>FoodEx2 Name</t>
  </si>
  <si>
    <t>Taxa group (SI, Table S3)</t>
  </si>
  <si>
    <t>Blue food group (SI, Table 11)</t>
  </si>
  <si>
    <t>Production</t>
  </si>
  <si>
    <t>L5</t>
  </si>
  <si>
    <t>6.39.144.929.1532</t>
  </si>
  <si>
    <t>I.07.03.002.001</t>
  </si>
  <si>
    <t>Cods, hakes, haddocks</t>
  </si>
  <si>
    <t>gadiformes</t>
  </si>
  <si>
    <t>capture</t>
  </si>
  <si>
    <t>Herring, sardines, anchovies</t>
  </si>
  <si>
    <t>small pelagic fishes</t>
  </si>
  <si>
    <t>Alaska pollock</t>
  </si>
  <si>
    <t>6.37.238.95.1530</t>
  </si>
  <si>
    <t>I.07.01.017.001</t>
  </si>
  <si>
    <t>Cod (Gadus morhua)</t>
  </si>
  <si>
    <t>Algae and prokaryotes organisms</t>
  </si>
  <si>
    <t>20.2.18.660.986</t>
  </si>
  <si>
    <t>A03ST</t>
  </si>
  <si>
    <t>A.18.02.011</t>
  </si>
  <si>
    <t>Algae formula (e.g. Spirulina, Chlorella)</t>
  </si>
  <si>
    <t>plants</t>
  </si>
  <si>
    <t>aquaculture</t>
  </si>
  <si>
    <t>Algae based formulations (e.g. Spirulina, chlorella)</t>
  </si>
  <si>
    <t>16.46.256.828.1348</t>
  </si>
  <si>
    <t>Amberjack</t>
  </si>
  <si>
    <t>6.37.238.100.1824</t>
  </si>
  <si>
    <t>A.07.01.004</t>
  </si>
  <si>
    <t>Anchovy (Engraulis)</t>
  </si>
  <si>
    <t>Trout</t>
  </si>
  <si>
    <t>trout</t>
  </si>
  <si>
    <t>6.37.238.99.660</t>
  </si>
  <si>
    <t>Salmon, trouts, smelts</t>
  </si>
  <si>
    <t>salmonids</t>
  </si>
  <si>
    <t>Anglerfish, monkfish and stargazers</t>
  </si>
  <si>
    <t>6.37.238.462.1080</t>
  </si>
  <si>
    <t>A.07.01.029</t>
  </si>
  <si>
    <t>flatfishes</t>
  </si>
  <si>
    <t>Jacks, mullets, sauries</t>
  </si>
  <si>
    <t>jacks, mullets, sauries</t>
  </si>
  <si>
    <t>Barnacle</t>
  </si>
  <si>
    <t>6.28.255.1193.1985</t>
  </si>
  <si>
    <t>A.07.05.005</t>
  </si>
  <si>
    <t>Clam (Mya arenaria)</t>
  </si>
  <si>
    <t>bivalves</t>
  </si>
  <si>
    <t>Redfishes, basses, congers</t>
  </si>
  <si>
    <t>redfishes, basses, congers</t>
  </si>
  <si>
    <t>Barracudas</t>
  </si>
  <si>
    <t>6.37.238.100.1310</t>
  </si>
  <si>
    <t>large pelagic fishes</t>
  </si>
  <si>
    <t>Bluefish</t>
  </si>
  <si>
    <t>6.37.238.100.1806</t>
  </si>
  <si>
    <t>Brill</t>
  </si>
  <si>
    <t>6.37.238.98.1078</t>
  </si>
  <si>
    <t>Tunas, bonitos, billfish</t>
  </si>
  <si>
    <t>6.37.163.460.651</t>
  </si>
  <si>
    <t>A.07.01.024</t>
  </si>
  <si>
    <t>Carp (Cyprinus)</t>
  </si>
  <si>
    <t>hypoph_carps</t>
  </si>
  <si>
    <t>silver/bighead</t>
  </si>
  <si>
    <t>6.37.163.461.1076</t>
  </si>
  <si>
    <t>catfish</t>
  </si>
  <si>
    <t>6.37.124.94.1059</t>
  </si>
  <si>
    <t>A.07.01.007</t>
  </si>
  <si>
    <t>Char (Salvelinus)</t>
  </si>
  <si>
    <t>Flounders, halibuts, soles</t>
  </si>
  <si>
    <t>6.73.95.962.1571</t>
  </si>
  <si>
    <t>Bivalves</t>
  </si>
  <si>
    <t>Cockle and arkshell</t>
  </si>
  <si>
    <t>6.73.95.762.1381</t>
  </si>
  <si>
    <t>A.07.05.006</t>
  </si>
  <si>
    <t>Cockle (Cardium edule)</t>
  </si>
  <si>
    <t>6.73.95.762.1201</t>
  </si>
  <si>
    <t>6.37.238.95.141</t>
  </si>
  <si>
    <t>Comment Patrik: Carp are caught in Sweden, but farmed in other parts of the world. Low impact in Sweden, maybe use 'capture, herring'. See Hornborg et al.</t>
  </si>
  <si>
    <t>6.39.145.1007.1635</t>
  </si>
  <si>
    <t>I.07.03.001.001</t>
  </si>
  <si>
    <t>Fish roe, Cod</t>
  </si>
  <si>
    <t>Cod, murray</t>
  </si>
  <si>
    <t>6.37.163.461.2031</t>
  </si>
  <si>
    <t>6.37.238.95.1634</t>
  </si>
  <si>
    <t>Conger</t>
  </si>
  <si>
    <t>6.37.238.462.1760</t>
  </si>
  <si>
    <t>Crabs, sea-spiders</t>
  </si>
  <si>
    <t>6.28.109.808.1297</t>
  </si>
  <si>
    <t>A.07.04.001</t>
  </si>
  <si>
    <t>Crab (Cancer spp.)</t>
  </si>
  <si>
    <t>Shrimp</t>
  </si>
  <si>
    <t>shrimp</t>
  </si>
  <si>
    <t>Crustaceans</t>
  </si>
  <si>
    <t>6.28.114.453.644</t>
  </si>
  <si>
    <t xml:space="preserve"> =skaldjur, vanligast shrimp</t>
  </si>
  <si>
    <t>Cusk-eels</t>
  </si>
  <si>
    <t>6.37.238.462.1996</t>
  </si>
  <si>
    <t>Cuttlefish, common</t>
  </si>
  <si>
    <t>6.73.370.473.683</t>
  </si>
  <si>
    <t>A.07.05.003</t>
  </si>
  <si>
    <t>Cuttlefish (Sepia officinalis)</t>
  </si>
  <si>
    <t>Squid, cuttlefishes, octopuses</t>
  </si>
  <si>
    <t>cephalopods</t>
  </si>
  <si>
    <t>6.73.370.473.911</t>
  </si>
  <si>
    <t>Dab or common dab</t>
  </si>
  <si>
    <t>6.37.238.98.147</t>
  </si>
  <si>
    <t>Dentex</t>
  </si>
  <si>
    <t>6.37.238.705.1251</t>
  </si>
  <si>
    <t>Lobster</t>
  </si>
  <si>
    <t>lobster</t>
  </si>
  <si>
    <t>Diadromous fish</t>
  </si>
  <si>
    <t>6.37.124.1125.1876</t>
  </si>
  <si>
    <t>Misc_diad</t>
  </si>
  <si>
    <t>misc diadromous fishes</t>
  </si>
  <si>
    <t>Dulse</t>
  </si>
  <si>
    <t>20.2.322.732.1124</t>
  </si>
  <si>
    <t>Edible crab</t>
  </si>
  <si>
    <t>6.28.109.593.874</t>
  </si>
  <si>
    <t>Eel, european</t>
  </si>
  <si>
    <t>6.37.124.458.2030</t>
  </si>
  <si>
    <t>A.07.01.027</t>
  </si>
  <si>
    <t>Eels (Apodes)</t>
  </si>
  <si>
    <t>6.37.238.98.892</t>
  </si>
  <si>
    <t>A.07.01.019</t>
  </si>
  <si>
    <t>Flounder (Platichthys flesus)</t>
  </si>
  <si>
    <t>6.37.163.460.652</t>
  </si>
  <si>
    <t>A.07.01.026</t>
  </si>
  <si>
    <t>Bream (Charax)</t>
  </si>
  <si>
    <t>6.28.162.1107.1837</t>
  </si>
  <si>
    <t>6.28.162.454.645</t>
  </si>
  <si>
    <t>A.07.04.007</t>
  </si>
  <si>
    <t>Crayfish (Astacus spp.)</t>
  </si>
  <si>
    <t>Freshwater fish</t>
  </si>
  <si>
    <t>6.37.163.710.1075</t>
  </si>
  <si>
    <t>Frog meat (Rana genus)</t>
  </si>
  <si>
    <t>6.3.20.452.642</t>
  </si>
  <si>
    <t>A.07.06.001</t>
  </si>
  <si>
    <t>Frog legs (Rana spp.)</t>
  </si>
  <si>
    <t>?</t>
  </si>
  <si>
    <t>Frogs meat</t>
  </si>
  <si>
    <t>6.3.20.452.1296</t>
  </si>
  <si>
    <t>Garfish</t>
  </si>
  <si>
    <t>Grenadiers</t>
  </si>
  <si>
    <t>6.37.238.95.1705</t>
  </si>
  <si>
    <t>Groupers</t>
  </si>
  <si>
    <t>6.37.238.705.1307</t>
  </si>
  <si>
    <t>6.37.238.95.142</t>
  </si>
  <si>
    <t>I.07.01.017.004</t>
  </si>
  <si>
    <t>Haddock (Melanogrammus aeglefinus)</t>
  </si>
  <si>
    <t>No data</t>
  </si>
  <si>
    <t>Hairtails, scabbardfishes (generic)</t>
  </si>
  <si>
    <t>6.37.238.462.1761</t>
  </si>
  <si>
    <t>Misc_marine</t>
  </si>
  <si>
    <t>misc marine fishes</t>
  </si>
  <si>
    <t>6.37.238.95.656</t>
  </si>
  <si>
    <t>A.07.01.018</t>
  </si>
  <si>
    <t>Hake (Merluccius)</t>
  </si>
  <si>
    <t>Salmon</t>
  </si>
  <si>
    <t>salmon</t>
  </si>
  <si>
    <t>6.37.238.98.657</t>
  </si>
  <si>
    <t>A.07.01.020</t>
  </si>
  <si>
    <t>Halibut (Hippoglossus spp.)</t>
  </si>
  <si>
    <t>6.37.238.99.661</t>
  </si>
  <si>
    <t>A.07.01.001</t>
  </si>
  <si>
    <t>Herring (Clupea)</t>
  </si>
  <si>
    <t>Herring</t>
  </si>
  <si>
    <t>Catfish</t>
  </si>
  <si>
    <t>Hijiki</t>
  </si>
  <si>
    <t>20.2.59.731.1123</t>
  </si>
  <si>
    <t>Plants</t>
  </si>
  <si>
    <t>Ling</t>
  </si>
  <si>
    <t>6.37.238.95.1531</t>
  </si>
  <si>
    <t>Lobster, european</t>
  </si>
  <si>
    <t>6.28.222.455.1147</t>
  </si>
  <si>
    <t>A.07.04.002</t>
  </si>
  <si>
    <t>Lobster (Homarus vulgaris)</t>
  </si>
  <si>
    <t>6.28.222.455.879</t>
  </si>
  <si>
    <t>6.28.222.455.646</t>
  </si>
  <si>
    <t>6.39.145.850.1389</t>
  </si>
  <si>
    <t>6.37.238.100.152</t>
  </si>
  <si>
    <t>A.07.01.013</t>
  </si>
  <si>
    <t>Mackeral (Scomber)</t>
  </si>
  <si>
    <t>Marinated / pickled fish</t>
  </si>
  <si>
    <t>6.38.301.105.159</t>
  </si>
  <si>
    <t>Algea</t>
  </si>
  <si>
    <t>Marinated / pickled seafood</t>
  </si>
  <si>
    <t>6.38.302.468.678</t>
  </si>
  <si>
    <t>Marine fish</t>
  </si>
  <si>
    <t>6.37.238.613.898</t>
  </si>
  <si>
    <t>Meagre</t>
  </si>
  <si>
    <t>6.37.238.705.1759</t>
  </si>
  <si>
    <t>Milkfish</t>
  </si>
  <si>
    <t>milkfish</t>
  </si>
  <si>
    <t>Megrims</t>
  </si>
  <si>
    <t>6.37.238.98.1982</t>
  </si>
  <si>
    <t>Tilapias</t>
  </si>
  <si>
    <t>Tilapia</t>
  </si>
  <si>
    <t>tilapia</t>
  </si>
  <si>
    <t>6.37.124.761.1199</t>
  </si>
  <si>
    <t>Miscellaneous coastal marine fishes</t>
  </si>
  <si>
    <t>6.37.238.705.1150</t>
  </si>
  <si>
    <t>Miscellaneous demersal marine fishes</t>
  </si>
  <si>
    <t>6.37.238.462.1386</t>
  </si>
  <si>
    <t>Miscellaneous pelagic marine fishes</t>
  </si>
  <si>
    <t>6.37.238.100.1917</t>
  </si>
  <si>
    <t>6.37.238.705.1062</t>
  </si>
  <si>
    <t>A.07.01.016</t>
  </si>
  <si>
    <t>Grey mullet (Mugil)</t>
  </si>
  <si>
    <t>6.73.265.130.190</t>
  </si>
  <si>
    <t>A.07.05.007</t>
  </si>
  <si>
    <t>Mussel (Mytilus edulis)</t>
  </si>
  <si>
    <t>Nile perch</t>
  </si>
  <si>
    <t>6.37.163.461.1077</t>
  </si>
  <si>
    <t>A.07.01.010</t>
  </si>
  <si>
    <t>Perch (Perca)</t>
  </si>
  <si>
    <t>Norway pout</t>
  </si>
  <si>
    <t>6.37.238.95.1833</t>
  </si>
  <si>
    <t>Ocean perch</t>
  </si>
  <si>
    <t>6.37.238.462.900</t>
  </si>
  <si>
    <t>6.73.370.738.1202</t>
  </si>
  <si>
    <t>A.07.05.002</t>
  </si>
  <si>
    <t>Octopus (Octopus vulgaris)</t>
  </si>
  <si>
    <t>Other hybrids of Persica vulgaris or Prunus persica, not elsewhere mentioned</t>
  </si>
  <si>
    <t>8.51.379.173.1714</t>
  </si>
  <si>
    <t>Är ju persika och plommon!!?</t>
  </si>
  <si>
    <t>Other smoked fishes</t>
  </si>
  <si>
    <t>6.38.301.107.1893</t>
  </si>
  <si>
    <t>??</t>
  </si>
  <si>
    <t>Oyster, european</t>
  </si>
  <si>
    <t>6.73.276.472.682</t>
  </si>
  <si>
    <t>A.07.05.008</t>
  </si>
  <si>
    <t>Oyster (Ostrea edulis)</t>
  </si>
  <si>
    <t>6.73.276.713.1085</t>
  </si>
  <si>
    <t>6.37.163.461.653</t>
  </si>
  <si>
    <t>Pike</t>
  </si>
  <si>
    <t>6.37.163.461.654</t>
  </si>
  <si>
    <t>Pike-perch</t>
  </si>
  <si>
    <t>6.37.163.461.655</t>
  </si>
  <si>
    <t>6.37.238.98.149</t>
  </si>
  <si>
    <t>A.07.01.021</t>
  </si>
  <si>
    <t>Plaice (Pleuronectes)</t>
  </si>
  <si>
    <t>Pollack, pollock</t>
  </si>
  <si>
    <t>6.37.238.95.143</t>
  </si>
  <si>
    <t>Pomfret, atlantic</t>
  </si>
  <si>
    <t>6.37.238.100.1988</t>
  </si>
  <si>
    <t>6.28.354.1039.1704</t>
  </si>
  <si>
    <t>A.07.04.004</t>
  </si>
  <si>
    <t>Prawns (Palaemon serratus)</t>
  </si>
  <si>
    <t>Prawn, northern</t>
  </si>
  <si>
    <t>6.28.354.599.881</t>
  </si>
  <si>
    <t>Razor clam</t>
  </si>
  <si>
    <t>6.73.95.962.1808</t>
  </si>
  <si>
    <t>6.37.124.458.649</t>
  </si>
  <si>
    <t>Salmon roe, atlantic</t>
  </si>
  <si>
    <t>6.39.145.1090.1807</t>
  </si>
  <si>
    <t>I.07.01.006.001</t>
  </si>
  <si>
    <t>Salmon (Salmo salar)</t>
  </si>
  <si>
    <t>?? hur göra med kaviar</t>
  </si>
  <si>
    <t>6.37.124.94.138</t>
  </si>
  <si>
    <t>Scallop, great</t>
  </si>
  <si>
    <t>6.73.344.930.1533</t>
  </si>
  <si>
    <t>A.07.05.010</t>
  </si>
  <si>
    <t>Scallop (Pecten spp.)</t>
  </si>
  <si>
    <t>Scallop, queen</t>
  </si>
  <si>
    <t>6.73.344.1041.1707</t>
  </si>
  <si>
    <t>6.73.344.131.192</t>
  </si>
  <si>
    <t>6.37.238.705.1151</t>
  </si>
  <si>
    <t>A.07.01.011</t>
  </si>
  <si>
    <t>Bass (Marone)</t>
  </si>
  <si>
    <t>Sea bream</t>
  </si>
  <si>
    <t>6.37.238.705.1079</t>
  </si>
  <si>
    <t>Sea catfishes</t>
  </si>
  <si>
    <t>6.37.238.705.1305</t>
  </si>
  <si>
    <t>I.07.01.015.001</t>
  </si>
  <si>
    <t>Sea catfish (Ariidae)</t>
  </si>
  <si>
    <t>Sea lettuce</t>
  </si>
  <si>
    <t>20.2.187.886.1448</t>
  </si>
  <si>
    <t>Sea urchins</t>
  </si>
  <si>
    <t>6.88.345.1092.1810</t>
  </si>
  <si>
    <t>6.37.238.711.1083</t>
  </si>
  <si>
    <t>A.07.01.014</t>
  </si>
  <si>
    <t>Tuna (Thunnus)</t>
  </si>
  <si>
    <t>Shrimps and prawns</t>
  </si>
  <si>
    <t>6.28.354.457.648</t>
  </si>
  <si>
    <t>A.07.04.005</t>
  </si>
  <si>
    <t>Shrimps (Crangon crangon)</t>
  </si>
  <si>
    <t>Shrimps, common</t>
  </si>
  <si>
    <t>6.28.354.93.137</t>
  </si>
  <si>
    <t>Snappers</t>
  </si>
  <si>
    <t>6.37.238.705.1309</t>
  </si>
  <si>
    <t>Squid, common</t>
  </si>
  <si>
    <t>6.73.370.739.1154</t>
  </si>
  <si>
    <t>A.07.05.001</t>
  </si>
  <si>
    <t>Squid (Loligo vulgaris)</t>
  </si>
  <si>
    <t>6.73.370.739.1203</t>
  </si>
  <si>
    <t>Squids, cuttlefishes, octopuses</t>
  </si>
  <si>
    <t>6.73.370.1136.1894</t>
  </si>
  <si>
    <t>Stockfish</t>
  </si>
  <si>
    <t>6.38.301.464.1691</t>
  </si>
  <si>
    <t>obs, torkad (oftast cod)</t>
  </si>
  <si>
    <t>6.37.238.101.1130</t>
  </si>
  <si>
    <t>A.07.01.036</t>
  </si>
  <si>
    <t>Swordfish (Xiphidae spp.)</t>
  </si>
  <si>
    <t>Tilapias and similar</t>
  </si>
  <si>
    <t>6.37.163.890.1453</t>
  </si>
  <si>
    <t>Wolffishes</t>
  </si>
  <si>
    <t>6.37.238.462.662</t>
  </si>
  <si>
    <t>I.07.01.015.002</t>
  </si>
  <si>
    <t>Wolf-fish (Anarhichas)</t>
  </si>
  <si>
    <t>Yellowfin sole</t>
  </si>
  <si>
    <t>6.37.238.98.1302</t>
  </si>
  <si>
    <t>A.07.01.022</t>
  </si>
  <si>
    <t>Sole (Limanda; Solea)</t>
  </si>
  <si>
    <t>Yields and degree of wild caught and farmed</t>
  </si>
  <si>
    <t>Edible portion (kg edible per kg whole) "</t>
  </si>
  <si>
    <t>kg per animal (maximum weight)</t>
  </si>
  <si>
    <t>Yield (kg edible flesh per fish/animal)"</t>
  </si>
  <si>
    <t>Share import to Sweden</t>
  </si>
  <si>
    <t>Species farmed or wild caught (F=O/farmed, W=Fished/wild caught)</t>
  </si>
  <si>
    <t>W</t>
  </si>
  <si>
    <t>"The total Swedish seafood consumption for 2015 is 109,000 tons of fillets and shelled seafood, corresponding to 11 kg per person or around 25 kg of whole fish per person. Of this, 60% is wild caught and 40% farmed. Around a quarter of the total volume is certified by either MSC or ASC. Almost 75% of what we eat is imported, while Swedish fishing accounts for just over 20% and Swedish aquaculture accounts for around 6%"</t>
  </si>
  <si>
    <t>From: Svensk konsumtion av sjömaten växande mångfald Friederike Ziegler &amp; Kristina Bergman SP Rapport 2017:07</t>
  </si>
  <si>
    <t>F</t>
  </si>
  <si>
    <t>Sharks (dogfish)</t>
  </si>
  <si>
    <t>Squids (European squid)</t>
  </si>
  <si>
    <t>W/F</t>
  </si>
  <si>
    <t>Water [m3]</t>
  </si>
  <si>
    <t>Land [m2]</t>
  </si>
  <si>
    <t>N [kgNe]</t>
  </si>
  <si>
    <t>P [kgPe]</t>
  </si>
  <si>
    <t>GHG (AR5) mass [kgCO2e]</t>
  </si>
  <si>
    <t>Source:</t>
  </si>
  <si>
    <t>Gephart et al., 2021 - edible weight</t>
  </si>
  <si>
    <t>Helped by</t>
  </si>
  <si>
    <t>https://www.fao.org/fishery/en/species?page=1&amp;q=coregonus#search</t>
  </si>
  <si>
    <t>Carps, capture</t>
  </si>
  <si>
    <t>oth_carps</t>
  </si>
  <si>
    <t>misc carps</t>
  </si>
  <si>
    <t>Diadromous fishes, other</t>
  </si>
  <si>
    <t>misc_diad</t>
  </si>
  <si>
    <t>Marine fishes, other</t>
  </si>
  <si>
    <t>misc_marine</t>
  </si>
  <si>
    <t>mirc marine fishes</t>
  </si>
  <si>
    <t>Data from RISE/MFF report #14: Key species or production techniques in production (in 2020) and consumption (in 2019). 
Of the production (Swedish fisheries and aquaculture), only the volume estimated to go to food 
has been included, and only the edible part of this volume. For those species that are largely used 
for feed (herring and sprat), this means that the volume presented here is significantly less than 
Swedish landings. Seafood that is imported, processed and re-exported is also not included in the 
table, but only "net imports", i.e. production + imports - exports, as an estimate of consumption._x000D_</t>
  </si>
  <si>
    <t>Edible Share</t>
  </si>
  <si>
    <t>Volume produced
(tonnes of edible part)</t>
  </si>
  <si>
    <t>Consumption</t>
  </si>
  <si>
    <t>Volume consumed
(tonnes of edible part)</t>
  </si>
  <si>
    <t>Proportion consumed:produced</t>
  </si>
  <si>
    <t>Rainbow1</t>
  </si>
  <si>
    <t>Rainbow trout</t>
  </si>
  <si>
    <t>(Salmonids)</t>
  </si>
  <si>
    <t>Blue mussel1</t>
  </si>
  <si>
    <t>Skarpsill</t>
  </si>
  <si>
    <t>Norway lobster</t>
  </si>
  <si>
    <t>(Shellfish)</t>
  </si>
  <si>
    <t>char1</t>
  </si>
  <si>
    <t>Salmon1</t>
  </si>
  <si>
    <t>Tilapia/Clarias1</t>
  </si>
  <si>
    <t>(Whitefish)</t>
  </si>
  <si>
    <t>Sugar tongs1</t>
  </si>
  <si>
    <t>Bream</t>
  </si>
  <si>
    <t>Seepage1</t>
  </si>
  <si>
    <t>Pollock</t>
  </si>
  <si>
    <t>Tuna</t>
  </si>
  <si>
    <t>(Tuna)</t>
  </si>
  <si>
    <t>Other saltwater fish'</t>
  </si>
  <si>
    <t>not inlcuded due to non-specificity</t>
  </si>
  <si>
    <t>BF-01</t>
  </si>
  <si>
    <t>BF-02</t>
  </si>
  <si>
    <t>BF-03</t>
  </si>
  <si>
    <t>BF-04</t>
  </si>
  <si>
    <t>BF-05</t>
  </si>
  <si>
    <t>BF-06</t>
  </si>
  <si>
    <t>BF-07</t>
  </si>
  <si>
    <t>BF-08</t>
  </si>
  <si>
    <t>BF-09</t>
  </si>
  <si>
    <t>BF-10</t>
  </si>
  <si>
    <t>BF-11</t>
  </si>
  <si>
    <t>BF-12</t>
  </si>
  <si>
    <t>BF-13</t>
  </si>
  <si>
    <t>BF-14</t>
  </si>
  <si>
    <t>BF-15</t>
  </si>
  <si>
    <t>BF-16</t>
  </si>
  <si>
    <t>BF-17</t>
  </si>
  <si>
    <t>BF-18</t>
  </si>
  <si>
    <t>BF-19</t>
  </si>
  <si>
    <t>BF-20</t>
  </si>
  <si>
    <t>BF-21</t>
  </si>
  <si>
    <t>BF-22</t>
  </si>
  <si>
    <t>BF-23</t>
  </si>
  <si>
    <t>BF-24</t>
  </si>
  <si>
    <t>BF-25</t>
  </si>
  <si>
    <t>BF-26</t>
  </si>
  <si>
    <t>BF-27</t>
  </si>
  <si>
    <t>BF-28</t>
  </si>
  <si>
    <t>BF-29</t>
  </si>
  <si>
    <t>BF-30</t>
  </si>
  <si>
    <t>BF-31</t>
  </si>
  <si>
    <t>BF-32</t>
  </si>
  <si>
    <t>BF-33</t>
  </si>
  <si>
    <t>BF-34</t>
  </si>
  <si>
    <t>BF-35</t>
  </si>
  <si>
    <t>BF-36</t>
  </si>
  <si>
    <t>BF-37</t>
  </si>
  <si>
    <t>BF-38</t>
  </si>
  <si>
    <t>BF-39</t>
  </si>
  <si>
    <t>BF-40</t>
  </si>
  <si>
    <t>BF-41</t>
  </si>
  <si>
    <t>BF-42</t>
  </si>
  <si>
    <t>BF-43</t>
  </si>
  <si>
    <t>BF-44</t>
  </si>
  <si>
    <t>BF-45</t>
  </si>
  <si>
    <t>BF-46</t>
  </si>
  <si>
    <t>BF-47</t>
  </si>
  <si>
    <t>BF-48</t>
  </si>
  <si>
    <t>BF-49</t>
  </si>
  <si>
    <t>BF-50</t>
  </si>
  <si>
    <t>BF-51</t>
  </si>
  <si>
    <t>BF-52</t>
  </si>
  <si>
    <t>BF-53</t>
  </si>
  <si>
    <t>BF-54</t>
  </si>
  <si>
    <t>BF-55</t>
  </si>
  <si>
    <t>BF-56</t>
  </si>
  <si>
    <t>BF-57</t>
  </si>
  <si>
    <t>Code</t>
  </si>
  <si>
    <t>Blue food (per tonne edible blue food)</t>
  </si>
  <si>
    <t>GHG (AR5) econ [kgCO2e]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</si>
</sst>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E+00"/>
    <numFmt numFmtId="165" formatCode="0.0"/>
    <numFmt numFmtId="166" formatCode="0.0E+00"/>
  </numFmts>
  <fonts count="14">
    <font>
      <sz val="11"/>
      <color theme="1"/>
      <name val="Calibri"/>
      <family val="2"/>
      <scheme val="minor"/>
    </font>
    <font>
      <b/>
      <sz val="11"/>
      <color theme="1"/>
      <name val="Calibri"/>
      <family val="2"/>
      <scheme val="minor"/>
    </font>
    <font>
      <sz val="16"/>
      <color theme="1"/>
      <name val="Calibri"/>
      <family val="2"/>
      <scheme val="minor"/>
    </font>
    <font>
      <sz val="11"/>
      <color rgb="FF000000"/>
      <name val="Calibri"/>
      <family val="2"/>
      <scheme val="minor"/>
    </font>
    <font>
      <sz val="10"/>
      <color rgb="FF000000"/>
      <name val="Helvetica Neue"/>
      <family val="2"/>
    </font>
    <font>
      <sz val="11"/>
      <name val="Calibri"/>
      <family val="2"/>
      <scheme val="minor"/>
    </font>
    <font>
      <sz val="11"/>
      <color rgb="FFFF0000"/>
      <name val="Calibri"/>
      <family val="2"/>
      <scheme val="minor"/>
    </font>
    <font>
      <sz val="11"/>
      <name val="Calibri"/>
      <family val="2"/>
    </font>
    <font>
      <sz val="18"/>
      <color theme="1"/>
      <name val="Calibri"/>
      <family val="2"/>
      <scheme val="minor"/>
    </font>
    <font>
      <sz val="10"/>
      <color rgb="FF000000"/>
      <name val="Helvetica Neue"/>
      <family val="2"/>
      <charset val="1"/>
    </font>
    <font>
      <sz val="11"/>
      <color rgb="FFFF0000"/>
      <name val="Calibri"/>
      <family val="2"/>
    </font>
    <font>
      <sz val="11"/>
      <color rgb="FF000000"/>
      <name val="Calibri"/>
      <family val="2"/>
    </font>
    <font>
      <u/>
      <sz val="11"/>
      <color theme="10"/>
      <name val="Calibri"/>
      <family val="2"/>
      <scheme val="minor"/>
    </font>
    <font>
      <sz val="8"/>
      <name val="Calibri"/>
      <family val="2"/>
      <scheme val="minor"/>
    </font>
  </fonts>
  <fills count="8">
    <fill>
      <patternFill patternType="none"/>
    </fill>
    <fill>
      <patternFill patternType="gray125"/>
    </fill>
    <fill>
      <patternFill patternType="solid">
        <fgColor theme="5"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8" tint="0.59999389629810485"/>
        <bgColor indexed="64"/>
      </patternFill>
    </fill>
  </fills>
  <borders count="1">
    <border>
      <left/>
      <right/>
      <top/>
      <bottom/>
      <diagonal/>
    </border>
  </borders>
  <cellStyleXfs count="2">
    <xf numFmtId="0" fontId="0" fillId="0" borderId="0"/>
    <xf numFmtId="0" fontId="12" fillId="0" borderId="0" applyNumberFormat="0" applyFill="0" applyBorder="0" applyAlignment="0" applyProtection="0"/>
  </cellStyleXfs>
  <cellXfs count="64">
    <xf numFmtId="0" fontId="0" fillId="0" borderId="0" xfId="0"/>
    <xf numFmtId="0" fontId="0" fillId="0" borderId="0" xfId="0" applyAlignment="1">
      <alignment horizontal="left" vertical="top"/>
    </xf>
    <xf numFmtId="0" fontId="1" fillId="0" borderId="0" xfId="0" applyFont="1" applyAlignment="1">
      <alignment wrapText="1"/>
    </xf>
    <xf numFmtId="0" fontId="0" fillId="0" borderId="0" xfId="0" applyAlignment="1">
      <alignment horizontal="right"/>
    </xf>
    <xf numFmtId="0" fontId="2" fillId="0" borderId="0" xfId="0" applyFont="1"/>
    <xf numFmtId="0" fontId="1" fillId="0" borderId="0" xfId="0" applyFont="1" applyAlignment="1">
      <alignment horizontal="left" wrapText="1"/>
    </xf>
    <xf numFmtId="0" fontId="1" fillId="0" borderId="0" xfId="0" applyFont="1"/>
    <xf numFmtId="1" fontId="0" fillId="0" borderId="0" xfId="0" applyNumberFormat="1"/>
    <xf numFmtId="1" fontId="3" fillId="0" borderId="0" xfId="0" applyNumberFormat="1" applyFont="1"/>
    <xf numFmtId="0" fontId="4" fillId="0" borderId="0" xfId="0" applyFont="1"/>
    <xf numFmtId="1" fontId="4" fillId="0" borderId="0" xfId="0" applyNumberFormat="1" applyFont="1"/>
    <xf numFmtId="0" fontId="0" fillId="2" borderId="0" xfId="0" applyFill="1" applyAlignment="1">
      <alignment horizontal="left" vertical="top"/>
    </xf>
    <xf numFmtId="0" fontId="0" fillId="2" borderId="0" xfId="0" applyFill="1"/>
    <xf numFmtId="1" fontId="0" fillId="0" borderId="0" xfId="0" applyNumberFormat="1" applyAlignment="1">
      <alignment horizontal="left" vertical="top"/>
    </xf>
    <xf numFmtId="0" fontId="0" fillId="0" borderId="0" xfId="0" applyAlignment="1">
      <alignment horizontal="left" wrapText="1"/>
    </xf>
    <xf numFmtId="165" fontId="0" fillId="0" borderId="0" xfId="0" applyNumberFormat="1"/>
    <xf numFmtId="49" fontId="1" fillId="3" borderId="0" xfId="0" applyNumberFormat="1" applyFont="1" applyFill="1"/>
    <xf numFmtId="0" fontId="5" fillId="3" borderId="0" xfId="0" applyFont="1" applyFill="1"/>
    <xf numFmtId="2" fontId="0" fillId="3" borderId="0" xfId="0" applyNumberFormat="1" applyFill="1" applyAlignment="1">
      <alignment horizontal="left" vertical="center"/>
    </xf>
    <xf numFmtId="1" fontId="1" fillId="3" borderId="0" xfId="0" applyNumberFormat="1" applyFont="1" applyFill="1" applyAlignment="1">
      <alignment vertical="center"/>
    </xf>
    <xf numFmtId="1" fontId="0" fillId="3" borderId="0" xfId="0" applyNumberFormat="1" applyFill="1" applyAlignment="1">
      <alignment horizontal="left" vertical="center"/>
    </xf>
    <xf numFmtId="2" fontId="1" fillId="3" borderId="0" xfId="0" applyNumberFormat="1" applyFont="1" applyFill="1" applyAlignment="1">
      <alignment horizontal="left" vertical="center"/>
    </xf>
    <xf numFmtId="11" fontId="1" fillId="3" borderId="0" xfId="0" applyNumberFormat="1" applyFont="1" applyFill="1" applyAlignment="1">
      <alignment horizontal="left" vertical="center"/>
    </xf>
    <xf numFmtId="166" fontId="1" fillId="3" borderId="0" xfId="0" applyNumberFormat="1" applyFont="1" applyFill="1"/>
    <xf numFmtId="49" fontId="0" fillId="4" borderId="0" xfId="0" applyNumberFormat="1" applyFill="1" applyAlignment="1">
      <alignment horizontal="left" vertical="top" wrapText="1"/>
    </xf>
    <xf numFmtId="0" fontId="5" fillId="4" borderId="0" xfId="0" applyFont="1" applyFill="1" applyAlignment="1">
      <alignment horizontal="left" vertical="top" wrapText="1"/>
    </xf>
    <xf numFmtId="2" fontId="0" fillId="4" borderId="0" xfId="0" applyNumberFormat="1" applyFill="1" applyAlignment="1">
      <alignment horizontal="left" vertical="top" wrapText="1"/>
    </xf>
    <xf numFmtId="1" fontId="0" fillId="4" borderId="0" xfId="0" applyNumberFormat="1" applyFill="1" applyAlignment="1">
      <alignment horizontal="left" vertical="top" wrapText="1"/>
    </xf>
    <xf numFmtId="1" fontId="5" fillId="4" borderId="0" xfId="0" applyNumberFormat="1" applyFont="1" applyFill="1" applyAlignment="1">
      <alignment horizontal="left" vertical="top" wrapText="1"/>
    </xf>
    <xf numFmtId="2" fontId="5" fillId="4" borderId="0" xfId="0" applyNumberFormat="1" applyFont="1" applyFill="1" applyAlignment="1">
      <alignment horizontal="left" vertical="top" wrapText="1"/>
    </xf>
    <xf numFmtId="164" fontId="0" fillId="4" borderId="0" xfId="0" applyNumberFormat="1" applyFill="1" applyAlignment="1">
      <alignment horizontal="left" vertical="top" wrapText="1"/>
    </xf>
    <xf numFmtId="11" fontId="0" fillId="4" borderId="0" xfId="0" applyNumberFormat="1" applyFill="1" applyAlignment="1">
      <alignment horizontal="left" vertical="top" wrapText="1"/>
    </xf>
    <xf numFmtId="166" fontId="0" fillId="4" borderId="0" xfId="0" applyNumberFormat="1" applyFill="1" applyAlignment="1">
      <alignment horizontal="center" vertical="center" wrapText="1"/>
    </xf>
    <xf numFmtId="166" fontId="0" fillId="4" borderId="0" xfId="0" applyNumberFormat="1" applyFill="1" applyAlignment="1">
      <alignment vertical="center" wrapText="1"/>
    </xf>
    <xf numFmtId="0" fontId="3" fillId="0" borderId="0" xfId="0" applyFont="1"/>
    <xf numFmtId="0" fontId="0" fillId="0" borderId="0" xfId="0" applyAlignment="1" applyProtection="1">
      <alignment horizontal="left" vertical="top"/>
      <protection locked="0"/>
    </xf>
    <xf numFmtId="0" fontId="0" fillId="5" borderId="0" xfId="0" applyFill="1"/>
    <xf numFmtId="0" fontId="7" fillId="0" borderId="0" xfId="0" applyFont="1" applyAlignment="1">
      <alignment horizontal="left" vertical="top"/>
    </xf>
    <xf numFmtId="0" fontId="8" fillId="0" borderId="0" xfId="0" applyFont="1"/>
    <xf numFmtId="0" fontId="6" fillId="0" borderId="0" xfId="0" applyFont="1"/>
    <xf numFmtId="0" fontId="7" fillId="0" borderId="0" xfId="0" applyFont="1"/>
    <xf numFmtId="1" fontId="9" fillId="0" borderId="0" xfId="0" applyNumberFormat="1" applyFont="1"/>
    <xf numFmtId="0" fontId="8" fillId="6" borderId="0" xfId="0" applyFont="1" applyFill="1"/>
    <xf numFmtId="0" fontId="0" fillId="6" borderId="0" xfId="0" applyFill="1" applyAlignment="1">
      <alignment horizontal="left" vertical="top"/>
    </xf>
    <xf numFmtId="0" fontId="0" fillId="6" borderId="0" xfId="0" applyFill="1"/>
    <xf numFmtId="0" fontId="3" fillId="6" borderId="0" xfId="0" applyFont="1" applyFill="1"/>
    <xf numFmtId="0" fontId="6" fillId="6" borderId="0" xfId="0" applyFont="1" applyFill="1"/>
    <xf numFmtId="0" fontId="10" fillId="6" borderId="0" xfId="0" applyFont="1" applyFill="1"/>
    <xf numFmtId="0" fontId="0" fillId="5" borderId="0" xfId="0" applyFill="1" applyAlignment="1">
      <alignment horizontal="left" vertical="top"/>
    </xf>
    <xf numFmtId="0" fontId="0" fillId="7" borderId="0" xfId="0" applyFill="1"/>
    <xf numFmtId="0" fontId="0" fillId="7" borderId="0" xfId="0" applyFill="1" applyAlignment="1">
      <alignment wrapText="1"/>
    </xf>
    <xf numFmtId="2" fontId="11" fillId="0" borderId="0" xfId="0" applyNumberFormat="1" applyFont="1"/>
    <xf numFmtId="2" fontId="0" fillId="0" borderId="0" xfId="0" applyNumberFormat="1"/>
    <xf numFmtId="0" fontId="0" fillId="0" borderId="0" xfId="0" quotePrefix="1"/>
    <xf numFmtId="9" fontId="0" fillId="0" borderId="0" xfId="0" applyNumberFormat="1"/>
    <xf numFmtId="0" fontId="0" fillId="0" borderId="0" xfId="0" applyAlignment="1">
      <alignment wrapText="1"/>
    </xf>
    <xf numFmtId="2" fontId="0" fillId="0" borderId="0" xfId="0" applyNumberFormat="1" applyAlignment="1">
      <alignment horizontal="right" vertical="top"/>
    </xf>
    <xf numFmtId="49" fontId="3" fillId="0" borderId="0" xfId="1" applyNumberFormat="1" applyFont="1" applyAlignment="1">
      <alignment wrapText="1"/>
    </xf>
    <xf numFmtId="0" fontId="11" fillId="0" borderId="0" xfId="0" applyFont="1"/>
    <xf numFmtId="0" fontId="1" fillId="7" borderId="0" xfId="0" applyFont="1" applyFill="1" applyAlignment="1">
      <alignment horizontal="left" wrapText="1"/>
    </xf>
    <xf numFmtId="0" fontId="1" fillId="7" borderId="0" xfId="0" applyFont="1" applyFill="1" applyAlignment="1">
      <alignment wrapText="1"/>
    </xf>
    <xf numFmtId="0" fontId="1" fillId="7" borderId="0" xfId="0" applyFont="1" applyFill="1"/>
    <xf numFmtId="0" fontId="1" fillId="7" borderId="0" xfId="0" applyFont="1" applyFill="1" applyAlignment="1">
      <alignment horizontal="center" wrapText="1"/>
    </xf>
    <xf numFmtId="0" fontId="0" fillId="7" borderId="0" xfId="0" applyFill="1" applyAlignment="1">
      <alignment horizontal="center"/>
    </xf>
  </cellXfs>
  <cellStyles count="2">
    <cellStyle name="Hyperlink" xfId="1" xr:uid="{00000000-000B-0000-0000-000008000000}"/>
    <cellStyle name="Normal" xfId="0" builtinId="0"/>
  </cellStyles>
  <dxfs count="8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0AEAF-E414-4555-B911-C1165A2C5C63}">
  <dimension ref="A2:U63"/>
  <sheetViews>
    <sheetView workbookViewId="0">
      <selection activeCell="F6" sqref="F6"/>
    </sheetView>
  </sheetViews>
  <sheetFormatPr defaultColWidth="8.6640625" defaultRowHeight="14.4"/>
  <cols>
    <col min="1" max="1" width="14.33203125" customWidth="1"/>
    <col min="2" max="2" width="36.6640625" customWidth="1"/>
    <col min="3" max="3" width="17" customWidth="1"/>
    <col min="4" max="4" width="18.33203125" customWidth="1"/>
    <col min="5" max="5" width="12.88671875" customWidth="1"/>
    <col min="6" max="6" width="9.6640625" customWidth="1"/>
    <col min="7" max="9" width="8.6640625" customWidth="1"/>
    <col min="10" max="10" width="12.109375" bestFit="1" customWidth="1"/>
    <col min="11" max="11" width="11.6640625" bestFit="1" customWidth="1"/>
    <col min="12" max="12" width="9.6640625" bestFit="1" customWidth="1"/>
    <col min="13" max="13" width="8.6640625" bestFit="1" customWidth="1"/>
    <col min="20" max="20" width="12.6640625" customWidth="1"/>
  </cols>
  <sheetData>
    <row r="2" spans="1:21" ht="21">
      <c r="A2" s="4" t="s">
        <v>0</v>
      </c>
    </row>
    <row r="3" spans="1:21" ht="15.6" customHeight="1">
      <c r="A3" s="4"/>
    </row>
    <row r="4" spans="1:21">
      <c r="A4" s="16"/>
      <c r="B4" s="17"/>
      <c r="C4" s="17"/>
      <c r="D4" s="17"/>
      <c r="E4" s="18"/>
      <c r="F4" s="19" t="s">
        <v>2</v>
      </c>
      <c r="G4" s="18"/>
      <c r="H4" s="20"/>
      <c r="I4" s="20"/>
      <c r="J4" s="20"/>
      <c r="K4" s="20"/>
      <c r="L4" s="21" t="s">
        <v>3</v>
      </c>
      <c r="M4" s="21" t="s">
        <v>4</v>
      </c>
      <c r="N4" s="21" t="s">
        <v>5</v>
      </c>
      <c r="O4" s="21" t="s">
        <v>6</v>
      </c>
      <c r="P4" s="22" t="s">
        <v>7</v>
      </c>
      <c r="Q4" s="22" t="s">
        <v>8</v>
      </c>
      <c r="R4" s="22" t="s">
        <v>9</v>
      </c>
      <c r="S4" s="22" t="s">
        <v>10</v>
      </c>
      <c r="T4" s="23" t="s">
        <v>11</v>
      </c>
      <c r="U4" s="23" t="s">
        <v>12</v>
      </c>
    </row>
    <row r="5" spans="1:21" s="14" customFormat="1" ht="68.099999999999994" customHeight="1">
      <c r="A5" s="24" t="s">
        <v>571</v>
      </c>
      <c r="B5" s="25" t="s">
        <v>1</v>
      </c>
      <c r="C5" s="25" t="s">
        <v>13</v>
      </c>
      <c r="D5" s="25" t="s">
        <v>14</v>
      </c>
      <c r="E5" s="26" t="s">
        <v>15</v>
      </c>
      <c r="F5" s="27" t="s">
        <v>16</v>
      </c>
      <c r="G5" s="28" t="s">
        <v>17</v>
      </c>
      <c r="H5" s="27" t="s">
        <v>18</v>
      </c>
      <c r="I5" s="27" t="s">
        <v>19</v>
      </c>
      <c r="J5" s="27" t="s">
        <v>20</v>
      </c>
      <c r="K5" s="28" t="s">
        <v>21</v>
      </c>
      <c r="L5" s="28" t="s">
        <v>22</v>
      </c>
      <c r="M5" s="28" t="s">
        <v>23</v>
      </c>
      <c r="N5" s="28" t="s">
        <v>24</v>
      </c>
      <c r="O5" s="29" t="s">
        <v>25</v>
      </c>
      <c r="P5" s="30" t="s">
        <v>26</v>
      </c>
      <c r="Q5" s="31" t="s">
        <v>27</v>
      </c>
      <c r="R5" s="31" t="s">
        <v>28</v>
      </c>
      <c r="S5" s="31" t="s">
        <v>29</v>
      </c>
      <c r="T5" s="32" t="s">
        <v>30</v>
      </c>
      <c r="U5" s="33"/>
    </row>
    <row r="6" spans="1:21">
      <c r="A6" s="1" t="s">
        <v>514</v>
      </c>
      <c r="B6" s="1" t="s">
        <v>32</v>
      </c>
      <c r="C6" s="1" t="s">
        <v>0</v>
      </c>
      <c r="D6" s="1" t="s">
        <v>33</v>
      </c>
      <c r="E6" s="1" t="s">
        <v>34</v>
      </c>
      <c r="F6" s="15">
        <f>'Data Gephart'!K5/1000</f>
        <v>3.8779404484438902</v>
      </c>
      <c r="L6" s="15">
        <f>'Data Gephart'!M5/1000</f>
        <v>0</v>
      </c>
      <c r="M6" s="15">
        <f>'Data Gephart'!N5/1000</f>
        <v>0</v>
      </c>
      <c r="N6" s="15">
        <f>'Data Gephart'!O5/1000</f>
        <v>0</v>
      </c>
      <c r="O6" s="15">
        <f>'Data Gephart'!L5/1000</f>
        <v>0</v>
      </c>
    </row>
    <row r="7" spans="1:21">
      <c r="A7" s="1" t="s">
        <v>515</v>
      </c>
      <c r="B7" s="1" t="s">
        <v>36</v>
      </c>
      <c r="C7" s="1" t="s">
        <v>0</v>
      </c>
      <c r="D7" s="1" t="s">
        <v>33</v>
      </c>
      <c r="E7" s="1" t="s">
        <v>34</v>
      </c>
      <c r="F7" s="15">
        <f>'Data Gephart'!K6/1000</f>
        <v>3.8779404484438902</v>
      </c>
      <c r="L7" s="15">
        <f>'Data Gephart'!M6/1000</f>
        <v>0</v>
      </c>
      <c r="M7" s="15">
        <f>'Data Gephart'!N6/1000</f>
        <v>0</v>
      </c>
      <c r="N7" s="15">
        <f>'Data Gephart'!O6/1000</f>
        <v>0</v>
      </c>
      <c r="O7" s="15">
        <f>'Data Gephart'!L6/1000</f>
        <v>0</v>
      </c>
      <c r="P7" s="6"/>
    </row>
    <row r="8" spans="1:21">
      <c r="A8" s="1" t="s">
        <v>516</v>
      </c>
      <c r="B8" s="1" t="s">
        <v>38</v>
      </c>
      <c r="C8" s="1" t="s">
        <v>0</v>
      </c>
      <c r="D8" s="1" t="s">
        <v>33</v>
      </c>
      <c r="E8" s="1" t="s">
        <v>34</v>
      </c>
      <c r="F8" s="15">
        <f>'Data Gephart'!K7/1000</f>
        <v>3.8779404484438902</v>
      </c>
      <c r="L8" s="15">
        <f>'Data Gephart'!M7/1000</f>
        <v>0</v>
      </c>
      <c r="M8" s="15">
        <f>'Data Gephart'!N7/1000</f>
        <v>0</v>
      </c>
      <c r="N8" s="15">
        <f>'Data Gephart'!O7/1000</f>
        <v>0</v>
      </c>
      <c r="O8" s="15">
        <f>'Data Gephart'!L7/1000</f>
        <v>0</v>
      </c>
    </row>
    <row r="9" spans="1:21">
      <c r="A9" s="1" t="s">
        <v>517</v>
      </c>
      <c r="B9" s="1" t="s">
        <v>40</v>
      </c>
      <c r="C9" s="1" t="s">
        <v>0</v>
      </c>
      <c r="D9" s="1" t="s">
        <v>33</v>
      </c>
      <c r="E9" s="1" t="s">
        <v>34</v>
      </c>
      <c r="F9" s="15">
        <f>'Data Gephart'!K8/1000</f>
        <v>3.8780000000000001</v>
      </c>
      <c r="L9" s="15">
        <f>'Data Gephart'!M8/1000</f>
        <v>0</v>
      </c>
      <c r="M9" s="15">
        <f>'Data Gephart'!N8/1000</f>
        <v>0</v>
      </c>
      <c r="N9" s="15">
        <f>'Data Gephart'!O8/1000</f>
        <v>0</v>
      </c>
      <c r="O9" s="15">
        <f>'Data Gephart'!L8/1000</f>
        <v>0</v>
      </c>
    </row>
    <row r="10" spans="1:21">
      <c r="A10" s="1" t="s">
        <v>518</v>
      </c>
      <c r="B10" s="1" t="s">
        <v>42</v>
      </c>
      <c r="C10" s="1" t="s">
        <v>0</v>
      </c>
      <c r="D10" s="1" t="s">
        <v>33</v>
      </c>
      <c r="E10" s="1" t="s">
        <v>34</v>
      </c>
      <c r="F10" s="15">
        <f>'Data Gephart'!K9/1000</f>
        <v>3.8780000000000001</v>
      </c>
      <c r="L10" s="15">
        <f>'Data Gephart'!M9/1000</f>
        <v>0</v>
      </c>
      <c r="M10" s="15">
        <f>'Data Gephart'!N9/1000</f>
        <v>0</v>
      </c>
      <c r="N10" s="15">
        <f>'Data Gephart'!O9/1000</f>
        <v>0</v>
      </c>
      <c r="O10" s="15">
        <f>'Data Gephart'!L9/1000</f>
        <v>0</v>
      </c>
    </row>
    <row r="11" spans="1:21">
      <c r="A11" s="1" t="s">
        <v>519</v>
      </c>
      <c r="B11" s="1" t="s">
        <v>44</v>
      </c>
      <c r="C11" s="1" t="s">
        <v>0</v>
      </c>
      <c r="D11" s="1" t="s">
        <v>33</v>
      </c>
      <c r="E11" s="1" t="s">
        <v>34</v>
      </c>
      <c r="F11" s="15">
        <f>'Data Gephart'!K10/1000</f>
        <v>5.4095471784401798</v>
      </c>
      <c r="G11" s="7"/>
      <c r="H11" s="7"/>
      <c r="I11" s="7"/>
      <c r="J11" s="7"/>
      <c r="K11" s="7"/>
      <c r="L11" s="15">
        <f>'Data Gephart'!M10/1000</f>
        <v>3.8139923291036197</v>
      </c>
      <c r="M11" s="15">
        <f>'Data Gephart'!N10/1000</f>
        <v>9.8889039995895101E-2</v>
      </c>
      <c r="N11" s="15">
        <f>'Data Gephart'!O10/1000</f>
        <v>2.32195670416817E-2</v>
      </c>
      <c r="O11" s="15">
        <f>'Data Gephart'!L10/1000</f>
        <v>0.11258050797444701</v>
      </c>
    </row>
    <row r="12" spans="1:21">
      <c r="A12" s="1" t="s">
        <v>520</v>
      </c>
      <c r="B12" s="1" t="s">
        <v>46</v>
      </c>
      <c r="C12" s="1" t="s">
        <v>0</v>
      </c>
      <c r="D12" s="1" t="s">
        <v>33</v>
      </c>
      <c r="E12" s="1" t="s">
        <v>34</v>
      </c>
      <c r="F12" s="15">
        <f>'Data Gephart'!K11/1000</f>
        <v>6.8813386945491306</v>
      </c>
      <c r="K12" s="7"/>
      <c r="L12" s="15">
        <f>'Data Gephart'!M11/1000</f>
        <v>0</v>
      </c>
      <c r="M12" s="15">
        <f>'Data Gephart'!N11/1000</f>
        <v>0</v>
      </c>
      <c r="N12" s="15">
        <f>'Data Gephart'!O11/1000</f>
        <v>0</v>
      </c>
      <c r="O12" s="15">
        <f>'Data Gephart'!L11/1000</f>
        <v>0</v>
      </c>
    </row>
    <row r="13" spans="1:21">
      <c r="A13" s="1" t="s">
        <v>521</v>
      </c>
      <c r="B13" s="1" t="s">
        <v>48</v>
      </c>
      <c r="C13" s="1" t="s">
        <v>0</v>
      </c>
      <c r="D13" s="1" t="s">
        <v>33</v>
      </c>
      <c r="E13" s="1" t="s">
        <v>34</v>
      </c>
      <c r="F13" s="15">
        <f>'Data Gephart'!K12/1000</f>
        <v>9.6651743487795194</v>
      </c>
      <c r="K13" s="7"/>
      <c r="L13" s="15">
        <f>'Data Gephart'!M12/1000</f>
        <v>0</v>
      </c>
      <c r="M13" s="15">
        <f>'Data Gephart'!N12/1000</f>
        <v>0</v>
      </c>
      <c r="N13" s="15">
        <f>'Data Gephart'!O12/1000</f>
        <v>0</v>
      </c>
      <c r="O13" s="15">
        <f>'Data Gephart'!L12/1000</f>
        <v>0</v>
      </c>
    </row>
    <row r="14" spans="1:21">
      <c r="A14" s="1" t="s">
        <v>522</v>
      </c>
      <c r="B14" s="1" t="s">
        <v>50</v>
      </c>
      <c r="C14" s="1" t="s">
        <v>0</v>
      </c>
      <c r="D14" s="1" t="s">
        <v>33</v>
      </c>
      <c r="E14" s="1" t="s">
        <v>34</v>
      </c>
      <c r="F14" s="15">
        <f>'Data Gephart'!K13/1000</f>
        <v>9.9146495628210793</v>
      </c>
      <c r="L14" s="15">
        <f>'Data Gephart'!M13/1000</f>
        <v>0</v>
      </c>
      <c r="M14" s="15">
        <f>'Data Gephart'!N13/1000</f>
        <v>0</v>
      </c>
      <c r="N14" s="15">
        <f>'Data Gephart'!O13/1000</f>
        <v>0</v>
      </c>
      <c r="O14" s="15">
        <f>'Data Gephart'!L13/1000</f>
        <v>0</v>
      </c>
    </row>
    <row r="15" spans="1:21">
      <c r="A15" s="1" t="s">
        <v>523</v>
      </c>
      <c r="B15" s="1" t="s">
        <v>52</v>
      </c>
      <c r="C15" s="1" t="s">
        <v>0</v>
      </c>
      <c r="D15" s="1" t="s">
        <v>33</v>
      </c>
      <c r="E15" s="1" t="s">
        <v>34</v>
      </c>
      <c r="F15" s="15">
        <f>'Data Gephart'!K14/1000</f>
        <v>9.9146495628210793</v>
      </c>
      <c r="L15" s="15">
        <f>'Data Gephart'!M14/1000</f>
        <v>0</v>
      </c>
      <c r="M15" s="15">
        <f>'Data Gephart'!N14/1000</f>
        <v>0</v>
      </c>
      <c r="N15" s="15">
        <f>'Data Gephart'!O14/1000</f>
        <v>0</v>
      </c>
      <c r="O15" s="15">
        <f>'Data Gephart'!L14/1000</f>
        <v>0</v>
      </c>
    </row>
    <row r="16" spans="1:21">
      <c r="A16" s="1" t="s">
        <v>524</v>
      </c>
      <c r="B16" s="1" t="s">
        <v>54</v>
      </c>
      <c r="C16" s="1" t="s">
        <v>0</v>
      </c>
      <c r="D16" s="1" t="s">
        <v>33</v>
      </c>
      <c r="E16" s="1" t="s">
        <v>34</v>
      </c>
      <c r="F16" s="15">
        <f>'Data Gephart'!K15/1000</f>
        <v>6.8813386945491306</v>
      </c>
      <c r="K16" s="7"/>
      <c r="L16" s="15">
        <f>'Data Gephart'!M15/1000</f>
        <v>0</v>
      </c>
      <c r="M16" s="15">
        <f>'Data Gephart'!N15/1000</f>
        <v>0</v>
      </c>
      <c r="N16" s="15">
        <f>'Data Gephart'!O15/1000</f>
        <v>0</v>
      </c>
      <c r="O16" s="15">
        <f>'Data Gephart'!L15/1000</f>
        <v>0</v>
      </c>
    </row>
    <row r="17" spans="1:15">
      <c r="A17" s="1" t="s">
        <v>525</v>
      </c>
      <c r="B17" s="1" t="s">
        <v>56</v>
      </c>
      <c r="C17" s="1" t="s">
        <v>0</v>
      </c>
      <c r="D17" s="1" t="s">
        <v>33</v>
      </c>
      <c r="E17" s="1" t="s">
        <v>34</v>
      </c>
      <c r="F17" s="15">
        <f>'Data Gephart'!K16/1000</f>
        <v>7.6290538036136502</v>
      </c>
      <c r="K17" s="7"/>
      <c r="L17" s="15">
        <f>'Data Gephart'!M16/1000</f>
        <v>0</v>
      </c>
      <c r="M17" s="15">
        <f>'Data Gephart'!N16/1000</f>
        <v>0</v>
      </c>
      <c r="N17" s="15">
        <f>'Data Gephart'!O16/1000</f>
        <v>0</v>
      </c>
      <c r="O17" s="15">
        <f>'Data Gephart'!L16/1000</f>
        <v>0</v>
      </c>
    </row>
    <row r="18" spans="1:15">
      <c r="A18" s="1" t="s">
        <v>526</v>
      </c>
      <c r="B18" s="1" t="s">
        <v>58</v>
      </c>
      <c r="C18" s="1" t="s">
        <v>0</v>
      </c>
      <c r="D18" s="1" t="s">
        <v>33</v>
      </c>
      <c r="E18" s="1" t="s">
        <v>34</v>
      </c>
      <c r="F18" s="15">
        <f>'Data Gephart'!K17/1000</f>
        <v>9.6651743487795194</v>
      </c>
      <c r="K18" s="7"/>
      <c r="L18" s="15">
        <f>'Data Gephart'!M17/1000</f>
        <v>0</v>
      </c>
      <c r="M18" s="15">
        <f>'Data Gephart'!N17/1000</f>
        <v>0</v>
      </c>
      <c r="N18" s="15">
        <f>'Data Gephart'!O17/1000</f>
        <v>0</v>
      </c>
      <c r="O18" s="15">
        <f>'Data Gephart'!L17/1000</f>
        <v>0</v>
      </c>
    </row>
    <row r="19" spans="1:15">
      <c r="A19" s="1" t="s">
        <v>527</v>
      </c>
      <c r="B19" s="1" t="s">
        <v>60</v>
      </c>
      <c r="C19" s="1" t="s">
        <v>0</v>
      </c>
      <c r="D19" s="1" t="s">
        <v>33</v>
      </c>
      <c r="E19" s="1" t="s">
        <v>34</v>
      </c>
      <c r="F19" s="15">
        <f>'Data Gephart'!K18/1000</f>
        <v>5.1250387659132004</v>
      </c>
      <c r="K19" s="7"/>
      <c r="L19" s="15">
        <f>'Data Gephart'!M18/1000</f>
        <v>0</v>
      </c>
      <c r="M19" s="15">
        <f>'Data Gephart'!N18/1000</f>
        <v>0</v>
      </c>
      <c r="N19" s="15">
        <f>'Data Gephart'!O18/1000</f>
        <v>0</v>
      </c>
      <c r="O19" s="15">
        <f>'Data Gephart'!L18/1000</f>
        <v>0</v>
      </c>
    </row>
    <row r="20" spans="1:15">
      <c r="A20" s="1" t="s">
        <v>528</v>
      </c>
      <c r="B20" s="1" t="s">
        <v>62</v>
      </c>
      <c r="C20" s="1" t="s">
        <v>0</v>
      </c>
      <c r="D20" s="1" t="s">
        <v>33</v>
      </c>
      <c r="E20" s="1" t="s">
        <v>34</v>
      </c>
      <c r="F20" s="15">
        <f>'Data Gephart'!K19/1000</f>
        <v>20.3133144402859</v>
      </c>
      <c r="K20" s="7"/>
      <c r="L20" s="15">
        <f>'Data Gephart'!M19/1000</f>
        <v>0</v>
      </c>
      <c r="M20" s="15">
        <f>'Data Gephart'!N19/1000</f>
        <v>0</v>
      </c>
      <c r="N20" s="15">
        <f>'Data Gephart'!O19/1000</f>
        <v>0</v>
      </c>
      <c r="O20" s="15">
        <f>'Data Gephart'!L19/1000</f>
        <v>0</v>
      </c>
    </row>
    <row r="21" spans="1:15">
      <c r="A21" s="1" t="s">
        <v>529</v>
      </c>
      <c r="B21" s="1" t="s">
        <v>64</v>
      </c>
      <c r="C21" s="1" t="s">
        <v>0</v>
      </c>
      <c r="D21" s="1" t="s">
        <v>33</v>
      </c>
      <c r="E21" s="1" t="s">
        <v>34</v>
      </c>
      <c r="F21" s="15">
        <f>'Data Gephart'!K20/1000</f>
        <v>20.3133144402859</v>
      </c>
      <c r="K21" s="7"/>
      <c r="L21" s="15">
        <f>'Data Gephart'!M20/1000</f>
        <v>0</v>
      </c>
      <c r="M21" s="15">
        <f>'Data Gephart'!N20/1000</f>
        <v>0</v>
      </c>
      <c r="N21" s="15">
        <f>'Data Gephart'!O20/1000</f>
        <v>0</v>
      </c>
      <c r="O21" s="15">
        <f>'Data Gephart'!L20/1000</f>
        <v>0</v>
      </c>
    </row>
    <row r="22" spans="1:15">
      <c r="A22" s="1" t="s">
        <v>530</v>
      </c>
      <c r="B22" s="1" t="s">
        <v>66</v>
      </c>
      <c r="C22" s="1" t="s">
        <v>0</v>
      </c>
      <c r="D22" s="1" t="s">
        <v>33</v>
      </c>
      <c r="E22" s="1" t="s">
        <v>34</v>
      </c>
      <c r="F22" s="15">
        <f>'Data Gephart'!K21/1000</f>
        <v>20.3133144402859</v>
      </c>
      <c r="G22" s="1"/>
      <c r="L22" s="15">
        <f>'Data Gephart'!M21/1000</f>
        <v>0</v>
      </c>
      <c r="M22" s="15">
        <f>'Data Gephart'!N21/1000</f>
        <v>0</v>
      </c>
      <c r="N22" s="15">
        <f>'Data Gephart'!O21/1000</f>
        <v>0</v>
      </c>
      <c r="O22" s="15">
        <f>'Data Gephart'!L21/1000</f>
        <v>0</v>
      </c>
    </row>
    <row r="23" spans="1:15">
      <c r="A23" s="1" t="s">
        <v>531</v>
      </c>
      <c r="B23" s="1" t="s">
        <v>68</v>
      </c>
      <c r="C23" s="1" t="s">
        <v>0</v>
      </c>
      <c r="D23" s="1" t="s">
        <v>33</v>
      </c>
      <c r="E23" s="1" t="s">
        <v>34</v>
      </c>
      <c r="F23" s="15">
        <f>'Data Gephart'!K22/1000</f>
        <v>20.3133144402859</v>
      </c>
      <c r="G23" s="1"/>
      <c r="L23" s="15">
        <f>'Data Gephart'!M22/1000</f>
        <v>0</v>
      </c>
      <c r="M23" s="15">
        <f>'Data Gephart'!N22/1000</f>
        <v>0</v>
      </c>
      <c r="N23" s="15">
        <f>'Data Gephart'!O22/1000</f>
        <v>0</v>
      </c>
      <c r="O23" s="15">
        <f>'Data Gephart'!L22/1000</f>
        <v>0</v>
      </c>
    </row>
    <row r="24" spans="1:15">
      <c r="A24" s="1" t="s">
        <v>532</v>
      </c>
      <c r="B24" s="11" t="s">
        <v>70</v>
      </c>
      <c r="C24" s="1" t="s">
        <v>0</v>
      </c>
      <c r="D24" s="1" t="s">
        <v>33</v>
      </c>
      <c r="E24" s="1" t="s">
        <v>34</v>
      </c>
      <c r="F24" s="15">
        <f>'Data Gephart'!K23/1000</f>
        <v>0</v>
      </c>
      <c r="G24" s="11"/>
      <c r="H24" s="12"/>
      <c r="I24" s="12"/>
      <c r="J24" s="12"/>
      <c r="K24" s="12"/>
      <c r="L24" s="15">
        <f>'Data Gephart'!M23/1000</f>
        <v>0</v>
      </c>
      <c r="M24" s="15">
        <f>'Data Gephart'!N23/1000</f>
        <v>0</v>
      </c>
      <c r="N24" s="15">
        <f>'Data Gephart'!O23/1000</f>
        <v>0</v>
      </c>
      <c r="O24" s="15">
        <f>'Data Gephart'!L23/1000</f>
        <v>0</v>
      </c>
    </row>
    <row r="25" spans="1:15">
      <c r="A25" s="1" t="s">
        <v>533</v>
      </c>
      <c r="B25" s="1" t="s">
        <v>72</v>
      </c>
      <c r="C25" s="1" t="s">
        <v>0</v>
      </c>
      <c r="D25" s="1" t="s">
        <v>33</v>
      </c>
      <c r="E25" s="1" t="s">
        <v>34</v>
      </c>
      <c r="F25" s="15">
        <f>'Data Gephart'!K26/1000</f>
        <v>9.6651743487795194</v>
      </c>
      <c r="G25" s="34"/>
      <c r="L25" s="15">
        <f>'Data Gephart'!M26/1000</f>
        <v>0</v>
      </c>
      <c r="M25" s="15">
        <f>'Data Gephart'!N26/1000</f>
        <v>0</v>
      </c>
      <c r="N25" s="15">
        <f>'Data Gephart'!O26/1000</f>
        <v>0</v>
      </c>
      <c r="O25" s="15">
        <f>'Data Gephart'!L26/1000</f>
        <v>0</v>
      </c>
    </row>
    <row r="26" spans="1:15">
      <c r="A26" s="1" t="s">
        <v>534</v>
      </c>
      <c r="B26" s="1" t="s">
        <v>74</v>
      </c>
      <c r="C26" s="1" t="s">
        <v>0</v>
      </c>
      <c r="D26" s="1" t="s">
        <v>33</v>
      </c>
      <c r="E26" s="1" t="s">
        <v>34</v>
      </c>
      <c r="F26" s="15">
        <f>'Data Gephart'!K27/1000</f>
        <v>9.6651743487795194</v>
      </c>
      <c r="G26" s="34"/>
      <c r="L26" s="15">
        <f>'Data Gephart'!M27/1000</f>
        <v>0</v>
      </c>
      <c r="M26" s="15">
        <f>'Data Gephart'!N27/1000</f>
        <v>0</v>
      </c>
      <c r="N26" s="15">
        <f>'Data Gephart'!O27/1000</f>
        <v>0</v>
      </c>
      <c r="O26" s="15">
        <f>'Data Gephart'!L27/1000</f>
        <v>0</v>
      </c>
    </row>
    <row r="27" spans="1:15">
      <c r="A27" s="1" t="s">
        <v>535</v>
      </c>
      <c r="B27" s="1" t="s">
        <v>76</v>
      </c>
      <c r="C27" s="1" t="s">
        <v>0</v>
      </c>
      <c r="D27" s="1" t="s">
        <v>33</v>
      </c>
      <c r="E27" s="1" t="s">
        <v>34</v>
      </c>
      <c r="F27" s="15">
        <f>'Data Gephart'!K28/1000</f>
        <v>20.3133144402859</v>
      </c>
      <c r="G27" s="34"/>
      <c r="L27" s="15">
        <f>'Data Gephart'!M28/1000</f>
        <v>0</v>
      </c>
      <c r="M27" s="15">
        <f>'Data Gephart'!N28/1000</f>
        <v>0</v>
      </c>
      <c r="N27" s="15">
        <f>'Data Gephart'!O28/1000</f>
        <v>0</v>
      </c>
      <c r="O27" s="15">
        <f>'Data Gephart'!L28/1000</f>
        <v>0</v>
      </c>
    </row>
    <row r="28" spans="1:15">
      <c r="A28" s="1" t="s">
        <v>536</v>
      </c>
      <c r="B28" s="1" t="s">
        <v>78</v>
      </c>
      <c r="C28" s="1" t="s">
        <v>0</v>
      </c>
      <c r="D28" s="1" t="s">
        <v>33</v>
      </c>
      <c r="E28" s="1" t="s">
        <v>34</v>
      </c>
      <c r="F28" s="15">
        <f>'Data Gephart'!K29/1000</f>
        <v>7.6290538036136502</v>
      </c>
      <c r="G28" s="34"/>
      <c r="L28" s="15">
        <f>'Data Gephart'!M29/1000</f>
        <v>0</v>
      </c>
      <c r="M28" s="15">
        <f>'Data Gephart'!N29/1000</f>
        <v>0</v>
      </c>
      <c r="N28" s="15">
        <f>'Data Gephart'!O29/1000</f>
        <v>0</v>
      </c>
      <c r="O28" s="15">
        <f>'Data Gephart'!L29/1000</f>
        <v>0</v>
      </c>
    </row>
    <row r="29" spans="1:15">
      <c r="A29" s="1" t="s">
        <v>537</v>
      </c>
      <c r="B29" s="1" t="s">
        <v>80</v>
      </c>
      <c r="C29" s="1" t="s">
        <v>0</v>
      </c>
      <c r="D29" s="1" t="s">
        <v>33</v>
      </c>
      <c r="E29" s="1" t="s">
        <v>34</v>
      </c>
      <c r="F29" s="15">
        <f>'Data Gephart'!K30/1000</f>
        <v>7.6290538036136502</v>
      </c>
      <c r="G29" s="34"/>
      <c r="L29" s="15">
        <f>'Data Gephart'!M30/1000</f>
        <v>0</v>
      </c>
      <c r="M29" s="15">
        <f>'Data Gephart'!N30/1000</f>
        <v>0</v>
      </c>
      <c r="N29" s="15">
        <f>'Data Gephart'!O30/1000</f>
        <v>0</v>
      </c>
      <c r="O29" s="15">
        <f>'Data Gephart'!L30/1000</f>
        <v>0</v>
      </c>
    </row>
    <row r="30" spans="1:15">
      <c r="A30" s="1" t="s">
        <v>538</v>
      </c>
      <c r="B30" s="1" t="s">
        <v>82</v>
      </c>
      <c r="C30" s="1" t="s">
        <v>0</v>
      </c>
      <c r="D30" s="1" t="s">
        <v>33</v>
      </c>
      <c r="E30" s="1" t="s">
        <v>34</v>
      </c>
      <c r="F30" s="15">
        <f>'Data Gephart'!K31/1000</f>
        <v>7.6290538036136502</v>
      </c>
      <c r="G30" s="1"/>
      <c r="L30" s="15">
        <f>'Data Gephart'!M31/1000</f>
        <v>0</v>
      </c>
      <c r="M30" s="15">
        <f>'Data Gephart'!N31/1000</f>
        <v>0</v>
      </c>
      <c r="N30" s="15">
        <f>'Data Gephart'!O31/1000</f>
        <v>0</v>
      </c>
      <c r="O30" s="15">
        <f>'Data Gephart'!L31/1000</f>
        <v>0</v>
      </c>
    </row>
    <row r="31" spans="1:15">
      <c r="A31" s="1" t="s">
        <v>539</v>
      </c>
      <c r="B31" s="1" t="s">
        <v>84</v>
      </c>
      <c r="C31" s="1" t="s">
        <v>0</v>
      </c>
      <c r="D31" s="1" t="s">
        <v>33</v>
      </c>
      <c r="E31" s="1" t="s">
        <v>34</v>
      </c>
      <c r="F31" s="15">
        <f>'Data Gephart'!K32/1000</f>
        <v>7.6290538036136502</v>
      </c>
      <c r="G31" s="1"/>
      <c r="L31" s="15">
        <f>'Data Gephart'!M32/1000</f>
        <v>0</v>
      </c>
      <c r="M31" s="15">
        <f>'Data Gephart'!N32/1000</f>
        <v>0</v>
      </c>
      <c r="N31" s="15">
        <f>'Data Gephart'!O32/1000</f>
        <v>0</v>
      </c>
      <c r="O31" s="15">
        <f>'Data Gephart'!L32/1000</f>
        <v>0</v>
      </c>
    </row>
    <row r="32" spans="1:15">
      <c r="A32" s="1" t="s">
        <v>540</v>
      </c>
      <c r="B32" s="1" t="s">
        <v>86</v>
      </c>
      <c r="C32" s="1" t="s">
        <v>0</v>
      </c>
      <c r="D32" s="1" t="s">
        <v>33</v>
      </c>
      <c r="E32" s="1" t="s">
        <v>34</v>
      </c>
      <c r="F32" s="15">
        <f>'Data Gephart'!K33/1000</f>
        <v>3.8779404484438902</v>
      </c>
      <c r="G32" s="1"/>
      <c r="L32" s="15">
        <f>'Data Gephart'!M33/1000</f>
        <v>0</v>
      </c>
      <c r="M32" s="15">
        <f>'Data Gephart'!N33/1000</f>
        <v>0</v>
      </c>
      <c r="N32" s="15">
        <f>'Data Gephart'!O33/1000</f>
        <v>0</v>
      </c>
      <c r="O32" s="15">
        <f>'Data Gephart'!L33/1000</f>
        <v>0</v>
      </c>
    </row>
    <row r="33" spans="1:15">
      <c r="A33" s="1" t="s">
        <v>541</v>
      </c>
      <c r="B33" s="1" t="s">
        <v>88</v>
      </c>
      <c r="C33" s="1" t="s">
        <v>0</v>
      </c>
      <c r="D33" s="1" t="s">
        <v>33</v>
      </c>
      <c r="E33" s="1" t="s">
        <v>34</v>
      </c>
      <c r="F33" s="15">
        <f>'Data Gephart'!K34/1000</f>
        <v>7.6290538036136502</v>
      </c>
      <c r="G33" s="1"/>
      <c r="L33" s="15">
        <f>'Data Gephart'!M34/1000</f>
        <v>0</v>
      </c>
      <c r="M33" s="15">
        <f>'Data Gephart'!N34/1000</f>
        <v>0</v>
      </c>
      <c r="N33" s="15">
        <f>'Data Gephart'!O34/1000</f>
        <v>0</v>
      </c>
      <c r="O33" s="15">
        <f>'Data Gephart'!L34/1000</f>
        <v>0</v>
      </c>
    </row>
    <row r="34" spans="1:15">
      <c r="A34" s="1" t="s">
        <v>542</v>
      </c>
      <c r="B34" s="1" t="s">
        <v>90</v>
      </c>
      <c r="C34" s="1" t="s">
        <v>0</v>
      </c>
      <c r="D34" s="1" t="s">
        <v>33</v>
      </c>
      <c r="E34" s="1" t="s">
        <v>34</v>
      </c>
      <c r="F34" s="15">
        <f>'Data Gephart'!K35/1000</f>
        <v>11.956739385425101</v>
      </c>
      <c r="G34" s="1"/>
      <c r="L34" s="15">
        <f>'Data Gephart'!M35/1000</f>
        <v>0</v>
      </c>
      <c r="M34" s="15">
        <f>'Data Gephart'!N35/1000</f>
        <v>0</v>
      </c>
      <c r="N34" s="15">
        <f>'Data Gephart'!O35/1000</f>
        <v>0</v>
      </c>
      <c r="O34" s="15">
        <f>'Data Gephart'!L35/1000</f>
        <v>0</v>
      </c>
    </row>
    <row r="35" spans="1:15">
      <c r="A35" s="1" t="s">
        <v>543</v>
      </c>
      <c r="B35" s="1" t="s">
        <v>92</v>
      </c>
      <c r="C35" s="1" t="s">
        <v>0</v>
      </c>
      <c r="D35" s="1" t="s">
        <v>33</v>
      </c>
      <c r="E35" s="1" t="s">
        <v>34</v>
      </c>
      <c r="F35" s="15">
        <f>'Data Gephart'!K36/1000</f>
        <v>19.4449515689038</v>
      </c>
      <c r="G35" s="1"/>
      <c r="L35" s="15">
        <f>'Data Gephart'!M36/1000</f>
        <v>0</v>
      </c>
      <c r="M35" s="15">
        <f>'Data Gephart'!N36/1000</f>
        <v>0</v>
      </c>
      <c r="N35" s="15">
        <f>'Data Gephart'!O36/1000</f>
        <v>0</v>
      </c>
      <c r="O35" s="15">
        <f>'Data Gephart'!L36/1000</f>
        <v>0</v>
      </c>
    </row>
    <row r="36" spans="1:15">
      <c r="A36" s="1" t="s">
        <v>544</v>
      </c>
      <c r="B36" s="1" t="s">
        <v>94</v>
      </c>
      <c r="C36" s="1" t="s">
        <v>0</v>
      </c>
      <c r="D36" s="1" t="s">
        <v>33</v>
      </c>
      <c r="E36" s="1" t="s">
        <v>34</v>
      </c>
      <c r="F36" s="15">
        <f>'Data Gephart'!K37/1000</f>
        <v>19.4449515689038</v>
      </c>
      <c r="G36" s="1"/>
      <c r="L36" s="15">
        <f>'Data Gephart'!M37/1000</f>
        <v>0</v>
      </c>
      <c r="M36" s="15">
        <f>'Data Gephart'!N37/1000</f>
        <v>0</v>
      </c>
      <c r="N36" s="15">
        <f>'Data Gephart'!O37/1000</f>
        <v>0</v>
      </c>
      <c r="O36" s="15">
        <f>'Data Gephart'!L37/1000</f>
        <v>0</v>
      </c>
    </row>
    <row r="37" spans="1:15">
      <c r="A37" s="1" t="s">
        <v>545</v>
      </c>
      <c r="B37" s="1" t="s">
        <v>96</v>
      </c>
      <c r="C37" s="1" t="s">
        <v>0</v>
      </c>
      <c r="D37" s="1" t="s">
        <v>33</v>
      </c>
      <c r="E37" s="1" t="s">
        <v>34</v>
      </c>
      <c r="F37" s="15">
        <f>'Data Gephart'!K38/1000</f>
        <v>9.4280156433932305</v>
      </c>
      <c r="G37" s="8"/>
      <c r="H37" s="8"/>
      <c r="I37" s="8"/>
      <c r="J37" s="8"/>
      <c r="K37" s="8"/>
      <c r="L37" s="15">
        <f>'Data Gephart'!M38/1000</f>
        <v>12.960917306239601</v>
      </c>
      <c r="M37" s="15">
        <f>'Data Gephart'!N38/1000</f>
        <v>0.12303703406510201</v>
      </c>
      <c r="N37" s="15">
        <f>'Data Gephart'!O38/1000</f>
        <v>2.39841364541135E-2</v>
      </c>
      <c r="O37" s="15">
        <f>'Data Gephart'!L38/1000</f>
        <v>0.21916533367552099</v>
      </c>
    </row>
    <row r="38" spans="1:15">
      <c r="A38" s="1" t="s">
        <v>546</v>
      </c>
      <c r="B38" s="1" t="s">
        <v>98</v>
      </c>
      <c r="C38" s="1" t="s">
        <v>0</v>
      </c>
      <c r="D38" s="1" t="s">
        <v>33</v>
      </c>
      <c r="E38" s="1" t="s">
        <v>34</v>
      </c>
      <c r="F38" s="15">
        <f>'Data Gephart'!K39/1000</f>
        <v>9.4280156433932305</v>
      </c>
      <c r="G38" s="8"/>
      <c r="H38" s="8"/>
      <c r="I38" s="8"/>
      <c r="J38" s="8"/>
      <c r="K38" s="8"/>
      <c r="L38" s="15">
        <f>'Data Gephart'!M39/1000</f>
        <v>12.960917306239601</v>
      </c>
      <c r="M38" s="15">
        <f>'Data Gephart'!N39/1000</f>
        <v>0.12303703406510201</v>
      </c>
      <c r="N38" s="15">
        <f>'Data Gephart'!O39/1000</f>
        <v>2.39841364541135E-2</v>
      </c>
      <c r="O38" s="15">
        <f>'Data Gephart'!L39/1000</f>
        <v>0.21916533367552099</v>
      </c>
    </row>
    <row r="39" spans="1:15">
      <c r="A39" s="1" t="s">
        <v>547</v>
      </c>
      <c r="B39" s="1" t="s">
        <v>100</v>
      </c>
      <c r="C39" s="1" t="s">
        <v>0</v>
      </c>
      <c r="D39" s="1" t="s">
        <v>33</v>
      </c>
      <c r="E39" s="1" t="s">
        <v>34</v>
      </c>
      <c r="F39" s="15">
        <f>'Data Gephart'!K40/1000</f>
        <v>19.4449515689038</v>
      </c>
      <c r="G39" s="1"/>
      <c r="L39" s="15">
        <f>'Data Gephart'!M40/1000</f>
        <v>0</v>
      </c>
      <c r="M39" s="15">
        <f>'Data Gephart'!N40/1000</f>
        <v>0</v>
      </c>
      <c r="N39" s="15">
        <f>'Data Gephart'!O40/1000</f>
        <v>0</v>
      </c>
      <c r="O39" s="15">
        <f>'Data Gephart'!L40/1000</f>
        <v>0</v>
      </c>
    </row>
    <row r="40" spans="1:15">
      <c r="A40" s="1" t="s">
        <v>548</v>
      </c>
      <c r="B40" s="1" t="s">
        <v>102</v>
      </c>
      <c r="C40" s="1" t="s">
        <v>0</v>
      </c>
      <c r="D40" s="1" t="s">
        <v>33</v>
      </c>
      <c r="E40" s="1" t="s">
        <v>34</v>
      </c>
      <c r="F40" s="15">
        <f>'Data Gephart'!K41/1000</f>
        <v>11.956739385425101</v>
      </c>
      <c r="G40" s="1"/>
      <c r="L40" s="15">
        <f>'Data Gephart'!M41/1000</f>
        <v>0</v>
      </c>
      <c r="M40" s="15">
        <f>'Data Gephart'!N41/1000</f>
        <v>0</v>
      </c>
      <c r="N40" s="15">
        <f>'Data Gephart'!O41/1000</f>
        <v>0</v>
      </c>
      <c r="O40" s="15">
        <f>'Data Gephart'!L41/1000</f>
        <v>0</v>
      </c>
    </row>
    <row r="41" spans="1:15">
      <c r="A41" s="1" t="s">
        <v>549</v>
      </c>
      <c r="B41" s="1" t="s">
        <v>104</v>
      </c>
      <c r="C41" s="1" t="s">
        <v>0</v>
      </c>
      <c r="D41" s="1" t="s">
        <v>33</v>
      </c>
      <c r="E41" s="1" t="s">
        <v>34</v>
      </c>
      <c r="F41" s="15">
        <f>'Data Gephart'!K42/1000</f>
        <v>8.1849503035114708</v>
      </c>
      <c r="G41" s="1"/>
      <c r="L41" s="15">
        <f>'Data Gephart'!M42/1000</f>
        <v>0</v>
      </c>
      <c r="M41" s="15">
        <f>'Data Gephart'!N42/1000</f>
        <v>0</v>
      </c>
      <c r="N41" s="15">
        <f>'Data Gephart'!O42/1000</f>
        <v>0</v>
      </c>
      <c r="O41" s="15">
        <f>'Data Gephart'!L42/1000</f>
        <v>0</v>
      </c>
    </row>
    <row r="42" spans="1:15">
      <c r="A42" s="1" t="s">
        <v>550</v>
      </c>
      <c r="B42" s="1" t="s">
        <v>106</v>
      </c>
      <c r="C42" s="1" t="s">
        <v>0</v>
      </c>
      <c r="D42" s="1" t="s">
        <v>33</v>
      </c>
      <c r="E42" s="1" t="s">
        <v>34</v>
      </c>
      <c r="F42" s="15">
        <f>'Data Gephart'!K43/1000</f>
        <v>8.1849503035114708</v>
      </c>
      <c r="G42" s="1"/>
      <c r="L42" s="15">
        <f>'Data Gephart'!M43/1000</f>
        <v>0</v>
      </c>
      <c r="M42" s="15">
        <f>'Data Gephart'!N43/1000</f>
        <v>0</v>
      </c>
      <c r="N42" s="15">
        <f>'Data Gephart'!O43/1000</f>
        <v>0</v>
      </c>
      <c r="O42" s="15">
        <f>'Data Gephart'!L43/1000</f>
        <v>0</v>
      </c>
    </row>
    <row r="43" spans="1:15">
      <c r="A43" s="1" t="s">
        <v>551</v>
      </c>
      <c r="B43" s="1" t="s">
        <v>108</v>
      </c>
      <c r="C43" s="1" t="s">
        <v>0</v>
      </c>
      <c r="D43" s="1" t="s">
        <v>33</v>
      </c>
      <c r="E43" s="1" t="s">
        <v>34</v>
      </c>
      <c r="F43" s="15">
        <f>'Data Gephart'!K44/1000</f>
        <v>8.1849503035114708</v>
      </c>
      <c r="G43" s="1"/>
      <c r="L43" s="15">
        <f>'Data Gephart'!M44/1000</f>
        <v>0</v>
      </c>
      <c r="M43" s="15">
        <f>'Data Gephart'!N44/1000</f>
        <v>0</v>
      </c>
      <c r="N43" s="15">
        <f>'Data Gephart'!O44/1000</f>
        <v>0</v>
      </c>
      <c r="O43" s="15">
        <f>'Data Gephart'!L44/1000</f>
        <v>0</v>
      </c>
    </row>
    <row r="44" spans="1:15">
      <c r="A44" s="1" t="s">
        <v>552</v>
      </c>
      <c r="B44" s="1" t="s">
        <v>110</v>
      </c>
      <c r="C44" s="1" t="s">
        <v>0</v>
      </c>
      <c r="D44" s="1" t="s">
        <v>33</v>
      </c>
      <c r="E44" s="1" t="s">
        <v>34</v>
      </c>
      <c r="F44" s="15">
        <f>'Data Gephart'!K45/1000</f>
        <v>11.400049394881</v>
      </c>
      <c r="G44" s="1"/>
      <c r="L44" s="15">
        <f>'Data Gephart'!M45/1000</f>
        <v>0</v>
      </c>
      <c r="M44" s="15">
        <f>'Data Gephart'!N45/1000</f>
        <v>0</v>
      </c>
      <c r="N44" s="15">
        <f>'Data Gephart'!O45/1000</f>
        <v>0</v>
      </c>
      <c r="O44" s="15">
        <f>'Data Gephart'!L45/1000</f>
        <v>0</v>
      </c>
    </row>
    <row r="45" spans="1:15">
      <c r="A45" s="1" t="s">
        <v>553</v>
      </c>
      <c r="B45" s="1" t="s">
        <v>112</v>
      </c>
      <c r="C45" s="1" t="s">
        <v>0</v>
      </c>
      <c r="D45" s="1" t="s">
        <v>33</v>
      </c>
      <c r="E45" s="1" t="s">
        <v>34</v>
      </c>
      <c r="F45" s="15">
        <f>'Data Gephart'!K46/1000</f>
        <v>11.400049394881</v>
      </c>
      <c r="G45" s="1"/>
      <c r="L45" s="15">
        <f>'Data Gephart'!M46/1000</f>
        <v>0</v>
      </c>
      <c r="M45" s="15">
        <f>'Data Gephart'!N46/1000</f>
        <v>0</v>
      </c>
      <c r="N45" s="15">
        <f>'Data Gephart'!O46/1000</f>
        <v>0</v>
      </c>
      <c r="O45" s="15">
        <f>'Data Gephart'!L46/1000</f>
        <v>0</v>
      </c>
    </row>
    <row r="46" spans="1:15">
      <c r="A46" s="1" t="s">
        <v>554</v>
      </c>
      <c r="B46" s="1" t="s">
        <v>114</v>
      </c>
      <c r="C46" s="1" t="s">
        <v>0</v>
      </c>
      <c r="D46" s="1" t="s">
        <v>33</v>
      </c>
      <c r="E46" s="1" t="s">
        <v>34</v>
      </c>
      <c r="F46" s="15">
        <f>'Data Gephart'!K47/1000</f>
        <v>1.41376412973458</v>
      </c>
      <c r="G46" s="13"/>
      <c r="H46" s="7"/>
      <c r="I46" s="8"/>
      <c r="J46" s="8"/>
      <c r="K46" s="8"/>
      <c r="L46" s="15">
        <f>'Data Gephart'!M47/1000</f>
        <v>0</v>
      </c>
      <c r="M46" s="15">
        <f>'Data Gephart'!N47/1000</f>
        <v>-0.12982685065944399</v>
      </c>
      <c r="N46" s="15">
        <f>'Data Gephart'!O47/1000</f>
        <v>-2.4279077174621001E-2</v>
      </c>
      <c r="O46" s="15">
        <f>'Data Gephart'!L47/1000</f>
        <v>0</v>
      </c>
    </row>
    <row r="47" spans="1:15">
      <c r="A47" s="1" t="s">
        <v>555</v>
      </c>
      <c r="B47" s="1" t="s">
        <v>116</v>
      </c>
      <c r="C47" s="1" t="s">
        <v>0</v>
      </c>
      <c r="D47" s="1" t="s">
        <v>33</v>
      </c>
      <c r="E47" s="1" t="s">
        <v>34</v>
      </c>
      <c r="F47" s="15">
        <f>'Data Gephart'!K48/1000</f>
        <v>1.41376412973458</v>
      </c>
      <c r="G47" s="13"/>
      <c r="H47" s="7"/>
      <c r="I47" s="8"/>
      <c r="J47" s="8"/>
      <c r="K47" s="8"/>
      <c r="L47" s="15">
        <f>'Data Gephart'!M48/1000</f>
        <v>0</v>
      </c>
      <c r="M47" s="15">
        <f>'Data Gephart'!N48/1000</f>
        <v>-0.12982685065944399</v>
      </c>
      <c r="N47" s="15">
        <f>'Data Gephart'!O48/1000</f>
        <v>-2.4279077174621001E-2</v>
      </c>
      <c r="O47" s="15">
        <f>'Data Gephart'!L48/1000</f>
        <v>0</v>
      </c>
    </row>
    <row r="48" spans="1:15">
      <c r="A48" s="1" t="s">
        <v>556</v>
      </c>
      <c r="B48" s="1" t="s">
        <v>118</v>
      </c>
      <c r="C48" s="1" t="s">
        <v>0</v>
      </c>
      <c r="D48" s="1" t="s">
        <v>33</v>
      </c>
      <c r="E48" s="1" t="s">
        <v>34</v>
      </c>
      <c r="F48" s="15">
        <f>'Data Gephart'!K49/1000</f>
        <v>11.400049394881</v>
      </c>
      <c r="G48" s="1"/>
      <c r="L48" s="15">
        <f>'Data Gephart'!M49/1000</f>
        <v>0</v>
      </c>
      <c r="M48" s="15">
        <f>'Data Gephart'!N49/1000</f>
        <v>0</v>
      </c>
      <c r="N48" s="15">
        <f>'Data Gephart'!O49/1000</f>
        <v>0</v>
      </c>
      <c r="O48" s="15">
        <f>'Data Gephart'!L49/1000</f>
        <v>0</v>
      </c>
    </row>
    <row r="49" spans="1:20">
      <c r="A49" s="1" t="s">
        <v>557</v>
      </c>
      <c r="B49" s="1" t="s">
        <v>120</v>
      </c>
      <c r="C49" s="1" t="s">
        <v>0</v>
      </c>
      <c r="D49" s="1" t="s">
        <v>33</v>
      </c>
      <c r="E49" s="1" t="s">
        <v>34</v>
      </c>
      <c r="F49" s="15">
        <f>'Data Gephart'!K50/1000</f>
        <v>11.400049394881</v>
      </c>
      <c r="G49" s="1"/>
      <c r="L49" s="15">
        <f>'Data Gephart'!M50/1000</f>
        <v>0</v>
      </c>
      <c r="M49" s="15">
        <f>'Data Gephart'!N50/1000</f>
        <v>0</v>
      </c>
      <c r="N49" s="15">
        <f>'Data Gephart'!O50/1000</f>
        <v>0</v>
      </c>
      <c r="O49" s="15">
        <f>'Data Gephart'!L50/1000</f>
        <v>0</v>
      </c>
    </row>
    <row r="50" spans="1:20">
      <c r="A50" s="1" t="s">
        <v>558</v>
      </c>
      <c r="B50" s="11" t="s">
        <v>122</v>
      </c>
      <c r="C50" s="1" t="s">
        <v>0</v>
      </c>
      <c r="D50" s="1" t="s">
        <v>33</v>
      </c>
      <c r="E50" s="1" t="s">
        <v>34</v>
      </c>
      <c r="F50" s="15">
        <f>'Data Gephart'!K51/1000</f>
        <v>0</v>
      </c>
      <c r="G50" s="1"/>
      <c r="L50" s="15">
        <f>'Data Gephart'!M51/1000</f>
        <v>0</v>
      </c>
      <c r="M50" s="15">
        <f>'Data Gephart'!N51/1000</f>
        <v>0</v>
      </c>
      <c r="N50" s="15">
        <f>'Data Gephart'!O51/1000</f>
        <v>0</v>
      </c>
      <c r="O50" s="15">
        <f>'Data Gephart'!L51/1000</f>
        <v>0</v>
      </c>
    </row>
    <row r="51" spans="1:20">
      <c r="A51" s="1" t="s">
        <v>559</v>
      </c>
      <c r="B51" s="1" t="s">
        <v>124</v>
      </c>
      <c r="C51" s="1" t="s">
        <v>0</v>
      </c>
      <c r="D51" s="1" t="s">
        <v>33</v>
      </c>
      <c r="E51" s="1" t="s">
        <v>34</v>
      </c>
      <c r="F51" s="15">
        <f>'Data Gephart'!K52/1000</f>
        <v>11.400049394881</v>
      </c>
      <c r="G51" s="1"/>
      <c r="L51" s="15">
        <f>'Data Gephart'!M52/1000</f>
        <v>0</v>
      </c>
      <c r="M51" s="15">
        <f>'Data Gephart'!N52/1000</f>
        <v>0</v>
      </c>
      <c r="N51" s="15">
        <f>'Data Gephart'!O52/1000</f>
        <v>0</v>
      </c>
      <c r="O51" s="15">
        <f>'Data Gephart'!L52/1000</f>
        <v>0</v>
      </c>
    </row>
    <row r="52" spans="1:20">
      <c r="A52" s="1" t="s">
        <v>560</v>
      </c>
      <c r="B52" s="1" t="s">
        <v>126</v>
      </c>
      <c r="C52" s="1" t="s">
        <v>0</v>
      </c>
      <c r="D52" s="1" t="s">
        <v>33</v>
      </c>
      <c r="E52" s="1" t="s">
        <v>34</v>
      </c>
      <c r="F52" s="15">
        <f>'Data Gephart'!K53/1000</f>
        <v>5.1009859729812401</v>
      </c>
      <c r="G52" s="8"/>
      <c r="H52" s="8"/>
      <c r="I52" s="8"/>
      <c r="J52" s="8"/>
      <c r="K52" s="8"/>
      <c r="L52" s="15">
        <f>'Data Gephart'!M53/1000</f>
        <v>4.6524870692913298</v>
      </c>
      <c r="M52" s="15">
        <f>'Data Gephart'!N53/1000</f>
        <v>0.110556508572683</v>
      </c>
      <c r="N52" s="15">
        <f>'Data Gephart'!O53/1000</f>
        <v>2.66196911550853E-2</v>
      </c>
      <c r="O52" s="15">
        <f>'Data Gephart'!L53/1000</f>
        <v>0.15571147171830699</v>
      </c>
      <c r="T52">
        <v>0.56000000000000005</v>
      </c>
    </row>
    <row r="53" spans="1:20">
      <c r="A53" s="1" t="s">
        <v>561</v>
      </c>
      <c r="B53" s="1" t="s">
        <v>128</v>
      </c>
      <c r="C53" s="1" t="s">
        <v>0</v>
      </c>
      <c r="D53" s="1" t="s">
        <v>33</v>
      </c>
      <c r="E53" s="1" t="s">
        <v>34</v>
      </c>
      <c r="F53" s="15">
        <f>'Data Gephart'!K54/1000</f>
        <v>5.4095471784401798</v>
      </c>
      <c r="G53" s="7"/>
      <c r="H53" s="7"/>
      <c r="I53" s="7"/>
      <c r="J53" s="7"/>
      <c r="K53" s="7"/>
      <c r="L53" s="15">
        <f>'Data Gephart'!M54/1000</f>
        <v>3.8139923291036197</v>
      </c>
      <c r="M53" s="15">
        <f>'Data Gephart'!N54/1000</f>
        <v>9.8889039995895101E-2</v>
      </c>
      <c r="N53" s="15">
        <f>'Data Gephart'!O54/1000</f>
        <v>2.32195670416817E-2</v>
      </c>
      <c r="O53" s="15">
        <f>'Data Gephart'!L54/1000</f>
        <v>0.11258050797444701</v>
      </c>
    </row>
    <row r="54" spans="1:20">
      <c r="A54" s="1" t="s">
        <v>562</v>
      </c>
      <c r="B54" s="1" t="s">
        <v>130</v>
      </c>
      <c r="C54" s="1" t="s">
        <v>0</v>
      </c>
      <c r="D54" s="1" t="s">
        <v>33</v>
      </c>
      <c r="E54" s="1" t="s">
        <v>34</v>
      </c>
      <c r="F54" s="15">
        <f>'Data Gephart'!K55/1000</f>
        <v>7.7744911031047508</v>
      </c>
      <c r="G54" s="8"/>
      <c r="H54" s="8"/>
      <c r="I54" s="8"/>
      <c r="J54" s="8"/>
      <c r="K54" s="8"/>
      <c r="L54" s="15">
        <f>'Data Gephart'!M55/1000</f>
        <v>10.967156881290901</v>
      </c>
      <c r="M54" s="15">
        <f>'Data Gephart'!N55/1000</f>
        <v>0.13288169731732799</v>
      </c>
      <c r="N54" s="15">
        <f>'Data Gephart'!O55/1000</f>
        <v>2.08166764194068E-2</v>
      </c>
      <c r="O54" s="15">
        <f>'Data Gephart'!L55/1000</f>
        <v>2.0944458003574602</v>
      </c>
    </row>
    <row r="55" spans="1:20">
      <c r="A55" s="1" t="s">
        <v>563</v>
      </c>
      <c r="B55" s="1" t="s">
        <v>132</v>
      </c>
      <c r="C55" s="1" t="s">
        <v>0</v>
      </c>
      <c r="D55" s="1" t="s">
        <v>33</v>
      </c>
      <c r="E55" s="1" t="s">
        <v>34</v>
      </c>
      <c r="F55" s="15">
        <f>'Data Gephart'!K56/1000</f>
        <v>20.3133144402859</v>
      </c>
      <c r="H55" s="3"/>
      <c r="L55" s="15">
        <f>'Data Gephart'!M56/1000</f>
        <v>0</v>
      </c>
      <c r="M55" s="15">
        <f>'Data Gephart'!N56/1000</f>
        <v>0</v>
      </c>
      <c r="N55" s="15">
        <f>'Data Gephart'!O56/1000</f>
        <v>0</v>
      </c>
      <c r="O55" s="15">
        <f>'Data Gephart'!L56/1000</f>
        <v>0</v>
      </c>
    </row>
    <row r="56" spans="1:20">
      <c r="A56" s="1" t="s">
        <v>564</v>
      </c>
      <c r="B56" s="1" t="s">
        <v>134</v>
      </c>
      <c r="C56" s="1" t="s">
        <v>0</v>
      </c>
      <c r="D56" s="1" t="s">
        <v>33</v>
      </c>
      <c r="E56" s="1" t="s">
        <v>34</v>
      </c>
      <c r="F56" s="15">
        <f>'Data Gephart'!K57/1000</f>
        <v>5.1250387659132004</v>
      </c>
      <c r="G56" s="1"/>
      <c r="H56" s="3"/>
      <c r="L56" s="15">
        <f>'Data Gephart'!M57/1000</f>
        <v>0</v>
      </c>
      <c r="M56" s="15">
        <f>'Data Gephart'!N57/1000</f>
        <v>0</v>
      </c>
      <c r="N56" s="15">
        <f>'Data Gephart'!O57/1000</f>
        <v>0</v>
      </c>
      <c r="O56" s="15">
        <f>'Data Gephart'!L57/1000</f>
        <v>0</v>
      </c>
    </row>
    <row r="57" spans="1:20">
      <c r="A57" s="1" t="s">
        <v>565</v>
      </c>
      <c r="B57" s="1" t="s">
        <v>136</v>
      </c>
      <c r="C57" s="1" t="s">
        <v>0</v>
      </c>
      <c r="D57" s="1" t="s">
        <v>33</v>
      </c>
      <c r="E57" s="1" t="s">
        <v>34</v>
      </c>
      <c r="F57" s="15">
        <f>'Data Gephart'!K58/1000</f>
        <v>5.1250387659132004</v>
      </c>
      <c r="G57" s="1"/>
      <c r="H57" s="3"/>
      <c r="L57" s="15">
        <f>'Data Gephart'!M58/1000</f>
        <v>0</v>
      </c>
      <c r="M57" s="15">
        <f>'Data Gephart'!N58/1000</f>
        <v>0</v>
      </c>
      <c r="N57" s="15">
        <f>'Data Gephart'!O58/1000</f>
        <v>0</v>
      </c>
      <c r="O57" s="15">
        <f>'Data Gephart'!L58/1000</f>
        <v>0</v>
      </c>
    </row>
    <row r="58" spans="1:20">
      <c r="A58" s="1" t="s">
        <v>566</v>
      </c>
      <c r="B58" s="1" t="s">
        <v>138</v>
      </c>
      <c r="C58" s="1" t="s">
        <v>0</v>
      </c>
      <c r="D58" s="1" t="s">
        <v>33</v>
      </c>
      <c r="E58" s="1" t="s">
        <v>34</v>
      </c>
      <c r="F58" s="15">
        <f>'Data Gephart'!K59/1000</f>
        <v>5.1250387659132004</v>
      </c>
      <c r="G58" s="1"/>
      <c r="H58" s="3"/>
      <c r="L58" s="15">
        <f>'Data Gephart'!M59/1000</f>
        <v>0</v>
      </c>
      <c r="M58" s="15">
        <f>'Data Gephart'!N59/1000</f>
        <v>0</v>
      </c>
      <c r="N58" s="15">
        <f>'Data Gephart'!O59/1000</f>
        <v>0</v>
      </c>
      <c r="O58" s="15">
        <f>'Data Gephart'!L59/1000</f>
        <v>0</v>
      </c>
    </row>
    <row r="59" spans="1:20">
      <c r="A59" s="1" t="s">
        <v>567</v>
      </c>
      <c r="B59" s="1" t="s">
        <v>140</v>
      </c>
      <c r="C59" s="1" t="s">
        <v>0</v>
      </c>
      <c r="D59" s="1" t="s">
        <v>33</v>
      </c>
      <c r="E59" s="1" t="s">
        <v>34</v>
      </c>
      <c r="F59" s="15">
        <f>'Data Gephart'!K60/1000</f>
        <v>5.1250387659132004</v>
      </c>
      <c r="G59" s="1"/>
      <c r="H59" s="3"/>
      <c r="L59" s="15">
        <f>'Data Gephart'!M60/1000</f>
        <v>0</v>
      </c>
      <c r="M59" s="15">
        <f>'Data Gephart'!N60/1000</f>
        <v>0</v>
      </c>
      <c r="N59" s="15">
        <f>'Data Gephart'!O60/1000</f>
        <v>0</v>
      </c>
      <c r="O59" s="15">
        <f>'Data Gephart'!L60/1000</f>
        <v>0</v>
      </c>
    </row>
    <row r="60" spans="1:20">
      <c r="A60" s="1" t="s">
        <v>568</v>
      </c>
      <c r="B60" s="1" t="s">
        <v>142</v>
      </c>
      <c r="C60" s="1" t="s">
        <v>0</v>
      </c>
      <c r="D60" s="1" t="s">
        <v>33</v>
      </c>
      <c r="E60" s="1" t="s">
        <v>34</v>
      </c>
      <c r="F60" s="15">
        <f>'Data Gephart'!K61/1000</f>
        <v>5.1250387659132004</v>
      </c>
      <c r="G60" s="1"/>
      <c r="H60" s="3"/>
      <c r="L60" s="15">
        <f>'Data Gephart'!M61/1000</f>
        <v>0</v>
      </c>
      <c r="M60" s="15">
        <f>'Data Gephart'!N61/1000</f>
        <v>0</v>
      </c>
      <c r="N60" s="15">
        <f>'Data Gephart'!O61/1000</f>
        <v>0</v>
      </c>
      <c r="O60" s="15">
        <f>'Data Gephart'!L61/1000</f>
        <v>0</v>
      </c>
    </row>
    <row r="61" spans="1:20">
      <c r="A61" s="1" t="s">
        <v>569</v>
      </c>
      <c r="B61" s="11" t="s">
        <v>144</v>
      </c>
      <c r="C61" s="1" t="s">
        <v>0</v>
      </c>
      <c r="D61" s="1" t="s">
        <v>33</v>
      </c>
      <c r="E61" s="1" t="s">
        <v>34</v>
      </c>
      <c r="F61" s="15">
        <f>'Data Gephart'!K62/1000</f>
        <v>0</v>
      </c>
      <c r="G61" s="1"/>
      <c r="H61" s="3"/>
      <c r="L61" s="15">
        <f>'Data Gephart'!M62/1000</f>
        <v>0</v>
      </c>
      <c r="M61" s="15">
        <f>'Data Gephart'!N62/1000</f>
        <v>0</v>
      </c>
      <c r="N61" s="15">
        <f>'Data Gephart'!O62/1000</f>
        <v>0</v>
      </c>
      <c r="O61" s="15">
        <f>'Data Gephart'!L62/1000</f>
        <v>0</v>
      </c>
    </row>
    <row r="62" spans="1:20">
      <c r="L62" s="15"/>
      <c r="M62" s="15"/>
      <c r="N62" s="15"/>
      <c r="O62" s="15"/>
    </row>
    <row r="63" spans="1:20">
      <c r="L63" s="15"/>
      <c r="M63" s="15"/>
      <c r="N63" s="15"/>
      <c r="O63" s="15"/>
    </row>
  </sheetData>
  <phoneticPr fontId="1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DBFB2-7788-4131-B24D-272055C09CAA}">
  <dimension ref="A2:R108"/>
  <sheetViews>
    <sheetView workbookViewId="0">
      <selection activeCell="F13" sqref="F13"/>
    </sheetView>
  </sheetViews>
  <sheetFormatPr defaultRowHeight="14.4"/>
  <cols>
    <col min="2" max="2" width="4.6640625" customWidth="1"/>
    <col min="3" max="3" width="22.109375" customWidth="1"/>
    <col min="4" max="4" width="18.6640625" customWidth="1"/>
    <col min="6" max="6" width="18.5546875" customWidth="1"/>
    <col min="7" max="7" width="32.6640625" customWidth="1"/>
    <col min="8" max="8" width="8.88671875" style="44"/>
    <col min="10" max="10" width="14" customWidth="1"/>
    <col min="11" max="11" width="19.88671875" customWidth="1"/>
    <col min="15" max="15" width="18.33203125" customWidth="1"/>
    <col min="16" max="16" width="23.88671875" customWidth="1"/>
    <col min="17" max="17" width="21.33203125" customWidth="1"/>
  </cols>
  <sheetData>
    <row r="2" spans="1:18" ht="35.4" customHeight="1">
      <c r="A2" s="38" t="s">
        <v>145</v>
      </c>
      <c r="E2" s="38" t="s">
        <v>146</v>
      </c>
      <c r="H2" s="42" t="s">
        <v>147</v>
      </c>
      <c r="N2" s="5" t="s">
        <v>148</v>
      </c>
      <c r="O2" s="2" t="s">
        <v>149</v>
      </c>
      <c r="P2" s="2" t="s">
        <v>150</v>
      </c>
      <c r="Q2" s="2" t="s">
        <v>151</v>
      </c>
      <c r="R2" s="2" t="s">
        <v>152</v>
      </c>
    </row>
    <row r="3" spans="1:18">
      <c r="A3">
        <v>4418</v>
      </c>
      <c r="B3" t="s">
        <v>153</v>
      </c>
      <c r="C3" t="s">
        <v>136</v>
      </c>
      <c r="D3" t="s">
        <v>154</v>
      </c>
      <c r="F3" s="1" t="s">
        <v>155</v>
      </c>
      <c r="G3" s="1" t="s">
        <v>136</v>
      </c>
      <c r="H3" s="43" t="s">
        <v>135</v>
      </c>
      <c r="I3" s="1" t="s">
        <v>136</v>
      </c>
      <c r="J3" s="1" t="s">
        <v>156</v>
      </c>
      <c r="K3" s="1" t="s">
        <v>157</v>
      </c>
      <c r="L3" s="1" t="s">
        <v>158</v>
      </c>
      <c r="N3" s="1" t="s">
        <v>31</v>
      </c>
      <c r="O3" s="1" t="s">
        <v>32</v>
      </c>
      <c r="P3" s="1" t="s">
        <v>159</v>
      </c>
      <c r="Q3" s="1" t="s">
        <v>160</v>
      </c>
      <c r="R3" s="1" t="s">
        <v>158</v>
      </c>
    </row>
    <row r="4" spans="1:18">
      <c r="A4">
        <v>4416</v>
      </c>
      <c r="B4" t="s">
        <v>153</v>
      </c>
      <c r="C4" s="36" t="s">
        <v>161</v>
      </c>
      <c r="D4" t="s">
        <v>162</v>
      </c>
      <c r="F4" s="1" t="s">
        <v>163</v>
      </c>
      <c r="G4" s="1" t="s">
        <v>164</v>
      </c>
      <c r="H4" s="44" t="s">
        <v>133</v>
      </c>
      <c r="J4" t="s">
        <v>156</v>
      </c>
      <c r="K4" t="s">
        <v>157</v>
      </c>
      <c r="L4" t="s">
        <v>158</v>
      </c>
      <c r="N4" s="1" t="s">
        <v>37</v>
      </c>
      <c r="O4" s="1" t="s">
        <v>38</v>
      </c>
      <c r="P4" s="1" t="s">
        <v>159</v>
      </c>
      <c r="Q4" s="1" t="s">
        <v>160</v>
      </c>
      <c r="R4" s="1" t="s">
        <v>158</v>
      </c>
    </row>
    <row r="5" spans="1:18">
      <c r="A5">
        <v>3872</v>
      </c>
      <c r="B5" t="s">
        <v>153</v>
      </c>
      <c r="C5" s="36" t="s">
        <v>165</v>
      </c>
      <c r="D5" t="s">
        <v>166</v>
      </c>
      <c r="E5" t="s">
        <v>167</v>
      </c>
      <c r="F5" s="1" t="s">
        <v>168</v>
      </c>
      <c r="G5" s="1" t="s">
        <v>169</v>
      </c>
      <c r="H5" s="45" t="s">
        <v>167</v>
      </c>
      <c r="K5" t="s">
        <v>170</v>
      </c>
      <c r="L5" t="s">
        <v>171</v>
      </c>
      <c r="N5" s="1" t="s">
        <v>39</v>
      </c>
      <c r="O5" s="1" t="s">
        <v>40</v>
      </c>
      <c r="P5" s="1" t="s">
        <v>159</v>
      </c>
      <c r="Q5" s="1" t="s">
        <v>160</v>
      </c>
      <c r="R5" s="1" t="s">
        <v>158</v>
      </c>
    </row>
    <row r="6" spans="1:18">
      <c r="A6">
        <v>4234</v>
      </c>
      <c r="B6" t="s">
        <v>153</v>
      </c>
      <c r="C6" s="36" t="s">
        <v>172</v>
      </c>
      <c r="D6" t="s">
        <v>173</v>
      </c>
      <c r="E6" t="s">
        <v>167</v>
      </c>
      <c r="F6" s="1" t="s">
        <v>168</v>
      </c>
      <c r="G6" s="1" t="s">
        <v>169</v>
      </c>
      <c r="H6" s="45" t="s">
        <v>167</v>
      </c>
      <c r="K6" t="s">
        <v>170</v>
      </c>
      <c r="L6" t="s">
        <v>171</v>
      </c>
      <c r="N6" s="1" t="s">
        <v>41</v>
      </c>
      <c r="O6" s="1" t="s">
        <v>42</v>
      </c>
      <c r="P6" s="1" t="s">
        <v>159</v>
      </c>
      <c r="Q6" s="1" t="s">
        <v>160</v>
      </c>
      <c r="R6" s="1" t="s">
        <v>158</v>
      </c>
    </row>
    <row r="7" spans="1:18">
      <c r="A7">
        <v>4710</v>
      </c>
      <c r="B7" t="s">
        <v>153</v>
      </c>
      <c r="C7" s="36" t="s">
        <v>174</v>
      </c>
      <c r="D7" t="s">
        <v>175</v>
      </c>
      <c r="F7" s="1" t="s">
        <v>176</v>
      </c>
      <c r="G7" s="1" t="s">
        <v>177</v>
      </c>
      <c r="H7" s="44" t="s">
        <v>41</v>
      </c>
      <c r="K7" t="s">
        <v>160</v>
      </c>
      <c r="L7" t="s">
        <v>158</v>
      </c>
      <c r="N7" s="1" t="s">
        <v>43</v>
      </c>
      <c r="O7" s="1" t="s">
        <v>44</v>
      </c>
      <c r="P7" s="1" t="s">
        <v>178</v>
      </c>
      <c r="Q7" s="1" t="s">
        <v>179</v>
      </c>
      <c r="R7" s="1" t="s">
        <v>171</v>
      </c>
    </row>
    <row r="8" spans="1:18">
      <c r="A8">
        <v>3546</v>
      </c>
      <c r="B8" t="s">
        <v>153</v>
      </c>
      <c r="C8" t="s">
        <v>42</v>
      </c>
      <c r="D8" t="s">
        <v>180</v>
      </c>
      <c r="E8" t="s">
        <v>41</v>
      </c>
      <c r="F8" s="1" t="s">
        <v>176</v>
      </c>
      <c r="G8" s="1" t="s">
        <v>177</v>
      </c>
      <c r="H8" s="43" t="s">
        <v>41</v>
      </c>
      <c r="I8" s="1" t="s">
        <v>42</v>
      </c>
      <c r="J8" s="1" t="s">
        <v>159</v>
      </c>
      <c r="K8" s="1" t="s">
        <v>160</v>
      </c>
      <c r="L8" s="1" t="s">
        <v>158</v>
      </c>
      <c r="N8" s="1" t="s">
        <v>45</v>
      </c>
      <c r="O8" s="1" t="s">
        <v>46</v>
      </c>
      <c r="P8" s="1" t="s">
        <v>181</v>
      </c>
      <c r="Q8" s="1" t="s">
        <v>182</v>
      </c>
      <c r="R8" s="1" t="s">
        <v>158</v>
      </c>
    </row>
    <row r="9" spans="1:18">
      <c r="A9">
        <v>3966</v>
      </c>
      <c r="B9" t="s">
        <v>153</v>
      </c>
      <c r="C9" s="36" t="s">
        <v>183</v>
      </c>
      <c r="D9" t="s">
        <v>184</v>
      </c>
      <c r="E9" s="1" t="s">
        <v>75</v>
      </c>
      <c r="F9" t="s">
        <v>185</v>
      </c>
      <c r="G9" s="1" t="s">
        <v>76</v>
      </c>
      <c r="H9" s="44" t="s">
        <v>75</v>
      </c>
      <c r="K9" t="s">
        <v>186</v>
      </c>
      <c r="L9" t="s">
        <v>158</v>
      </c>
      <c r="N9" s="1" t="s">
        <v>47</v>
      </c>
      <c r="O9" s="1" t="s">
        <v>48</v>
      </c>
      <c r="P9" s="1" t="s">
        <v>187</v>
      </c>
      <c r="Q9" s="1" t="s">
        <v>188</v>
      </c>
      <c r="R9" s="1" t="s">
        <v>158</v>
      </c>
    </row>
    <row r="10" spans="1:18">
      <c r="A10">
        <v>4871</v>
      </c>
      <c r="B10" t="s">
        <v>153</v>
      </c>
      <c r="C10" s="36" t="s">
        <v>189</v>
      </c>
      <c r="D10" t="s">
        <v>190</v>
      </c>
      <c r="E10" s="1" t="s">
        <v>109</v>
      </c>
      <c r="F10" s="1" t="s">
        <v>191</v>
      </c>
      <c r="G10" s="35" t="s">
        <v>192</v>
      </c>
      <c r="H10" s="44" t="s">
        <v>109</v>
      </c>
      <c r="K10" t="s">
        <v>193</v>
      </c>
      <c r="L10" t="s">
        <v>158</v>
      </c>
      <c r="N10" s="1" t="s">
        <v>49</v>
      </c>
      <c r="O10" s="1" t="s">
        <v>50</v>
      </c>
      <c r="P10" s="1" t="s">
        <v>194</v>
      </c>
      <c r="Q10" s="1" t="s">
        <v>195</v>
      </c>
      <c r="R10" s="1" t="s">
        <v>158</v>
      </c>
    </row>
    <row r="11" spans="1:18">
      <c r="A11">
        <v>4196</v>
      </c>
      <c r="B11" t="s">
        <v>153</v>
      </c>
      <c r="C11" s="36" t="s">
        <v>196</v>
      </c>
      <c r="D11" t="s">
        <v>197</v>
      </c>
      <c r="H11" s="44" t="s">
        <v>83</v>
      </c>
      <c r="K11" t="s">
        <v>198</v>
      </c>
      <c r="L11" t="s">
        <v>158</v>
      </c>
      <c r="N11" s="1" t="s">
        <v>51</v>
      </c>
      <c r="O11" s="1" t="s">
        <v>52</v>
      </c>
      <c r="P11" s="1" t="s">
        <v>194</v>
      </c>
      <c r="Q11" s="1" t="s">
        <v>195</v>
      </c>
      <c r="R11" s="1" t="s">
        <v>158</v>
      </c>
    </row>
    <row r="12" spans="1:18">
      <c r="A12">
        <v>4692</v>
      </c>
      <c r="B12" t="s">
        <v>153</v>
      </c>
      <c r="C12" s="36" t="s">
        <v>199</v>
      </c>
      <c r="D12" t="s">
        <v>200</v>
      </c>
      <c r="H12" s="44" t="s">
        <v>41</v>
      </c>
      <c r="K12" t="s">
        <v>160</v>
      </c>
      <c r="L12" t="s">
        <v>158</v>
      </c>
      <c r="N12" s="1" t="s">
        <v>53</v>
      </c>
      <c r="O12" s="1" t="s">
        <v>54</v>
      </c>
      <c r="P12" s="1" t="s">
        <v>181</v>
      </c>
      <c r="Q12" s="1" t="s">
        <v>182</v>
      </c>
      <c r="R12" s="1" t="s">
        <v>158</v>
      </c>
    </row>
    <row r="13" spans="1:18">
      <c r="A13">
        <v>3964</v>
      </c>
      <c r="B13" t="s">
        <v>153</v>
      </c>
      <c r="C13" s="36" t="s">
        <v>201</v>
      </c>
      <c r="D13" t="s">
        <v>202</v>
      </c>
      <c r="H13" s="44" t="s">
        <v>61</v>
      </c>
      <c r="K13" t="s">
        <v>186</v>
      </c>
      <c r="L13" t="s">
        <v>158</v>
      </c>
      <c r="N13" s="1" t="s">
        <v>55</v>
      </c>
      <c r="O13" s="1" t="s">
        <v>56</v>
      </c>
      <c r="P13" s="1" t="s">
        <v>203</v>
      </c>
      <c r="Q13" s="1" t="s">
        <v>198</v>
      </c>
      <c r="R13" s="1" t="s">
        <v>158</v>
      </c>
    </row>
    <row r="14" spans="1:18">
      <c r="A14">
        <v>3537</v>
      </c>
      <c r="B14" t="s">
        <v>153</v>
      </c>
      <c r="C14" t="s">
        <v>70</v>
      </c>
      <c r="D14" t="s">
        <v>204</v>
      </c>
      <c r="E14" t="s">
        <v>69</v>
      </c>
      <c r="F14" s="1" t="s">
        <v>205</v>
      </c>
      <c r="G14" s="37" t="s">
        <v>206</v>
      </c>
      <c r="H14" s="43" t="s">
        <v>69</v>
      </c>
      <c r="I14" s="1" t="s">
        <v>70</v>
      </c>
      <c r="J14" s="1" t="s">
        <v>207</v>
      </c>
      <c r="K14" t="s">
        <v>208</v>
      </c>
      <c r="L14" s="1" t="s">
        <v>171</v>
      </c>
      <c r="N14" s="1" t="s">
        <v>57</v>
      </c>
      <c r="O14" s="1" t="s">
        <v>58</v>
      </c>
      <c r="P14" s="1" t="s">
        <v>187</v>
      </c>
      <c r="Q14" s="1" t="s">
        <v>188</v>
      </c>
      <c r="R14" s="1" t="s">
        <v>158</v>
      </c>
    </row>
    <row r="15" spans="1:18">
      <c r="A15">
        <v>3962</v>
      </c>
      <c r="B15" t="s">
        <v>153</v>
      </c>
      <c r="C15" s="36" t="s">
        <v>130</v>
      </c>
      <c r="D15" t="s">
        <v>209</v>
      </c>
      <c r="H15" s="44" t="s">
        <v>129</v>
      </c>
      <c r="K15" t="s">
        <v>210</v>
      </c>
      <c r="L15" t="s">
        <v>171</v>
      </c>
      <c r="N15" s="1" t="s">
        <v>59</v>
      </c>
      <c r="O15" s="1" t="s">
        <v>60</v>
      </c>
      <c r="P15" s="1" t="s">
        <v>156</v>
      </c>
      <c r="Q15" s="1" t="s">
        <v>157</v>
      </c>
      <c r="R15" s="1" t="s">
        <v>158</v>
      </c>
    </row>
    <row r="16" spans="1:18">
      <c r="A16">
        <v>3945</v>
      </c>
      <c r="B16" t="s">
        <v>153</v>
      </c>
      <c r="C16" t="s">
        <v>44</v>
      </c>
      <c r="D16" t="s">
        <v>211</v>
      </c>
      <c r="E16" t="s">
        <v>43</v>
      </c>
      <c r="F16" s="1" t="s">
        <v>212</v>
      </c>
      <c r="G16" s="37" t="s">
        <v>213</v>
      </c>
      <c r="H16" s="43" t="s">
        <v>43</v>
      </c>
      <c r="I16" s="1" t="s">
        <v>44</v>
      </c>
      <c r="J16" s="1" t="s">
        <v>178</v>
      </c>
      <c r="K16" s="1" t="s">
        <v>179</v>
      </c>
      <c r="L16" s="1" t="s">
        <v>171</v>
      </c>
      <c r="N16" s="1" t="s">
        <v>61</v>
      </c>
      <c r="O16" s="1" t="s">
        <v>62</v>
      </c>
      <c r="P16" s="1" t="s">
        <v>214</v>
      </c>
      <c r="Q16" s="1" t="s">
        <v>186</v>
      </c>
      <c r="R16" s="1" t="s">
        <v>158</v>
      </c>
    </row>
    <row r="17" spans="1:18">
      <c r="A17">
        <v>4457</v>
      </c>
      <c r="B17" t="s">
        <v>153</v>
      </c>
      <c r="C17" t="s">
        <v>110</v>
      </c>
      <c r="D17" t="s">
        <v>215</v>
      </c>
      <c r="E17" t="s">
        <v>109</v>
      </c>
      <c r="F17" s="1" t="s">
        <v>191</v>
      </c>
      <c r="G17" s="1" t="s">
        <v>192</v>
      </c>
      <c r="H17" s="43" t="s">
        <v>109</v>
      </c>
      <c r="I17" s="1" t="s">
        <v>110</v>
      </c>
      <c r="J17" s="1" t="s">
        <v>216</v>
      </c>
      <c r="K17" s="1" t="s">
        <v>193</v>
      </c>
      <c r="L17" s="1" t="s">
        <v>158</v>
      </c>
      <c r="N17" s="1" t="s">
        <v>63</v>
      </c>
      <c r="O17" s="1" t="s">
        <v>64</v>
      </c>
      <c r="P17" s="1" t="s">
        <v>214</v>
      </c>
      <c r="Q17" s="1" t="s">
        <v>186</v>
      </c>
      <c r="R17" s="1" t="s">
        <v>158</v>
      </c>
    </row>
    <row r="18" spans="1:18">
      <c r="A18">
        <v>4267</v>
      </c>
      <c r="B18" t="s">
        <v>153</v>
      </c>
      <c r="C18" t="s">
        <v>217</v>
      </c>
      <c r="D18" t="s">
        <v>218</v>
      </c>
      <c r="E18" t="s">
        <v>111</v>
      </c>
      <c r="F18" s="1" t="s">
        <v>219</v>
      </c>
      <c r="G18" s="1" t="s">
        <v>220</v>
      </c>
      <c r="H18" s="43" t="s">
        <v>111</v>
      </c>
      <c r="I18" s="1" t="s">
        <v>112</v>
      </c>
      <c r="J18" s="1" t="s">
        <v>216</v>
      </c>
      <c r="K18" s="1" t="s">
        <v>193</v>
      </c>
      <c r="L18" s="1" t="s">
        <v>158</v>
      </c>
      <c r="N18" s="1" t="s">
        <v>65</v>
      </c>
      <c r="O18" s="1" t="s">
        <v>66</v>
      </c>
      <c r="P18" s="1" t="s">
        <v>214</v>
      </c>
      <c r="Q18" s="1" t="s">
        <v>186</v>
      </c>
      <c r="R18" s="1" t="s">
        <v>158</v>
      </c>
    </row>
    <row r="19" spans="1:18">
      <c r="A19">
        <v>4087</v>
      </c>
      <c r="B19" t="s">
        <v>153</v>
      </c>
      <c r="C19" t="s">
        <v>112</v>
      </c>
      <c r="D19" t="s">
        <v>221</v>
      </c>
      <c r="E19" t="s">
        <v>111</v>
      </c>
      <c r="F19" s="1" t="s">
        <v>219</v>
      </c>
      <c r="G19" s="1" t="s">
        <v>220</v>
      </c>
      <c r="H19" s="43" t="s">
        <v>111</v>
      </c>
      <c r="I19" s="1" t="s">
        <v>112</v>
      </c>
      <c r="J19" s="1" t="s">
        <v>216</v>
      </c>
      <c r="K19" s="1" t="s">
        <v>193</v>
      </c>
      <c r="L19" s="1" t="s">
        <v>158</v>
      </c>
      <c r="N19" s="1" t="s">
        <v>67</v>
      </c>
      <c r="O19" s="1" t="s">
        <v>68</v>
      </c>
      <c r="P19" s="1" t="s">
        <v>214</v>
      </c>
      <c r="Q19" s="1" t="s">
        <v>186</v>
      </c>
      <c r="R19" s="1" t="s">
        <v>158</v>
      </c>
    </row>
    <row r="20" spans="1:18">
      <c r="A20">
        <v>3027</v>
      </c>
      <c r="B20" t="s">
        <v>153</v>
      </c>
      <c r="C20" t="s">
        <v>134</v>
      </c>
      <c r="D20" t="s">
        <v>222</v>
      </c>
      <c r="E20" s="1" t="s">
        <v>133</v>
      </c>
      <c r="F20" s="1" t="s">
        <v>163</v>
      </c>
      <c r="G20" s="1" t="s">
        <v>164</v>
      </c>
      <c r="H20" s="43" t="s">
        <v>133</v>
      </c>
      <c r="I20" s="1" t="s">
        <v>134</v>
      </c>
      <c r="J20" s="1" t="s">
        <v>156</v>
      </c>
      <c r="K20" s="1" t="s">
        <v>157</v>
      </c>
      <c r="L20" s="1" t="s">
        <v>158</v>
      </c>
      <c r="N20" s="11" t="s">
        <v>69</v>
      </c>
      <c r="O20" s="11" t="s">
        <v>70</v>
      </c>
      <c r="P20" s="11"/>
      <c r="Q20" s="12" t="s">
        <v>223</v>
      </c>
      <c r="R20" s="11"/>
    </row>
    <row r="21" spans="1:18">
      <c r="A21">
        <v>4521</v>
      </c>
      <c r="B21" t="s">
        <v>153</v>
      </c>
      <c r="C21" t="s">
        <v>138</v>
      </c>
      <c r="D21" t="s">
        <v>224</v>
      </c>
      <c r="F21" s="1" t="s">
        <v>225</v>
      </c>
      <c r="G21" s="1" t="s">
        <v>226</v>
      </c>
      <c r="H21" s="43" t="s">
        <v>137</v>
      </c>
      <c r="I21" s="1" t="s">
        <v>138</v>
      </c>
      <c r="J21" s="1" t="s">
        <v>156</v>
      </c>
      <c r="K21" s="1" t="s">
        <v>157</v>
      </c>
      <c r="L21" s="1" t="s">
        <v>158</v>
      </c>
      <c r="N21" s="1" t="s">
        <v>71</v>
      </c>
      <c r="O21" s="1" t="s">
        <v>72</v>
      </c>
      <c r="P21" s="1" t="s">
        <v>187</v>
      </c>
      <c r="Q21" s="1" t="s">
        <v>188</v>
      </c>
      <c r="R21" s="1" t="s">
        <v>158</v>
      </c>
    </row>
    <row r="22" spans="1:18">
      <c r="A22">
        <v>4917</v>
      </c>
      <c r="B22" t="s">
        <v>153</v>
      </c>
      <c r="C22" t="s">
        <v>227</v>
      </c>
      <c r="D22" t="s">
        <v>228</v>
      </c>
      <c r="E22" s="1" t="s">
        <v>133</v>
      </c>
      <c r="F22" s="1" t="s">
        <v>163</v>
      </c>
      <c r="G22" s="1" t="s">
        <v>164</v>
      </c>
      <c r="H22" s="43" t="s">
        <v>133</v>
      </c>
      <c r="I22" s="1" t="s">
        <v>134</v>
      </c>
      <c r="J22" s="1" t="s">
        <v>156</v>
      </c>
      <c r="K22" s="1" t="s">
        <v>157</v>
      </c>
      <c r="L22" s="1" t="s">
        <v>158</v>
      </c>
      <c r="N22" s="1" t="s">
        <v>73</v>
      </c>
      <c r="O22" s="1" t="s">
        <v>74</v>
      </c>
      <c r="P22" s="1" t="s">
        <v>187</v>
      </c>
      <c r="Q22" s="1" t="s">
        <v>188</v>
      </c>
      <c r="R22" s="1" t="s">
        <v>158</v>
      </c>
    </row>
    <row r="23" spans="1:18">
      <c r="A23">
        <v>4520</v>
      </c>
      <c r="B23" t="s">
        <v>153</v>
      </c>
      <c r="C23" t="s">
        <v>156</v>
      </c>
      <c r="D23" t="s">
        <v>229</v>
      </c>
      <c r="E23" s="1" t="s">
        <v>133</v>
      </c>
      <c r="F23" s="1" t="s">
        <v>163</v>
      </c>
      <c r="G23" s="1" t="s">
        <v>164</v>
      </c>
      <c r="H23" s="43" t="s">
        <v>133</v>
      </c>
      <c r="I23" s="1" t="s">
        <v>134</v>
      </c>
      <c r="J23" s="1" t="s">
        <v>156</v>
      </c>
      <c r="K23" s="1" t="s">
        <v>157</v>
      </c>
      <c r="L23" s="1" t="s">
        <v>158</v>
      </c>
      <c r="N23" s="1" t="s">
        <v>75</v>
      </c>
      <c r="O23" s="1" t="s">
        <v>76</v>
      </c>
      <c r="P23" s="1" t="s">
        <v>214</v>
      </c>
      <c r="Q23" s="1" t="s">
        <v>186</v>
      </c>
      <c r="R23" s="1" t="s">
        <v>158</v>
      </c>
    </row>
    <row r="24" spans="1:18">
      <c r="A24">
        <v>4646</v>
      </c>
      <c r="B24" t="s">
        <v>153</v>
      </c>
      <c r="C24" s="36" t="s">
        <v>230</v>
      </c>
      <c r="D24" t="s">
        <v>231</v>
      </c>
      <c r="H24" s="44" t="s">
        <v>73</v>
      </c>
      <c r="K24" t="s">
        <v>188</v>
      </c>
      <c r="L24" t="s">
        <v>158</v>
      </c>
      <c r="N24" s="1" t="s">
        <v>77</v>
      </c>
      <c r="O24" s="1" t="s">
        <v>78</v>
      </c>
      <c r="P24" s="1" t="s">
        <v>203</v>
      </c>
      <c r="Q24" s="1" t="s">
        <v>198</v>
      </c>
      <c r="R24" s="1" t="s">
        <v>158</v>
      </c>
    </row>
    <row r="25" spans="1:18">
      <c r="A25">
        <v>4183</v>
      </c>
      <c r="B25" t="s">
        <v>153</v>
      </c>
      <c r="C25" t="s">
        <v>232</v>
      </c>
      <c r="D25" t="s">
        <v>233</v>
      </c>
      <c r="E25" t="s">
        <v>89</v>
      </c>
      <c r="F25" s="1" t="s">
        <v>234</v>
      </c>
      <c r="G25" s="1" t="s">
        <v>235</v>
      </c>
      <c r="H25" s="43" t="s">
        <v>89</v>
      </c>
      <c r="I25" s="1" t="s">
        <v>90</v>
      </c>
      <c r="J25" s="1" t="s">
        <v>236</v>
      </c>
      <c r="K25" s="1" t="s">
        <v>237</v>
      </c>
      <c r="L25" s="1" t="s">
        <v>158</v>
      </c>
      <c r="N25" s="1" t="s">
        <v>79</v>
      </c>
      <c r="O25" s="1" t="s">
        <v>80</v>
      </c>
      <c r="P25" s="1" t="s">
        <v>203</v>
      </c>
      <c r="Q25" s="1" t="s">
        <v>198</v>
      </c>
      <c r="R25" s="1" t="s">
        <v>158</v>
      </c>
    </row>
    <row r="26" spans="1:18">
      <c r="A26">
        <v>3530</v>
      </c>
      <c r="B26" t="s">
        <v>153</v>
      </c>
      <c r="C26" s="36" t="s">
        <v>238</v>
      </c>
      <c r="D26" t="s">
        <v>239</v>
      </c>
      <c r="G26" s="39" t="s">
        <v>240</v>
      </c>
      <c r="H26" s="46"/>
      <c r="J26" s="1" t="s">
        <v>236</v>
      </c>
      <c r="K26" s="1" t="s">
        <v>237</v>
      </c>
      <c r="L26" s="1" t="s">
        <v>158</v>
      </c>
      <c r="N26" s="1" t="s">
        <v>81</v>
      </c>
      <c r="O26" s="1" t="s">
        <v>82</v>
      </c>
      <c r="P26" s="1" t="s">
        <v>203</v>
      </c>
      <c r="Q26" s="1" t="s">
        <v>198</v>
      </c>
      <c r="R26" s="1" t="s">
        <v>158</v>
      </c>
    </row>
    <row r="27" spans="1:18">
      <c r="A27">
        <v>4882</v>
      </c>
      <c r="B27" t="s">
        <v>153</v>
      </c>
      <c r="C27" s="36" t="s">
        <v>241</v>
      </c>
      <c r="D27" t="s">
        <v>242</v>
      </c>
      <c r="H27" s="44" t="s">
        <v>73</v>
      </c>
      <c r="K27" t="s">
        <v>188</v>
      </c>
      <c r="L27" t="s">
        <v>158</v>
      </c>
      <c r="N27" s="1" t="s">
        <v>83</v>
      </c>
      <c r="O27" s="1" t="s">
        <v>84</v>
      </c>
      <c r="P27" s="1" t="s">
        <v>203</v>
      </c>
      <c r="Q27" s="1" t="s">
        <v>198</v>
      </c>
      <c r="R27" s="1" t="s">
        <v>158</v>
      </c>
    </row>
    <row r="28" spans="1:18">
      <c r="A28">
        <v>3569</v>
      </c>
      <c r="B28" t="s">
        <v>153</v>
      </c>
      <c r="C28" t="s">
        <v>243</v>
      </c>
      <c r="D28" t="s">
        <v>244</v>
      </c>
      <c r="E28" t="s">
        <v>107</v>
      </c>
      <c r="F28" s="1" t="s">
        <v>245</v>
      </c>
      <c r="G28" s="1" t="s">
        <v>246</v>
      </c>
      <c r="H28" s="43" t="s">
        <v>107</v>
      </c>
      <c r="I28" s="1" t="s">
        <v>108</v>
      </c>
      <c r="J28" s="1" t="s">
        <v>247</v>
      </c>
      <c r="K28" s="1" t="s">
        <v>248</v>
      </c>
      <c r="L28" s="1" t="s">
        <v>158</v>
      </c>
      <c r="N28" s="1" t="s">
        <v>85</v>
      </c>
      <c r="O28" s="1" t="s">
        <v>86</v>
      </c>
      <c r="P28" s="1" t="s">
        <v>159</v>
      </c>
      <c r="Q28" s="1" t="s">
        <v>160</v>
      </c>
      <c r="R28" s="1" t="s">
        <v>158</v>
      </c>
    </row>
    <row r="29" spans="1:18">
      <c r="A29">
        <v>3797</v>
      </c>
      <c r="B29" t="s">
        <v>153</v>
      </c>
      <c r="C29" t="s">
        <v>108</v>
      </c>
      <c r="D29" t="s">
        <v>249</v>
      </c>
      <c r="E29" t="s">
        <v>107</v>
      </c>
      <c r="F29" s="1" t="s">
        <v>245</v>
      </c>
      <c r="G29" s="1" t="s">
        <v>246</v>
      </c>
      <c r="H29" s="43" t="s">
        <v>107</v>
      </c>
      <c r="I29" s="1" t="s">
        <v>108</v>
      </c>
      <c r="J29" s="1" t="s">
        <v>247</v>
      </c>
      <c r="K29" s="1" t="s">
        <v>248</v>
      </c>
      <c r="L29" s="1" t="s">
        <v>158</v>
      </c>
      <c r="N29" s="1" t="s">
        <v>87</v>
      </c>
      <c r="O29" s="1" t="s">
        <v>88</v>
      </c>
      <c r="P29" s="1" t="s">
        <v>203</v>
      </c>
      <c r="Q29" s="1" t="s">
        <v>198</v>
      </c>
      <c r="R29" s="1" t="s">
        <v>158</v>
      </c>
    </row>
    <row r="30" spans="1:18">
      <c r="A30">
        <v>3033</v>
      </c>
      <c r="B30" t="s">
        <v>153</v>
      </c>
      <c r="C30" s="36" t="s">
        <v>250</v>
      </c>
      <c r="D30" t="s">
        <v>251</v>
      </c>
      <c r="H30" s="44" t="s">
        <v>61</v>
      </c>
      <c r="K30" t="s">
        <v>186</v>
      </c>
      <c r="L30" t="s">
        <v>158</v>
      </c>
      <c r="N30" s="1" t="s">
        <v>89</v>
      </c>
      <c r="O30" s="1" t="s">
        <v>90</v>
      </c>
      <c r="P30" s="1" t="s">
        <v>236</v>
      </c>
      <c r="Q30" s="1" t="s">
        <v>237</v>
      </c>
      <c r="R30" s="1" t="s">
        <v>158</v>
      </c>
    </row>
    <row r="31" spans="1:18">
      <c r="A31">
        <v>4137</v>
      </c>
      <c r="B31" t="s">
        <v>153</v>
      </c>
      <c r="C31" s="36" t="s">
        <v>252</v>
      </c>
      <c r="D31" t="s">
        <v>253</v>
      </c>
      <c r="H31" s="44" t="s">
        <v>31</v>
      </c>
      <c r="K31" t="s">
        <v>160</v>
      </c>
      <c r="L31" t="s">
        <v>158</v>
      </c>
      <c r="N31" s="1" t="s">
        <v>91</v>
      </c>
      <c r="O31" s="1" t="s">
        <v>92</v>
      </c>
      <c r="P31" s="1" t="s">
        <v>254</v>
      </c>
      <c r="Q31" s="1" t="s">
        <v>255</v>
      </c>
      <c r="R31" s="1" t="s">
        <v>158</v>
      </c>
    </row>
    <row r="32" spans="1:18">
      <c r="A32">
        <v>4762</v>
      </c>
      <c r="B32" t="s">
        <v>153</v>
      </c>
      <c r="C32" s="36" t="s">
        <v>256</v>
      </c>
      <c r="D32" t="s">
        <v>257</v>
      </c>
      <c r="H32" s="46"/>
      <c r="J32" t="s">
        <v>258</v>
      </c>
      <c r="K32" t="s">
        <v>259</v>
      </c>
      <c r="L32" t="s">
        <v>171</v>
      </c>
      <c r="N32" s="1" t="s">
        <v>93</v>
      </c>
      <c r="O32" s="1" t="s">
        <v>94</v>
      </c>
      <c r="P32" s="1" t="s">
        <v>254</v>
      </c>
      <c r="Q32" s="1" t="s">
        <v>255</v>
      </c>
      <c r="R32" s="1" t="s">
        <v>158</v>
      </c>
    </row>
    <row r="33" spans="1:18">
      <c r="A33">
        <v>4010</v>
      </c>
      <c r="B33" t="s">
        <v>153</v>
      </c>
      <c r="C33" t="s">
        <v>260</v>
      </c>
      <c r="D33" t="s">
        <v>261</v>
      </c>
      <c r="E33" t="s">
        <v>167</v>
      </c>
      <c r="F33" s="1" t="s">
        <v>168</v>
      </c>
      <c r="G33" s="35" t="s">
        <v>169</v>
      </c>
      <c r="H33" s="44" t="s">
        <v>167</v>
      </c>
      <c r="K33" t="s">
        <v>170</v>
      </c>
      <c r="L33" t="s">
        <v>171</v>
      </c>
      <c r="N33" s="1" t="s">
        <v>95</v>
      </c>
      <c r="O33" s="1" t="s">
        <v>96</v>
      </c>
      <c r="P33" s="1" t="s">
        <v>236</v>
      </c>
      <c r="Q33" s="1" t="s">
        <v>237</v>
      </c>
      <c r="R33" s="1" t="s">
        <v>171</v>
      </c>
    </row>
    <row r="34" spans="1:18">
      <c r="A34">
        <v>3760</v>
      </c>
      <c r="B34" t="s">
        <v>153</v>
      </c>
      <c r="C34" t="s">
        <v>262</v>
      </c>
      <c r="D34" t="s">
        <v>263</v>
      </c>
      <c r="E34" s="1" t="s">
        <v>89</v>
      </c>
      <c r="F34" s="1" t="s">
        <v>234</v>
      </c>
      <c r="G34" s="35" t="s">
        <v>235</v>
      </c>
      <c r="H34" s="43" t="s">
        <v>89</v>
      </c>
      <c r="I34" s="1" t="s">
        <v>90</v>
      </c>
      <c r="J34" s="1" t="s">
        <v>236</v>
      </c>
      <c r="K34" s="1" t="s">
        <v>237</v>
      </c>
      <c r="L34" s="1" t="s">
        <v>158</v>
      </c>
      <c r="N34" s="1" t="s">
        <v>97</v>
      </c>
      <c r="O34" s="1" t="s">
        <v>98</v>
      </c>
      <c r="P34" s="1" t="s">
        <v>236</v>
      </c>
      <c r="Q34" s="1" t="s">
        <v>237</v>
      </c>
      <c r="R34" s="1" t="s">
        <v>171</v>
      </c>
    </row>
    <row r="35" spans="1:18">
      <c r="A35">
        <v>4916</v>
      </c>
      <c r="B35" t="s">
        <v>153</v>
      </c>
      <c r="C35" t="s">
        <v>264</v>
      </c>
      <c r="D35" t="s">
        <v>265</v>
      </c>
      <c r="E35" t="s">
        <v>73</v>
      </c>
      <c r="F35" s="1" t="s">
        <v>266</v>
      </c>
      <c r="G35" s="1" t="s">
        <v>267</v>
      </c>
      <c r="H35" s="43" t="s">
        <v>73</v>
      </c>
      <c r="I35" s="1" t="s">
        <v>74</v>
      </c>
      <c r="J35" s="1" t="s">
        <v>187</v>
      </c>
      <c r="K35" s="1" t="s">
        <v>188</v>
      </c>
      <c r="L35" s="1" t="s">
        <v>158</v>
      </c>
      <c r="N35" s="1" t="s">
        <v>99</v>
      </c>
      <c r="O35" s="1" t="s">
        <v>100</v>
      </c>
      <c r="P35" s="1" t="s">
        <v>254</v>
      </c>
      <c r="Q35" s="1" t="s">
        <v>255</v>
      </c>
      <c r="R35" s="1" t="s">
        <v>158</v>
      </c>
    </row>
    <row r="36" spans="1:18">
      <c r="A36">
        <v>3778</v>
      </c>
      <c r="B36" t="s">
        <v>153</v>
      </c>
      <c r="C36" t="s">
        <v>214</v>
      </c>
      <c r="D36" t="s">
        <v>268</v>
      </c>
      <c r="E36" t="s">
        <v>61</v>
      </c>
      <c r="F36" s="1" t="s">
        <v>269</v>
      </c>
      <c r="G36" s="1" t="s">
        <v>270</v>
      </c>
      <c r="H36" s="43" t="s">
        <v>61</v>
      </c>
      <c r="I36" s="1" t="s">
        <v>62</v>
      </c>
      <c r="J36" s="1" t="s">
        <v>214</v>
      </c>
      <c r="K36" s="1" t="s">
        <v>186</v>
      </c>
      <c r="L36" s="1" t="s">
        <v>158</v>
      </c>
      <c r="N36" s="1" t="s">
        <v>103</v>
      </c>
      <c r="O36" s="1" t="s">
        <v>104</v>
      </c>
      <c r="P36" s="1" t="s">
        <v>247</v>
      </c>
      <c r="Q36" s="1" t="s">
        <v>248</v>
      </c>
      <c r="R36" s="1" t="s">
        <v>158</v>
      </c>
    </row>
    <row r="37" spans="1:18">
      <c r="A37">
        <v>3538</v>
      </c>
      <c r="B37" t="s">
        <v>153</v>
      </c>
      <c r="C37" t="s">
        <v>72</v>
      </c>
      <c r="D37" t="s">
        <v>271</v>
      </c>
      <c r="E37" t="s">
        <v>71</v>
      </c>
      <c r="F37" s="1" t="s">
        <v>272</v>
      </c>
      <c r="G37" s="1" t="s">
        <v>273</v>
      </c>
      <c r="H37" s="43" t="s">
        <v>71</v>
      </c>
      <c r="I37" s="1" t="s">
        <v>72</v>
      </c>
      <c r="J37" s="1" t="s">
        <v>187</v>
      </c>
      <c r="K37" s="1" t="s">
        <v>188</v>
      </c>
      <c r="L37" s="1" t="s">
        <v>158</v>
      </c>
      <c r="N37" s="1" t="s">
        <v>105</v>
      </c>
      <c r="O37" s="1" t="s">
        <v>106</v>
      </c>
      <c r="P37" s="1" t="s">
        <v>247</v>
      </c>
      <c r="Q37" s="1" t="s">
        <v>248</v>
      </c>
      <c r="R37" s="1" t="s">
        <v>158</v>
      </c>
    </row>
    <row r="38" spans="1:18">
      <c r="A38">
        <v>4723</v>
      </c>
      <c r="B38" t="s">
        <v>153</v>
      </c>
      <c r="C38" t="s">
        <v>90</v>
      </c>
      <c r="D38" t="s">
        <v>274</v>
      </c>
      <c r="E38" s="1" t="s">
        <v>89</v>
      </c>
      <c r="F38" s="1" t="s">
        <v>234</v>
      </c>
      <c r="G38" s="1" t="s">
        <v>235</v>
      </c>
      <c r="H38" s="43" t="s">
        <v>89</v>
      </c>
      <c r="I38" s="1" t="s">
        <v>90</v>
      </c>
      <c r="J38" s="1" t="s">
        <v>236</v>
      </c>
      <c r="K38" s="1" t="s">
        <v>237</v>
      </c>
      <c r="L38" s="1" t="s">
        <v>158</v>
      </c>
      <c r="N38" s="1" t="s">
        <v>107</v>
      </c>
      <c r="O38" s="1" t="s">
        <v>108</v>
      </c>
      <c r="P38" s="1" t="s">
        <v>247</v>
      </c>
      <c r="Q38" s="1" t="s">
        <v>248</v>
      </c>
      <c r="R38" s="1" t="s">
        <v>158</v>
      </c>
    </row>
    <row r="39" spans="1:18">
      <c r="A39">
        <v>3531</v>
      </c>
      <c r="B39" t="s">
        <v>153</v>
      </c>
      <c r="C39" s="36" t="s">
        <v>102</v>
      </c>
      <c r="D39" t="s">
        <v>275</v>
      </c>
      <c r="E39" t="s">
        <v>101</v>
      </c>
      <c r="F39" s="1" t="s">
        <v>276</v>
      </c>
      <c r="G39" s="1" t="s">
        <v>277</v>
      </c>
      <c r="H39" s="44" t="s">
        <v>101</v>
      </c>
      <c r="J39" t="s">
        <v>254</v>
      </c>
      <c r="K39" t="s">
        <v>255</v>
      </c>
      <c r="L39" t="s">
        <v>158</v>
      </c>
      <c r="N39" s="1" t="s">
        <v>109</v>
      </c>
      <c r="O39" s="1" t="s">
        <v>110</v>
      </c>
      <c r="P39" s="1" t="s">
        <v>216</v>
      </c>
      <c r="Q39" s="1" t="s">
        <v>193</v>
      </c>
      <c r="R39" s="1" t="s">
        <v>158</v>
      </c>
    </row>
    <row r="40" spans="1:18">
      <c r="A40">
        <v>3961</v>
      </c>
      <c r="B40" t="s">
        <v>153</v>
      </c>
      <c r="C40" s="36" t="s">
        <v>278</v>
      </c>
      <c r="D40" t="s">
        <v>279</v>
      </c>
      <c r="J40" t="s">
        <v>178</v>
      </c>
      <c r="K40" t="s">
        <v>179</v>
      </c>
      <c r="L40" t="s">
        <v>171</v>
      </c>
      <c r="N40" s="1" t="s">
        <v>111</v>
      </c>
      <c r="O40" s="1" t="s">
        <v>112</v>
      </c>
      <c r="P40" s="1" t="s">
        <v>216</v>
      </c>
      <c r="Q40" s="1" t="s">
        <v>193</v>
      </c>
      <c r="R40" s="1" t="s">
        <v>158</v>
      </c>
    </row>
    <row r="41" spans="1:18">
      <c r="A41">
        <v>3528</v>
      </c>
      <c r="B41" t="s">
        <v>153</v>
      </c>
      <c r="C41" t="s">
        <v>280</v>
      </c>
      <c r="D41" t="s">
        <v>281</v>
      </c>
      <c r="E41" t="s">
        <v>121</v>
      </c>
      <c r="F41" s="1" t="s">
        <v>282</v>
      </c>
      <c r="G41" s="1" t="s">
        <v>283</v>
      </c>
      <c r="H41" s="47" t="s">
        <v>284</v>
      </c>
      <c r="I41" s="1" t="s">
        <v>120</v>
      </c>
      <c r="J41" s="1" t="s">
        <v>216</v>
      </c>
      <c r="K41" s="1" t="s">
        <v>193</v>
      </c>
      <c r="L41" s="1" t="s">
        <v>158</v>
      </c>
      <c r="N41" s="1" t="s">
        <v>113</v>
      </c>
      <c r="O41" s="1" t="s">
        <v>114</v>
      </c>
      <c r="P41" s="1" t="s">
        <v>216</v>
      </c>
      <c r="Q41" s="1" t="s">
        <v>193</v>
      </c>
      <c r="R41" s="1" t="s">
        <v>171</v>
      </c>
    </row>
    <row r="42" spans="1:18">
      <c r="A42">
        <v>4182</v>
      </c>
      <c r="B42" t="s">
        <v>153</v>
      </c>
      <c r="C42" t="s">
        <v>285</v>
      </c>
      <c r="D42" t="s">
        <v>286</v>
      </c>
      <c r="E42" t="s">
        <v>121</v>
      </c>
      <c r="F42" s="1" t="s">
        <v>282</v>
      </c>
      <c r="G42" s="1" t="s">
        <v>283</v>
      </c>
      <c r="H42" s="47" t="s">
        <v>284</v>
      </c>
      <c r="I42" s="1" t="s">
        <v>120</v>
      </c>
      <c r="J42" s="1" t="s">
        <v>216</v>
      </c>
      <c r="K42" s="1" t="s">
        <v>193</v>
      </c>
      <c r="L42" s="1" t="s">
        <v>158</v>
      </c>
      <c r="N42" s="1" t="s">
        <v>115</v>
      </c>
      <c r="O42" s="1" t="s">
        <v>116</v>
      </c>
      <c r="P42" s="1" t="s">
        <v>216</v>
      </c>
      <c r="Q42" s="1" t="s">
        <v>193</v>
      </c>
      <c r="R42" s="1" t="s">
        <v>171</v>
      </c>
    </row>
    <row r="43" spans="1:18">
      <c r="C43" s="36" t="s">
        <v>287</v>
      </c>
      <c r="F43" s="1"/>
      <c r="G43" s="1"/>
      <c r="H43" s="47"/>
      <c r="I43" s="1"/>
      <c r="J43" s="1"/>
      <c r="K43" s="1"/>
      <c r="L43" s="1"/>
      <c r="N43" s="1" t="s">
        <v>117</v>
      </c>
      <c r="O43" s="1" t="s">
        <v>118</v>
      </c>
      <c r="P43" s="1" t="s">
        <v>216</v>
      </c>
      <c r="Q43" s="1" t="s">
        <v>193</v>
      </c>
      <c r="R43" s="1" t="s">
        <v>158</v>
      </c>
    </row>
    <row r="44" spans="1:18">
      <c r="A44">
        <v>4591</v>
      </c>
      <c r="B44" t="s">
        <v>153</v>
      </c>
      <c r="C44" s="36" t="s">
        <v>288</v>
      </c>
      <c r="D44" t="s">
        <v>289</v>
      </c>
      <c r="J44" t="s">
        <v>156</v>
      </c>
      <c r="K44" t="s">
        <v>157</v>
      </c>
      <c r="L44" t="s">
        <v>158</v>
      </c>
      <c r="N44" s="1" t="s">
        <v>119</v>
      </c>
      <c r="O44" s="1" t="s">
        <v>120</v>
      </c>
      <c r="P44" s="1" t="s">
        <v>216</v>
      </c>
      <c r="Q44" s="1" t="s">
        <v>193</v>
      </c>
      <c r="R44" s="1" t="s">
        <v>158</v>
      </c>
    </row>
    <row r="45" spans="1:18">
      <c r="A45">
        <v>4193</v>
      </c>
      <c r="B45" t="s">
        <v>153</v>
      </c>
      <c r="C45" s="36" t="s">
        <v>290</v>
      </c>
      <c r="D45" t="s">
        <v>291</v>
      </c>
      <c r="J45" t="s">
        <v>194</v>
      </c>
      <c r="K45" t="s">
        <v>195</v>
      </c>
      <c r="L45" t="s">
        <v>158</v>
      </c>
      <c r="N45" s="1" t="s">
        <v>119</v>
      </c>
      <c r="O45" s="1" t="s">
        <v>120</v>
      </c>
      <c r="P45" s="1" t="s">
        <v>216</v>
      </c>
      <c r="Q45" s="1" t="s">
        <v>193</v>
      </c>
      <c r="R45" s="1" t="s">
        <v>158</v>
      </c>
    </row>
    <row r="46" spans="1:18">
      <c r="A46">
        <v>3028</v>
      </c>
      <c r="B46" t="s">
        <v>153</v>
      </c>
      <c r="C46" t="s">
        <v>142</v>
      </c>
      <c r="D46" t="s">
        <v>292</v>
      </c>
      <c r="E46" t="s">
        <v>141</v>
      </c>
      <c r="F46" s="1" t="s">
        <v>293</v>
      </c>
      <c r="G46" s="1" t="s">
        <v>294</v>
      </c>
      <c r="H46" s="44" t="s">
        <v>141</v>
      </c>
      <c r="I46" t="s">
        <v>142</v>
      </c>
      <c r="J46" t="s">
        <v>156</v>
      </c>
      <c r="K46" t="s">
        <v>157</v>
      </c>
      <c r="L46" t="s">
        <v>158</v>
      </c>
      <c r="N46" s="11" t="s">
        <v>121</v>
      </c>
      <c r="O46" s="11" t="s">
        <v>122</v>
      </c>
      <c r="P46" s="11"/>
      <c r="Q46" s="11" t="s">
        <v>295</v>
      </c>
      <c r="R46" s="11"/>
    </row>
    <row r="47" spans="1:18">
      <c r="A47">
        <v>4647</v>
      </c>
      <c r="B47" t="s">
        <v>153</v>
      </c>
      <c r="C47" s="36" t="s">
        <v>296</v>
      </c>
      <c r="D47" t="s">
        <v>297</v>
      </c>
      <c r="J47" t="s">
        <v>298</v>
      </c>
      <c r="K47" t="s">
        <v>299</v>
      </c>
      <c r="L47" t="s">
        <v>171</v>
      </c>
      <c r="N47" s="1" t="s">
        <v>123</v>
      </c>
      <c r="O47" s="1" t="s">
        <v>124</v>
      </c>
      <c r="P47" s="1" t="s">
        <v>216</v>
      </c>
      <c r="Q47" s="1" t="s">
        <v>193</v>
      </c>
      <c r="R47" s="1" t="s">
        <v>158</v>
      </c>
    </row>
    <row r="48" spans="1:18">
      <c r="A48">
        <v>3542</v>
      </c>
      <c r="B48" t="s">
        <v>153</v>
      </c>
      <c r="C48" t="s">
        <v>60</v>
      </c>
      <c r="D48" t="s">
        <v>300</v>
      </c>
      <c r="F48" s="1" t="s">
        <v>301</v>
      </c>
      <c r="G48" s="1" t="s">
        <v>302</v>
      </c>
      <c r="J48" t="s">
        <v>156</v>
      </c>
      <c r="K48" t="s">
        <v>157</v>
      </c>
      <c r="L48" t="s">
        <v>158</v>
      </c>
      <c r="N48" s="1" t="s">
        <v>125</v>
      </c>
      <c r="O48" s="1" t="s">
        <v>126</v>
      </c>
      <c r="P48" s="1" t="s">
        <v>303</v>
      </c>
      <c r="Q48" s="1" t="s">
        <v>304</v>
      </c>
      <c r="R48" s="1" t="s">
        <v>171</v>
      </c>
    </row>
    <row r="49" spans="1:18">
      <c r="A49">
        <v>3543</v>
      </c>
      <c r="B49" t="s">
        <v>153</v>
      </c>
      <c r="C49" t="s">
        <v>64</v>
      </c>
      <c r="D49" t="s">
        <v>305</v>
      </c>
      <c r="F49" s="1" t="s">
        <v>306</v>
      </c>
      <c r="G49" s="1" t="s">
        <v>307</v>
      </c>
      <c r="H49" s="44" t="s">
        <v>63</v>
      </c>
      <c r="I49" t="s">
        <v>64</v>
      </c>
      <c r="J49" t="s">
        <v>214</v>
      </c>
      <c r="K49" t="s">
        <v>186</v>
      </c>
      <c r="L49" t="s">
        <v>158</v>
      </c>
      <c r="N49" s="1" t="s">
        <v>127</v>
      </c>
      <c r="O49" s="1" t="s">
        <v>128</v>
      </c>
      <c r="P49" s="1" t="s">
        <v>178</v>
      </c>
      <c r="Q49" s="1" t="s">
        <v>179</v>
      </c>
      <c r="R49" s="1" t="s">
        <v>171</v>
      </c>
    </row>
    <row r="50" spans="1:18">
      <c r="A50">
        <v>3547</v>
      </c>
      <c r="B50" t="s">
        <v>153</v>
      </c>
      <c r="C50" t="s">
        <v>32</v>
      </c>
      <c r="D50" t="s">
        <v>308</v>
      </c>
      <c r="F50" s="1" t="s">
        <v>309</v>
      </c>
      <c r="G50" s="1" t="s">
        <v>310</v>
      </c>
      <c r="H50" s="44" t="s">
        <v>31</v>
      </c>
      <c r="I50" t="s">
        <v>311</v>
      </c>
      <c r="J50" t="s">
        <v>159</v>
      </c>
      <c r="K50" t="s">
        <v>160</v>
      </c>
      <c r="L50" t="s">
        <v>158</v>
      </c>
      <c r="N50" s="1" t="s">
        <v>129</v>
      </c>
      <c r="O50" s="1" t="s">
        <v>130</v>
      </c>
      <c r="P50" s="1" t="s">
        <v>312</v>
      </c>
      <c r="Q50" s="1" t="s">
        <v>210</v>
      </c>
      <c r="R50" s="1" t="s">
        <v>171</v>
      </c>
    </row>
    <row r="51" spans="1:18">
      <c r="A51">
        <v>4009</v>
      </c>
      <c r="B51" t="s">
        <v>153</v>
      </c>
      <c r="C51" s="36" t="s">
        <v>313</v>
      </c>
      <c r="D51" t="s">
        <v>314</v>
      </c>
      <c r="J51" t="s">
        <v>315</v>
      </c>
      <c r="K51" t="s">
        <v>170</v>
      </c>
      <c r="L51" t="s">
        <v>171</v>
      </c>
      <c r="N51" s="1" t="s">
        <v>131</v>
      </c>
      <c r="O51" s="1" t="s">
        <v>132</v>
      </c>
      <c r="P51" s="1" t="s">
        <v>214</v>
      </c>
      <c r="Q51" s="1" t="s">
        <v>186</v>
      </c>
      <c r="R51" s="1" t="s">
        <v>158</v>
      </c>
    </row>
    <row r="52" spans="1:18">
      <c r="A52">
        <v>4417</v>
      </c>
      <c r="B52" t="s">
        <v>153</v>
      </c>
      <c r="C52" s="36" t="s">
        <v>316</v>
      </c>
      <c r="D52" t="s">
        <v>317</v>
      </c>
      <c r="J52" t="s">
        <v>156</v>
      </c>
      <c r="K52" t="s">
        <v>157</v>
      </c>
      <c r="L52" t="s">
        <v>158</v>
      </c>
      <c r="N52" s="1" t="s">
        <v>133</v>
      </c>
      <c r="O52" s="1" t="s">
        <v>134</v>
      </c>
      <c r="P52" s="1" t="s">
        <v>156</v>
      </c>
      <c r="Q52" s="1" t="s">
        <v>157</v>
      </c>
      <c r="R52" s="1" t="s">
        <v>158</v>
      </c>
    </row>
    <row r="53" spans="1:18">
      <c r="A53">
        <v>4033</v>
      </c>
      <c r="B53" t="s">
        <v>153</v>
      </c>
      <c r="C53" t="s">
        <v>318</v>
      </c>
      <c r="D53" t="s">
        <v>319</v>
      </c>
      <c r="F53" s="1" t="s">
        <v>320</v>
      </c>
      <c r="G53" s="1" t="s">
        <v>321</v>
      </c>
      <c r="J53" t="s">
        <v>254</v>
      </c>
      <c r="K53" t="s">
        <v>255</v>
      </c>
      <c r="L53" t="s">
        <v>158</v>
      </c>
      <c r="N53" s="1" t="s">
        <v>135</v>
      </c>
      <c r="O53" s="1" t="s">
        <v>136</v>
      </c>
      <c r="P53" s="1" t="s">
        <v>156</v>
      </c>
      <c r="Q53" s="1" t="s">
        <v>157</v>
      </c>
      <c r="R53" s="1" t="s">
        <v>158</v>
      </c>
    </row>
    <row r="54" spans="1:18">
      <c r="A54">
        <v>3765</v>
      </c>
      <c r="B54" t="s">
        <v>153</v>
      </c>
      <c r="C54" t="s">
        <v>94</v>
      </c>
      <c r="D54" t="s">
        <v>322</v>
      </c>
      <c r="F54" s="1" t="s">
        <v>320</v>
      </c>
      <c r="G54" s="1" t="s">
        <v>321</v>
      </c>
      <c r="I54" t="s">
        <v>93</v>
      </c>
      <c r="J54" t="s">
        <v>254</v>
      </c>
      <c r="K54" t="s">
        <v>255</v>
      </c>
      <c r="L54" t="s">
        <v>158</v>
      </c>
      <c r="N54" s="1" t="s">
        <v>137</v>
      </c>
      <c r="O54" s="1" t="s">
        <v>138</v>
      </c>
      <c r="P54" s="1" t="s">
        <v>156</v>
      </c>
      <c r="Q54" s="1" t="s">
        <v>157</v>
      </c>
      <c r="R54" s="1" t="s">
        <v>158</v>
      </c>
    </row>
    <row r="55" spans="1:18">
      <c r="A55">
        <v>3532</v>
      </c>
      <c r="B55" t="s">
        <v>153</v>
      </c>
      <c r="C55" t="s">
        <v>92</v>
      </c>
      <c r="D55" t="s">
        <v>323</v>
      </c>
      <c r="F55" s="1" t="s">
        <v>320</v>
      </c>
      <c r="G55" s="1" t="s">
        <v>321</v>
      </c>
      <c r="I55" t="s">
        <v>91</v>
      </c>
      <c r="J55" t="s">
        <v>254</v>
      </c>
      <c r="K55" t="s">
        <v>255</v>
      </c>
      <c r="L55" t="s">
        <v>158</v>
      </c>
      <c r="N55" s="1" t="s">
        <v>139</v>
      </c>
      <c r="O55" s="1" t="s">
        <v>140</v>
      </c>
      <c r="P55" s="1" t="s">
        <v>156</v>
      </c>
      <c r="Q55" s="1" t="s">
        <v>157</v>
      </c>
      <c r="R55" s="1" t="s">
        <v>158</v>
      </c>
    </row>
    <row r="56" spans="1:18">
      <c r="A56">
        <v>4275</v>
      </c>
      <c r="B56" t="s">
        <v>153</v>
      </c>
      <c r="C56" s="36" t="s">
        <v>144</v>
      </c>
      <c r="D56" t="s">
        <v>324</v>
      </c>
      <c r="H56" s="47" t="s">
        <v>284</v>
      </c>
      <c r="J56" t="s">
        <v>159</v>
      </c>
      <c r="K56" t="s">
        <v>160</v>
      </c>
      <c r="L56" t="s">
        <v>158</v>
      </c>
      <c r="N56" s="1" t="s">
        <v>141</v>
      </c>
      <c r="O56" s="1" t="s">
        <v>142</v>
      </c>
      <c r="P56" s="1" t="s">
        <v>156</v>
      </c>
      <c r="Q56" s="1" t="s">
        <v>157</v>
      </c>
      <c r="R56" s="1" t="s">
        <v>158</v>
      </c>
    </row>
    <row r="57" spans="1:18">
      <c r="A57">
        <v>3038</v>
      </c>
      <c r="B57" t="s">
        <v>153</v>
      </c>
      <c r="C57" t="s">
        <v>54</v>
      </c>
      <c r="D57" t="s">
        <v>325</v>
      </c>
      <c r="F57" s="1" t="s">
        <v>326</v>
      </c>
      <c r="G57" s="1" t="s">
        <v>327</v>
      </c>
      <c r="H57" s="44" t="s">
        <v>53</v>
      </c>
      <c r="I57" s="1" t="s">
        <v>54</v>
      </c>
      <c r="J57" s="1" t="s">
        <v>181</v>
      </c>
      <c r="K57" s="1" t="s">
        <v>182</v>
      </c>
      <c r="L57" s="1" t="s">
        <v>158</v>
      </c>
      <c r="N57" s="11" t="s">
        <v>143</v>
      </c>
      <c r="O57" s="11" t="s">
        <v>144</v>
      </c>
      <c r="P57" s="11"/>
      <c r="Q57" s="11" t="s">
        <v>295</v>
      </c>
      <c r="R57" s="11"/>
    </row>
    <row r="58" spans="1:18">
      <c r="A58">
        <v>3045</v>
      </c>
      <c r="B58" t="s">
        <v>153</v>
      </c>
      <c r="C58" s="36" t="s">
        <v>328</v>
      </c>
      <c r="D58" t="s">
        <v>329</v>
      </c>
      <c r="F58" s="1"/>
      <c r="G58" s="1"/>
      <c r="H58" s="47" t="s">
        <v>284</v>
      </c>
      <c r="I58" s="1" t="s">
        <v>32</v>
      </c>
      <c r="J58" s="1" t="s">
        <v>159</v>
      </c>
      <c r="K58" s="1" t="s">
        <v>160</v>
      </c>
      <c r="L58" s="1" t="s">
        <v>158</v>
      </c>
      <c r="N58" t="s">
        <v>167</v>
      </c>
      <c r="O58" t="s">
        <v>330</v>
      </c>
      <c r="P58" t="s">
        <v>315</v>
      </c>
      <c r="Q58" t="s">
        <v>170</v>
      </c>
      <c r="R58" t="s">
        <v>171</v>
      </c>
    </row>
    <row r="59" spans="1:18">
      <c r="A59">
        <v>3564</v>
      </c>
      <c r="B59" t="s">
        <v>153</v>
      </c>
      <c r="C59" s="36" t="s">
        <v>331</v>
      </c>
      <c r="D59" t="s">
        <v>332</v>
      </c>
      <c r="F59" s="1"/>
      <c r="G59" s="1"/>
      <c r="H59" s="47" t="s">
        <v>284</v>
      </c>
      <c r="J59" t="s">
        <v>216</v>
      </c>
      <c r="K59" t="s">
        <v>193</v>
      </c>
      <c r="L59" t="s">
        <v>158</v>
      </c>
      <c r="N59" t="s">
        <v>125</v>
      </c>
      <c r="O59" t="s">
        <v>256</v>
      </c>
      <c r="P59" t="s">
        <v>258</v>
      </c>
      <c r="Q59" t="s">
        <v>259</v>
      </c>
      <c r="R59" t="s">
        <v>171</v>
      </c>
    </row>
    <row r="60" spans="1:18">
      <c r="A60">
        <v>3784</v>
      </c>
      <c r="B60" t="s">
        <v>153</v>
      </c>
      <c r="C60" s="36" t="s">
        <v>333</v>
      </c>
      <c r="D60" t="s">
        <v>334</v>
      </c>
      <c r="J60" t="s">
        <v>298</v>
      </c>
      <c r="K60" t="s">
        <v>299</v>
      </c>
      <c r="L60" t="s">
        <v>171</v>
      </c>
      <c r="N60" t="s">
        <v>31</v>
      </c>
      <c r="P60" t="s">
        <v>298</v>
      </c>
      <c r="Q60" t="s">
        <v>299</v>
      </c>
      <c r="R60" t="s">
        <v>158</v>
      </c>
    </row>
    <row r="61" spans="1:18">
      <c r="A61">
        <v>4645</v>
      </c>
      <c r="B61" t="s">
        <v>153</v>
      </c>
      <c r="C61" s="36" t="s">
        <v>335</v>
      </c>
      <c r="D61" t="s">
        <v>336</v>
      </c>
      <c r="J61" t="s">
        <v>194</v>
      </c>
      <c r="K61" t="s">
        <v>195</v>
      </c>
      <c r="L61" t="s">
        <v>158</v>
      </c>
      <c r="N61" t="s">
        <v>69</v>
      </c>
      <c r="O61" t="s">
        <v>337</v>
      </c>
      <c r="P61" t="s">
        <v>337</v>
      </c>
      <c r="Q61" t="s">
        <v>338</v>
      </c>
      <c r="R61" t="s">
        <v>171</v>
      </c>
    </row>
    <row r="62" spans="1:18">
      <c r="A62">
        <v>4868</v>
      </c>
      <c r="B62" t="s">
        <v>153</v>
      </c>
      <c r="C62" s="36" t="s">
        <v>339</v>
      </c>
      <c r="D62" t="s">
        <v>340</v>
      </c>
      <c r="J62" t="s">
        <v>214</v>
      </c>
      <c r="K62" t="s">
        <v>186</v>
      </c>
      <c r="L62" t="s">
        <v>158</v>
      </c>
      <c r="N62" t="s">
        <v>69</v>
      </c>
      <c r="O62" t="s">
        <v>341</v>
      </c>
      <c r="P62" t="s">
        <v>342</v>
      </c>
      <c r="Q62" t="s">
        <v>343</v>
      </c>
      <c r="R62" t="s">
        <v>171</v>
      </c>
    </row>
    <row r="63" spans="1:18">
      <c r="A63">
        <v>4085</v>
      </c>
      <c r="B63" t="s">
        <v>153</v>
      </c>
      <c r="C63" s="36" t="s">
        <v>337</v>
      </c>
      <c r="D63" t="s">
        <v>344</v>
      </c>
      <c r="I63" t="s">
        <v>337</v>
      </c>
      <c r="J63" t="s">
        <v>337</v>
      </c>
      <c r="K63" t="s">
        <v>338</v>
      </c>
      <c r="L63" t="s">
        <v>158</v>
      </c>
    </row>
    <row r="64" spans="1:18">
      <c r="A64">
        <v>4036</v>
      </c>
      <c r="B64" t="s">
        <v>153</v>
      </c>
      <c r="C64" s="36" t="s">
        <v>345</v>
      </c>
      <c r="D64" t="s">
        <v>346</v>
      </c>
      <c r="K64" t="s">
        <v>160</v>
      </c>
      <c r="L64" t="s">
        <v>158</v>
      </c>
    </row>
    <row r="65" spans="1:12">
      <c r="A65">
        <v>4272</v>
      </c>
      <c r="B65" t="s">
        <v>153</v>
      </c>
      <c r="C65" s="36" t="s">
        <v>347</v>
      </c>
      <c r="D65" t="s">
        <v>348</v>
      </c>
      <c r="K65" t="s">
        <v>186</v>
      </c>
      <c r="L65" t="s">
        <v>158</v>
      </c>
    </row>
    <row r="66" spans="1:12">
      <c r="A66">
        <v>4803</v>
      </c>
      <c r="B66" t="s">
        <v>153</v>
      </c>
      <c r="C66" s="36" t="s">
        <v>349</v>
      </c>
      <c r="D66" t="s">
        <v>350</v>
      </c>
      <c r="K66" t="s">
        <v>198</v>
      </c>
      <c r="L66" t="s">
        <v>158</v>
      </c>
    </row>
    <row r="67" spans="1:12">
      <c r="A67">
        <v>3948</v>
      </c>
      <c r="B67" t="s">
        <v>153</v>
      </c>
      <c r="C67" s="36" t="s">
        <v>58</v>
      </c>
      <c r="D67" t="s">
        <v>351</v>
      </c>
      <c r="F67" s="1" t="s">
        <v>352</v>
      </c>
      <c r="G67" s="1" t="s">
        <v>353</v>
      </c>
      <c r="H67" s="44" t="s">
        <v>57</v>
      </c>
      <c r="I67" t="s">
        <v>58</v>
      </c>
      <c r="J67" t="s">
        <v>187</v>
      </c>
      <c r="K67" t="s">
        <v>188</v>
      </c>
      <c r="L67" t="s">
        <v>158</v>
      </c>
    </row>
    <row r="68" spans="1:12">
      <c r="A68">
        <v>3076</v>
      </c>
      <c r="B68" t="s">
        <v>153</v>
      </c>
      <c r="C68" t="s">
        <v>114</v>
      </c>
      <c r="D68" t="s">
        <v>354</v>
      </c>
      <c r="F68" s="1" t="s">
        <v>355</v>
      </c>
      <c r="G68" s="1" t="s">
        <v>356</v>
      </c>
      <c r="H68" s="44" t="s">
        <v>113</v>
      </c>
      <c r="I68" t="s">
        <v>114</v>
      </c>
      <c r="J68" t="s">
        <v>216</v>
      </c>
      <c r="K68" t="s">
        <v>193</v>
      </c>
      <c r="L68" t="s">
        <v>171</v>
      </c>
    </row>
    <row r="69" spans="1:12">
      <c r="A69">
        <v>3963</v>
      </c>
      <c r="B69" t="s">
        <v>153</v>
      </c>
      <c r="C69" t="s">
        <v>357</v>
      </c>
      <c r="D69" t="s">
        <v>358</v>
      </c>
      <c r="F69" s="1" t="s">
        <v>359</v>
      </c>
      <c r="G69" s="1" t="s">
        <v>360</v>
      </c>
      <c r="H69" s="44" t="s">
        <v>49</v>
      </c>
      <c r="I69" t="s">
        <v>50</v>
      </c>
      <c r="J69" s="1" t="s">
        <v>194</v>
      </c>
      <c r="K69" s="1" t="s">
        <v>195</v>
      </c>
      <c r="L69" s="1" t="s">
        <v>158</v>
      </c>
    </row>
    <row r="70" spans="1:12">
      <c r="A70">
        <v>4719</v>
      </c>
      <c r="B70" t="s">
        <v>153</v>
      </c>
      <c r="C70" s="36" t="s">
        <v>361</v>
      </c>
      <c r="D70" t="s">
        <v>362</v>
      </c>
      <c r="F70" s="1" t="s">
        <v>163</v>
      </c>
      <c r="G70" t="s">
        <v>134</v>
      </c>
      <c r="H70" s="44" t="s">
        <v>133</v>
      </c>
      <c r="J70" t="s">
        <v>156</v>
      </c>
      <c r="K70" t="s">
        <v>157</v>
      </c>
      <c r="L70" t="s">
        <v>158</v>
      </c>
    </row>
    <row r="71" spans="1:12">
      <c r="A71">
        <v>3786</v>
      </c>
      <c r="B71" t="s">
        <v>153</v>
      </c>
      <c r="C71" s="36" t="s">
        <v>363</v>
      </c>
      <c r="D71" t="s">
        <v>364</v>
      </c>
      <c r="F71" s="1" t="s">
        <v>359</v>
      </c>
      <c r="G71" s="1" t="s">
        <v>360</v>
      </c>
      <c r="H71" s="44" t="s">
        <v>49</v>
      </c>
      <c r="J71" t="s">
        <v>194</v>
      </c>
      <c r="K71" t="s">
        <v>195</v>
      </c>
      <c r="L71" t="s">
        <v>158</v>
      </c>
    </row>
    <row r="72" spans="1:12">
      <c r="A72">
        <v>4088</v>
      </c>
      <c r="B72" t="s">
        <v>153</v>
      </c>
      <c r="C72" t="s">
        <v>106</v>
      </c>
      <c r="D72" t="s">
        <v>365</v>
      </c>
      <c r="F72" s="1" t="s">
        <v>366</v>
      </c>
      <c r="G72" s="1" t="s">
        <v>367</v>
      </c>
      <c r="H72" s="44" t="s">
        <v>105</v>
      </c>
      <c r="I72" t="s">
        <v>106</v>
      </c>
      <c r="J72" s="1" t="s">
        <v>247</v>
      </c>
      <c r="K72" s="1" t="s">
        <v>248</v>
      </c>
      <c r="L72" s="1" t="s">
        <v>158</v>
      </c>
    </row>
    <row r="73" spans="1:12">
      <c r="A73">
        <v>4600</v>
      </c>
      <c r="B73" t="s">
        <v>153</v>
      </c>
      <c r="C73" s="36" t="s">
        <v>368</v>
      </c>
      <c r="D73" t="s">
        <v>369</v>
      </c>
      <c r="H73" s="46" t="s">
        <v>370</v>
      </c>
    </row>
    <row r="74" spans="1:12">
      <c r="A74">
        <v>4779</v>
      </c>
      <c r="B74" t="s">
        <v>153</v>
      </c>
      <c r="C74" s="36" t="s">
        <v>371</v>
      </c>
      <c r="D74" t="s">
        <v>372</v>
      </c>
      <c r="F74" s="1" t="s">
        <v>309</v>
      </c>
      <c r="G74" s="1" t="s">
        <v>310</v>
      </c>
      <c r="H74" s="46" t="s">
        <v>373</v>
      </c>
      <c r="K74" t="s">
        <v>160</v>
      </c>
      <c r="L74" t="s">
        <v>158</v>
      </c>
    </row>
    <row r="75" spans="1:12">
      <c r="A75">
        <v>3568</v>
      </c>
      <c r="B75" t="s">
        <v>153</v>
      </c>
      <c r="C75" t="s">
        <v>374</v>
      </c>
      <c r="D75" t="s">
        <v>375</v>
      </c>
      <c r="F75" s="1" t="s">
        <v>376</v>
      </c>
      <c r="G75" s="1" t="s">
        <v>377</v>
      </c>
      <c r="H75" s="44" t="s">
        <v>115</v>
      </c>
      <c r="I75" s="1" t="s">
        <v>116</v>
      </c>
      <c r="J75" s="1" t="s">
        <v>216</v>
      </c>
      <c r="K75" s="1" t="s">
        <v>193</v>
      </c>
      <c r="L75" s="1" t="s">
        <v>171</v>
      </c>
    </row>
    <row r="76" spans="1:12">
      <c r="A76">
        <v>3971</v>
      </c>
      <c r="B76" t="s">
        <v>153</v>
      </c>
      <c r="C76" t="s">
        <v>116</v>
      </c>
      <c r="D76" t="s">
        <v>378</v>
      </c>
      <c r="F76" s="1" t="s">
        <v>376</v>
      </c>
      <c r="G76" s="1" t="s">
        <v>377</v>
      </c>
      <c r="H76" s="44" t="s">
        <v>115</v>
      </c>
      <c r="I76" s="1" t="s">
        <v>116</v>
      </c>
      <c r="J76" s="1" t="s">
        <v>216</v>
      </c>
      <c r="K76" s="1" t="s">
        <v>193</v>
      </c>
      <c r="L76" s="1" t="s">
        <v>171</v>
      </c>
    </row>
    <row r="77" spans="1:12">
      <c r="A77">
        <v>3539</v>
      </c>
      <c r="B77" t="s">
        <v>153</v>
      </c>
      <c r="C77" t="s">
        <v>50</v>
      </c>
      <c r="D77" t="s">
        <v>379</v>
      </c>
      <c r="F77" s="1" t="s">
        <v>359</v>
      </c>
      <c r="G77" s="1" t="s">
        <v>360</v>
      </c>
      <c r="H77" s="43" t="s">
        <v>49</v>
      </c>
      <c r="I77" s="1" t="s">
        <v>50</v>
      </c>
      <c r="J77" s="1" t="s">
        <v>194</v>
      </c>
      <c r="K77" s="1" t="s">
        <v>195</v>
      </c>
      <c r="L77" s="1" t="s">
        <v>158</v>
      </c>
    </row>
    <row r="78" spans="1:12">
      <c r="A78">
        <v>3540</v>
      </c>
      <c r="B78" t="s">
        <v>153</v>
      </c>
      <c r="C78" s="36" t="s">
        <v>380</v>
      </c>
      <c r="D78" t="s">
        <v>381</v>
      </c>
      <c r="F78" s="1" t="s">
        <v>359</v>
      </c>
      <c r="G78" s="1" t="s">
        <v>360</v>
      </c>
      <c r="J78" t="s">
        <v>194</v>
      </c>
      <c r="K78" t="s">
        <v>195</v>
      </c>
      <c r="L78" t="s">
        <v>158</v>
      </c>
    </row>
    <row r="79" spans="1:12">
      <c r="A79">
        <v>3541</v>
      </c>
      <c r="B79" t="s">
        <v>153</v>
      </c>
      <c r="C79" s="36" t="s">
        <v>382</v>
      </c>
      <c r="D79" t="s">
        <v>383</v>
      </c>
      <c r="F79" s="1" t="s">
        <v>359</v>
      </c>
      <c r="G79" s="1" t="s">
        <v>360</v>
      </c>
      <c r="J79" t="s">
        <v>194</v>
      </c>
      <c r="K79" t="s">
        <v>195</v>
      </c>
      <c r="L79" t="s">
        <v>158</v>
      </c>
    </row>
    <row r="80" spans="1:12">
      <c r="A80">
        <v>3035</v>
      </c>
      <c r="B80" t="s">
        <v>153</v>
      </c>
      <c r="C80" s="40" t="s">
        <v>66</v>
      </c>
      <c r="D80" t="s">
        <v>384</v>
      </c>
      <c r="F80" s="1" t="s">
        <v>385</v>
      </c>
      <c r="G80" s="1" t="s">
        <v>386</v>
      </c>
      <c r="H80" s="43" t="s">
        <v>65</v>
      </c>
      <c r="I80" s="1" t="s">
        <v>66</v>
      </c>
      <c r="J80" s="1" t="s">
        <v>214</v>
      </c>
      <c r="K80" s="1" t="s">
        <v>186</v>
      </c>
      <c r="L80" s="1" t="s">
        <v>158</v>
      </c>
    </row>
    <row r="81" spans="1:12">
      <c r="A81">
        <v>3029</v>
      </c>
      <c r="B81" t="s">
        <v>153</v>
      </c>
      <c r="C81" s="36" t="s">
        <v>387</v>
      </c>
      <c r="D81" t="s">
        <v>388</v>
      </c>
      <c r="F81" s="1" t="s">
        <v>163</v>
      </c>
      <c r="G81" s="1" t="s">
        <v>164</v>
      </c>
      <c r="J81" t="s">
        <v>156</v>
      </c>
      <c r="K81" t="s">
        <v>157</v>
      </c>
      <c r="L81" t="s">
        <v>158</v>
      </c>
    </row>
    <row r="82" spans="1:12">
      <c r="A82">
        <v>4874</v>
      </c>
      <c r="B82" t="s">
        <v>153</v>
      </c>
      <c r="C82" s="36" t="s">
        <v>389</v>
      </c>
      <c r="D82" t="s">
        <v>390</v>
      </c>
      <c r="F82" s="1" t="s">
        <v>309</v>
      </c>
      <c r="G82" s="1" t="s">
        <v>310</v>
      </c>
      <c r="K82" t="s">
        <v>160</v>
      </c>
      <c r="L82" t="s">
        <v>158</v>
      </c>
    </row>
    <row r="83" spans="1:12">
      <c r="A83">
        <v>4590</v>
      </c>
      <c r="B83" t="s">
        <v>153</v>
      </c>
      <c r="C83" t="s">
        <v>96</v>
      </c>
      <c r="D83" t="s">
        <v>391</v>
      </c>
      <c r="F83" s="1" t="s">
        <v>392</v>
      </c>
      <c r="G83" s="1" t="s">
        <v>393</v>
      </c>
      <c r="H83" s="43" t="s">
        <v>95</v>
      </c>
      <c r="I83" s="1" t="s">
        <v>96</v>
      </c>
      <c r="J83" s="1" t="s">
        <v>236</v>
      </c>
      <c r="K83" s="1" t="s">
        <v>237</v>
      </c>
      <c r="L83" s="1" t="s">
        <v>171</v>
      </c>
    </row>
    <row r="84" spans="1:12">
      <c r="A84">
        <v>3767</v>
      </c>
      <c r="B84" t="s">
        <v>153</v>
      </c>
      <c r="C84" t="s">
        <v>394</v>
      </c>
      <c r="D84" t="s">
        <v>395</v>
      </c>
      <c r="F84" s="1" t="s">
        <v>392</v>
      </c>
      <c r="G84" s="1" t="s">
        <v>393</v>
      </c>
      <c r="J84" s="1" t="s">
        <v>236</v>
      </c>
      <c r="K84" s="1" t="s">
        <v>237</v>
      </c>
      <c r="L84" s="1" t="s">
        <v>171</v>
      </c>
    </row>
    <row r="85" spans="1:12">
      <c r="A85">
        <v>4694</v>
      </c>
      <c r="B85" t="s">
        <v>153</v>
      </c>
      <c r="C85" t="s">
        <v>396</v>
      </c>
      <c r="D85" t="s">
        <v>397</v>
      </c>
      <c r="F85" s="1" t="s">
        <v>191</v>
      </c>
      <c r="G85" s="35" t="s">
        <v>192</v>
      </c>
      <c r="H85" s="43" t="s">
        <v>109</v>
      </c>
      <c r="I85" s="1" t="s">
        <v>110</v>
      </c>
      <c r="J85" s="1" t="s">
        <v>216</v>
      </c>
      <c r="K85" s="1" t="s">
        <v>193</v>
      </c>
      <c r="L85" s="1" t="s">
        <v>158</v>
      </c>
    </row>
    <row r="86" spans="1:12">
      <c r="A86">
        <v>3535</v>
      </c>
      <c r="B86" t="s">
        <v>153</v>
      </c>
      <c r="C86" t="s">
        <v>74</v>
      </c>
      <c r="D86" t="s">
        <v>398</v>
      </c>
      <c r="F86" s="1" t="s">
        <v>266</v>
      </c>
      <c r="G86" s="35" t="s">
        <v>267</v>
      </c>
      <c r="H86" s="43" t="s">
        <v>73</v>
      </c>
      <c r="I86" s="1" t="s">
        <v>74</v>
      </c>
      <c r="J86" s="1" t="s">
        <v>187</v>
      </c>
      <c r="K86" s="1" t="s">
        <v>188</v>
      </c>
      <c r="L86" s="1" t="s">
        <v>158</v>
      </c>
    </row>
    <row r="87" spans="1:12">
      <c r="A87">
        <v>4693</v>
      </c>
      <c r="B87" t="s">
        <v>153</v>
      </c>
      <c r="C87" t="s">
        <v>399</v>
      </c>
      <c r="D87" t="s">
        <v>400</v>
      </c>
      <c r="F87" s="1" t="s">
        <v>401</v>
      </c>
      <c r="G87" s="35" t="s">
        <v>402</v>
      </c>
      <c r="H87" s="47" t="s">
        <v>403</v>
      </c>
    </row>
    <row r="88" spans="1:12">
      <c r="A88">
        <v>3024</v>
      </c>
      <c r="B88" t="s">
        <v>153</v>
      </c>
      <c r="C88" t="s">
        <v>126</v>
      </c>
      <c r="D88" t="s">
        <v>404</v>
      </c>
      <c r="F88" s="1" t="s">
        <v>401</v>
      </c>
      <c r="G88" s="35" t="s">
        <v>402</v>
      </c>
      <c r="H88" s="43" t="s">
        <v>125</v>
      </c>
      <c r="I88" s="1" t="s">
        <v>126</v>
      </c>
      <c r="J88" s="1" t="s">
        <v>303</v>
      </c>
      <c r="K88" s="1" t="s">
        <v>304</v>
      </c>
      <c r="L88" s="1" t="s">
        <v>171</v>
      </c>
    </row>
    <row r="89" spans="1:12">
      <c r="A89">
        <v>4419</v>
      </c>
      <c r="B89" t="s">
        <v>153</v>
      </c>
      <c r="C89" t="s">
        <v>405</v>
      </c>
      <c r="D89" t="s">
        <v>406</v>
      </c>
      <c r="F89" s="1" t="s">
        <v>407</v>
      </c>
      <c r="G89" s="35" t="s">
        <v>408</v>
      </c>
      <c r="J89" s="1" t="s">
        <v>216</v>
      </c>
      <c r="K89" s="1" t="s">
        <v>193</v>
      </c>
      <c r="L89" s="1" t="s">
        <v>158</v>
      </c>
    </row>
    <row r="90" spans="1:12">
      <c r="A90">
        <v>4593</v>
      </c>
      <c r="B90" t="s">
        <v>153</v>
      </c>
      <c r="C90" t="s">
        <v>409</v>
      </c>
      <c r="D90" t="s">
        <v>410</v>
      </c>
      <c r="F90" s="1" t="s">
        <v>407</v>
      </c>
      <c r="G90" s="35" t="s">
        <v>408</v>
      </c>
      <c r="J90" s="1" t="s">
        <v>216</v>
      </c>
      <c r="K90" s="1" t="s">
        <v>193</v>
      </c>
      <c r="L90" s="1" t="s">
        <v>158</v>
      </c>
    </row>
    <row r="91" spans="1:12">
      <c r="A91">
        <v>3078</v>
      </c>
      <c r="B91" t="s">
        <v>153</v>
      </c>
      <c r="C91" t="s">
        <v>118</v>
      </c>
      <c r="D91" t="s">
        <v>411</v>
      </c>
      <c r="F91" s="1" t="s">
        <v>407</v>
      </c>
      <c r="G91" s="35" t="s">
        <v>408</v>
      </c>
      <c r="H91" s="43" t="s">
        <v>117</v>
      </c>
      <c r="I91" s="1" t="s">
        <v>118</v>
      </c>
      <c r="J91" s="1" t="s">
        <v>216</v>
      </c>
      <c r="K91" s="1" t="s">
        <v>193</v>
      </c>
      <c r="L91" s="1" t="s">
        <v>158</v>
      </c>
    </row>
    <row r="92" spans="1:12">
      <c r="A92">
        <v>4037</v>
      </c>
      <c r="B92" t="s">
        <v>153</v>
      </c>
      <c r="C92" t="s">
        <v>52</v>
      </c>
      <c r="D92" t="s">
        <v>412</v>
      </c>
      <c r="F92" s="1" t="s">
        <v>413</v>
      </c>
      <c r="G92" s="35" t="s">
        <v>414</v>
      </c>
      <c r="H92" s="43" t="s">
        <v>51</v>
      </c>
      <c r="I92" s="1" t="s">
        <v>52</v>
      </c>
      <c r="J92" s="1" t="s">
        <v>194</v>
      </c>
      <c r="K92" s="1" t="s">
        <v>195</v>
      </c>
      <c r="L92" s="1" t="s">
        <v>158</v>
      </c>
    </row>
    <row r="93" spans="1:12">
      <c r="A93">
        <v>3965</v>
      </c>
      <c r="B93" t="s">
        <v>153</v>
      </c>
      <c r="C93" t="s">
        <v>415</v>
      </c>
      <c r="D93" t="s">
        <v>416</v>
      </c>
      <c r="F93" s="1" t="s">
        <v>272</v>
      </c>
      <c r="G93" s="35" t="s">
        <v>273</v>
      </c>
      <c r="H93" s="44" t="s">
        <v>31</v>
      </c>
      <c r="K93" t="s">
        <v>160</v>
      </c>
      <c r="L93" t="s">
        <v>158</v>
      </c>
    </row>
    <row r="94" spans="1:12">
      <c r="A94">
        <v>4191</v>
      </c>
      <c r="B94" t="s">
        <v>153</v>
      </c>
      <c r="C94" t="s">
        <v>417</v>
      </c>
      <c r="D94" t="s">
        <v>418</v>
      </c>
      <c r="F94" s="1" t="s">
        <v>419</v>
      </c>
      <c r="G94" s="35" t="s">
        <v>420</v>
      </c>
      <c r="H94" s="44" t="s">
        <v>129</v>
      </c>
      <c r="J94" s="1" t="s">
        <v>312</v>
      </c>
      <c r="K94" s="1" t="s">
        <v>210</v>
      </c>
      <c r="L94" s="1" t="s">
        <v>171</v>
      </c>
    </row>
    <row r="95" spans="1:12">
      <c r="A95">
        <v>4334</v>
      </c>
      <c r="B95" t="s">
        <v>153</v>
      </c>
      <c r="C95" s="36" t="s">
        <v>421</v>
      </c>
      <c r="D95" t="s">
        <v>422</v>
      </c>
      <c r="F95" s="1" t="s">
        <v>168</v>
      </c>
      <c r="G95" s="1" t="s">
        <v>169</v>
      </c>
      <c r="H95" s="44" t="s">
        <v>167</v>
      </c>
      <c r="J95" t="s">
        <v>315</v>
      </c>
      <c r="K95" t="s">
        <v>170</v>
      </c>
      <c r="L95" t="s">
        <v>171</v>
      </c>
    </row>
    <row r="96" spans="1:12">
      <c r="A96">
        <v>4696</v>
      </c>
      <c r="B96" t="s">
        <v>153</v>
      </c>
      <c r="C96" s="36" t="s">
        <v>423</v>
      </c>
      <c r="D96" t="s">
        <v>424</v>
      </c>
      <c r="F96" s="1" t="s">
        <v>407</v>
      </c>
      <c r="G96" s="35" t="s">
        <v>408</v>
      </c>
      <c r="H96" s="44" t="s">
        <v>117</v>
      </c>
      <c r="J96" t="s">
        <v>216</v>
      </c>
      <c r="K96" t="s">
        <v>193</v>
      </c>
      <c r="L96" t="s">
        <v>158</v>
      </c>
    </row>
    <row r="97" spans="1:12">
      <c r="A97">
        <v>3969</v>
      </c>
      <c r="B97" t="s">
        <v>153</v>
      </c>
      <c r="C97" s="36" t="s">
        <v>78</v>
      </c>
      <c r="D97" t="s">
        <v>425</v>
      </c>
      <c r="F97" s="1" t="s">
        <v>426</v>
      </c>
      <c r="G97" s="35" t="s">
        <v>427</v>
      </c>
      <c r="H97" s="43" t="s">
        <v>77</v>
      </c>
      <c r="I97" s="1" t="s">
        <v>78</v>
      </c>
      <c r="J97" s="1" t="s">
        <v>203</v>
      </c>
      <c r="K97" s="1" t="s">
        <v>198</v>
      </c>
      <c r="L97" s="1" t="s">
        <v>158</v>
      </c>
    </row>
    <row r="98" spans="1:12">
      <c r="A98">
        <v>3534</v>
      </c>
      <c r="B98" t="s">
        <v>153</v>
      </c>
      <c r="C98" t="s">
        <v>428</v>
      </c>
      <c r="D98" t="s">
        <v>429</v>
      </c>
      <c r="F98" s="1" t="s">
        <v>430</v>
      </c>
      <c r="G98" s="35" t="s">
        <v>431</v>
      </c>
      <c r="J98" s="1" t="s">
        <v>236</v>
      </c>
      <c r="K98" s="1" t="s">
        <v>237</v>
      </c>
      <c r="L98" s="1" t="s">
        <v>171</v>
      </c>
    </row>
    <row r="99" spans="1:12">
      <c r="A99">
        <v>3023</v>
      </c>
      <c r="B99" t="s">
        <v>153</v>
      </c>
      <c r="C99" t="s">
        <v>432</v>
      </c>
      <c r="D99" t="s">
        <v>433</v>
      </c>
      <c r="F99" s="1" t="s">
        <v>430</v>
      </c>
      <c r="G99" s="35" t="s">
        <v>431</v>
      </c>
      <c r="J99" s="1" t="s">
        <v>236</v>
      </c>
      <c r="K99" s="1" t="s">
        <v>237</v>
      </c>
      <c r="L99" s="1" t="s">
        <v>171</v>
      </c>
    </row>
    <row r="100" spans="1:12">
      <c r="A100">
        <v>4195</v>
      </c>
      <c r="B100" t="s">
        <v>153</v>
      </c>
      <c r="C100" s="36" t="s">
        <v>434</v>
      </c>
      <c r="D100" t="s">
        <v>435</v>
      </c>
      <c r="F100" s="1" t="s">
        <v>309</v>
      </c>
      <c r="G100" s="1" t="s">
        <v>310</v>
      </c>
      <c r="H100" s="44" t="s">
        <v>31</v>
      </c>
      <c r="K100" t="s">
        <v>160</v>
      </c>
      <c r="L100" t="s">
        <v>158</v>
      </c>
    </row>
    <row r="101" spans="1:12">
      <c r="A101">
        <v>4040</v>
      </c>
      <c r="B101" t="s">
        <v>153</v>
      </c>
      <c r="C101" t="s">
        <v>436</v>
      </c>
      <c r="D101" t="s">
        <v>437</v>
      </c>
      <c r="F101" s="1" t="s">
        <v>438</v>
      </c>
      <c r="G101" s="35" t="s">
        <v>439</v>
      </c>
      <c r="H101" s="43" t="s">
        <v>103</v>
      </c>
      <c r="I101" s="1" t="s">
        <v>104</v>
      </c>
      <c r="J101" s="1" t="s">
        <v>247</v>
      </c>
      <c r="K101" s="1" t="s">
        <v>248</v>
      </c>
      <c r="L101" s="1" t="s">
        <v>158</v>
      </c>
    </row>
    <row r="102" spans="1:12">
      <c r="A102">
        <v>4089</v>
      </c>
      <c r="B102" t="s">
        <v>153</v>
      </c>
      <c r="C102" t="s">
        <v>104</v>
      </c>
      <c r="D102" t="s">
        <v>440</v>
      </c>
      <c r="F102" s="1" t="s">
        <v>438</v>
      </c>
      <c r="G102" s="35" t="s">
        <v>439</v>
      </c>
      <c r="H102" s="43" t="s">
        <v>103</v>
      </c>
      <c r="I102" s="1" t="s">
        <v>104</v>
      </c>
      <c r="J102" s="1" t="s">
        <v>247</v>
      </c>
      <c r="K102" s="1" t="s">
        <v>248</v>
      </c>
      <c r="L102" s="1" t="s">
        <v>158</v>
      </c>
    </row>
    <row r="103" spans="1:12">
      <c r="A103">
        <v>4780</v>
      </c>
      <c r="B103" t="s">
        <v>153</v>
      </c>
      <c r="C103" t="s">
        <v>441</v>
      </c>
      <c r="D103" t="s">
        <v>442</v>
      </c>
      <c r="F103" s="1" t="s">
        <v>438</v>
      </c>
      <c r="G103" s="35" t="s">
        <v>439</v>
      </c>
      <c r="J103" s="1" t="s">
        <v>247</v>
      </c>
      <c r="K103" s="1" t="s">
        <v>248</v>
      </c>
      <c r="L103" s="1" t="s">
        <v>158</v>
      </c>
    </row>
    <row r="104" spans="1:12">
      <c r="A104">
        <v>4577</v>
      </c>
      <c r="B104" t="s">
        <v>153</v>
      </c>
      <c r="C104" s="36" t="s">
        <v>443</v>
      </c>
      <c r="D104" t="s">
        <v>444</v>
      </c>
      <c r="G104" s="39" t="s">
        <v>445</v>
      </c>
      <c r="H104" s="44" t="s">
        <v>133</v>
      </c>
      <c r="J104" t="s">
        <v>156</v>
      </c>
      <c r="K104" t="s">
        <v>157</v>
      </c>
      <c r="L104" t="s">
        <v>158</v>
      </c>
    </row>
    <row r="105" spans="1:12">
      <c r="A105">
        <v>4016</v>
      </c>
      <c r="B105" t="s">
        <v>153</v>
      </c>
      <c r="C105" t="s">
        <v>88</v>
      </c>
      <c r="D105" t="s">
        <v>446</v>
      </c>
      <c r="F105" s="1" t="s">
        <v>447</v>
      </c>
      <c r="G105" s="35" t="s">
        <v>448</v>
      </c>
      <c r="H105" s="43" t="s">
        <v>87</v>
      </c>
      <c r="I105" s="1" t="s">
        <v>88</v>
      </c>
      <c r="J105" s="1" t="s">
        <v>203</v>
      </c>
      <c r="K105" s="1" t="s">
        <v>198</v>
      </c>
      <c r="L105" s="1" t="s">
        <v>158</v>
      </c>
    </row>
    <row r="106" spans="1:12">
      <c r="A106">
        <v>4339</v>
      </c>
      <c r="B106" t="s">
        <v>153</v>
      </c>
      <c r="C106" s="36" t="s">
        <v>449</v>
      </c>
      <c r="D106" t="s">
        <v>450</v>
      </c>
      <c r="F106" s="1" t="s">
        <v>205</v>
      </c>
      <c r="G106" t="s">
        <v>206</v>
      </c>
      <c r="H106" s="44" t="s">
        <v>69</v>
      </c>
      <c r="J106" t="s">
        <v>342</v>
      </c>
      <c r="K106" t="s">
        <v>343</v>
      </c>
      <c r="L106" t="s">
        <v>171</v>
      </c>
    </row>
    <row r="107" spans="1:12">
      <c r="A107">
        <v>3548</v>
      </c>
      <c r="B107" t="s">
        <v>153</v>
      </c>
      <c r="C107" s="40" t="s">
        <v>451</v>
      </c>
      <c r="D107" t="s">
        <v>452</v>
      </c>
      <c r="F107" s="1" t="s">
        <v>453</v>
      </c>
      <c r="G107" s="35" t="s">
        <v>454</v>
      </c>
      <c r="H107" s="43" t="s">
        <v>131</v>
      </c>
      <c r="I107" s="1" t="s">
        <v>132</v>
      </c>
      <c r="J107" s="1" t="s">
        <v>214</v>
      </c>
      <c r="K107" s="1" t="s">
        <v>186</v>
      </c>
      <c r="L107" s="1" t="s">
        <v>158</v>
      </c>
    </row>
    <row r="108" spans="1:12">
      <c r="A108">
        <v>4188</v>
      </c>
      <c r="B108" t="s">
        <v>153</v>
      </c>
      <c r="C108" t="s">
        <v>455</v>
      </c>
      <c r="D108" t="s">
        <v>456</v>
      </c>
      <c r="F108" s="1" t="s">
        <v>457</v>
      </c>
      <c r="G108" s="35" t="s">
        <v>458</v>
      </c>
      <c r="H108" s="43" t="s">
        <v>67</v>
      </c>
      <c r="I108" s="1" t="s">
        <v>68</v>
      </c>
      <c r="J108" s="1" t="s">
        <v>214</v>
      </c>
      <c r="K108" s="1" t="s">
        <v>186</v>
      </c>
      <c r="L108" s="1" t="s">
        <v>158</v>
      </c>
    </row>
  </sheetData>
  <conditionalFormatting sqref="A44:D44">
    <cfRule type="duplicateValues" dxfId="85" priority="86"/>
  </conditionalFormatting>
  <conditionalFormatting sqref="A45:D45">
    <cfRule type="duplicateValues" dxfId="84" priority="85"/>
  </conditionalFormatting>
  <conditionalFormatting sqref="A52:D52">
    <cfRule type="duplicateValues" dxfId="83" priority="76"/>
  </conditionalFormatting>
  <conditionalFormatting sqref="A60:D60">
    <cfRule type="duplicateValues" dxfId="82" priority="66"/>
  </conditionalFormatting>
  <conditionalFormatting sqref="A61:D61">
    <cfRule type="duplicateValues" dxfId="81" priority="65"/>
  </conditionalFormatting>
  <conditionalFormatting sqref="A62:D62">
    <cfRule type="duplicateValues" dxfId="80" priority="64"/>
  </conditionalFormatting>
  <conditionalFormatting sqref="A63:D63">
    <cfRule type="duplicateValues" dxfId="79" priority="63"/>
  </conditionalFormatting>
  <conditionalFormatting sqref="A64:D66">
    <cfRule type="duplicateValues" dxfId="78" priority="88"/>
  </conditionalFormatting>
  <conditionalFormatting sqref="A70:D70">
    <cfRule type="duplicateValues" dxfId="77" priority="55"/>
  </conditionalFormatting>
  <conditionalFormatting sqref="A71:D71">
    <cfRule type="duplicateValues" dxfId="76" priority="54"/>
  </conditionalFormatting>
  <conditionalFormatting sqref="A73:D73">
    <cfRule type="duplicateValues" dxfId="75" priority="51"/>
  </conditionalFormatting>
  <conditionalFormatting sqref="A74:D74">
    <cfRule type="duplicateValues" dxfId="74" priority="50"/>
  </conditionalFormatting>
  <conditionalFormatting sqref="A77:D77">
    <cfRule type="duplicateValues" dxfId="73" priority="47"/>
  </conditionalFormatting>
  <conditionalFormatting sqref="A78:D79">
    <cfRule type="duplicateValues" dxfId="72" priority="45"/>
  </conditionalFormatting>
  <conditionalFormatting sqref="A81:D81">
    <cfRule type="duplicateValues" dxfId="71" priority="42"/>
  </conditionalFormatting>
  <conditionalFormatting sqref="A82:D82">
    <cfRule type="duplicateValues" dxfId="70" priority="41"/>
  </conditionalFormatting>
  <conditionalFormatting sqref="A97:D97">
    <cfRule type="duplicateValues" dxfId="69" priority="21"/>
  </conditionalFormatting>
  <conditionalFormatting sqref="A100:D100">
    <cfRule type="duplicateValues" dxfId="68" priority="17"/>
  </conditionalFormatting>
  <conditionalFormatting sqref="A104:D104">
    <cfRule type="duplicateValues" dxfId="67" priority="12"/>
  </conditionalFormatting>
  <conditionalFormatting sqref="A106:D106">
    <cfRule type="duplicateValues" dxfId="66" priority="9"/>
  </conditionalFormatting>
  <conditionalFormatting sqref="A107:D107">
    <cfRule type="duplicateValues" dxfId="65" priority="8"/>
  </conditionalFormatting>
  <conditionalFormatting sqref="A46:E47">
    <cfRule type="duplicateValues" dxfId="64" priority="84"/>
  </conditionalFormatting>
  <conditionalFormatting sqref="A48:E48">
    <cfRule type="duplicateValues" dxfId="63" priority="82"/>
  </conditionalFormatting>
  <conditionalFormatting sqref="A49:E49">
    <cfRule type="duplicateValues" dxfId="62" priority="80"/>
  </conditionalFormatting>
  <conditionalFormatting sqref="A50:E51">
    <cfRule type="duplicateValues" dxfId="61" priority="78"/>
  </conditionalFormatting>
  <conditionalFormatting sqref="A53:E55">
    <cfRule type="duplicateValues" dxfId="60" priority="75"/>
  </conditionalFormatting>
  <conditionalFormatting sqref="A56:E56">
    <cfRule type="duplicateValues" dxfId="59" priority="71"/>
  </conditionalFormatting>
  <conditionalFormatting sqref="A57:E57">
    <cfRule type="duplicateValues" dxfId="58" priority="70"/>
  </conditionalFormatting>
  <conditionalFormatting sqref="A58:E59">
    <cfRule type="duplicateValues" dxfId="57" priority="68"/>
  </conditionalFormatting>
  <conditionalFormatting sqref="A67:E67">
    <cfRule type="duplicateValues" dxfId="56" priority="61"/>
  </conditionalFormatting>
  <conditionalFormatting sqref="A68:E68">
    <cfRule type="duplicateValues" dxfId="55" priority="59"/>
  </conditionalFormatting>
  <conditionalFormatting sqref="A69:E69">
    <cfRule type="duplicateValues" dxfId="54" priority="57"/>
  </conditionalFormatting>
  <conditionalFormatting sqref="A72:E72">
    <cfRule type="duplicateValues" dxfId="53" priority="53"/>
  </conditionalFormatting>
  <conditionalFormatting sqref="A75:E76">
    <cfRule type="duplicateValues" dxfId="52" priority="49"/>
  </conditionalFormatting>
  <conditionalFormatting sqref="A80:E80">
    <cfRule type="duplicateValues" dxfId="51" priority="44"/>
  </conditionalFormatting>
  <conditionalFormatting sqref="A83:E84">
    <cfRule type="duplicateValues" dxfId="50" priority="40"/>
  </conditionalFormatting>
  <conditionalFormatting sqref="A85:E85">
    <cfRule type="duplicateValues" dxfId="49" priority="37"/>
  </conditionalFormatting>
  <conditionalFormatting sqref="A86:E86">
    <cfRule type="duplicateValues" dxfId="48" priority="35"/>
  </conditionalFormatting>
  <conditionalFormatting sqref="A87:E88">
    <cfRule type="duplicateValues" dxfId="47" priority="33"/>
  </conditionalFormatting>
  <conditionalFormatting sqref="A89:E91">
    <cfRule type="duplicateValues" dxfId="46" priority="31"/>
  </conditionalFormatting>
  <conditionalFormatting sqref="A92:E93">
    <cfRule type="duplicateValues" dxfId="45" priority="27"/>
  </conditionalFormatting>
  <conditionalFormatting sqref="A94:E94">
    <cfRule type="duplicateValues" dxfId="44" priority="24"/>
  </conditionalFormatting>
  <conditionalFormatting sqref="A95:E96">
    <cfRule type="duplicateValues" dxfId="43" priority="22"/>
  </conditionalFormatting>
  <conditionalFormatting sqref="A98:E99">
    <cfRule type="duplicateValues" dxfId="42" priority="20"/>
  </conditionalFormatting>
  <conditionalFormatting sqref="A101:E103">
    <cfRule type="duplicateValues" dxfId="41" priority="15"/>
  </conditionalFormatting>
  <conditionalFormatting sqref="A105:E105">
    <cfRule type="duplicateValues" dxfId="40" priority="11"/>
  </conditionalFormatting>
  <conditionalFormatting sqref="A108:E108">
    <cfRule type="duplicateValues" dxfId="39" priority="7"/>
  </conditionalFormatting>
  <conditionalFormatting sqref="F77">
    <cfRule type="duplicateValues" dxfId="38" priority="2"/>
  </conditionalFormatting>
  <conditionalFormatting sqref="F78">
    <cfRule type="duplicateValues" dxfId="37" priority="1"/>
  </conditionalFormatting>
  <conditionalFormatting sqref="F10:G10">
    <cfRule type="duplicateValues" dxfId="36" priority="5"/>
  </conditionalFormatting>
  <conditionalFormatting sqref="F46:G46">
    <cfRule type="duplicateValues" dxfId="35" priority="83"/>
  </conditionalFormatting>
  <conditionalFormatting sqref="F48:G48">
    <cfRule type="duplicateValues" dxfId="34" priority="81"/>
  </conditionalFormatting>
  <conditionalFormatting sqref="F49:G49">
    <cfRule type="duplicateValues" dxfId="33" priority="79"/>
  </conditionalFormatting>
  <conditionalFormatting sqref="F50:G50">
    <cfRule type="duplicateValues" dxfId="32" priority="77"/>
  </conditionalFormatting>
  <conditionalFormatting sqref="F53:G53">
    <cfRule type="duplicateValues" dxfId="31" priority="74"/>
  </conditionalFormatting>
  <conditionalFormatting sqref="F54:G54">
    <cfRule type="duplicateValues" dxfId="30" priority="73"/>
  </conditionalFormatting>
  <conditionalFormatting sqref="F55:G55">
    <cfRule type="duplicateValues" dxfId="29" priority="72"/>
  </conditionalFormatting>
  <conditionalFormatting sqref="F57:G57">
    <cfRule type="duplicateValues" dxfId="28" priority="69"/>
  </conditionalFormatting>
  <conditionalFormatting sqref="F58:G59">
    <cfRule type="duplicateValues" dxfId="27" priority="67"/>
  </conditionalFormatting>
  <conditionalFormatting sqref="F67:G67">
    <cfRule type="duplicateValues" dxfId="26" priority="60"/>
  </conditionalFormatting>
  <conditionalFormatting sqref="F68:G68">
    <cfRule type="duplicateValues" dxfId="25" priority="58"/>
  </conditionalFormatting>
  <conditionalFormatting sqref="F69:G69">
    <cfRule type="duplicateValues" dxfId="24" priority="56"/>
  </conditionalFormatting>
  <conditionalFormatting sqref="F72:G72">
    <cfRule type="duplicateValues" dxfId="23" priority="52"/>
  </conditionalFormatting>
  <conditionalFormatting sqref="F75:G76">
    <cfRule type="duplicateValues" dxfId="22" priority="48"/>
  </conditionalFormatting>
  <conditionalFormatting sqref="F80:G80">
    <cfRule type="duplicateValues" dxfId="21" priority="43"/>
  </conditionalFormatting>
  <conditionalFormatting sqref="F83:G83">
    <cfRule type="duplicateValues" dxfId="20" priority="39"/>
  </conditionalFormatting>
  <conditionalFormatting sqref="F84:G84">
    <cfRule type="duplicateValues" dxfId="19" priority="38"/>
  </conditionalFormatting>
  <conditionalFormatting sqref="F85:G85">
    <cfRule type="duplicateValues" dxfId="18" priority="36"/>
  </conditionalFormatting>
  <conditionalFormatting sqref="F86:G86">
    <cfRule type="duplicateValues" dxfId="17" priority="34"/>
  </conditionalFormatting>
  <conditionalFormatting sqref="F88:G88">
    <cfRule type="duplicateValues" dxfId="16" priority="32"/>
  </conditionalFormatting>
  <conditionalFormatting sqref="F89:G89">
    <cfRule type="duplicateValues" dxfId="15" priority="30"/>
  </conditionalFormatting>
  <conditionalFormatting sqref="F90:G90">
    <cfRule type="duplicateValues" dxfId="14" priority="29"/>
  </conditionalFormatting>
  <conditionalFormatting sqref="F91:G91">
    <cfRule type="duplicateValues" dxfId="13" priority="28"/>
  </conditionalFormatting>
  <conditionalFormatting sqref="F92:G92">
    <cfRule type="duplicateValues" dxfId="12" priority="26"/>
  </conditionalFormatting>
  <conditionalFormatting sqref="F93:G93">
    <cfRule type="duplicateValues" dxfId="11" priority="25"/>
  </conditionalFormatting>
  <conditionalFormatting sqref="F94:G94">
    <cfRule type="duplicateValues" dxfId="10" priority="23"/>
  </conditionalFormatting>
  <conditionalFormatting sqref="F98:G98">
    <cfRule type="duplicateValues" dxfId="9" priority="19"/>
  </conditionalFormatting>
  <conditionalFormatting sqref="F99:G99">
    <cfRule type="duplicateValues" dxfId="8" priority="18"/>
  </conditionalFormatting>
  <conditionalFormatting sqref="F101:G101">
    <cfRule type="duplicateValues" dxfId="7" priority="16"/>
  </conditionalFormatting>
  <conditionalFormatting sqref="F102:G102">
    <cfRule type="duplicateValues" dxfId="6" priority="14"/>
  </conditionalFormatting>
  <conditionalFormatting sqref="F103:G103">
    <cfRule type="duplicateValues" dxfId="5" priority="13"/>
  </conditionalFormatting>
  <conditionalFormatting sqref="F105:G105">
    <cfRule type="duplicateValues" dxfId="4" priority="10"/>
  </conditionalFormatting>
  <conditionalFormatting sqref="F108:G108">
    <cfRule type="duplicateValues" dxfId="3" priority="6"/>
  </conditionalFormatting>
  <conditionalFormatting sqref="G77 F79">
    <cfRule type="duplicateValues" dxfId="2" priority="46"/>
  </conditionalFormatting>
  <conditionalFormatting sqref="G78">
    <cfRule type="duplicateValues" dxfId="1" priority="4"/>
  </conditionalFormatting>
  <conditionalFormatting sqref="G79">
    <cfRule type="duplicateValues" dxfId="0" priority="3"/>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C95D6-3565-44EF-B384-9F4FD4CBFF66}">
  <dimension ref="A2:I61"/>
  <sheetViews>
    <sheetView workbookViewId="0">
      <selection activeCell="E4" sqref="E4"/>
    </sheetView>
  </sheetViews>
  <sheetFormatPr defaultRowHeight="14.4"/>
  <cols>
    <col min="2" max="2" width="22" customWidth="1"/>
    <col min="3" max="5" width="26.109375" customWidth="1"/>
    <col min="6" max="6" width="18.44140625" customWidth="1"/>
    <col min="7" max="7" width="28.6640625" customWidth="1"/>
    <col min="8" max="8" width="16" customWidth="1"/>
    <col min="9" max="9" width="102.33203125" customWidth="1"/>
  </cols>
  <sheetData>
    <row r="2" spans="1:9" ht="21">
      <c r="A2" s="4" t="s">
        <v>459</v>
      </c>
    </row>
    <row r="4" spans="1:9" ht="65.25" customHeight="1">
      <c r="A4" s="49"/>
      <c r="B4" s="49" t="s">
        <v>1</v>
      </c>
      <c r="C4" s="50" t="s">
        <v>460</v>
      </c>
      <c r="D4" s="50" t="s">
        <v>461</v>
      </c>
      <c r="E4" s="58" t="s">
        <v>462</v>
      </c>
      <c r="F4" t="s">
        <v>463</v>
      </c>
      <c r="G4" s="55" t="s">
        <v>464</v>
      </c>
      <c r="H4" s="55"/>
    </row>
    <row r="5" spans="1:9" ht="57.6">
      <c r="A5" s="1" t="s">
        <v>514</v>
      </c>
      <c r="B5" s="1" t="s">
        <v>32</v>
      </c>
      <c r="C5" s="56">
        <v>0.52200000000000002</v>
      </c>
      <c r="D5" s="56">
        <v>1.05</v>
      </c>
      <c r="E5" s="56">
        <f>D5*C5</f>
        <v>0.54810000000000003</v>
      </c>
      <c r="F5" s="56">
        <f>E5*D5</f>
        <v>0.57550500000000004</v>
      </c>
      <c r="G5" t="s">
        <v>465</v>
      </c>
      <c r="I5" s="55" t="s">
        <v>466</v>
      </c>
    </row>
    <row r="6" spans="1:9">
      <c r="A6" s="1" t="s">
        <v>515</v>
      </c>
      <c r="B6" s="1" t="s">
        <v>36</v>
      </c>
      <c r="C6" s="56">
        <v>1</v>
      </c>
      <c r="D6" s="56">
        <v>1.05</v>
      </c>
      <c r="E6" s="56">
        <f t="shared" ref="E6:E61" si="0">D6*C6</f>
        <v>1.05</v>
      </c>
      <c r="F6">
        <v>0</v>
      </c>
      <c r="G6" t="s">
        <v>465</v>
      </c>
      <c r="I6" s="57" t="s">
        <v>467</v>
      </c>
    </row>
    <row r="7" spans="1:9">
      <c r="A7" s="1" t="s">
        <v>516</v>
      </c>
      <c r="B7" s="1" t="s">
        <v>38</v>
      </c>
      <c r="C7" s="56">
        <v>0.56000000000000005</v>
      </c>
      <c r="D7" s="56">
        <v>1.4999999999999999E-2</v>
      </c>
      <c r="E7" s="56">
        <f t="shared" si="0"/>
        <v>8.4000000000000012E-3</v>
      </c>
      <c r="F7">
        <v>1</v>
      </c>
      <c r="G7" t="s">
        <v>465</v>
      </c>
    </row>
    <row r="8" spans="1:9">
      <c r="A8" s="1" t="s">
        <v>517</v>
      </c>
      <c r="B8" s="1" t="s">
        <v>40</v>
      </c>
      <c r="C8" s="56">
        <v>0.47799999999999998</v>
      </c>
      <c r="D8" s="56">
        <v>0.49</v>
      </c>
      <c r="E8" s="56">
        <f t="shared" si="0"/>
        <v>0.23421999999999998</v>
      </c>
      <c r="F8">
        <v>1</v>
      </c>
      <c r="G8" t="s">
        <v>465</v>
      </c>
    </row>
    <row r="9" spans="1:9">
      <c r="A9" s="1" t="s">
        <v>518</v>
      </c>
      <c r="B9" s="1" t="s">
        <v>42</v>
      </c>
      <c r="C9" s="56">
        <v>0.60099999999999998</v>
      </c>
      <c r="D9" s="56">
        <v>4.9000000000000002E-2</v>
      </c>
      <c r="E9" s="56">
        <f t="shared" si="0"/>
        <v>2.9448999999999999E-2</v>
      </c>
      <c r="F9">
        <v>1</v>
      </c>
      <c r="G9" t="s">
        <v>465</v>
      </c>
    </row>
    <row r="10" spans="1:9">
      <c r="A10" s="1" t="s">
        <v>519</v>
      </c>
      <c r="B10" s="1" t="s">
        <v>44</v>
      </c>
      <c r="C10" s="56">
        <v>0.36799999999999999</v>
      </c>
      <c r="D10" s="56">
        <v>2.5</v>
      </c>
      <c r="E10" s="56">
        <f t="shared" si="0"/>
        <v>0.91999999999999993</v>
      </c>
      <c r="F10">
        <v>1</v>
      </c>
      <c r="G10" t="s">
        <v>468</v>
      </c>
    </row>
    <row r="11" spans="1:9">
      <c r="A11" s="1" t="s">
        <v>520</v>
      </c>
      <c r="B11" s="1" t="s">
        <v>46</v>
      </c>
      <c r="C11" s="56">
        <v>0.36799999999999999</v>
      </c>
      <c r="D11" s="56">
        <v>1.4999999999999999E-2</v>
      </c>
      <c r="E11" s="56">
        <f t="shared" si="0"/>
        <v>5.5199999999999997E-3</v>
      </c>
      <c r="F11">
        <v>1</v>
      </c>
      <c r="G11" t="s">
        <v>465</v>
      </c>
    </row>
    <row r="12" spans="1:9">
      <c r="A12" s="1" t="s">
        <v>521</v>
      </c>
      <c r="B12" s="1" t="s">
        <v>48</v>
      </c>
      <c r="C12" s="56">
        <v>0.36799999999999999</v>
      </c>
      <c r="D12" s="56">
        <v>2</v>
      </c>
      <c r="E12" s="56">
        <f t="shared" si="0"/>
        <v>0.73599999999999999</v>
      </c>
      <c r="F12">
        <v>1</v>
      </c>
      <c r="G12" t="s">
        <v>465</v>
      </c>
    </row>
    <row r="13" spans="1:9">
      <c r="A13" s="1" t="s">
        <v>522</v>
      </c>
      <c r="B13" s="1" t="s">
        <v>50</v>
      </c>
      <c r="C13" s="56">
        <v>0.36799999999999999</v>
      </c>
      <c r="D13" s="56">
        <v>2.7</v>
      </c>
      <c r="E13" s="56">
        <f t="shared" si="0"/>
        <v>0.99360000000000004</v>
      </c>
      <c r="F13">
        <v>1</v>
      </c>
      <c r="G13" t="s">
        <v>465</v>
      </c>
    </row>
    <row r="14" spans="1:9">
      <c r="A14" s="1" t="s">
        <v>523</v>
      </c>
      <c r="B14" s="1" t="s">
        <v>52</v>
      </c>
      <c r="C14" s="51">
        <v>0.36799999999999999</v>
      </c>
      <c r="D14" s="51">
        <f>(4.9+0.267)/2</f>
        <v>2.5835000000000004</v>
      </c>
      <c r="E14" s="56">
        <f t="shared" si="0"/>
        <v>0.95072800000000013</v>
      </c>
      <c r="F14">
        <v>1</v>
      </c>
      <c r="G14" t="s">
        <v>468</v>
      </c>
    </row>
    <row r="15" spans="1:9">
      <c r="A15" s="1" t="s">
        <v>524</v>
      </c>
      <c r="B15" s="1" t="s">
        <v>54</v>
      </c>
      <c r="C15" s="52">
        <v>0.40699999999999997</v>
      </c>
      <c r="D15" s="52">
        <v>3.4</v>
      </c>
      <c r="E15" s="56">
        <f t="shared" si="0"/>
        <v>1.3837999999999999</v>
      </c>
      <c r="F15">
        <v>0.67</v>
      </c>
      <c r="G15" t="s">
        <v>465</v>
      </c>
    </row>
    <row r="16" spans="1:9">
      <c r="A16" s="1" t="s">
        <v>525</v>
      </c>
      <c r="B16" s="1" t="s">
        <v>56</v>
      </c>
      <c r="C16" s="52">
        <f>AVERAGEA(0.368,0.368,0.399,0.42,0.368,0.368)</f>
        <v>0.3818333333333333</v>
      </c>
      <c r="D16" s="52">
        <v>34.5</v>
      </c>
      <c r="E16" s="56">
        <f t="shared" si="0"/>
        <v>13.173249999999999</v>
      </c>
      <c r="F16">
        <v>1</v>
      </c>
      <c r="G16" t="s">
        <v>465</v>
      </c>
    </row>
    <row r="17" spans="1:7">
      <c r="A17" s="1" t="s">
        <v>526</v>
      </c>
      <c r="B17" s="1" t="s">
        <v>58</v>
      </c>
      <c r="C17" s="52">
        <v>0.5</v>
      </c>
      <c r="D17" s="52">
        <v>2</v>
      </c>
      <c r="E17" s="56">
        <f t="shared" si="0"/>
        <v>1</v>
      </c>
      <c r="F17">
        <v>1</v>
      </c>
      <c r="G17" t="s">
        <v>465</v>
      </c>
    </row>
    <row r="18" spans="1:7">
      <c r="A18" s="1" t="s">
        <v>527</v>
      </c>
      <c r="B18" s="1" t="s">
        <v>60</v>
      </c>
      <c r="C18">
        <v>0.53</v>
      </c>
      <c r="D18">
        <v>3.6</v>
      </c>
      <c r="E18" s="56">
        <f t="shared" si="0"/>
        <v>1.9080000000000001</v>
      </c>
      <c r="F18">
        <v>1</v>
      </c>
      <c r="G18" t="s">
        <v>465</v>
      </c>
    </row>
    <row r="19" spans="1:7">
      <c r="A19" s="1" t="s">
        <v>528</v>
      </c>
      <c r="B19" s="1" t="s">
        <v>62</v>
      </c>
      <c r="C19">
        <v>0.36799999999999999</v>
      </c>
      <c r="D19">
        <v>2</v>
      </c>
      <c r="E19" s="56">
        <f t="shared" si="0"/>
        <v>0.73599999999999999</v>
      </c>
      <c r="F19">
        <v>1</v>
      </c>
      <c r="G19" t="s">
        <v>465</v>
      </c>
    </row>
    <row r="20" spans="1:7">
      <c r="A20" s="1" t="s">
        <v>529</v>
      </c>
      <c r="B20" s="1" t="s">
        <v>64</v>
      </c>
      <c r="C20">
        <v>0.36799999999999999</v>
      </c>
      <c r="D20">
        <v>15</v>
      </c>
      <c r="E20" s="56">
        <f t="shared" si="0"/>
        <v>5.52</v>
      </c>
      <c r="F20">
        <v>1</v>
      </c>
      <c r="G20" t="s">
        <v>465</v>
      </c>
    </row>
    <row r="21" spans="1:7">
      <c r="A21" s="1" t="s">
        <v>530</v>
      </c>
      <c r="B21" s="1" t="s">
        <v>66</v>
      </c>
      <c r="C21">
        <v>0.36799999999999999</v>
      </c>
      <c r="D21">
        <v>1.2</v>
      </c>
      <c r="E21" s="56">
        <f t="shared" si="0"/>
        <v>0.44159999999999999</v>
      </c>
      <c r="F21">
        <v>1</v>
      </c>
      <c r="G21" t="s">
        <v>465</v>
      </c>
    </row>
    <row r="22" spans="1:7">
      <c r="A22" s="1" t="s">
        <v>531</v>
      </c>
      <c r="B22" s="1" t="s">
        <v>68</v>
      </c>
      <c r="C22">
        <v>0.36799999999999999</v>
      </c>
      <c r="D22">
        <v>1.2</v>
      </c>
      <c r="E22" s="56">
        <f t="shared" si="0"/>
        <v>0.44159999999999999</v>
      </c>
      <c r="F22">
        <v>1</v>
      </c>
      <c r="G22" t="s">
        <v>465</v>
      </c>
    </row>
    <row r="23" spans="1:7">
      <c r="A23" s="1" t="s">
        <v>532</v>
      </c>
      <c r="B23" s="11" t="s">
        <v>70</v>
      </c>
      <c r="C23">
        <v>0.36799999999999999</v>
      </c>
      <c r="D23">
        <v>5</v>
      </c>
      <c r="E23" s="56">
        <f t="shared" si="0"/>
        <v>1.8399999999999999</v>
      </c>
      <c r="F23">
        <v>1</v>
      </c>
      <c r="G23" t="s">
        <v>468</v>
      </c>
    </row>
    <row r="24" spans="1:7">
      <c r="A24" s="1" t="s">
        <v>533</v>
      </c>
      <c r="B24" s="1" t="s">
        <v>72</v>
      </c>
      <c r="C24">
        <v>0.36799999999999999</v>
      </c>
      <c r="D24">
        <v>4</v>
      </c>
      <c r="E24" s="56">
        <f t="shared" si="0"/>
        <v>1.472</v>
      </c>
      <c r="F24">
        <v>1</v>
      </c>
      <c r="G24" t="s">
        <v>465</v>
      </c>
    </row>
    <row r="25" spans="1:7">
      <c r="A25" s="1" t="s">
        <v>534</v>
      </c>
      <c r="B25" s="1" t="s">
        <v>74</v>
      </c>
      <c r="C25">
        <v>0.61</v>
      </c>
      <c r="D25">
        <f>(25+0.03)/2</f>
        <v>12.515000000000001</v>
      </c>
      <c r="E25" s="56">
        <f t="shared" si="0"/>
        <v>7.63415</v>
      </c>
      <c r="F25">
        <v>1</v>
      </c>
      <c r="G25" t="s">
        <v>465</v>
      </c>
    </row>
    <row r="26" spans="1:7">
      <c r="A26" s="1" t="s">
        <v>535</v>
      </c>
      <c r="B26" s="1" t="s">
        <v>76</v>
      </c>
      <c r="C26">
        <v>0.72</v>
      </c>
      <c r="D26">
        <v>5</v>
      </c>
      <c r="E26" s="56">
        <f t="shared" si="0"/>
        <v>3.5999999999999996</v>
      </c>
      <c r="F26">
        <v>1</v>
      </c>
      <c r="G26" t="s">
        <v>465</v>
      </c>
    </row>
    <row r="27" spans="1:7">
      <c r="A27" s="1" t="s">
        <v>536</v>
      </c>
      <c r="B27" s="1" t="s">
        <v>469</v>
      </c>
      <c r="C27">
        <v>0.36799999999999999</v>
      </c>
      <c r="D27">
        <v>4.5</v>
      </c>
      <c r="E27" s="56">
        <f t="shared" si="0"/>
        <v>1.6559999999999999</v>
      </c>
      <c r="F27">
        <v>1</v>
      </c>
      <c r="G27" t="s">
        <v>465</v>
      </c>
    </row>
    <row r="28" spans="1:7">
      <c r="A28" s="1" t="s">
        <v>537</v>
      </c>
      <c r="B28" s="1" t="s">
        <v>80</v>
      </c>
      <c r="C28">
        <v>0.26</v>
      </c>
      <c r="D28">
        <v>100</v>
      </c>
      <c r="E28" s="56">
        <f t="shared" si="0"/>
        <v>26</v>
      </c>
      <c r="F28">
        <v>1</v>
      </c>
      <c r="G28" t="s">
        <v>465</v>
      </c>
    </row>
    <row r="29" spans="1:7">
      <c r="A29" s="1" t="s">
        <v>538</v>
      </c>
      <c r="B29" s="1" t="s">
        <v>82</v>
      </c>
      <c r="C29">
        <v>0.01</v>
      </c>
      <c r="D29">
        <v>50</v>
      </c>
      <c r="E29" s="56">
        <f t="shared" si="0"/>
        <v>0.5</v>
      </c>
      <c r="F29">
        <v>1</v>
      </c>
      <c r="G29" t="s">
        <v>465</v>
      </c>
    </row>
    <row r="30" spans="1:7">
      <c r="A30" s="1" t="s">
        <v>539</v>
      </c>
      <c r="B30" s="1" t="s">
        <v>84</v>
      </c>
      <c r="C30">
        <v>0.36799999999999999</v>
      </c>
      <c r="D30">
        <v>34.5</v>
      </c>
      <c r="E30" s="56">
        <f t="shared" si="0"/>
        <v>12.696</v>
      </c>
      <c r="F30">
        <v>1</v>
      </c>
      <c r="G30" t="s">
        <v>465</v>
      </c>
    </row>
    <row r="31" spans="1:7">
      <c r="A31" s="1" t="s">
        <v>540</v>
      </c>
      <c r="B31" s="1" t="s">
        <v>86</v>
      </c>
      <c r="C31">
        <v>0.47799999999999998</v>
      </c>
      <c r="D31">
        <v>0.49</v>
      </c>
      <c r="E31" s="56">
        <f t="shared" si="0"/>
        <v>0.23421999999999998</v>
      </c>
      <c r="F31">
        <v>1</v>
      </c>
      <c r="G31" t="s">
        <v>465</v>
      </c>
    </row>
    <row r="32" spans="1:7">
      <c r="A32" s="1" t="s">
        <v>541</v>
      </c>
      <c r="B32" s="1" t="s">
        <v>88</v>
      </c>
      <c r="C32">
        <v>0.36799999999999999</v>
      </c>
      <c r="D32">
        <v>320</v>
      </c>
      <c r="E32" s="56">
        <f t="shared" si="0"/>
        <v>117.75999999999999</v>
      </c>
      <c r="F32">
        <v>1</v>
      </c>
      <c r="G32" t="s">
        <v>465</v>
      </c>
    </row>
    <row r="33" spans="1:8">
      <c r="A33" s="1" t="s">
        <v>542</v>
      </c>
      <c r="B33" s="1" t="s">
        <v>90</v>
      </c>
      <c r="C33">
        <f>(0.444+0.556)/2</f>
        <v>0.5</v>
      </c>
      <c r="D33">
        <v>0.75</v>
      </c>
      <c r="E33" s="56">
        <f t="shared" si="0"/>
        <v>0.375</v>
      </c>
      <c r="F33">
        <v>1</v>
      </c>
      <c r="G33" t="s">
        <v>465</v>
      </c>
      <c r="H33" s="6"/>
    </row>
    <row r="34" spans="1:8">
      <c r="A34" s="1" t="s">
        <v>543</v>
      </c>
      <c r="B34" s="1" t="s">
        <v>92</v>
      </c>
      <c r="C34">
        <v>0.47799999999999998</v>
      </c>
      <c r="D34">
        <v>2.2000000000000002</v>
      </c>
      <c r="E34" s="56">
        <f t="shared" si="0"/>
        <v>1.0516000000000001</v>
      </c>
      <c r="F34">
        <v>1</v>
      </c>
      <c r="G34" t="s">
        <v>465</v>
      </c>
    </row>
    <row r="35" spans="1:8">
      <c r="A35" s="1" t="s">
        <v>544</v>
      </c>
      <c r="B35" s="1" t="s">
        <v>94</v>
      </c>
      <c r="C35">
        <v>0.47799999999999998</v>
      </c>
      <c r="D35">
        <v>2.2000000000000002</v>
      </c>
      <c r="E35" s="56">
        <f t="shared" si="0"/>
        <v>1.0516000000000001</v>
      </c>
      <c r="F35">
        <v>1</v>
      </c>
      <c r="G35" t="s">
        <v>465</v>
      </c>
    </row>
    <row r="36" spans="1:8">
      <c r="A36" s="1" t="s">
        <v>545</v>
      </c>
      <c r="B36" s="1" t="s">
        <v>96</v>
      </c>
      <c r="C36">
        <v>0.44400000000000001</v>
      </c>
      <c r="D36">
        <v>1</v>
      </c>
      <c r="E36" s="56">
        <f t="shared" si="0"/>
        <v>0.44400000000000001</v>
      </c>
      <c r="F36">
        <v>1</v>
      </c>
      <c r="G36" t="s">
        <v>468</v>
      </c>
    </row>
    <row r="37" spans="1:8">
      <c r="A37" s="1" t="s">
        <v>546</v>
      </c>
      <c r="B37" s="1" t="s">
        <v>98</v>
      </c>
      <c r="C37">
        <v>0.44400000000000001</v>
      </c>
      <c r="D37">
        <v>5.4000000000000003E-3</v>
      </c>
      <c r="E37" s="56">
        <f t="shared" si="0"/>
        <v>2.3976000000000002E-3</v>
      </c>
      <c r="F37">
        <v>0.9</v>
      </c>
      <c r="G37" t="s">
        <v>465</v>
      </c>
    </row>
    <row r="38" spans="1:8">
      <c r="A38" s="1" t="s">
        <v>547</v>
      </c>
      <c r="B38" s="1" t="s">
        <v>100</v>
      </c>
      <c r="C38">
        <v>0.47799999999999998</v>
      </c>
      <c r="D38">
        <v>1.2</v>
      </c>
      <c r="E38" s="56">
        <f t="shared" si="0"/>
        <v>0.5736</v>
      </c>
      <c r="F38">
        <v>1</v>
      </c>
      <c r="G38" t="s">
        <v>465</v>
      </c>
    </row>
    <row r="39" spans="1:8">
      <c r="A39" s="1" t="s">
        <v>548</v>
      </c>
      <c r="B39" s="1" t="s">
        <v>102</v>
      </c>
      <c r="C39">
        <v>0.47799999999999998</v>
      </c>
      <c r="D39">
        <v>0.75</v>
      </c>
      <c r="E39" s="56">
        <f t="shared" si="0"/>
        <v>0.35849999999999999</v>
      </c>
      <c r="F39">
        <v>1</v>
      </c>
      <c r="G39" t="s">
        <v>465</v>
      </c>
    </row>
    <row r="40" spans="1:8">
      <c r="A40" s="1" t="s">
        <v>549</v>
      </c>
      <c r="B40" s="1" t="s">
        <v>470</v>
      </c>
      <c r="C40">
        <v>0.67800000000000005</v>
      </c>
      <c r="D40">
        <v>0.06</v>
      </c>
      <c r="E40" s="56">
        <f t="shared" si="0"/>
        <v>4.0680000000000001E-2</v>
      </c>
      <c r="F40">
        <v>1</v>
      </c>
      <c r="G40" t="s">
        <v>465</v>
      </c>
    </row>
    <row r="41" spans="1:8">
      <c r="A41" s="1" t="s">
        <v>550</v>
      </c>
      <c r="B41" s="1" t="s">
        <v>106</v>
      </c>
      <c r="C41">
        <v>0.73499999999999999</v>
      </c>
      <c r="D41">
        <v>15</v>
      </c>
      <c r="E41" s="56">
        <f t="shared" si="0"/>
        <v>11.025</v>
      </c>
      <c r="F41">
        <v>1</v>
      </c>
      <c r="G41" t="s">
        <v>465</v>
      </c>
    </row>
    <row r="42" spans="1:8">
      <c r="A42" s="1" t="s">
        <v>551</v>
      </c>
      <c r="B42" s="1" t="s">
        <v>108</v>
      </c>
      <c r="C42">
        <v>0.73499999999999999</v>
      </c>
      <c r="D42">
        <v>5</v>
      </c>
      <c r="E42" s="56">
        <f t="shared" si="0"/>
        <v>3.6749999999999998</v>
      </c>
      <c r="F42">
        <v>1</v>
      </c>
      <c r="G42" t="s">
        <v>465</v>
      </c>
    </row>
    <row r="43" spans="1:8">
      <c r="A43" s="1" t="s">
        <v>552</v>
      </c>
      <c r="B43" s="1" t="s">
        <v>110</v>
      </c>
      <c r="C43">
        <v>0.19</v>
      </c>
      <c r="D43">
        <v>0.95</v>
      </c>
      <c r="E43" s="56">
        <f t="shared" si="0"/>
        <v>0.18049999999999999</v>
      </c>
      <c r="F43">
        <v>1</v>
      </c>
      <c r="G43" t="s">
        <v>465</v>
      </c>
    </row>
    <row r="44" spans="1:8">
      <c r="A44" s="1" t="s">
        <v>553</v>
      </c>
      <c r="B44" s="1" t="s">
        <v>112</v>
      </c>
      <c r="C44">
        <v>0.19</v>
      </c>
      <c r="D44">
        <v>0.95</v>
      </c>
      <c r="E44" s="56">
        <f t="shared" si="0"/>
        <v>0.18049999999999999</v>
      </c>
      <c r="F44">
        <v>1</v>
      </c>
      <c r="G44" t="s">
        <v>465</v>
      </c>
    </row>
    <row r="45" spans="1:8">
      <c r="A45" s="1" t="s">
        <v>554</v>
      </c>
      <c r="B45" s="1" t="s">
        <v>114</v>
      </c>
      <c r="C45">
        <v>0.46899999999999997</v>
      </c>
      <c r="D45" s="36">
        <v>5.0000000000000001E-3</v>
      </c>
      <c r="E45" s="56">
        <f t="shared" si="0"/>
        <v>2.3449999999999999E-3</v>
      </c>
      <c r="F45">
        <v>1</v>
      </c>
      <c r="G45" t="s">
        <v>468</v>
      </c>
    </row>
    <row r="46" spans="1:8">
      <c r="A46" s="1" t="s">
        <v>555</v>
      </c>
      <c r="B46" s="1" t="s">
        <v>116</v>
      </c>
      <c r="C46">
        <v>0.73499999999999999</v>
      </c>
      <c r="D46" s="36">
        <v>0.75</v>
      </c>
      <c r="E46" s="56">
        <f t="shared" si="0"/>
        <v>0.55125000000000002</v>
      </c>
      <c r="F46">
        <v>1</v>
      </c>
      <c r="G46" t="s">
        <v>468</v>
      </c>
    </row>
    <row r="47" spans="1:8">
      <c r="A47" s="1" t="s">
        <v>556</v>
      </c>
      <c r="B47" s="1" t="s">
        <v>118</v>
      </c>
      <c r="C47">
        <v>0.14599999999999999</v>
      </c>
      <c r="D47">
        <v>0.9</v>
      </c>
      <c r="E47" s="56">
        <f t="shared" si="0"/>
        <v>0.13139999999999999</v>
      </c>
      <c r="F47">
        <v>1</v>
      </c>
      <c r="G47" t="s">
        <v>465</v>
      </c>
    </row>
    <row r="48" spans="1:8">
      <c r="A48" s="1" t="s">
        <v>557</v>
      </c>
      <c r="B48" s="1" t="s">
        <v>120</v>
      </c>
      <c r="C48">
        <v>0.38500000000000001</v>
      </c>
      <c r="D48">
        <v>0.01</v>
      </c>
      <c r="E48" s="56">
        <f t="shared" si="0"/>
        <v>3.8500000000000001E-3</v>
      </c>
      <c r="F48">
        <v>1</v>
      </c>
      <c r="G48" t="s">
        <v>465</v>
      </c>
    </row>
    <row r="49" spans="1:7">
      <c r="A49" s="1" t="s">
        <v>558</v>
      </c>
      <c r="B49" s="1" t="s">
        <v>120</v>
      </c>
      <c r="C49">
        <v>0.38500000000000001</v>
      </c>
      <c r="D49">
        <v>0.01</v>
      </c>
      <c r="E49" s="56">
        <f t="shared" si="0"/>
        <v>3.8500000000000001E-3</v>
      </c>
      <c r="F49">
        <v>1</v>
      </c>
      <c r="G49" t="s">
        <v>465</v>
      </c>
    </row>
    <row r="50" spans="1:7">
      <c r="A50" s="1" t="s">
        <v>559</v>
      </c>
      <c r="B50" s="11" t="s">
        <v>122</v>
      </c>
      <c r="C50">
        <v>0.35</v>
      </c>
      <c r="D50">
        <v>0.5</v>
      </c>
      <c r="E50" s="56">
        <f t="shared" si="0"/>
        <v>0.17499999999999999</v>
      </c>
      <c r="F50">
        <v>1</v>
      </c>
      <c r="G50" t="s">
        <v>468</v>
      </c>
    </row>
    <row r="51" spans="1:7">
      <c r="A51" s="1" t="s">
        <v>560</v>
      </c>
      <c r="B51" s="1" t="s">
        <v>124</v>
      </c>
      <c r="C51">
        <v>0.38500000000000001</v>
      </c>
      <c r="D51">
        <v>0.01</v>
      </c>
      <c r="E51" s="56">
        <f t="shared" si="0"/>
        <v>3.8500000000000001E-3</v>
      </c>
      <c r="F51">
        <v>1</v>
      </c>
      <c r="G51" t="s">
        <v>468</v>
      </c>
    </row>
    <row r="52" spans="1:7">
      <c r="A52" s="1" t="s">
        <v>561</v>
      </c>
      <c r="B52" s="1" t="s">
        <v>126</v>
      </c>
      <c r="C52">
        <v>0.54200000000000004</v>
      </c>
      <c r="D52">
        <v>3.3</v>
      </c>
      <c r="E52" s="56">
        <f t="shared" si="0"/>
        <v>1.7886</v>
      </c>
      <c r="F52">
        <v>1</v>
      </c>
      <c r="G52" t="s">
        <v>471</v>
      </c>
    </row>
    <row r="53" spans="1:7">
      <c r="A53" s="1" t="s">
        <v>562</v>
      </c>
      <c r="B53" s="1" t="s">
        <v>128</v>
      </c>
      <c r="C53">
        <v>0.36799999999999999</v>
      </c>
      <c r="D53">
        <v>2.5</v>
      </c>
      <c r="E53" s="56">
        <f t="shared" si="0"/>
        <v>0.91999999999999993</v>
      </c>
      <c r="F53">
        <v>0</v>
      </c>
      <c r="G53" t="s">
        <v>468</v>
      </c>
    </row>
    <row r="54" spans="1:7">
      <c r="A54" s="1" t="s">
        <v>563</v>
      </c>
      <c r="B54" s="1" t="s">
        <v>130</v>
      </c>
      <c r="C54">
        <v>0.36799999999999999</v>
      </c>
      <c r="D54">
        <v>15</v>
      </c>
      <c r="E54" s="56">
        <f t="shared" si="0"/>
        <v>5.52</v>
      </c>
      <c r="F54">
        <v>1</v>
      </c>
      <c r="G54" t="s">
        <v>465</v>
      </c>
    </row>
    <row r="55" spans="1:7">
      <c r="A55" s="1" t="s">
        <v>564</v>
      </c>
      <c r="B55" s="1" t="s">
        <v>132</v>
      </c>
      <c r="C55">
        <v>0.36799999999999999</v>
      </c>
      <c r="D55">
        <v>23.6</v>
      </c>
      <c r="E55" s="56">
        <f t="shared" si="0"/>
        <v>8.684800000000001</v>
      </c>
      <c r="F55">
        <v>1</v>
      </c>
      <c r="G55" t="s">
        <v>465</v>
      </c>
    </row>
    <row r="56" spans="1:7">
      <c r="A56" s="1" t="s">
        <v>565</v>
      </c>
      <c r="B56" s="1" t="s">
        <v>134</v>
      </c>
      <c r="C56">
        <v>0.32600000000000001</v>
      </c>
      <c r="D56">
        <v>5</v>
      </c>
      <c r="E56" s="56">
        <f t="shared" si="0"/>
        <v>1.6300000000000001</v>
      </c>
      <c r="F56">
        <v>0.8</v>
      </c>
      <c r="G56" t="s">
        <v>465</v>
      </c>
    </row>
    <row r="57" spans="1:7">
      <c r="A57" s="1" t="s">
        <v>566</v>
      </c>
      <c r="B57" s="1" t="s">
        <v>136</v>
      </c>
      <c r="C57">
        <v>1</v>
      </c>
      <c r="D57">
        <v>5</v>
      </c>
      <c r="E57" s="56">
        <f t="shared" si="0"/>
        <v>5</v>
      </c>
      <c r="F57">
        <v>0.8</v>
      </c>
      <c r="G57" t="s">
        <v>465</v>
      </c>
    </row>
    <row r="58" spans="1:7">
      <c r="A58" s="1" t="s">
        <v>567</v>
      </c>
      <c r="B58" s="1" t="s">
        <v>138</v>
      </c>
      <c r="C58">
        <v>1</v>
      </c>
      <c r="D58">
        <v>5</v>
      </c>
      <c r="E58" s="56">
        <f t="shared" si="0"/>
        <v>5</v>
      </c>
      <c r="F58">
        <v>0.8</v>
      </c>
      <c r="G58" t="s">
        <v>465</v>
      </c>
    </row>
    <row r="59" spans="1:7">
      <c r="A59" s="1" t="s">
        <v>568</v>
      </c>
      <c r="B59" s="1" t="s">
        <v>140</v>
      </c>
      <c r="C59">
        <v>0.36799999999999999</v>
      </c>
      <c r="D59">
        <v>1.4</v>
      </c>
      <c r="E59" s="56">
        <f t="shared" si="0"/>
        <v>0.51519999999999999</v>
      </c>
      <c r="F59">
        <v>1</v>
      </c>
      <c r="G59" t="s">
        <v>465</v>
      </c>
    </row>
    <row r="60" spans="1:7">
      <c r="A60" s="1" t="s">
        <v>569</v>
      </c>
      <c r="B60" s="1" t="s">
        <v>142</v>
      </c>
      <c r="C60">
        <v>0.48</v>
      </c>
      <c r="D60">
        <v>3</v>
      </c>
      <c r="E60" s="56">
        <f t="shared" si="0"/>
        <v>1.44</v>
      </c>
      <c r="F60">
        <v>1</v>
      </c>
      <c r="G60" t="s">
        <v>465</v>
      </c>
    </row>
    <row r="61" spans="1:7">
      <c r="A61" s="1" t="s">
        <v>570</v>
      </c>
      <c r="B61" s="1" t="s">
        <v>144</v>
      </c>
      <c r="C61">
        <v>1</v>
      </c>
      <c r="D61">
        <v>2.7</v>
      </c>
      <c r="E61" s="56">
        <f t="shared" si="0"/>
        <v>2.7</v>
      </c>
      <c r="F61">
        <v>1</v>
      </c>
      <c r="G61" t="s">
        <v>465</v>
      </c>
    </row>
  </sheetData>
  <phoneticPr fontId="13"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67"/>
  <sheetViews>
    <sheetView tabSelected="1" topLeftCell="B1" workbookViewId="0">
      <selection activeCell="F5" sqref="F5"/>
    </sheetView>
  </sheetViews>
  <sheetFormatPr defaultColWidth="8.6640625" defaultRowHeight="14.4"/>
  <cols>
    <col min="1" max="1" width="14.33203125" customWidth="1"/>
    <col min="2" max="3" width="25" customWidth="1"/>
    <col min="4" max="4" width="21" customWidth="1"/>
    <col min="5" max="5" width="22.44140625" customWidth="1"/>
    <col min="6" max="6" width="17.6640625" customWidth="1"/>
    <col min="7" max="7" width="9.6640625" customWidth="1"/>
    <col min="8" max="10" width="8.6640625" customWidth="1"/>
    <col min="11" max="11" width="16.21875" customWidth="1"/>
    <col min="12" max="12" width="12.109375" bestFit="1" customWidth="1"/>
    <col min="13" max="13" width="11.6640625" bestFit="1" customWidth="1"/>
    <col min="14" max="14" width="10.109375" bestFit="1" customWidth="1"/>
    <col min="15" max="15" width="8.88671875" bestFit="1" customWidth="1"/>
  </cols>
  <sheetData>
    <row r="2" spans="1:18" ht="21">
      <c r="A2" s="4" t="s">
        <v>572</v>
      </c>
    </row>
    <row r="4" spans="1:18" s="49" customFormat="1" ht="28.8">
      <c r="A4" s="59" t="s">
        <v>148</v>
      </c>
      <c r="B4" s="60" t="s">
        <v>149</v>
      </c>
      <c r="C4" s="60" t="s">
        <v>150</v>
      </c>
      <c r="D4" s="60" t="s">
        <v>151</v>
      </c>
      <c r="E4" s="60" t="s">
        <v>152</v>
      </c>
      <c r="F4" s="62" t="s">
        <v>573</v>
      </c>
      <c r="G4" s="63" t="s">
        <v>472</v>
      </c>
      <c r="H4" s="63" t="s">
        <v>473</v>
      </c>
      <c r="I4" s="63" t="s">
        <v>474</v>
      </c>
      <c r="J4" s="63" t="s">
        <v>475</v>
      </c>
      <c r="K4" s="62" t="s">
        <v>476</v>
      </c>
      <c r="L4" s="63" t="s">
        <v>472</v>
      </c>
      <c r="M4" s="63" t="s">
        <v>473</v>
      </c>
      <c r="N4" s="63" t="s">
        <v>474</v>
      </c>
      <c r="O4" s="63" t="s">
        <v>475</v>
      </c>
      <c r="Q4" s="61" t="s">
        <v>477</v>
      </c>
      <c r="R4" s="49" t="s">
        <v>478</v>
      </c>
    </row>
    <row r="5" spans="1:18">
      <c r="A5" s="1" t="s">
        <v>31</v>
      </c>
      <c r="B5" s="1" t="s">
        <v>32</v>
      </c>
      <c r="C5" s="1" t="s">
        <v>159</v>
      </c>
      <c r="D5" s="1" t="s">
        <v>160</v>
      </c>
      <c r="E5" s="1" t="s">
        <v>158</v>
      </c>
      <c r="K5" s="7">
        <v>3877.9404484438901</v>
      </c>
    </row>
    <row r="6" spans="1:18">
      <c r="A6" s="1" t="s">
        <v>35</v>
      </c>
      <c r="B6" s="1" t="s">
        <v>36</v>
      </c>
      <c r="C6" s="1" t="s">
        <v>159</v>
      </c>
      <c r="D6" s="1" t="s">
        <v>160</v>
      </c>
      <c r="E6" s="1" t="s">
        <v>158</v>
      </c>
      <c r="F6" s="1"/>
      <c r="K6" s="7">
        <v>3877.9404484438901</v>
      </c>
      <c r="Q6" s="6" t="s">
        <v>479</v>
      </c>
      <c r="R6" t="s">
        <v>480</v>
      </c>
    </row>
    <row r="7" spans="1:18">
      <c r="A7" s="1" t="s">
        <v>37</v>
      </c>
      <c r="B7" s="1" t="s">
        <v>38</v>
      </c>
      <c r="C7" s="1" t="s">
        <v>159</v>
      </c>
      <c r="D7" s="1" t="s">
        <v>160</v>
      </c>
      <c r="E7" s="1" t="s">
        <v>158</v>
      </c>
      <c r="F7" s="1"/>
      <c r="K7" s="7">
        <v>3877.9404484438901</v>
      </c>
    </row>
    <row r="8" spans="1:18">
      <c r="A8" s="1" t="s">
        <v>39</v>
      </c>
      <c r="B8" s="1" t="s">
        <v>40</v>
      </c>
      <c r="C8" s="1" t="s">
        <v>159</v>
      </c>
      <c r="D8" s="1" t="s">
        <v>160</v>
      </c>
      <c r="E8" s="1" t="s">
        <v>158</v>
      </c>
      <c r="F8" s="1"/>
      <c r="K8" s="8">
        <v>3878</v>
      </c>
    </row>
    <row r="9" spans="1:18">
      <c r="A9" s="1" t="s">
        <v>41</v>
      </c>
      <c r="B9" s="1" t="s">
        <v>42</v>
      </c>
      <c r="C9" s="1" t="s">
        <v>159</v>
      </c>
      <c r="D9" s="1" t="s">
        <v>160</v>
      </c>
      <c r="E9" s="1" t="s">
        <v>158</v>
      </c>
      <c r="F9" s="1"/>
      <c r="K9" s="8">
        <v>3878</v>
      </c>
    </row>
    <row r="10" spans="1:18">
      <c r="A10" s="1" t="s">
        <v>43</v>
      </c>
      <c r="B10" s="1" t="s">
        <v>44</v>
      </c>
      <c r="C10" s="1" t="s">
        <v>178</v>
      </c>
      <c r="D10" s="1" t="s">
        <v>179</v>
      </c>
      <c r="E10" s="1" t="s">
        <v>171</v>
      </c>
      <c r="F10" s="7">
        <v>3659.9607583114898</v>
      </c>
      <c r="G10" s="7">
        <v>63.844501640660802</v>
      </c>
      <c r="H10" s="7">
        <v>3008.6898777923302</v>
      </c>
      <c r="I10" s="7">
        <v>97.537069465282002</v>
      </c>
      <c r="J10" s="7">
        <v>23.142802379243399</v>
      </c>
      <c r="K10" s="10">
        <v>5409.5471784401798</v>
      </c>
      <c r="L10" s="7">
        <v>112.580507974447</v>
      </c>
      <c r="M10" s="7">
        <v>3813.9923291036198</v>
      </c>
      <c r="N10" s="7">
        <v>98.889039995895104</v>
      </c>
      <c r="O10" s="7">
        <v>23.219567041681699</v>
      </c>
    </row>
    <row r="11" spans="1:18">
      <c r="A11" s="1" t="s">
        <v>45</v>
      </c>
      <c r="B11" s="1" t="s">
        <v>46</v>
      </c>
      <c r="C11" s="1" t="s">
        <v>181</v>
      </c>
      <c r="D11" s="1" t="s">
        <v>182</v>
      </c>
      <c r="E11" s="1" t="s">
        <v>158</v>
      </c>
      <c r="F11" s="7"/>
      <c r="K11" s="10">
        <v>6881.3386945491302</v>
      </c>
      <c r="L11" s="7"/>
      <c r="M11" s="7"/>
      <c r="N11" s="7"/>
      <c r="O11" s="7"/>
    </row>
    <row r="12" spans="1:18">
      <c r="A12" s="1" t="s">
        <v>47</v>
      </c>
      <c r="B12" s="1" t="s">
        <v>48</v>
      </c>
      <c r="C12" s="1" t="s">
        <v>187</v>
      </c>
      <c r="D12" s="1" t="s">
        <v>188</v>
      </c>
      <c r="E12" s="1" t="s">
        <v>158</v>
      </c>
      <c r="F12" s="7"/>
      <c r="K12" s="10">
        <v>9665.1743487795193</v>
      </c>
      <c r="L12" s="7"/>
      <c r="M12" s="7"/>
      <c r="N12" s="7"/>
      <c r="O12" s="7"/>
    </row>
    <row r="13" spans="1:18">
      <c r="A13" s="1" t="s">
        <v>49</v>
      </c>
      <c r="B13" s="1" t="s">
        <v>50</v>
      </c>
      <c r="C13" s="1" t="s">
        <v>194</v>
      </c>
      <c r="D13" s="1" t="s">
        <v>195</v>
      </c>
      <c r="E13" s="1" t="s">
        <v>158</v>
      </c>
      <c r="F13" s="1"/>
      <c r="K13" s="10">
        <v>9914.6495628210796</v>
      </c>
    </row>
    <row r="14" spans="1:18">
      <c r="A14" s="1" t="s">
        <v>51</v>
      </c>
      <c r="B14" s="1" t="s">
        <v>52</v>
      </c>
      <c r="C14" s="1" t="s">
        <v>194</v>
      </c>
      <c r="D14" s="1" t="s">
        <v>195</v>
      </c>
      <c r="E14" s="1" t="s">
        <v>158</v>
      </c>
      <c r="F14" s="1"/>
      <c r="K14" s="10">
        <v>9914.6495628210796</v>
      </c>
    </row>
    <row r="15" spans="1:18">
      <c r="A15" s="1" t="s">
        <v>53</v>
      </c>
      <c r="B15" s="1" t="s">
        <v>54</v>
      </c>
      <c r="C15" s="1" t="s">
        <v>181</v>
      </c>
      <c r="D15" s="1" t="s">
        <v>182</v>
      </c>
      <c r="E15" s="1" t="s">
        <v>158</v>
      </c>
      <c r="F15" s="7"/>
      <c r="K15" s="10">
        <v>6881.3386945491302</v>
      </c>
      <c r="L15" s="7"/>
      <c r="M15" s="7"/>
      <c r="N15" s="7"/>
      <c r="O15" s="7"/>
    </row>
    <row r="16" spans="1:18">
      <c r="A16" s="1" t="s">
        <v>55</v>
      </c>
      <c r="B16" s="1" t="s">
        <v>56</v>
      </c>
      <c r="C16" s="1" t="s">
        <v>203</v>
      </c>
      <c r="D16" s="1" t="s">
        <v>198</v>
      </c>
      <c r="E16" s="1" t="s">
        <v>158</v>
      </c>
      <c r="F16" s="7"/>
      <c r="K16" s="10">
        <v>7629.0538036136504</v>
      </c>
      <c r="L16" s="7"/>
      <c r="M16" s="7"/>
      <c r="N16" s="7"/>
      <c r="O16" s="7"/>
    </row>
    <row r="17" spans="1:15">
      <c r="A17" s="1" t="s">
        <v>57</v>
      </c>
      <c r="B17" s="1" t="s">
        <v>58</v>
      </c>
      <c r="C17" s="1" t="s">
        <v>187</v>
      </c>
      <c r="D17" s="1" t="s">
        <v>188</v>
      </c>
      <c r="E17" s="1" t="s">
        <v>158</v>
      </c>
      <c r="F17" s="7"/>
      <c r="K17" s="10">
        <v>9665.1743487795193</v>
      </c>
      <c r="L17" s="7"/>
      <c r="M17" s="7"/>
      <c r="N17" s="7"/>
      <c r="O17" s="7"/>
    </row>
    <row r="18" spans="1:15">
      <c r="A18" s="1" t="s">
        <v>59</v>
      </c>
      <c r="B18" s="1" t="s">
        <v>60</v>
      </c>
      <c r="C18" s="1" t="s">
        <v>156</v>
      </c>
      <c r="D18" s="1" t="s">
        <v>157</v>
      </c>
      <c r="E18" s="1" t="s">
        <v>158</v>
      </c>
      <c r="F18" s="7"/>
      <c r="K18" s="10">
        <v>5125.0387659132002</v>
      </c>
      <c r="L18" s="7"/>
      <c r="M18" s="7"/>
      <c r="N18" s="7"/>
      <c r="O18" s="7"/>
    </row>
    <row r="19" spans="1:15">
      <c r="A19" s="1" t="s">
        <v>61</v>
      </c>
      <c r="B19" s="1" t="s">
        <v>62</v>
      </c>
      <c r="C19" s="1" t="s">
        <v>214</v>
      </c>
      <c r="D19" s="1" t="s">
        <v>186</v>
      </c>
      <c r="E19" s="1" t="s">
        <v>158</v>
      </c>
      <c r="F19" s="7"/>
      <c r="K19" s="10">
        <v>20313.3144402859</v>
      </c>
      <c r="L19" s="7"/>
      <c r="M19" s="7"/>
      <c r="N19" s="7"/>
      <c r="O19" s="7"/>
    </row>
    <row r="20" spans="1:15">
      <c r="A20" s="1" t="s">
        <v>63</v>
      </c>
      <c r="B20" s="1" t="s">
        <v>64</v>
      </c>
      <c r="C20" s="1" t="s">
        <v>214</v>
      </c>
      <c r="D20" s="1" t="s">
        <v>186</v>
      </c>
      <c r="E20" s="1" t="s">
        <v>158</v>
      </c>
      <c r="F20" s="7"/>
      <c r="K20" s="10">
        <v>20313.3144402859</v>
      </c>
      <c r="L20" s="7"/>
      <c r="M20" s="7"/>
      <c r="N20" s="7"/>
      <c r="O20" s="7"/>
    </row>
    <row r="21" spans="1:15">
      <c r="A21" s="1" t="s">
        <v>65</v>
      </c>
      <c r="B21" s="1" t="s">
        <v>66</v>
      </c>
      <c r="C21" s="1" t="s">
        <v>214</v>
      </c>
      <c r="D21" s="1" t="s">
        <v>186</v>
      </c>
      <c r="E21" s="1" t="s">
        <v>158</v>
      </c>
      <c r="F21" s="1"/>
      <c r="G21" s="1"/>
      <c r="K21" s="10">
        <v>20313.3144402859</v>
      </c>
    </row>
    <row r="22" spans="1:15">
      <c r="A22" s="1" t="s">
        <v>67</v>
      </c>
      <c r="B22" s="1" t="s">
        <v>68</v>
      </c>
      <c r="C22" s="1" t="s">
        <v>214</v>
      </c>
      <c r="D22" s="1" t="s">
        <v>186</v>
      </c>
      <c r="E22" s="1" t="s">
        <v>158</v>
      </c>
      <c r="F22" s="1"/>
      <c r="G22" s="1"/>
      <c r="K22" s="10">
        <v>20313.3144402859</v>
      </c>
    </row>
    <row r="23" spans="1:15">
      <c r="A23" s="11" t="s">
        <v>69</v>
      </c>
      <c r="B23" s="11" t="s">
        <v>481</v>
      </c>
      <c r="C23" s="11"/>
      <c r="D23" s="12" t="s">
        <v>223</v>
      </c>
      <c r="E23" s="11"/>
      <c r="F23" s="11"/>
      <c r="G23" s="11"/>
      <c r="H23" s="12"/>
      <c r="I23" s="12"/>
      <c r="J23" s="12"/>
      <c r="K23" s="12"/>
      <c r="L23" s="12"/>
    </row>
    <row r="24" spans="1:15">
      <c r="A24" s="1"/>
      <c r="B24" s="1" t="s">
        <v>70</v>
      </c>
      <c r="C24" s="1" t="s">
        <v>482</v>
      </c>
      <c r="D24" t="s">
        <v>483</v>
      </c>
      <c r="E24" s="1" t="s">
        <v>171</v>
      </c>
      <c r="F24" s="41">
        <v>5009.09346972819</v>
      </c>
      <c r="G24" s="41">
        <v>3439.45806066041</v>
      </c>
      <c r="H24" s="41">
        <v>9526.1763012725696</v>
      </c>
      <c r="I24" s="41">
        <v>144.57444304030801</v>
      </c>
      <c r="J24" s="41">
        <v>20.069414676562801</v>
      </c>
      <c r="K24" s="41">
        <v>6946.9227015848901</v>
      </c>
      <c r="L24" s="41">
        <v>3522.7751044249098</v>
      </c>
      <c r="M24" s="41">
        <v>11395.570984058601</v>
      </c>
      <c r="N24" s="41">
        <v>147.79591751098999</v>
      </c>
      <c r="O24" s="41">
        <v>20.260490160613902</v>
      </c>
    </row>
    <row r="25" spans="1:15">
      <c r="A25" s="1"/>
      <c r="B25" s="1" t="s">
        <v>70</v>
      </c>
      <c r="C25" s="1" t="s">
        <v>207</v>
      </c>
      <c r="D25" t="s">
        <v>208</v>
      </c>
      <c r="E25" s="1" t="s">
        <v>171</v>
      </c>
      <c r="F25" s="41">
        <v>2536.6295849247599</v>
      </c>
      <c r="G25" s="41">
        <v>9239.0516623383301</v>
      </c>
      <c r="H25" s="41">
        <v>7309.23095634331</v>
      </c>
      <c r="I25" s="41">
        <v>41.587590233358</v>
      </c>
      <c r="J25" s="41">
        <v>6.4714975676475204</v>
      </c>
      <c r="K25" s="41">
        <v>3510.59100126362</v>
      </c>
      <c r="L25" s="41">
        <v>9277.2796922779198</v>
      </c>
      <c r="M25" s="41">
        <v>8293.0994084923295</v>
      </c>
      <c r="N25" s="41">
        <v>43.284474198764102</v>
      </c>
      <c r="O25" s="41">
        <v>6.5628955199843402</v>
      </c>
    </row>
    <row r="26" spans="1:15">
      <c r="A26" s="1" t="s">
        <v>71</v>
      </c>
      <c r="B26" s="1" t="s">
        <v>72</v>
      </c>
      <c r="C26" s="1" t="s">
        <v>187</v>
      </c>
      <c r="D26" s="1" t="s">
        <v>188</v>
      </c>
      <c r="E26" s="1" t="s">
        <v>158</v>
      </c>
      <c r="G26" s="9"/>
      <c r="K26" s="10">
        <v>9665.1743487795193</v>
      </c>
      <c r="M26" s="9"/>
    </row>
    <row r="27" spans="1:15">
      <c r="A27" s="1" t="s">
        <v>73</v>
      </c>
      <c r="B27" s="1" t="s">
        <v>74</v>
      </c>
      <c r="C27" s="1" t="s">
        <v>187</v>
      </c>
      <c r="D27" s="1" t="s">
        <v>188</v>
      </c>
      <c r="E27" s="1" t="s">
        <v>158</v>
      </c>
      <c r="G27" s="9"/>
      <c r="K27" s="10">
        <v>9665.1743487795193</v>
      </c>
      <c r="M27" s="9"/>
    </row>
    <row r="28" spans="1:15">
      <c r="A28" s="1" t="s">
        <v>75</v>
      </c>
      <c r="B28" s="1" t="s">
        <v>76</v>
      </c>
      <c r="C28" s="1" t="s">
        <v>214</v>
      </c>
      <c r="D28" s="1" t="s">
        <v>186</v>
      </c>
      <c r="E28" s="1" t="s">
        <v>158</v>
      </c>
      <c r="G28" s="9"/>
      <c r="K28" s="10">
        <v>20313.3144402859</v>
      </c>
      <c r="M28" s="9"/>
    </row>
    <row r="29" spans="1:15">
      <c r="A29" s="1" t="s">
        <v>77</v>
      </c>
      <c r="B29" s="1" t="s">
        <v>78</v>
      </c>
      <c r="C29" s="1" t="s">
        <v>203</v>
      </c>
      <c r="D29" s="1" t="s">
        <v>198</v>
      </c>
      <c r="E29" s="1" t="s">
        <v>158</v>
      </c>
      <c r="G29" s="9"/>
      <c r="K29" s="10">
        <v>7629.0538036136504</v>
      </c>
      <c r="M29" s="9"/>
    </row>
    <row r="30" spans="1:15">
      <c r="A30" s="1" t="s">
        <v>79</v>
      </c>
      <c r="B30" s="1" t="s">
        <v>80</v>
      </c>
      <c r="C30" s="1" t="s">
        <v>203</v>
      </c>
      <c r="D30" s="1" t="s">
        <v>198</v>
      </c>
      <c r="E30" s="1" t="s">
        <v>158</v>
      </c>
      <c r="F30" s="1"/>
      <c r="G30" s="9"/>
      <c r="K30" s="10">
        <v>7629.0538036136504</v>
      </c>
      <c r="M30" s="9"/>
    </row>
    <row r="31" spans="1:15">
      <c r="A31" s="1" t="s">
        <v>81</v>
      </c>
      <c r="B31" s="1" t="s">
        <v>82</v>
      </c>
      <c r="C31" s="1" t="s">
        <v>203</v>
      </c>
      <c r="D31" s="1" t="s">
        <v>198</v>
      </c>
      <c r="E31" s="1" t="s">
        <v>158</v>
      </c>
      <c r="F31" s="1"/>
      <c r="G31" s="1"/>
      <c r="K31" s="10">
        <v>7629.0538036136504</v>
      </c>
    </row>
    <row r="32" spans="1:15">
      <c r="A32" s="1" t="s">
        <v>83</v>
      </c>
      <c r="B32" s="1" t="s">
        <v>84</v>
      </c>
      <c r="C32" s="1" t="s">
        <v>203</v>
      </c>
      <c r="D32" s="1" t="s">
        <v>198</v>
      </c>
      <c r="E32" s="1" t="s">
        <v>158</v>
      </c>
      <c r="F32" s="1"/>
      <c r="G32" s="1"/>
      <c r="K32" s="10">
        <v>7629.0538036136504</v>
      </c>
    </row>
    <row r="33" spans="1:15">
      <c r="A33" s="1" t="s">
        <v>85</v>
      </c>
      <c r="B33" s="1" t="s">
        <v>86</v>
      </c>
      <c r="C33" s="1" t="s">
        <v>159</v>
      </c>
      <c r="D33" s="1" t="s">
        <v>160</v>
      </c>
      <c r="E33" s="1" t="s">
        <v>158</v>
      </c>
      <c r="F33" s="1"/>
      <c r="G33" s="1"/>
      <c r="K33" s="7">
        <v>3877.9404484438901</v>
      </c>
    </row>
    <row r="34" spans="1:15">
      <c r="A34" s="1" t="s">
        <v>87</v>
      </c>
      <c r="B34" s="1" t="s">
        <v>88</v>
      </c>
      <c r="C34" s="1" t="s">
        <v>203</v>
      </c>
      <c r="D34" s="1" t="s">
        <v>198</v>
      </c>
      <c r="E34" s="1" t="s">
        <v>158</v>
      </c>
      <c r="F34" s="1"/>
      <c r="G34" s="1"/>
      <c r="K34" s="10">
        <v>7629.0538036136504</v>
      </c>
    </row>
    <row r="35" spans="1:15">
      <c r="A35" s="1" t="s">
        <v>89</v>
      </c>
      <c r="B35" s="1" t="s">
        <v>90</v>
      </c>
      <c r="C35" s="1" t="s">
        <v>236</v>
      </c>
      <c r="D35" s="1" t="s">
        <v>237</v>
      </c>
      <c r="E35" s="1" t="s">
        <v>158</v>
      </c>
      <c r="F35" s="1"/>
      <c r="G35" s="1"/>
      <c r="K35" s="10">
        <v>11956.7393854251</v>
      </c>
    </row>
    <row r="36" spans="1:15">
      <c r="A36" s="1" t="s">
        <v>91</v>
      </c>
      <c r="B36" s="1" t="s">
        <v>92</v>
      </c>
      <c r="C36" s="1" t="s">
        <v>254</v>
      </c>
      <c r="D36" s="1" t="s">
        <v>255</v>
      </c>
      <c r="E36" s="1" t="s">
        <v>158</v>
      </c>
      <c r="F36" s="1"/>
      <c r="G36" s="1"/>
      <c r="K36" s="10">
        <v>19444.951568903802</v>
      </c>
    </row>
    <row r="37" spans="1:15">
      <c r="A37" s="1" t="s">
        <v>93</v>
      </c>
      <c r="B37" s="1" t="s">
        <v>94</v>
      </c>
      <c r="C37" s="1" t="s">
        <v>254</v>
      </c>
      <c r="D37" s="1" t="s">
        <v>255</v>
      </c>
      <c r="E37" s="1" t="s">
        <v>158</v>
      </c>
      <c r="F37" s="1"/>
      <c r="G37" s="1"/>
      <c r="K37" s="10">
        <v>19444.951568903802</v>
      </c>
    </row>
    <row r="38" spans="1:15">
      <c r="A38" s="1" t="s">
        <v>95</v>
      </c>
      <c r="B38" s="1" t="s">
        <v>96</v>
      </c>
      <c r="C38" s="1" t="s">
        <v>236</v>
      </c>
      <c r="D38" s="1" t="s">
        <v>237</v>
      </c>
      <c r="E38" s="1" t="s">
        <v>171</v>
      </c>
      <c r="F38" s="10">
        <v>7775.85888408131</v>
      </c>
      <c r="G38" s="10">
        <v>182.32744980803901</v>
      </c>
      <c r="H38" s="10">
        <v>12294.6868252766</v>
      </c>
      <c r="I38" s="10">
        <v>121.65782958519701</v>
      </c>
      <c r="J38" s="10">
        <v>23.900589112465301</v>
      </c>
      <c r="K38" s="10">
        <v>9428.0156433932298</v>
      </c>
      <c r="L38" s="10">
        <v>219.165333675521</v>
      </c>
      <c r="M38" s="10">
        <v>12960.9173062396</v>
      </c>
      <c r="N38" s="10">
        <v>123.03703406510201</v>
      </c>
      <c r="O38" s="10">
        <v>23.9841364541135</v>
      </c>
    </row>
    <row r="39" spans="1:15">
      <c r="A39" s="1" t="s">
        <v>97</v>
      </c>
      <c r="B39" s="1" t="s">
        <v>98</v>
      </c>
      <c r="C39" s="1" t="s">
        <v>236</v>
      </c>
      <c r="D39" s="1" t="s">
        <v>237</v>
      </c>
      <c r="E39" s="1" t="s">
        <v>171</v>
      </c>
      <c r="F39" s="10">
        <v>7775.85888408131</v>
      </c>
      <c r="G39" s="10">
        <v>182.32744980803901</v>
      </c>
      <c r="H39" s="10">
        <v>12294.6868252766</v>
      </c>
      <c r="I39" s="10">
        <v>121.65782958519701</v>
      </c>
      <c r="J39" s="10">
        <v>23.900589112465301</v>
      </c>
      <c r="K39" s="10">
        <v>9428.0156433932298</v>
      </c>
      <c r="L39" s="10">
        <v>219.165333675521</v>
      </c>
      <c r="M39" s="10">
        <v>12960.9173062396</v>
      </c>
      <c r="N39" s="10">
        <v>123.03703406510201</v>
      </c>
      <c r="O39" s="10">
        <v>23.9841364541135</v>
      </c>
    </row>
    <row r="40" spans="1:15">
      <c r="A40" s="1" t="s">
        <v>99</v>
      </c>
      <c r="B40" s="1" t="s">
        <v>100</v>
      </c>
      <c r="C40" s="1" t="s">
        <v>254</v>
      </c>
      <c r="D40" s="1" t="s">
        <v>255</v>
      </c>
      <c r="E40" s="1" t="s">
        <v>158</v>
      </c>
      <c r="F40" s="1"/>
      <c r="G40" s="1"/>
      <c r="K40" s="10">
        <v>19444.951568903802</v>
      </c>
    </row>
    <row r="41" spans="1:15">
      <c r="A41" s="1" t="s">
        <v>101</v>
      </c>
      <c r="B41" s="1" t="s">
        <v>102</v>
      </c>
      <c r="C41" s="1" t="s">
        <v>236</v>
      </c>
      <c r="D41" s="1" t="s">
        <v>237</v>
      </c>
      <c r="E41" s="1" t="s">
        <v>158</v>
      </c>
      <c r="F41" s="1"/>
      <c r="G41" s="1"/>
      <c r="K41" s="10">
        <v>11956.7393854251</v>
      </c>
    </row>
    <row r="42" spans="1:15">
      <c r="A42" s="1" t="s">
        <v>103</v>
      </c>
      <c r="B42" s="1" t="s">
        <v>104</v>
      </c>
      <c r="C42" s="1" t="s">
        <v>247</v>
      </c>
      <c r="D42" s="1" t="s">
        <v>248</v>
      </c>
      <c r="E42" s="1" t="s">
        <v>158</v>
      </c>
      <c r="F42" s="1"/>
      <c r="G42" s="1"/>
      <c r="K42" s="10">
        <v>8184.9503035114703</v>
      </c>
    </row>
    <row r="43" spans="1:15">
      <c r="A43" s="1" t="s">
        <v>105</v>
      </c>
      <c r="B43" s="1" t="s">
        <v>106</v>
      </c>
      <c r="C43" s="1" t="s">
        <v>247</v>
      </c>
      <c r="D43" s="1" t="s">
        <v>248</v>
      </c>
      <c r="E43" s="1" t="s">
        <v>158</v>
      </c>
      <c r="F43" s="1"/>
      <c r="G43" s="1"/>
      <c r="K43" s="10">
        <v>8184.9503035114703</v>
      </c>
    </row>
    <row r="44" spans="1:15">
      <c r="A44" s="1" t="s">
        <v>107</v>
      </c>
      <c r="B44" s="1" t="s">
        <v>108</v>
      </c>
      <c r="C44" s="1" t="s">
        <v>247</v>
      </c>
      <c r="D44" s="1" t="s">
        <v>248</v>
      </c>
      <c r="E44" s="1" t="s">
        <v>158</v>
      </c>
      <c r="F44" s="1"/>
      <c r="G44" s="1"/>
      <c r="K44" s="10">
        <v>8184.9503035114703</v>
      </c>
    </row>
    <row r="45" spans="1:15">
      <c r="A45" s="1" t="s">
        <v>109</v>
      </c>
      <c r="B45" s="1" t="s">
        <v>110</v>
      </c>
      <c r="C45" s="1" t="s">
        <v>216</v>
      </c>
      <c r="D45" s="1" t="s">
        <v>193</v>
      </c>
      <c r="E45" s="1" t="s">
        <v>158</v>
      </c>
      <c r="F45" s="1"/>
      <c r="G45" s="1"/>
      <c r="K45" s="10">
        <v>11400.049394881</v>
      </c>
    </row>
    <row r="46" spans="1:15">
      <c r="A46" s="1" t="s">
        <v>111</v>
      </c>
      <c r="B46" s="1" t="s">
        <v>112</v>
      </c>
      <c r="C46" s="1" t="s">
        <v>216</v>
      </c>
      <c r="D46" s="1" t="s">
        <v>193</v>
      </c>
      <c r="E46" s="1" t="s">
        <v>158</v>
      </c>
      <c r="F46" s="1"/>
      <c r="G46" s="1"/>
      <c r="K46" s="10">
        <v>11400.049394881</v>
      </c>
    </row>
    <row r="47" spans="1:15">
      <c r="A47" s="1" t="s">
        <v>113</v>
      </c>
      <c r="B47" s="1" t="s">
        <v>114</v>
      </c>
      <c r="C47" s="1" t="s">
        <v>216</v>
      </c>
      <c r="D47" s="1" t="s">
        <v>193</v>
      </c>
      <c r="E47" s="1" t="s">
        <v>171</v>
      </c>
      <c r="F47" s="10">
        <v>1434.9196703852899</v>
      </c>
      <c r="G47" s="13">
        <v>0</v>
      </c>
      <c r="H47" s="7">
        <v>0</v>
      </c>
      <c r="I47" s="10">
        <v>-129.867194504037</v>
      </c>
      <c r="J47" s="10">
        <v>-24.281720023299201</v>
      </c>
      <c r="K47" s="10">
        <v>1413.7641297345799</v>
      </c>
      <c r="L47" s="10">
        <v>0</v>
      </c>
      <c r="M47" s="10">
        <v>0</v>
      </c>
      <c r="N47" s="10">
        <v>-129.82685065944401</v>
      </c>
      <c r="O47" s="10">
        <v>-24.279077174621001</v>
      </c>
    </row>
    <row r="48" spans="1:15">
      <c r="A48" s="1" t="s">
        <v>115</v>
      </c>
      <c r="B48" s="1" t="s">
        <v>116</v>
      </c>
      <c r="C48" s="1" t="s">
        <v>216</v>
      </c>
      <c r="D48" s="1" t="s">
        <v>193</v>
      </c>
      <c r="E48" s="1" t="s">
        <v>171</v>
      </c>
      <c r="F48" s="10">
        <v>1434.9196703852899</v>
      </c>
      <c r="G48" s="13">
        <v>0</v>
      </c>
      <c r="H48" s="7">
        <v>0</v>
      </c>
      <c r="I48" s="10">
        <v>-129.867194504037</v>
      </c>
      <c r="J48" s="10">
        <v>-24.281720023299201</v>
      </c>
      <c r="K48" s="10">
        <v>1413.7641297345799</v>
      </c>
      <c r="L48" s="10">
        <v>0</v>
      </c>
      <c r="M48" s="10">
        <v>0</v>
      </c>
      <c r="N48" s="10">
        <v>-129.82685065944401</v>
      </c>
      <c r="O48" s="10">
        <v>-24.279077174621001</v>
      </c>
    </row>
    <row r="49" spans="1:15">
      <c r="A49" s="1" t="s">
        <v>117</v>
      </c>
      <c r="B49" s="1" t="s">
        <v>118</v>
      </c>
      <c r="C49" s="1" t="s">
        <v>216</v>
      </c>
      <c r="D49" s="1" t="s">
        <v>193</v>
      </c>
      <c r="E49" s="1" t="s">
        <v>158</v>
      </c>
      <c r="F49" s="1"/>
      <c r="G49" s="1"/>
      <c r="K49" s="10">
        <v>11400.049394881</v>
      </c>
    </row>
    <row r="50" spans="1:15">
      <c r="A50" s="1" t="s">
        <v>119</v>
      </c>
      <c r="B50" s="1" t="s">
        <v>120</v>
      </c>
      <c r="C50" s="1" t="s">
        <v>216</v>
      </c>
      <c r="D50" s="1" t="s">
        <v>193</v>
      </c>
      <c r="E50" s="1" t="s">
        <v>158</v>
      </c>
      <c r="F50" s="1"/>
      <c r="G50" s="1"/>
      <c r="K50" s="10">
        <v>11400.049394881</v>
      </c>
    </row>
    <row r="51" spans="1:15">
      <c r="A51" s="11" t="s">
        <v>121</v>
      </c>
      <c r="B51" s="11" t="s">
        <v>122</v>
      </c>
      <c r="C51" s="11"/>
      <c r="D51" s="11" t="s">
        <v>295</v>
      </c>
      <c r="E51" s="11"/>
      <c r="F51" s="1"/>
      <c r="G51" s="1"/>
    </row>
    <row r="52" spans="1:15">
      <c r="A52" s="1" t="s">
        <v>123</v>
      </c>
      <c r="B52" s="1" t="s">
        <v>124</v>
      </c>
      <c r="C52" s="1" t="s">
        <v>216</v>
      </c>
      <c r="D52" s="1" t="s">
        <v>193</v>
      </c>
      <c r="E52" s="1" t="s">
        <v>158</v>
      </c>
      <c r="F52" s="1"/>
      <c r="G52" s="1"/>
      <c r="K52" s="10">
        <v>11400.049394881</v>
      </c>
    </row>
    <row r="53" spans="1:15">
      <c r="A53" s="1" t="s">
        <v>125</v>
      </c>
      <c r="B53" s="1" t="s">
        <v>126</v>
      </c>
      <c r="C53" s="1" t="s">
        <v>303</v>
      </c>
      <c r="D53" s="1" t="s">
        <v>304</v>
      </c>
      <c r="E53" s="1" t="s">
        <v>171</v>
      </c>
      <c r="F53" s="10">
        <v>3012.4073741307202</v>
      </c>
      <c r="G53" s="10">
        <v>87.059116403770602</v>
      </c>
      <c r="H53" s="10">
        <v>3366.45132689511</v>
      </c>
      <c r="I53" s="10">
        <v>108.358400333597</v>
      </c>
      <c r="J53" s="10">
        <v>26.482769333459899</v>
      </c>
      <c r="K53" s="10">
        <v>5100.9859729812397</v>
      </c>
      <c r="L53" s="10">
        <v>155.711471718307</v>
      </c>
      <c r="M53" s="10">
        <v>4652.48706929133</v>
      </c>
      <c r="N53" s="10">
        <v>110.556508572683</v>
      </c>
      <c r="O53" s="10">
        <v>26.619691155085299</v>
      </c>
    </row>
    <row r="54" spans="1:15">
      <c r="A54" s="1" t="s">
        <v>127</v>
      </c>
      <c r="B54" s="1" t="s">
        <v>128</v>
      </c>
      <c r="C54" s="1" t="s">
        <v>178</v>
      </c>
      <c r="D54" s="1" t="s">
        <v>179</v>
      </c>
      <c r="E54" s="1" t="s">
        <v>171</v>
      </c>
      <c r="F54" s="7">
        <v>3659.9607583114898</v>
      </c>
      <c r="G54" s="7">
        <v>63.844501640660802</v>
      </c>
      <c r="H54" s="7">
        <v>3008.6898777923302</v>
      </c>
      <c r="I54" s="7">
        <v>97.537069465282002</v>
      </c>
      <c r="J54" s="7">
        <v>23.142802379243399</v>
      </c>
      <c r="K54" s="10">
        <v>5409.5471784401798</v>
      </c>
      <c r="L54" s="7">
        <v>112.580507974447</v>
      </c>
      <c r="M54" s="7">
        <v>3813.9923291036198</v>
      </c>
      <c r="N54" s="7">
        <v>98.889039995895104</v>
      </c>
      <c r="O54" s="7">
        <v>23.219567041681699</v>
      </c>
    </row>
    <row r="55" spans="1:15">
      <c r="A55" s="1" t="s">
        <v>129</v>
      </c>
      <c r="B55" s="1" t="s">
        <v>130</v>
      </c>
      <c r="C55" s="1" t="s">
        <v>312</v>
      </c>
      <c r="D55" s="1" t="s">
        <v>210</v>
      </c>
      <c r="E55" s="1" t="s">
        <v>171</v>
      </c>
      <c r="F55" s="10">
        <v>6030.4969449949904</v>
      </c>
      <c r="G55" s="10">
        <v>2042.27398777911</v>
      </c>
      <c r="H55" s="10">
        <v>9604.0279594632793</v>
      </c>
      <c r="I55" s="10">
        <v>130.310069335587</v>
      </c>
      <c r="J55" s="10">
        <v>20.6577331673193</v>
      </c>
      <c r="K55" s="10">
        <v>7774.4911031047504</v>
      </c>
      <c r="L55" s="10">
        <v>2094.44580035746</v>
      </c>
      <c r="M55" s="10">
        <v>10967.156881290901</v>
      </c>
      <c r="N55" s="10">
        <v>132.88169731732799</v>
      </c>
      <c r="O55" s="10">
        <v>20.8166764194068</v>
      </c>
    </row>
    <row r="56" spans="1:15">
      <c r="A56" s="1" t="s">
        <v>131</v>
      </c>
      <c r="B56" s="1" t="s">
        <v>132</v>
      </c>
      <c r="C56" s="1" t="s">
        <v>214</v>
      </c>
      <c r="D56" s="1" t="s">
        <v>186</v>
      </c>
      <c r="E56" s="1" t="s">
        <v>158</v>
      </c>
      <c r="F56" s="1"/>
      <c r="H56" s="3"/>
      <c r="K56" s="10">
        <v>20313.3144402859</v>
      </c>
    </row>
    <row r="57" spans="1:15">
      <c r="A57" s="1" t="s">
        <v>133</v>
      </c>
      <c r="B57" s="1" t="s">
        <v>134</v>
      </c>
      <c r="C57" s="1" t="s">
        <v>156</v>
      </c>
      <c r="D57" s="1" t="s">
        <v>157</v>
      </c>
      <c r="E57" s="1" t="s">
        <v>158</v>
      </c>
      <c r="F57" s="1"/>
      <c r="G57" s="1"/>
      <c r="H57" s="3"/>
      <c r="K57" s="10">
        <v>5125.0387659132002</v>
      </c>
    </row>
    <row r="58" spans="1:15">
      <c r="A58" s="1" t="s">
        <v>135</v>
      </c>
      <c r="B58" s="1" t="s">
        <v>136</v>
      </c>
      <c r="C58" s="1" t="s">
        <v>156</v>
      </c>
      <c r="D58" s="1" t="s">
        <v>157</v>
      </c>
      <c r="E58" s="1" t="s">
        <v>158</v>
      </c>
      <c r="F58" s="1"/>
      <c r="G58" s="1"/>
      <c r="H58" s="3"/>
      <c r="K58" s="10">
        <v>5125.0387659132002</v>
      </c>
    </row>
    <row r="59" spans="1:15">
      <c r="A59" s="1" t="s">
        <v>137</v>
      </c>
      <c r="B59" s="1" t="s">
        <v>138</v>
      </c>
      <c r="C59" s="1" t="s">
        <v>156</v>
      </c>
      <c r="D59" s="1" t="s">
        <v>157</v>
      </c>
      <c r="E59" s="1" t="s">
        <v>158</v>
      </c>
      <c r="F59" s="1"/>
      <c r="G59" s="1"/>
      <c r="H59" s="3"/>
      <c r="K59" s="10">
        <v>5125.0387659132002</v>
      </c>
    </row>
    <row r="60" spans="1:15">
      <c r="A60" s="1" t="s">
        <v>139</v>
      </c>
      <c r="B60" s="1" t="s">
        <v>140</v>
      </c>
      <c r="C60" s="1" t="s">
        <v>156</v>
      </c>
      <c r="D60" s="1" t="s">
        <v>157</v>
      </c>
      <c r="E60" s="1" t="s">
        <v>158</v>
      </c>
      <c r="F60" s="1"/>
      <c r="G60" s="1"/>
      <c r="H60" s="3"/>
      <c r="K60" s="10">
        <v>5125.0387659132002</v>
      </c>
    </row>
    <row r="61" spans="1:15">
      <c r="A61" s="1" t="s">
        <v>141</v>
      </c>
      <c r="B61" s="1" t="s">
        <v>142</v>
      </c>
      <c r="C61" s="1" t="s">
        <v>156</v>
      </c>
      <c r="D61" s="1" t="s">
        <v>157</v>
      </c>
      <c r="E61" s="1" t="s">
        <v>158</v>
      </c>
      <c r="F61" s="1"/>
      <c r="G61" s="1"/>
      <c r="H61" s="3"/>
      <c r="K61" s="10">
        <v>5125.0387659132002</v>
      </c>
    </row>
    <row r="62" spans="1:15">
      <c r="A62" s="11" t="s">
        <v>143</v>
      </c>
      <c r="B62" s="11" t="s">
        <v>144</v>
      </c>
      <c r="C62" s="11"/>
      <c r="D62" s="11" t="s">
        <v>295</v>
      </c>
      <c r="E62" s="11"/>
      <c r="F62" s="1"/>
      <c r="G62" s="1"/>
      <c r="H62" s="3"/>
    </row>
    <row r="63" spans="1:15">
      <c r="A63" t="s">
        <v>167</v>
      </c>
      <c r="B63" t="s">
        <v>330</v>
      </c>
      <c r="C63" t="s">
        <v>315</v>
      </c>
      <c r="D63" t="s">
        <v>315</v>
      </c>
      <c r="E63" t="s">
        <v>171</v>
      </c>
      <c r="F63" s="41">
        <v>1135.2753720657299</v>
      </c>
      <c r="G63">
        <v>0</v>
      </c>
      <c r="H63">
        <v>0</v>
      </c>
      <c r="I63" s="7">
        <v>-14.670774325135801</v>
      </c>
      <c r="J63" s="7">
        <v>-10.143963912039</v>
      </c>
      <c r="K63" s="41">
        <v>1125.5198252026901</v>
      </c>
      <c r="L63">
        <v>0</v>
      </c>
      <c r="M63">
        <v>0</v>
      </c>
      <c r="N63" s="7">
        <v>-14.6528846926289</v>
      </c>
      <c r="O63" s="7">
        <v>-10.142460636750499</v>
      </c>
    </row>
    <row r="64" spans="1:15">
      <c r="A64" s="36"/>
      <c r="B64" s="48" t="s">
        <v>484</v>
      </c>
      <c r="C64" s="36" t="s">
        <v>485</v>
      </c>
      <c r="D64" s="36" t="s">
        <v>259</v>
      </c>
      <c r="E64" s="36" t="s">
        <v>171</v>
      </c>
      <c r="F64" s="41">
        <v>14448.004903770599</v>
      </c>
      <c r="G64" s="41">
        <v>154.073599440653</v>
      </c>
      <c r="H64" s="41">
        <v>4367.2336308118001</v>
      </c>
      <c r="I64" s="41">
        <v>147.474568785429</v>
      </c>
      <c r="J64" s="41">
        <v>36.944574726293503</v>
      </c>
      <c r="K64" s="41">
        <v>18905.922091078701</v>
      </c>
      <c r="L64" s="41">
        <v>362.88036268914999</v>
      </c>
      <c r="M64" s="41">
        <v>9997.1273829624097</v>
      </c>
      <c r="N64" s="41">
        <v>156.05219000137001</v>
      </c>
      <c r="O64" s="41">
        <v>37.502659453232603</v>
      </c>
    </row>
    <row r="65" spans="1:15">
      <c r="A65" s="36"/>
      <c r="B65" s="48" t="s">
        <v>486</v>
      </c>
      <c r="C65" s="36" t="s">
        <v>487</v>
      </c>
      <c r="D65" s="36" t="s">
        <v>488</v>
      </c>
      <c r="E65" s="36" t="s">
        <v>171</v>
      </c>
      <c r="F65" s="41">
        <v>7551.2657520104804</v>
      </c>
      <c r="G65" s="41">
        <v>251.69024906374</v>
      </c>
      <c r="H65" s="41">
        <v>7414.4263334983698</v>
      </c>
      <c r="I65" s="41">
        <v>228.72764686148599</v>
      </c>
      <c r="J65" s="41">
        <v>49.7813325543842</v>
      </c>
      <c r="K65" s="41">
        <v>11595.1785814717</v>
      </c>
      <c r="L65" s="41">
        <v>401.39472008385098</v>
      </c>
      <c r="M65" s="41">
        <v>10854.331284428999</v>
      </c>
      <c r="N65" s="41">
        <v>234.55292304243699</v>
      </c>
      <c r="O65" s="41">
        <v>50.176161115621497</v>
      </c>
    </row>
    <row r="66" spans="1:15">
      <c r="A66" s="36"/>
      <c r="B66" s="36" t="s">
        <v>337</v>
      </c>
      <c r="C66" s="36" t="s">
        <v>338</v>
      </c>
      <c r="D66" s="36" t="s">
        <v>338</v>
      </c>
      <c r="E66" s="36" t="s">
        <v>171</v>
      </c>
      <c r="F66" s="41">
        <v>4145.4410521417503</v>
      </c>
      <c r="G66" s="41">
        <v>177.70393873727301</v>
      </c>
      <c r="H66" s="41">
        <v>14808.108317590901</v>
      </c>
      <c r="I66" s="41">
        <v>141.87771573603001</v>
      </c>
      <c r="J66" s="41">
        <v>23.625400497328499</v>
      </c>
      <c r="K66" s="41">
        <v>6434.8865177051903</v>
      </c>
      <c r="L66" s="41">
        <v>282.913420037827</v>
      </c>
      <c r="M66" s="41">
        <v>17318.970316626401</v>
      </c>
      <c r="N66" s="41">
        <v>146.53614719158699</v>
      </c>
      <c r="O66" s="41">
        <v>23.9213921746898</v>
      </c>
    </row>
    <row r="67" spans="1:15">
      <c r="A67" s="36"/>
      <c r="B67" s="36" t="s">
        <v>341</v>
      </c>
      <c r="C67" s="36" t="s">
        <v>342</v>
      </c>
      <c r="D67" s="36" t="s">
        <v>343</v>
      </c>
      <c r="E67" s="36" t="s">
        <v>171</v>
      </c>
      <c r="F67" s="41">
        <v>8689.9839393584207</v>
      </c>
      <c r="G67" s="41">
        <v>1190.2147389638901</v>
      </c>
      <c r="H67" s="41">
        <v>14411.454743898201</v>
      </c>
      <c r="I67" s="41">
        <v>197.48872086701999</v>
      </c>
      <c r="J67" s="41">
        <v>24.284239839379399</v>
      </c>
      <c r="K67" s="41">
        <v>10675.981573426399</v>
      </c>
      <c r="L67" s="41">
        <v>1230.4675938406899</v>
      </c>
      <c r="M67" s="41">
        <v>15327.555918022001</v>
      </c>
      <c r="N67" s="41">
        <v>199.83151718572299</v>
      </c>
      <c r="O67" s="41">
        <v>24.4131078947178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69B4F-662F-4A7B-956F-0836AB9BF887}">
  <dimension ref="A1:K19"/>
  <sheetViews>
    <sheetView workbookViewId="0">
      <selection activeCell="F3" sqref="F3"/>
    </sheetView>
  </sheetViews>
  <sheetFormatPr defaultRowHeight="14.4"/>
  <cols>
    <col min="2" max="2" width="14.5546875" customWidth="1"/>
    <col min="4" max="4" width="20.5546875" customWidth="1"/>
    <col min="6" max="6" width="12.88671875" customWidth="1"/>
    <col min="8" max="8" width="9.109375" customWidth="1"/>
    <col min="9" max="9" width="25.33203125" customWidth="1"/>
    <col min="11" max="11" width="13.33203125" customWidth="1"/>
  </cols>
  <sheetData>
    <row r="1" spans="1:11">
      <c r="A1" t="s">
        <v>489</v>
      </c>
    </row>
    <row r="2" spans="1:11" ht="62.25" customHeight="1">
      <c r="B2" t="s">
        <v>152</v>
      </c>
      <c r="C2" t="s">
        <v>490</v>
      </c>
      <c r="D2" s="55" t="s">
        <v>491</v>
      </c>
      <c r="F2" t="s">
        <v>492</v>
      </c>
      <c r="I2" s="55" t="s">
        <v>493</v>
      </c>
      <c r="K2" t="s">
        <v>494</v>
      </c>
    </row>
    <row r="3" spans="1:11">
      <c r="B3" t="s">
        <v>311</v>
      </c>
      <c r="C3" s="54">
        <v>0.52</v>
      </c>
      <c r="D3">
        <v>18860</v>
      </c>
    </row>
    <row r="4" spans="1:11">
      <c r="B4" t="s">
        <v>495</v>
      </c>
      <c r="C4" s="54">
        <v>0.45</v>
      </c>
      <c r="D4">
        <v>3893</v>
      </c>
      <c r="F4" t="s">
        <v>496</v>
      </c>
      <c r="G4" t="s">
        <v>497</v>
      </c>
      <c r="H4" s="54">
        <v>0.45</v>
      </c>
      <c r="I4">
        <v>4098</v>
      </c>
      <c r="K4">
        <f>I4/D4</f>
        <v>1.0526586180323658</v>
      </c>
    </row>
    <row r="5" spans="1:11">
      <c r="B5" t="s">
        <v>54</v>
      </c>
      <c r="C5" s="54">
        <v>0.41</v>
      </c>
      <c r="D5">
        <v>3689</v>
      </c>
    </row>
    <row r="6" spans="1:11">
      <c r="B6" t="s">
        <v>498</v>
      </c>
      <c r="C6" s="54">
        <v>0.47</v>
      </c>
      <c r="D6">
        <v>1081</v>
      </c>
    </row>
    <row r="7" spans="1:11">
      <c r="B7" t="s">
        <v>499</v>
      </c>
      <c r="C7" s="54">
        <v>0.37</v>
      </c>
      <c r="D7">
        <v>1058</v>
      </c>
    </row>
    <row r="8" spans="1:11">
      <c r="B8" t="s">
        <v>500</v>
      </c>
      <c r="C8" s="54">
        <v>0.48</v>
      </c>
      <c r="D8">
        <v>837</v>
      </c>
    </row>
    <row r="9" spans="1:11">
      <c r="B9" t="s">
        <v>236</v>
      </c>
      <c r="C9" s="54">
        <v>0.44</v>
      </c>
      <c r="D9">
        <v>517</v>
      </c>
      <c r="F9" t="s">
        <v>236</v>
      </c>
      <c r="G9" t="s">
        <v>501</v>
      </c>
      <c r="H9" s="54">
        <v>0.44</v>
      </c>
      <c r="I9">
        <v>15934</v>
      </c>
      <c r="K9">
        <f>I9/D9</f>
        <v>30.820116054158607</v>
      </c>
    </row>
    <row r="10" spans="1:11">
      <c r="B10" t="s">
        <v>502</v>
      </c>
      <c r="C10" s="54">
        <v>0.45</v>
      </c>
      <c r="D10">
        <v>473</v>
      </c>
      <c r="F10" t="s">
        <v>503</v>
      </c>
      <c r="G10" t="s">
        <v>497</v>
      </c>
      <c r="H10" s="54">
        <v>0.45</v>
      </c>
      <c r="I10">
        <v>29870</v>
      </c>
      <c r="K10">
        <f>I10/D10</f>
        <v>63.150105708245242</v>
      </c>
    </row>
    <row r="11" spans="1:11">
      <c r="B11" t="s">
        <v>134</v>
      </c>
      <c r="C11" s="54">
        <v>0.33</v>
      </c>
      <c r="D11">
        <v>284</v>
      </c>
    </row>
    <row r="12" spans="1:11">
      <c r="B12" t="s">
        <v>504</v>
      </c>
      <c r="C12" s="54">
        <v>0.37</v>
      </c>
      <c r="D12">
        <v>38</v>
      </c>
      <c r="F12" t="s">
        <v>134</v>
      </c>
      <c r="G12" t="s">
        <v>505</v>
      </c>
      <c r="H12" s="54">
        <v>0.33</v>
      </c>
      <c r="I12">
        <v>11165</v>
      </c>
      <c r="K12">
        <f>I12/D12</f>
        <v>293.81578947368422</v>
      </c>
    </row>
    <row r="13" spans="1:11">
      <c r="B13" t="s">
        <v>506</v>
      </c>
      <c r="C13" s="54">
        <v>1</v>
      </c>
      <c r="D13">
        <v>50</v>
      </c>
    </row>
    <row r="14" spans="1:11">
      <c r="B14" t="s">
        <v>507</v>
      </c>
      <c r="C14" s="54">
        <v>0.4</v>
      </c>
      <c r="D14">
        <v>14</v>
      </c>
    </row>
    <row r="15" spans="1:11">
      <c r="B15" t="s">
        <v>508</v>
      </c>
      <c r="C15" s="54">
        <v>1</v>
      </c>
      <c r="D15">
        <v>12</v>
      </c>
    </row>
    <row r="16" spans="1:11">
      <c r="F16" t="s">
        <v>509</v>
      </c>
      <c r="G16" t="s">
        <v>505</v>
      </c>
      <c r="H16" s="54">
        <v>0.39</v>
      </c>
      <c r="I16">
        <v>4895</v>
      </c>
    </row>
    <row r="17" spans="6:9">
      <c r="F17" t="s">
        <v>510</v>
      </c>
      <c r="G17" t="s">
        <v>511</v>
      </c>
      <c r="H17" s="54">
        <v>0.42</v>
      </c>
      <c r="I17">
        <v>4413</v>
      </c>
    </row>
    <row r="18" spans="6:9">
      <c r="F18" s="53" t="s">
        <v>512</v>
      </c>
      <c r="H18" t="s">
        <v>513</v>
      </c>
      <c r="I18">
        <v>3941</v>
      </c>
    </row>
    <row r="19" spans="6:9">
      <c r="F19" t="s">
        <v>161</v>
      </c>
      <c r="G19" t="s">
        <v>505</v>
      </c>
      <c r="H19" s="54">
        <v>0.34</v>
      </c>
      <c r="I19">
        <v>3425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603BB68AE5C0F4C908E70EB4D1DDDC3" ma:contentTypeVersion="15" ma:contentTypeDescription="Skapa ett nytt dokument." ma:contentTypeScope="" ma:versionID="bc1901b771652496ef02f4cbdf878f9e">
  <xsd:schema xmlns:xsd="http://www.w3.org/2001/XMLSchema" xmlns:xs="http://www.w3.org/2001/XMLSchema" xmlns:p="http://schemas.microsoft.com/office/2006/metadata/properties" xmlns:ns3="31ffec6e-e0c6-46d3-bf16-e7019fdf1f95" xmlns:ns4="20b5f8f8-e964-4ea5-9bc5-5fa83731a92f" targetNamespace="http://schemas.microsoft.com/office/2006/metadata/properties" ma:root="true" ma:fieldsID="6c61e44642a1e9e2aad865b2f0b39e8f" ns3:_="" ns4:_="">
    <xsd:import namespace="31ffec6e-e0c6-46d3-bf16-e7019fdf1f95"/>
    <xsd:import namespace="20b5f8f8-e964-4ea5-9bc5-5fa83731a92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AutoKeyPoints" minOccurs="0"/>
                <xsd:element ref="ns4:MediaServiceKeyPoints" minOccurs="0"/>
                <xsd:element ref="ns4:MediaServiceDateTaken" minOccurs="0"/>
                <xsd:element ref="ns4:MediaServiceLocatio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ffec6e-e0c6-46d3-bf16-e7019fdf1f95" elementFormDefault="qualified">
    <xsd:import namespace="http://schemas.microsoft.com/office/2006/documentManagement/types"/>
    <xsd:import namespace="http://schemas.microsoft.com/office/infopath/2007/PartnerControls"/>
    <xsd:element name="SharedWithUsers" ma:index="8"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at med information" ma:internalName="SharedWithDetails" ma:readOnly="true">
      <xsd:simpleType>
        <xsd:restriction base="dms:Note">
          <xsd:maxLength value="255"/>
        </xsd:restriction>
      </xsd:simpleType>
    </xsd:element>
    <xsd:element name="SharingHintHash" ma:index="10" nillable="true" ma:displayName="Delar tips,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b5f8f8-e964-4ea5-9bc5-5fa83731a92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20b5f8f8-e964-4ea5-9bc5-5fa83731a92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7AC8AD-70EC-4052-9E16-16A4A72EB9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ffec6e-e0c6-46d3-bf16-e7019fdf1f95"/>
    <ds:schemaRef ds:uri="20b5f8f8-e964-4ea5-9bc5-5fa83731a9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7C2B94-9FFD-41FC-8772-98DE929B123F}">
  <ds:schemaRefs>
    <ds:schemaRef ds:uri="http://schemas.microsoft.com/office/2006/metadata/properties"/>
    <ds:schemaRef ds:uri="http://schemas.microsoft.com/office/infopath/2007/PartnerControls"/>
    <ds:schemaRef ds:uri="20b5f8f8-e964-4ea5-9bc5-5fa83731a92f"/>
  </ds:schemaRefs>
</ds:datastoreItem>
</file>

<file path=customXml/itemProps3.xml><?xml version="1.0" encoding="utf-8"?>
<ds:datastoreItem xmlns:ds="http://schemas.openxmlformats.org/officeDocument/2006/customXml" ds:itemID="{921175F7-2CA9-4B80-92F6-FCF191EA6E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Footprints, results per kg</vt:lpstr>
      <vt:lpstr>Translation</vt:lpstr>
      <vt:lpstr>Yields</vt:lpstr>
      <vt:lpstr>Data Gephart</vt:lpstr>
      <vt:lpstr>Production vs. consumption SWE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Elin Röös</dc:creator>
  <cp:keywords/>
  <dc:description/>
  <cp:lastModifiedBy>Elin Röös</cp:lastModifiedBy>
  <cp:revision/>
  <dcterms:created xsi:type="dcterms:W3CDTF">2023-03-30T16:42:58Z</dcterms:created>
  <dcterms:modified xsi:type="dcterms:W3CDTF">2024-03-01T14:17:47Z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0x010100A603BB68AE5C0F4C908E70EB4D1DDDC3</vt:lpwstr>
  </property>
</Properties>
</file>