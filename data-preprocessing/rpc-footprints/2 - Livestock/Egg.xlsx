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codeName="ThisWorkbook"/>
  <mc:AlternateContent xmlns:mc="http://schemas.openxmlformats.org/markup-compatibility/2006">
    <mc:Choice Requires="x15">
      <x15ac:absPath xmlns:x15ac="http://schemas.microsoft.com/office/spreadsheetml/2010/11/ac" url="https://svelantbruksuniversitet-my.sharepoint.com/personal/elin_roos_slu_se/Documents/Dokument/SLU/Projekt 42 - Plan'eat/WP3/2 - Livestock/"/>
    </mc:Choice>
  </mc:AlternateContent>
  <xr:revisionPtr revIDLastSave="1268" documentId="11_9F7C784FFAA4F3618236B440409C12FAC4484763" xr6:coauthVersionLast="47" xr6:coauthVersionMax="47" xr10:uidLastSave="{B71218F5-5FA3-4FDD-89B8-8550AAF7FF3C}"/>
  <bookViews>
    <workbookView xWindow="-108" yWindow="-108" windowWidth="23256" windowHeight="12576" firstSheet="2" activeTab="4" xr2:uid="{00000000-000D-0000-FFFF-FFFF00000000}"/>
  </bookViews>
  <sheets>
    <sheet name="README" sheetId="18" r:id="rId1"/>
    <sheet name="Figures" sheetId="26" r:id="rId2"/>
    <sheet name="Footprints, results per kg" sheetId="17" r:id="rId3"/>
    <sheet name="GHG detailed, results per kg" sheetId="13" r:id="rId4"/>
    <sheet name="Production" sheetId="23" r:id="rId5"/>
    <sheet name="Parameters, country spec" sheetId="4" r:id="rId6"/>
    <sheet name="Egg yield" sheetId="28" r:id="rId7"/>
    <sheet name="Manure" sheetId="25" r:id="rId8"/>
    <sheet name="CO2 per kg feed" sheetId="2" r:id="rId9"/>
    <sheet name="CH4 per kg feed" sheetId="15" r:id="rId10"/>
    <sheet name="N2O per kg feed" sheetId="14" r:id="rId11"/>
    <sheet name="EFP per kg feed" sheetId="16" r:id="rId12"/>
    <sheet name="Parameters, general" sheetId="20" r:id="rId13"/>
    <sheet name="Off-farm feed" sheetId="27" r:id="rId14"/>
    <sheet name="References" sheetId="21" r:id="rId15"/>
  </sheets>
  <definedNames>
    <definedName name="_xlnm._FilterDatabase" localSheetId="1" hidden="1">Figures!$A$6:$M$6</definedName>
    <definedName name="_xlnm._FilterDatabase" localSheetId="2" hidden="1">'Footprints, results per kg'!$D$6:$U$6</definedName>
    <definedName name="Ability_to_perceive_handling">'Parameters, general'!$B$19</definedName>
    <definedName name="Bonefree_outof_CW_DE">'Parameters, country spec'!$C$8</definedName>
    <definedName name="Bonefree_outof_CW_ES">'Parameters, country spec'!$J$8</definedName>
    <definedName name="Bonefree_outof_CW_FR">'Parameters, country spec'!$B$8</definedName>
    <definedName name="Bonefree_outof_CW_GR">'Parameters, country spec'!$D$8</definedName>
    <definedName name="Bonefree_outof_CW_HU">'Parameters, country spec'!$E$8</definedName>
    <definedName name="Bonefree_outof_CW_IE">'Parameters, country spec'!$F$8</definedName>
    <definedName name="Bonefree_outof_CW_IT">'Parameters, country spec'!$G$8</definedName>
    <definedName name="Bonefree_outof_CW_NL">'Parameters, country spec'!$H$8</definedName>
    <definedName name="Bonefree_outof_CW_PL">'Parameters, country spec'!$I$8</definedName>
    <definedName name="Bonefree_outof_CW_SE">'Parameters, country spec'!$K$8</definedName>
    <definedName name="CF_GWP_CH4_fossil">'Parameters, general'!$B$14</definedName>
    <definedName name="CF_GWP_N2O">'Parameters, general'!$B$16</definedName>
    <definedName name="EF_biofuel_CH4">'Parameters, general'!$C$6</definedName>
    <definedName name="EF_biofuel_N2O">'Parameters, general'!$D$6</definedName>
    <definedName name="EF_biofuels_CO2">'Parameters, general'!$B$6</definedName>
    <definedName name="EF_el_CH4_BR">'Parameters, general'!$B$31</definedName>
    <definedName name="EF_el_CH4_DE">'Parameters, country spec'!$C$42</definedName>
    <definedName name="EF_el_CH4_ES">'Parameters, country spec'!$J$42</definedName>
    <definedName name="EF_el_CH4_FR">'Parameters, country spec'!$B$42</definedName>
    <definedName name="EF_el_CH4_GR">'Parameters, country spec'!$D$42</definedName>
    <definedName name="EF_el_CH4_HU">'Parameters, country spec'!$E$42</definedName>
    <definedName name="EF_el_CH4_IE">'Parameters, country spec'!$F$42</definedName>
    <definedName name="EF_el_CH4_IT">'Parameters, country spec'!$G$42</definedName>
    <definedName name="EF_el_CH4_NL">'Parameters, country spec'!$H$42</definedName>
    <definedName name="EF_el_CH4_PL">'Parameters, country spec'!$I$42</definedName>
    <definedName name="EF_el_CH4_SE">'Parameters, country spec'!$K$42</definedName>
    <definedName name="EF_el_CO2_BR">'Parameters, general'!$B$30</definedName>
    <definedName name="EF_el_CO2_DE">'Parameters, country spec'!$C$41</definedName>
    <definedName name="EF_el_CO2_ES">'Parameters, country spec'!$J$41</definedName>
    <definedName name="EF_el_CO2_FR">'Parameters, country spec'!$B$41</definedName>
    <definedName name="EF_el_CO2_GR">'Parameters, country spec'!$D$41</definedName>
    <definedName name="EF_el_CO2_HU">'Parameters, country spec'!$E$41</definedName>
    <definedName name="EF_el_CO2_IE">'Parameters, country spec'!$F$41</definedName>
    <definedName name="EF_el_CO2_IT">'Parameters, country spec'!$G$41</definedName>
    <definedName name="EF_el_CO2_NL">'Parameters, country spec'!$H$41</definedName>
    <definedName name="EF_el_CO2_PL">'Parameters, country spec'!$I$41</definedName>
    <definedName name="EF_el_CO2_SE">'Parameters, country spec'!$K$41</definedName>
    <definedName name="EF_el_N2O_BR">'Parameters, general'!$B$32</definedName>
    <definedName name="EF_el_N2O_DE">'Parameters, country spec'!$C$44</definedName>
    <definedName name="EF_el_N2O_ES">'Parameters, country spec'!$J$44</definedName>
    <definedName name="EF_el_N2O_FR">'Parameters, country spec'!$B$44</definedName>
    <definedName name="EF_el_N2O_GR">'Parameters, country spec'!$D$44</definedName>
    <definedName name="EF_el_N2O_HU">'Parameters, country spec'!$E$44</definedName>
    <definedName name="EF_el_N2O_IE">'Parameters, country spec'!$F$44</definedName>
    <definedName name="EF_el_N2O_IT">'Parameters, country spec'!$G$44</definedName>
    <definedName name="EF_el_N2O_NL">'Parameters, country spec'!$H$44</definedName>
    <definedName name="EF_el_N2O_PL">'Parameters, country spec'!$I$44</definedName>
    <definedName name="EF_el_N2O_SE">'Parameters, country spec'!$K$44</definedName>
    <definedName name="EF_electricity">'Parameters, country spec'!$K$40</definedName>
    <definedName name="EF_GWP_CH4_biog">'Parameters, general'!#REF!</definedName>
    <definedName name="EF_indirect_N2O_DE">'Parameters, country spec'!$C$57</definedName>
    <definedName name="EF_indirect_N2O_ES">'Parameters, country spec'!$J$57</definedName>
    <definedName name="EF_indirect_N2O_FR">'Parameters, country spec'!$B$57</definedName>
    <definedName name="EF_indirect_N2O_GR">'Parameters, country spec'!$D$57</definedName>
    <definedName name="EF_indirect_N2O_HU">'Parameters, country spec'!$E$57</definedName>
    <definedName name="EF_indirect_N2O_IE">'Parameters, country spec'!$F$57</definedName>
    <definedName name="EF_indirect_N2O_IT">'Parameters, country spec'!$G$57</definedName>
    <definedName name="EF_indirect_N2O_NL">'Parameters, country spec'!$H$57</definedName>
    <definedName name="EF_indirect_N2O_PL">'Parameters, country spec'!$I$57</definedName>
    <definedName name="EF_indirect_N2O_SE">'Parameters, country spec'!$K$57</definedName>
    <definedName name="EF_min_fert_AN_CH4">'Parameters, general'!$C$10</definedName>
    <definedName name="EF_min_fert_AN_CO2">'Parameters, general'!$B$10</definedName>
    <definedName name="EF_min_fert_AN_N2O">'Parameters, general'!$D$10</definedName>
    <definedName name="EF_min_fert_BAT_CH4">'Parameters, general'!$C$9</definedName>
    <definedName name="EF_min_fert_BAT_CO2">'Parameters, general'!$B$9</definedName>
    <definedName name="EF_min_fert_BAT_N2O">'Parameters, general'!$D$9</definedName>
    <definedName name="EF_N2O_diff_DE">'Parameters, country spec'!$C$56</definedName>
    <definedName name="EF_N2O_diff_ES">'Parameters, country spec'!$J$56</definedName>
    <definedName name="EF_N2O_diff_FR">'Parameters, country spec'!$B$56</definedName>
    <definedName name="EF_N2O_diff_GR">'Parameters, country spec'!$D$56</definedName>
    <definedName name="EF_N2O_diff_HU">'Parameters, country spec'!$E$56</definedName>
    <definedName name="EF_N2O_diff_IE">'Parameters, country spec'!$F$56</definedName>
    <definedName name="EF_N2O_diff_IT">'Parameters, country spec'!$G$56</definedName>
    <definedName name="EF_N2O_diff_NL">'Parameters, country spec'!$H$56</definedName>
    <definedName name="EF_N2O_diff_PL">'Parameters, country spec'!$I$56</definedName>
    <definedName name="EF_N2O_diff_SE">'Parameters, country spec'!$K$56</definedName>
    <definedName name="EF_oil_CH4">'Parameters, general'!$C$5</definedName>
    <definedName name="EF_oil_CO2">'Parameters, general'!$B$5</definedName>
    <definedName name="EF_oil_N2O">'Parameters, general'!$D$5</definedName>
    <definedName name="Energy_slaughter_el_DE">'Parameters, country spec'!$C$36</definedName>
    <definedName name="Energy_slaughter_el_ES">'Parameters, country spec'!$J$36</definedName>
    <definedName name="Energy_slaughter_el_FR">'Parameters, country spec'!$B$36</definedName>
    <definedName name="Energy_slaughter_el_GR">'Parameters, country spec'!$D$36</definedName>
    <definedName name="Energy_slaughter_el_HU">'Parameters, country spec'!$E$36</definedName>
    <definedName name="Energy_slaughter_el_IE">'Parameters, country spec'!$F$36</definedName>
    <definedName name="Energy_slaughter_el_IT">'Parameters, country spec'!$G$36</definedName>
    <definedName name="Energy_slaughter_el_NL">'Parameters, country spec'!$H$36</definedName>
    <definedName name="Energy_slaughter_el_PL">'Parameters, country spec'!$I$36</definedName>
    <definedName name="Energy_slaughter_el_SE">'Parameters, country spec'!$K$36</definedName>
    <definedName name="Energy_slaughter_oil_DE">'Parameters, country spec'!$C$37</definedName>
    <definedName name="Energy_slaughter_oil_ES">'Parameters, country spec'!$J$37</definedName>
    <definedName name="Energy_slaughter_oil_FR">'Parameters, country spec'!$B$37</definedName>
    <definedName name="Energy_slaughter_oil_GR">'Parameters, country spec'!$D$37</definedName>
    <definedName name="Energy_slaughter_oil_HU">'Parameters, country spec'!$E$37</definedName>
    <definedName name="Energy_slaughter_oil_IE">'Parameters, country spec'!$F$37</definedName>
    <definedName name="Energy_slaughter_oil_IT">'Parameters, country spec'!$G$37</definedName>
    <definedName name="Energy_slaughter_oil_NL">'Parameters, country spec'!$H$37</definedName>
    <definedName name="Energy_slaughter_oil_PL">'Parameters, country spec'!$I$37</definedName>
    <definedName name="Energy_slaughter_oil_SE">'Parameters, country spec'!$K$37</definedName>
    <definedName name="Energy_stables_DE">'Parameters, country spec'!$C$31</definedName>
    <definedName name="Energy_stables_ES">'Parameters, country spec'!$J$31</definedName>
    <definedName name="Energy_stables_FR">'Parameters, country spec'!$B$31</definedName>
    <definedName name="Energy_stables_GR">'Parameters, country spec'!$D$31</definedName>
    <definedName name="Energy_stables_HU">'Parameters, country spec'!$E$31</definedName>
    <definedName name="Energy_stables_IE">'Parameters, country spec'!$F$31</definedName>
    <definedName name="Energy_stables_IT">'Parameters, country spec'!$G$31</definedName>
    <definedName name="Energy_stables_NL">'Parameters, country spec'!$H$31</definedName>
    <definedName name="Energy_stables_PL">'Parameters, country spec'!$I$31</definedName>
    <definedName name="Energy_stables_SE">'Parameters, country spec'!$K$31</definedName>
    <definedName name="Excreted_N_after_losses_DE">Manure!$C$119</definedName>
    <definedName name="Excreted_N_after_losses_ES">Manure!$J$119</definedName>
    <definedName name="Excreted_N_after_losses_FR">Manure!$B$119</definedName>
    <definedName name="Excreted_N_after_losses_GR">Manure!$D$119</definedName>
    <definedName name="Excreted_N_after_losses_HU">Manure!$E$119</definedName>
    <definedName name="Excreted_N_after_losses_IE">Manure!$F$119</definedName>
    <definedName name="Excreted_N_after_losses_IT">Manure!$G$119</definedName>
    <definedName name="Excreted_N_after_losses_NL">Manure!$H$119</definedName>
    <definedName name="Excreted_N_after_losses_PL">Manure!$I$119</definedName>
    <definedName name="Excreted_N_after_losses_SE">Manure!$K$119</definedName>
    <definedName name="FCR_bonefree_incl_parents_DE">'Parameters, country spec'!$C$28</definedName>
    <definedName name="FCR_bonefree_incl_parents_ES">'Parameters, country spec'!$J$28</definedName>
    <definedName name="FCR_bonefree_incl_parents_FR">'Parameters, country spec'!$B$28</definedName>
    <definedName name="FCR_bonefree_incl_parents_GR">'Parameters, country spec'!$D$28</definedName>
    <definedName name="FCR_bonefree_incl_parents_HU">'Parameters, country spec'!$E$28</definedName>
    <definedName name="FCR_bonefree_incl_parents_IE">'Parameters, country spec'!$F$28</definedName>
    <definedName name="FCR_bonefree_incl_parents_IT">'Parameters, country spec'!$G$28</definedName>
    <definedName name="FCR_bonefree_incl_parents_NL">'Parameters, country spec'!$H$28</definedName>
    <definedName name="FCR_bonefree_incl_parents_PL">'Parameters, country spec'!$I$28</definedName>
    <definedName name="FCR_bonefree_incl_parents_SE">'Parameters, country spec'!$K$28</definedName>
    <definedName name="Frac_AN_DE">'Parameters, country spec'!$C$51</definedName>
    <definedName name="Frac_AN_ES">'Parameters, country spec'!$J$51</definedName>
    <definedName name="Frac_AN_FR">'Parameters, country spec'!$B$51</definedName>
    <definedName name="Frac_AN_GR">'Parameters, country spec'!$D$51</definedName>
    <definedName name="Frac_AN_HU">'Parameters, country spec'!$E$51</definedName>
    <definedName name="Frac_AN_IE">'Parameters, country spec'!$F$51</definedName>
    <definedName name="Frac_AN_IT">'Parameters, country spec'!$G$51</definedName>
    <definedName name="Frac_AN_NL">'Parameters, country spec'!$H$51</definedName>
    <definedName name="Frac_AN_PL">'Parameters, country spec'!$I$51</definedName>
    <definedName name="Frac_AN_SE">'Parameters, country spec'!$K$51</definedName>
    <definedName name="Frac_BAT_DE">'Parameters, country spec'!$C$50</definedName>
    <definedName name="Frac_BAT_ES">'Parameters, country spec'!$J$50</definedName>
    <definedName name="Frac_BAT_FR">'Parameters, country spec'!$B$50</definedName>
    <definedName name="Frac_BAT_GR">'Parameters, country spec'!$D$50</definedName>
    <definedName name="Frac_BAT_HU">'Parameters, country spec'!$E$50</definedName>
    <definedName name="Frac_BAT_IE">'Parameters, country spec'!$F$50</definedName>
    <definedName name="Frac_BAT_IT">'Parameters, country spec'!$G$50</definedName>
    <definedName name="Frac_BAT_NL">'Parameters, country spec'!$H$50</definedName>
    <definedName name="Frac_BAT_PL">'Parameters, country spec'!$I$50</definedName>
    <definedName name="Frac_BAT_SE">'Parameters, country spec'!$K$50</definedName>
    <definedName name="GRAT">'Parameters, country spec'!$D$44</definedName>
    <definedName name="L_DE">'Parameters, country spec'!$H$28</definedName>
    <definedName name="Manure_repl_factor_DE">'Parameters, country spec'!$C$60</definedName>
    <definedName name="Manure_repl_factor_ES">'Parameters, country spec'!$J$60</definedName>
    <definedName name="Manure_repl_factor_FR">'Parameters, country spec'!$B$60</definedName>
    <definedName name="Manure_repl_factor_GR">'Parameters, country spec'!$D$60</definedName>
    <definedName name="Manure_repl_factor_HU">'Parameters, country spec'!$E$60</definedName>
    <definedName name="Manure_repl_factor_IE">'Parameters, country spec'!$F$60</definedName>
    <definedName name="Manure_repl_factor_IT">'Parameters, country spec'!$G$60</definedName>
    <definedName name="Manure_repl_factor_NL">'Parameters, country spec'!$H$60</definedName>
    <definedName name="Manure_repl_factor_PL">'Parameters, country spec'!$I$60</definedName>
    <definedName name="Manure_repl_factor_SE">'Parameters, country spec'!$K$60</definedName>
    <definedName name="NH3_per_kg_DE">Manure!$C$122</definedName>
    <definedName name="NH3_per_kg_ES">Manure!$J$122</definedName>
    <definedName name="NH3_per_kg_FR">Manure!$B$122</definedName>
    <definedName name="NH3_per_kg_GR">Manure!$D$122</definedName>
    <definedName name="NH3_per_kg_HU">Manure!$E$122</definedName>
    <definedName name="NH3_per_kg_IE">Manure!$F$122</definedName>
    <definedName name="NH3_per_kg_IT">Manure!$G$122</definedName>
    <definedName name="NH3_per_kg_NL">Manure!$H$122</definedName>
    <definedName name="NH3_per_kg_PL">Manure!$I$122</definedName>
    <definedName name="NH3_per_kg_SE">Manure!$K$122</definedName>
    <definedName name="No_laying_hens_DE">Production!$C$5</definedName>
    <definedName name="No_laying_hens_ES">Production!$J$5</definedName>
    <definedName name="No_laying_hens_FR">Production!$B$5</definedName>
    <definedName name="No_laying_hens_GR">Production!$D$5</definedName>
    <definedName name="No_laying_hens_HU">Production!$E$5</definedName>
    <definedName name="No_laying_hens_IE">Production!$F$5</definedName>
    <definedName name="No_laying_hens_IT">Production!$G$5</definedName>
    <definedName name="No_laying_hens_NL">Production!$H$5</definedName>
    <definedName name="No_laying_hens_PL">Production!$I$5</definedName>
    <definedName name="No_laying_hens_SE">Production!$K$5</definedName>
    <definedName name="Share_biofuels_DE">'Parameters, country spec'!$C$33</definedName>
    <definedName name="Share_biofuels_ES">'Parameters, country spec'!$J$33</definedName>
    <definedName name="Share_biofuels_FR">'Parameters, country spec'!$B$33</definedName>
    <definedName name="Share_biofuels_GR">'Parameters, country spec'!$D$33</definedName>
    <definedName name="Share_biofuels_HU">'Parameters, country spec'!$E$33</definedName>
    <definedName name="Share_biofuels_IE">'Parameters, country spec'!$F$33</definedName>
    <definedName name="Share_biofuels_IT">'Parameters, country spec'!$G$33</definedName>
    <definedName name="Share_biofuels_NL">'Parameters, country spec'!$H$33</definedName>
    <definedName name="Share_biofuels_PL">'Parameters, country spec'!$I$33</definedName>
    <definedName name="Share_biofuels_SE">'Parameters, country spec'!$K$33</definedName>
    <definedName name="Share_heating_DE">'Parameters, country spec'!$C$32</definedName>
    <definedName name="Share_heating_ES">'Parameters, country spec'!$J$32</definedName>
    <definedName name="Share_heating_FR">'Parameters, country spec'!$B$32</definedName>
    <definedName name="Share_heating_GR">'Parameters, country spec'!$D$32</definedName>
    <definedName name="Share_heating_HU">'Parameters, country spec'!$E$32</definedName>
    <definedName name="Share_heating_IE">'Parameters, country spec'!$F$32</definedName>
    <definedName name="Share_heating_IT">'Parameters, country spec'!$G$32</definedName>
    <definedName name="Share_heating_NL">'Parameters, country spec'!$H$32</definedName>
    <definedName name="Share_heating_PL">'Parameters, country spec'!$I$32</definedName>
    <definedName name="Share_heating_SE">'Parameters, country spec'!$K$32</definedName>
    <definedName name="Slaughter_duration_class">'Parameters, general'!$B$20</definedName>
    <definedName name="Water_stables_DE">'Parameters, country spec'!$C$63</definedName>
    <definedName name="Water_stables_ES">'Parameters, country spec'!$J$63</definedName>
    <definedName name="Water_stables_FR">'Parameters, country spec'!$B$63</definedName>
    <definedName name="Water_stables_GR">'Parameters, country spec'!$D$63</definedName>
    <definedName name="Water_stables_HU">'Parameters, country spec'!$E$63</definedName>
    <definedName name="Water_stables_IE">'Parameters, country spec'!$F$63</definedName>
    <definedName name="Water_stables_IT">'Parameters, country spec'!$G$63</definedName>
    <definedName name="Water_stables_NL">'Parameters, country spec'!$H$63</definedName>
    <definedName name="Water_stables_PL">'Parameters, country spec'!$I$63</definedName>
    <definedName name="Water_stables_SE">'Parameters, country spec'!$K$63</definedName>
    <definedName name="Weight_ability_to_perceive_handling">'Parameters, general'!$B$23</definedName>
    <definedName name="Weight_diseases">'Parameters, general'!$B$25</definedName>
    <definedName name="Weight_mortality">'Parameters, general'!$B$24</definedName>
    <definedName name="Weight_no_of_animal">'Parameters, general'!$B$22</definedName>
    <definedName name="Weight_slaughter_duration_class">'Parameters, general'!$B$27</definedName>
    <definedName name="Weight_space">'Parameters, general'!$B$26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23" l="1"/>
  <c r="B21" i="23"/>
  <c r="B19" i="23"/>
  <c r="B20" i="23" s="1"/>
  <c r="B16" i="23"/>
  <c r="O124" i="16"/>
  <c r="O123" i="16"/>
  <c r="O122" i="16"/>
  <c r="O121" i="16"/>
  <c r="O120" i="16"/>
  <c r="O119" i="16"/>
  <c r="O118" i="16"/>
  <c r="O117" i="16"/>
  <c r="O116" i="16"/>
  <c r="O115" i="16"/>
  <c r="O114" i="16"/>
  <c r="O112" i="16"/>
  <c r="O111" i="16"/>
  <c r="O110" i="16"/>
  <c r="O109" i="16"/>
  <c r="O108" i="16"/>
  <c r="O107" i="16"/>
  <c r="O106" i="16"/>
  <c r="O105" i="16"/>
  <c r="O104" i="16"/>
  <c r="O103" i="16"/>
  <c r="O102" i="16"/>
  <c r="O100" i="16"/>
  <c r="O99" i="16"/>
  <c r="O98" i="16"/>
  <c r="O97" i="16"/>
  <c r="O96" i="16"/>
  <c r="O95" i="16"/>
  <c r="O94" i="16"/>
  <c r="O93" i="16"/>
  <c r="O92" i="16"/>
  <c r="O91" i="16"/>
  <c r="O90" i="16"/>
  <c r="O88" i="16"/>
  <c r="O87" i="16"/>
  <c r="O86" i="16"/>
  <c r="O85" i="16"/>
  <c r="O84" i="16"/>
  <c r="O83" i="16"/>
  <c r="O82" i="16"/>
  <c r="O81" i="16"/>
  <c r="O80" i="16"/>
  <c r="O79" i="16"/>
  <c r="O78" i="16"/>
  <c r="K64" i="16"/>
  <c r="O76" i="16"/>
  <c r="O75" i="16"/>
  <c r="O74" i="16"/>
  <c r="O73" i="16"/>
  <c r="O72" i="16"/>
  <c r="O71" i="16"/>
  <c r="O70" i="16"/>
  <c r="O69" i="16"/>
  <c r="O68" i="16"/>
  <c r="O67" i="16"/>
  <c r="O66" i="16"/>
  <c r="O52" i="16"/>
  <c r="O51" i="16"/>
  <c r="O50" i="16"/>
  <c r="O49" i="16"/>
  <c r="O48" i="16"/>
  <c r="O47" i="16"/>
  <c r="O46" i="16"/>
  <c r="O45" i="16"/>
  <c r="O44" i="16"/>
  <c r="O43" i="16"/>
  <c r="O42" i="16"/>
  <c r="O40" i="16"/>
  <c r="O39" i="16"/>
  <c r="O38" i="16"/>
  <c r="O37" i="16"/>
  <c r="O36" i="16"/>
  <c r="O35" i="16"/>
  <c r="O34" i="16"/>
  <c r="O33" i="16"/>
  <c r="O32" i="16"/>
  <c r="O31" i="16"/>
  <c r="O30" i="16"/>
  <c r="O28" i="16"/>
  <c r="O27" i="16"/>
  <c r="O26" i="16"/>
  <c r="O25" i="16"/>
  <c r="O24" i="16"/>
  <c r="O23" i="16"/>
  <c r="O22" i="16"/>
  <c r="O21" i="16"/>
  <c r="O20" i="16"/>
  <c r="O19" i="16"/>
  <c r="O18" i="16"/>
  <c r="O16" i="16"/>
  <c r="O15" i="16"/>
  <c r="O14" i="16"/>
  <c r="O13" i="16"/>
  <c r="O12" i="16"/>
  <c r="O11" i="16"/>
  <c r="O10" i="16"/>
  <c r="O9" i="16"/>
  <c r="O8" i="16"/>
  <c r="O7" i="16"/>
  <c r="O6" i="16"/>
  <c r="B6" i="23"/>
  <c r="F14" i="16"/>
  <c r="G14" i="16"/>
  <c r="H14" i="16"/>
  <c r="I14" i="16"/>
  <c r="J14" i="16"/>
  <c r="K14" i="16"/>
  <c r="L14" i="16"/>
  <c r="F123" i="14"/>
  <c r="F111" i="14"/>
  <c r="F99" i="14"/>
  <c r="F87" i="14"/>
  <c r="F75" i="14"/>
  <c r="F63" i="14"/>
  <c r="F51" i="14"/>
  <c r="F39" i="14"/>
  <c r="F27" i="14"/>
  <c r="F15" i="14"/>
  <c r="F123" i="15"/>
  <c r="F111" i="15"/>
  <c r="F99" i="15"/>
  <c r="F87" i="15"/>
  <c r="F75" i="15"/>
  <c r="F63" i="15"/>
  <c r="F51" i="15"/>
  <c r="F39" i="15"/>
  <c r="F27" i="15"/>
  <c r="F15" i="15"/>
  <c r="F123" i="2"/>
  <c r="F111" i="2"/>
  <c r="F99" i="2"/>
  <c r="F87" i="2"/>
  <c r="F75" i="2"/>
  <c r="F63" i="2"/>
  <c r="F51" i="2"/>
  <c r="F39" i="2"/>
  <c r="F27" i="2"/>
  <c r="F15" i="2"/>
  <c r="K55" i="16"/>
  <c r="J56" i="28"/>
  <c r="Y16" i="28"/>
  <c r="Y17" i="28"/>
  <c r="Y19" i="28"/>
  <c r="Y20" i="28"/>
  <c r="Y21" i="28"/>
  <c r="Y22" i="28"/>
  <c r="Y23" i="28"/>
  <c r="Y24" i="28"/>
  <c r="Y25" i="28"/>
  <c r="Y26" i="28"/>
  <c r="Y27" i="28"/>
  <c r="Y28" i="28"/>
  <c r="Y29" i="28"/>
  <c r="Y30" i="28"/>
  <c r="Y31" i="28"/>
  <c r="Y32" i="28"/>
  <c r="Y33" i="28"/>
  <c r="Y34" i="28"/>
  <c r="Y35" i="28"/>
  <c r="Y39" i="28"/>
  <c r="Y40" i="28"/>
  <c r="Y15" i="28"/>
  <c r="K9" i="4" l="1"/>
  <c r="H9" i="4" s="1"/>
  <c r="J55" i="28"/>
  <c r="J53" i="28"/>
  <c r="J52" i="28"/>
  <c r="U16" i="28"/>
  <c r="V16" i="28"/>
  <c r="W16" i="28" s="1"/>
  <c r="X16" i="28" s="1"/>
  <c r="U17" i="28"/>
  <c r="V17" i="28"/>
  <c r="W17" i="28" s="1"/>
  <c r="X17" i="28" s="1"/>
  <c r="U19" i="28"/>
  <c r="V19" i="28"/>
  <c r="W19" i="28" s="1"/>
  <c r="X19" i="28" s="1"/>
  <c r="C9" i="4" s="1"/>
  <c r="U20" i="28"/>
  <c r="V20" i="28"/>
  <c r="W20" i="28" s="1"/>
  <c r="X20" i="28" s="1"/>
  <c r="U21" i="28"/>
  <c r="V21" i="28"/>
  <c r="W21" i="28"/>
  <c r="X21" i="28"/>
  <c r="F9" i="4" s="1"/>
  <c r="U22" i="28"/>
  <c r="V22" i="28"/>
  <c r="W22" i="28" s="1"/>
  <c r="X22" i="28" s="1"/>
  <c r="J9" i="4" s="1"/>
  <c r="G9" i="4" s="1"/>
  <c r="U23" i="28"/>
  <c r="V23" i="28"/>
  <c r="W23" i="28" s="1"/>
  <c r="X23" i="28" s="1"/>
  <c r="B9" i="4" s="1"/>
  <c r="U24" i="28"/>
  <c r="V24" i="28"/>
  <c r="W24" i="28" s="1"/>
  <c r="X24" i="28" s="1"/>
  <c r="U25" i="28"/>
  <c r="V25" i="28"/>
  <c r="W25" i="28" s="1"/>
  <c r="X25" i="28" s="1"/>
  <c r="U26" i="28"/>
  <c r="V26" i="28"/>
  <c r="W26" i="28" s="1"/>
  <c r="X26" i="28" s="1"/>
  <c r="U27" i="28"/>
  <c r="V27" i="28"/>
  <c r="W27" i="28" s="1"/>
  <c r="X27" i="28" s="1"/>
  <c r="U28" i="28"/>
  <c r="V28" i="28"/>
  <c r="W28" i="28" s="1"/>
  <c r="X28" i="28" s="1"/>
  <c r="U29" i="28"/>
  <c r="V29" i="28"/>
  <c r="W29" i="28"/>
  <c r="X29" i="28"/>
  <c r="E9" i="4" s="1"/>
  <c r="D9" i="4" s="1"/>
  <c r="U30" i="28"/>
  <c r="V30" i="28"/>
  <c r="W30" i="28" s="1"/>
  <c r="X30" i="28" s="1"/>
  <c r="U31" i="28"/>
  <c r="V31" i="28"/>
  <c r="W31" i="28" s="1"/>
  <c r="X31" i="28" s="1"/>
  <c r="I9" i="4" s="1"/>
  <c r="U32" i="28"/>
  <c r="V32" i="28"/>
  <c r="W32" i="28" s="1"/>
  <c r="X32" i="28" s="1"/>
  <c r="U33" i="28"/>
  <c r="V33" i="28"/>
  <c r="W33" i="28" s="1"/>
  <c r="X33" i="28" s="1"/>
  <c r="U34" i="28"/>
  <c r="V34" i="28"/>
  <c r="W34" i="28" s="1"/>
  <c r="X34" i="28" s="1"/>
  <c r="U35" i="28"/>
  <c r="V35" i="28"/>
  <c r="W35" i="28" s="1"/>
  <c r="X35" i="28" s="1"/>
  <c r="U39" i="28"/>
  <c r="V39" i="28"/>
  <c r="W39" i="28" s="1"/>
  <c r="X39" i="28" s="1"/>
  <c r="U40" i="28"/>
  <c r="V40" i="28"/>
  <c r="W40" i="28" s="1"/>
  <c r="X40" i="28" s="1"/>
  <c r="V15" i="28"/>
  <c r="U15" i="28"/>
  <c r="E6" i="18"/>
  <c r="I13" i="26"/>
  <c r="I8" i="26"/>
  <c r="I14" i="26"/>
  <c r="I10" i="26"/>
  <c r="I7" i="26"/>
  <c r="I11" i="26"/>
  <c r="I15" i="26"/>
  <c r="I16" i="26"/>
  <c r="I9" i="26"/>
  <c r="M6" i="16"/>
  <c r="M7" i="16"/>
  <c r="M8" i="16"/>
  <c r="M9" i="16"/>
  <c r="M10" i="16"/>
  <c r="M11" i="16"/>
  <c r="M12" i="16"/>
  <c r="M13" i="16"/>
  <c r="M14" i="16"/>
  <c r="M15" i="16"/>
  <c r="M16" i="16"/>
  <c r="M18" i="16"/>
  <c r="M19" i="16"/>
  <c r="M20" i="16"/>
  <c r="M21" i="16"/>
  <c r="M22" i="16"/>
  <c r="M23" i="16"/>
  <c r="M24" i="16"/>
  <c r="M25" i="16"/>
  <c r="M26" i="16"/>
  <c r="M27" i="16"/>
  <c r="M28" i="16"/>
  <c r="M30" i="16"/>
  <c r="M31" i="16"/>
  <c r="M32" i="16"/>
  <c r="M33" i="16"/>
  <c r="M34" i="16"/>
  <c r="M35" i="16"/>
  <c r="M36" i="16"/>
  <c r="M37" i="16"/>
  <c r="M38" i="16"/>
  <c r="M39" i="16"/>
  <c r="M40" i="16"/>
  <c r="M42" i="16"/>
  <c r="M43" i="16"/>
  <c r="M44" i="16"/>
  <c r="M45" i="16"/>
  <c r="M46" i="16"/>
  <c r="M47" i="16"/>
  <c r="M48" i="16"/>
  <c r="M49" i="16"/>
  <c r="M50" i="16"/>
  <c r="M51" i="16"/>
  <c r="M52" i="16"/>
  <c r="M54" i="16"/>
  <c r="M55" i="16"/>
  <c r="M56" i="16"/>
  <c r="M57" i="16"/>
  <c r="M58" i="16"/>
  <c r="M59" i="16"/>
  <c r="M60" i="16"/>
  <c r="M61" i="16"/>
  <c r="M62" i="16"/>
  <c r="M63" i="16"/>
  <c r="M64" i="16"/>
  <c r="M66" i="16"/>
  <c r="M67" i="16"/>
  <c r="M68" i="16"/>
  <c r="M69" i="16"/>
  <c r="M70" i="16"/>
  <c r="M71" i="16"/>
  <c r="M72" i="16"/>
  <c r="M73" i="16"/>
  <c r="M74" i="16"/>
  <c r="M75" i="16"/>
  <c r="M76" i="16"/>
  <c r="M78" i="16"/>
  <c r="M79" i="16"/>
  <c r="M80" i="16"/>
  <c r="M81" i="16"/>
  <c r="M82" i="16"/>
  <c r="M83" i="16"/>
  <c r="M84" i="16"/>
  <c r="M85" i="16"/>
  <c r="M86" i="16"/>
  <c r="M87" i="16"/>
  <c r="M88" i="16"/>
  <c r="M90" i="16"/>
  <c r="M91" i="16"/>
  <c r="M92" i="16"/>
  <c r="M93" i="16"/>
  <c r="M94" i="16"/>
  <c r="M95" i="16"/>
  <c r="M96" i="16"/>
  <c r="M97" i="16"/>
  <c r="M98" i="16"/>
  <c r="M99" i="16"/>
  <c r="M100" i="16"/>
  <c r="M102" i="16"/>
  <c r="M103" i="16"/>
  <c r="M104" i="16"/>
  <c r="M105" i="16"/>
  <c r="M106" i="16"/>
  <c r="M107" i="16"/>
  <c r="M108" i="16"/>
  <c r="M109" i="16"/>
  <c r="M110" i="16"/>
  <c r="M111" i="16"/>
  <c r="M112" i="16"/>
  <c r="M114" i="16"/>
  <c r="M115" i="16"/>
  <c r="M116" i="16"/>
  <c r="M117" i="16"/>
  <c r="M118" i="16"/>
  <c r="M119" i="16"/>
  <c r="M120" i="16"/>
  <c r="M121" i="16"/>
  <c r="M122" i="16"/>
  <c r="M123" i="16"/>
  <c r="M124" i="16"/>
  <c r="H122" i="16"/>
  <c r="G122" i="16"/>
  <c r="L121" i="16"/>
  <c r="G110" i="16"/>
  <c r="F110" i="16"/>
  <c r="F97" i="16"/>
  <c r="J86" i="16"/>
  <c r="G86" i="16"/>
  <c r="H85" i="16"/>
  <c r="G85" i="16"/>
  <c r="H74" i="16"/>
  <c r="G74" i="16"/>
  <c r="J73" i="16"/>
  <c r="I73" i="16"/>
  <c r="G62" i="16"/>
  <c r="F62" i="16"/>
  <c r="L61" i="16"/>
  <c r="L49" i="16"/>
  <c r="J38" i="16"/>
  <c r="G38" i="16"/>
  <c r="F37" i="16"/>
  <c r="H26" i="16"/>
  <c r="G26" i="16"/>
  <c r="H25" i="16"/>
  <c r="G25" i="16"/>
  <c r="I13" i="16"/>
  <c r="H13" i="16"/>
  <c r="R124" i="14"/>
  <c r="R123" i="14"/>
  <c r="R122" i="14"/>
  <c r="R121" i="14"/>
  <c r="R120" i="14"/>
  <c r="R119" i="14"/>
  <c r="R118" i="14"/>
  <c r="R117" i="14"/>
  <c r="R116" i="14"/>
  <c r="R115" i="14"/>
  <c r="R114" i="14"/>
  <c r="R112" i="14"/>
  <c r="R111" i="14"/>
  <c r="R110" i="14"/>
  <c r="R109" i="14"/>
  <c r="R108" i="14"/>
  <c r="R107" i="14"/>
  <c r="R106" i="14"/>
  <c r="R105" i="14"/>
  <c r="R104" i="14"/>
  <c r="R103" i="14"/>
  <c r="R102" i="14"/>
  <c r="R100" i="14"/>
  <c r="R99" i="14"/>
  <c r="R98" i="14"/>
  <c r="R97" i="14"/>
  <c r="R96" i="14"/>
  <c r="R95" i="14"/>
  <c r="R94" i="14"/>
  <c r="R93" i="14"/>
  <c r="R92" i="14"/>
  <c r="R91" i="14"/>
  <c r="R90" i="14"/>
  <c r="R88" i="14"/>
  <c r="R87" i="14"/>
  <c r="R86" i="14"/>
  <c r="R85" i="14"/>
  <c r="R84" i="14"/>
  <c r="R83" i="14"/>
  <c r="R82" i="14"/>
  <c r="R81" i="14"/>
  <c r="R80" i="14"/>
  <c r="R79" i="14"/>
  <c r="R78" i="14"/>
  <c r="R76" i="14"/>
  <c r="R75" i="14"/>
  <c r="R74" i="14"/>
  <c r="R73" i="14"/>
  <c r="R72" i="14"/>
  <c r="R71" i="14"/>
  <c r="R70" i="14"/>
  <c r="R69" i="14"/>
  <c r="R68" i="14"/>
  <c r="R67" i="14"/>
  <c r="R66" i="14"/>
  <c r="R64" i="14"/>
  <c r="R63" i="14"/>
  <c r="R62" i="14"/>
  <c r="R61" i="14"/>
  <c r="R60" i="14"/>
  <c r="R59" i="14"/>
  <c r="R58" i="14"/>
  <c r="R57" i="14"/>
  <c r="R56" i="14"/>
  <c r="R55" i="14"/>
  <c r="R54" i="14"/>
  <c r="R52" i="14"/>
  <c r="R51" i="14"/>
  <c r="R50" i="14"/>
  <c r="R49" i="14"/>
  <c r="R48" i="14"/>
  <c r="R47" i="14"/>
  <c r="R46" i="14"/>
  <c r="R45" i="14"/>
  <c r="R44" i="14"/>
  <c r="R43" i="14"/>
  <c r="R42" i="14"/>
  <c r="R40" i="14"/>
  <c r="R39" i="14"/>
  <c r="R38" i="14"/>
  <c r="R37" i="14"/>
  <c r="R36" i="14"/>
  <c r="R35" i="14"/>
  <c r="R34" i="14"/>
  <c r="R33" i="14"/>
  <c r="R32" i="14"/>
  <c r="R31" i="14"/>
  <c r="R30" i="14"/>
  <c r="R28" i="14"/>
  <c r="R27" i="14"/>
  <c r="R26" i="14"/>
  <c r="R25" i="14"/>
  <c r="R24" i="14"/>
  <c r="R23" i="14"/>
  <c r="R22" i="14"/>
  <c r="R21" i="14"/>
  <c r="R20" i="14"/>
  <c r="R19" i="14"/>
  <c r="R18" i="14"/>
  <c r="R16" i="14"/>
  <c r="R15" i="14"/>
  <c r="R14" i="14"/>
  <c r="R13" i="14"/>
  <c r="R12" i="14"/>
  <c r="R11" i="14"/>
  <c r="R10" i="14"/>
  <c r="R9" i="14"/>
  <c r="R8" i="14"/>
  <c r="R7" i="14"/>
  <c r="R6" i="14"/>
  <c r="Q122" i="14"/>
  <c r="P122" i="14"/>
  <c r="N122" i="14"/>
  <c r="M122" i="14"/>
  <c r="K122" i="14"/>
  <c r="J122" i="14"/>
  <c r="I122" i="14"/>
  <c r="H122" i="14"/>
  <c r="F122" i="14" s="1"/>
  <c r="G122" i="14"/>
  <c r="Q121" i="14"/>
  <c r="N121" i="14"/>
  <c r="M121" i="14"/>
  <c r="K121" i="14"/>
  <c r="J121" i="14"/>
  <c r="I121" i="14"/>
  <c r="H121" i="14"/>
  <c r="G121" i="14"/>
  <c r="Q110" i="14"/>
  <c r="P110" i="14"/>
  <c r="N110" i="14"/>
  <c r="M110" i="14"/>
  <c r="K110" i="14"/>
  <c r="J110" i="14"/>
  <c r="I110" i="14"/>
  <c r="H110" i="14"/>
  <c r="F110" i="14" s="1"/>
  <c r="G110" i="14"/>
  <c r="Q109" i="14"/>
  <c r="N109" i="14"/>
  <c r="M109" i="14"/>
  <c r="K109" i="14"/>
  <c r="J109" i="14"/>
  <c r="I109" i="14"/>
  <c r="H109" i="14"/>
  <c r="G109" i="14"/>
  <c r="Q98" i="14"/>
  <c r="P98" i="14"/>
  <c r="N98" i="14"/>
  <c r="M98" i="14"/>
  <c r="K98" i="14"/>
  <c r="J98" i="14"/>
  <c r="I98" i="14"/>
  <c r="H98" i="14"/>
  <c r="G98" i="14"/>
  <c r="Q97" i="14"/>
  <c r="N97" i="14"/>
  <c r="M97" i="14"/>
  <c r="K97" i="14"/>
  <c r="J97" i="14"/>
  <c r="I97" i="14"/>
  <c r="H97" i="14"/>
  <c r="G97" i="14"/>
  <c r="Q86" i="14"/>
  <c r="P86" i="14"/>
  <c r="N86" i="14"/>
  <c r="M86" i="14"/>
  <c r="K86" i="14"/>
  <c r="J86" i="14"/>
  <c r="I86" i="14"/>
  <c r="H86" i="14"/>
  <c r="F86" i="14" s="1"/>
  <c r="G86" i="14"/>
  <c r="Q85" i="14"/>
  <c r="N85" i="14"/>
  <c r="M85" i="14"/>
  <c r="K85" i="14"/>
  <c r="J85" i="14"/>
  <c r="I85" i="14"/>
  <c r="H85" i="14"/>
  <c r="G85" i="14"/>
  <c r="Q74" i="14"/>
  <c r="P74" i="14"/>
  <c r="N74" i="14"/>
  <c r="M74" i="14"/>
  <c r="K74" i="14"/>
  <c r="J74" i="14"/>
  <c r="I74" i="14"/>
  <c r="H74" i="14"/>
  <c r="G74" i="14"/>
  <c r="Q73" i="14"/>
  <c r="N73" i="14"/>
  <c r="M73" i="14"/>
  <c r="K73" i="14"/>
  <c r="J73" i="14"/>
  <c r="I73" i="14"/>
  <c r="H73" i="14"/>
  <c r="G73" i="14"/>
  <c r="Q62" i="14"/>
  <c r="P62" i="14"/>
  <c r="N62" i="14"/>
  <c r="M62" i="14"/>
  <c r="K62" i="14"/>
  <c r="J62" i="14"/>
  <c r="I62" i="14"/>
  <c r="H62" i="14"/>
  <c r="F62" i="14" s="1"/>
  <c r="G62" i="14"/>
  <c r="Q61" i="14"/>
  <c r="N61" i="14"/>
  <c r="M61" i="14"/>
  <c r="K61" i="14"/>
  <c r="J61" i="14"/>
  <c r="I61" i="14"/>
  <c r="H61" i="14"/>
  <c r="G61" i="14"/>
  <c r="Q50" i="14"/>
  <c r="P50" i="14"/>
  <c r="N50" i="14"/>
  <c r="M50" i="14"/>
  <c r="K50" i="14"/>
  <c r="J50" i="14"/>
  <c r="I50" i="14"/>
  <c r="H50" i="14"/>
  <c r="G50" i="14"/>
  <c r="Q49" i="14"/>
  <c r="N49" i="14"/>
  <c r="M49" i="14"/>
  <c r="K49" i="14"/>
  <c r="J49" i="14"/>
  <c r="I49" i="14"/>
  <c r="H49" i="14"/>
  <c r="G49" i="14"/>
  <c r="Q38" i="14"/>
  <c r="P38" i="14"/>
  <c r="N38" i="14"/>
  <c r="M38" i="14"/>
  <c r="K38" i="14"/>
  <c r="J38" i="14"/>
  <c r="I38" i="14"/>
  <c r="H38" i="14"/>
  <c r="F38" i="14" s="1"/>
  <c r="G38" i="14"/>
  <c r="Q37" i="14"/>
  <c r="N37" i="14"/>
  <c r="M37" i="14"/>
  <c r="K37" i="14"/>
  <c r="J37" i="14"/>
  <c r="I37" i="14"/>
  <c r="H37" i="14"/>
  <c r="G37" i="14"/>
  <c r="Q26" i="14"/>
  <c r="P26" i="14"/>
  <c r="N26" i="14"/>
  <c r="M26" i="14"/>
  <c r="K26" i="14"/>
  <c r="J26" i="14"/>
  <c r="I26" i="14"/>
  <c r="H26" i="14"/>
  <c r="G26" i="14"/>
  <c r="Q25" i="14"/>
  <c r="N25" i="14"/>
  <c r="M25" i="14"/>
  <c r="K25" i="14"/>
  <c r="J25" i="14"/>
  <c r="I25" i="14"/>
  <c r="H25" i="14"/>
  <c r="G25" i="14"/>
  <c r="Q14" i="14"/>
  <c r="P14" i="14"/>
  <c r="N14" i="14"/>
  <c r="M14" i="14"/>
  <c r="K14" i="14"/>
  <c r="J14" i="14"/>
  <c r="I14" i="14"/>
  <c r="H14" i="14"/>
  <c r="F14" i="14" s="1"/>
  <c r="G14" i="14"/>
  <c r="Q13" i="14"/>
  <c r="N13" i="14"/>
  <c r="M13" i="14"/>
  <c r="K13" i="14"/>
  <c r="J13" i="14"/>
  <c r="I13" i="14"/>
  <c r="H13" i="14"/>
  <c r="G13" i="14"/>
  <c r="R124" i="15"/>
  <c r="R123" i="15"/>
  <c r="R122" i="15"/>
  <c r="R121" i="15"/>
  <c r="R120" i="15"/>
  <c r="R119" i="15"/>
  <c r="R118" i="15"/>
  <c r="R117" i="15"/>
  <c r="R116" i="15"/>
  <c r="R115" i="15"/>
  <c r="R114" i="15"/>
  <c r="R112" i="15"/>
  <c r="R111" i="15"/>
  <c r="R110" i="15"/>
  <c r="R109" i="15"/>
  <c r="R108" i="15"/>
  <c r="R107" i="15"/>
  <c r="R106" i="15"/>
  <c r="R105" i="15"/>
  <c r="R104" i="15"/>
  <c r="R103" i="15"/>
  <c r="R102" i="15"/>
  <c r="R100" i="15"/>
  <c r="R99" i="15"/>
  <c r="R98" i="15"/>
  <c r="R97" i="15"/>
  <c r="R96" i="15"/>
  <c r="R95" i="15"/>
  <c r="R94" i="15"/>
  <c r="R93" i="15"/>
  <c r="R92" i="15"/>
  <c r="R91" i="15"/>
  <c r="R90" i="15"/>
  <c r="R88" i="15"/>
  <c r="R87" i="15"/>
  <c r="R86" i="15"/>
  <c r="R85" i="15"/>
  <c r="R84" i="15"/>
  <c r="R83" i="15"/>
  <c r="R82" i="15"/>
  <c r="R81" i="15"/>
  <c r="R80" i="15"/>
  <c r="R79" i="15"/>
  <c r="R78" i="15"/>
  <c r="R76" i="15"/>
  <c r="R75" i="15"/>
  <c r="R74" i="15"/>
  <c r="R73" i="15"/>
  <c r="R72" i="15"/>
  <c r="R71" i="15"/>
  <c r="R70" i="15"/>
  <c r="R69" i="15"/>
  <c r="R68" i="15"/>
  <c r="R67" i="15"/>
  <c r="R66" i="15"/>
  <c r="R64" i="15"/>
  <c r="R63" i="15"/>
  <c r="R62" i="15"/>
  <c r="R61" i="15"/>
  <c r="R60" i="15"/>
  <c r="R59" i="15"/>
  <c r="R58" i="15"/>
  <c r="R57" i="15"/>
  <c r="R56" i="15"/>
  <c r="R55" i="15"/>
  <c r="R54" i="15"/>
  <c r="R52" i="15"/>
  <c r="R51" i="15"/>
  <c r="R50" i="15"/>
  <c r="R49" i="15"/>
  <c r="R48" i="15"/>
  <c r="R47" i="15"/>
  <c r="R46" i="15"/>
  <c r="R45" i="15"/>
  <c r="R44" i="15"/>
  <c r="R43" i="15"/>
  <c r="R42" i="15"/>
  <c r="R40" i="15"/>
  <c r="R39" i="15"/>
  <c r="R38" i="15"/>
  <c r="R37" i="15"/>
  <c r="R36" i="15"/>
  <c r="R35" i="15"/>
  <c r="R34" i="15"/>
  <c r="R33" i="15"/>
  <c r="R32" i="15"/>
  <c r="R31" i="15"/>
  <c r="R30" i="15"/>
  <c r="R28" i="15"/>
  <c r="R27" i="15"/>
  <c r="R26" i="15"/>
  <c r="R25" i="15"/>
  <c r="R24" i="15"/>
  <c r="R23" i="15"/>
  <c r="R22" i="15"/>
  <c r="R21" i="15"/>
  <c r="R20" i="15"/>
  <c r="R19" i="15"/>
  <c r="R18" i="15"/>
  <c r="R16" i="15"/>
  <c r="R15" i="15"/>
  <c r="R14" i="15"/>
  <c r="R13" i="15"/>
  <c r="R12" i="15"/>
  <c r="R11" i="15"/>
  <c r="R10" i="15"/>
  <c r="R9" i="15"/>
  <c r="R8" i="15"/>
  <c r="R7" i="15"/>
  <c r="R6" i="15"/>
  <c r="Q122" i="15"/>
  <c r="P122" i="15"/>
  <c r="F122" i="15" s="1"/>
  <c r="N122" i="15"/>
  <c r="M122" i="15"/>
  <c r="K122" i="15"/>
  <c r="H122" i="15"/>
  <c r="G122" i="15"/>
  <c r="Q121" i="15"/>
  <c r="N121" i="15"/>
  <c r="M121" i="15"/>
  <c r="K121" i="15"/>
  <c r="H121" i="15"/>
  <c r="G121" i="15"/>
  <c r="Q110" i="15"/>
  <c r="P110" i="15"/>
  <c r="F110" i="15" s="1"/>
  <c r="N110" i="15"/>
  <c r="M110" i="15"/>
  <c r="K110" i="15"/>
  <c r="H110" i="15"/>
  <c r="G110" i="15"/>
  <c r="Q109" i="15"/>
  <c r="N109" i="15"/>
  <c r="M109" i="15"/>
  <c r="K109" i="15"/>
  <c r="H109" i="15"/>
  <c r="G109" i="15"/>
  <c r="Q98" i="15"/>
  <c r="P98" i="15"/>
  <c r="F98" i="15" s="1"/>
  <c r="N98" i="15"/>
  <c r="M98" i="15"/>
  <c r="K98" i="15"/>
  <c r="H98" i="15"/>
  <c r="G98" i="15"/>
  <c r="Q97" i="15"/>
  <c r="N97" i="15"/>
  <c r="M97" i="15"/>
  <c r="K97" i="15"/>
  <c r="H97" i="15"/>
  <c r="G97" i="15"/>
  <c r="Q86" i="15"/>
  <c r="P86" i="15"/>
  <c r="F86" i="15" s="1"/>
  <c r="N86" i="15"/>
  <c r="M86" i="15"/>
  <c r="K86" i="15"/>
  <c r="H86" i="15"/>
  <c r="G86" i="15"/>
  <c r="Q85" i="15"/>
  <c r="N85" i="15"/>
  <c r="M85" i="15"/>
  <c r="K85" i="15"/>
  <c r="H85" i="15"/>
  <c r="G85" i="15"/>
  <c r="Q74" i="15"/>
  <c r="P74" i="15"/>
  <c r="F74" i="15" s="1"/>
  <c r="N74" i="15"/>
  <c r="M74" i="15"/>
  <c r="K74" i="15"/>
  <c r="H74" i="15"/>
  <c r="G74" i="15"/>
  <c r="Q73" i="15"/>
  <c r="N73" i="15"/>
  <c r="M73" i="15"/>
  <c r="K73" i="15"/>
  <c r="H73" i="15"/>
  <c r="G73" i="15"/>
  <c r="Q62" i="15"/>
  <c r="P62" i="15"/>
  <c r="N62" i="15"/>
  <c r="M62" i="15"/>
  <c r="K62" i="15"/>
  <c r="H62" i="15"/>
  <c r="G62" i="15"/>
  <c r="Q61" i="15"/>
  <c r="N61" i="15"/>
  <c r="M61" i="15"/>
  <c r="K61" i="15"/>
  <c r="H61" i="15"/>
  <c r="G61" i="15"/>
  <c r="Q50" i="15"/>
  <c r="P50" i="15"/>
  <c r="F50" i="15" s="1"/>
  <c r="N50" i="15"/>
  <c r="M50" i="15"/>
  <c r="K50" i="15"/>
  <c r="H50" i="15"/>
  <c r="G50" i="15"/>
  <c r="Q49" i="15"/>
  <c r="N49" i="15"/>
  <c r="M49" i="15"/>
  <c r="K49" i="15"/>
  <c r="H49" i="15"/>
  <c r="G49" i="15"/>
  <c r="Q38" i="15"/>
  <c r="P38" i="15"/>
  <c r="N38" i="15"/>
  <c r="M38" i="15"/>
  <c r="K38" i="15"/>
  <c r="H38" i="15"/>
  <c r="G38" i="15"/>
  <c r="F38" i="15"/>
  <c r="Q37" i="15"/>
  <c r="N37" i="15"/>
  <c r="M37" i="15"/>
  <c r="K37" i="15"/>
  <c r="H37" i="15"/>
  <c r="G37" i="15"/>
  <c r="Q26" i="15"/>
  <c r="P26" i="15"/>
  <c r="F26" i="15" s="1"/>
  <c r="N26" i="15"/>
  <c r="M26" i="15"/>
  <c r="K26" i="15"/>
  <c r="H26" i="15"/>
  <c r="G26" i="15"/>
  <c r="Q25" i="15"/>
  <c r="N25" i="15"/>
  <c r="M25" i="15"/>
  <c r="K25" i="15"/>
  <c r="H25" i="15"/>
  <c r="G25" i="15"/>
  <c r="F16" i="15"/>
  <c r="Q14" i="15"/>
  <c r="P14" i="15"/>
  <c r="N14" i="15"/>
  <c r="M14" i="15"/>
  <c r="K14" i="15"/>
  <c r="H14" i="15"/>
  <c r="G14" i="15"/>
  <c r="Q13" i="15"/>
  <c r="N13" i="15"/>
  <c r="M13" i="15"/>
  <c r="K13" i="15"/>
  <c r="H13" i="15"/>
  <c r="G13" i="15"/>
  <c r="R100" i="2"/>
  <c r="R99" i="2"/>
  <c r="R98" i="2"/>
  <c r="R97" i="2"/>
  <c r="R88" i="2"/>
  <c r="R87" i="2"/>
  <c r="R86" i="2"/>
  <c r="R85" i="2"/>
  <c r="R76" i="2"/>
  <c r="R75" i="2"/>
  <c r="R74" i="2"/>
  <c r="R73" i="2"/>
  <c r="R71" i="2"/>
  <c r="R70" i="2"/>
  <c r="R69" i="2"/>
  <c r="R68" i="2"/>
  <c r="R67" i="2"/>
  <c r="R66" i="2"/>
  <c r="R52" i="2"/>
  <c r="R51" i="2"/>
  <c r="R50" i="2"/>
  <c r="R49" i="2"/>
  <c r="R48" i="2"/>
  <c r="R47" i="2"/>
  <c r="R45" i="2"/>
  <c r="R44" i="2"/>
  <c r="R43" i="2"/>
  <c r="R42" i="2"/>
  <c r="R62" i="2"/>
  <c r="R61" i="2"/>
  <c r="R60" i="2"/>
  <c r="R59" i="2"/>
  <c r="R58" i="2"/>
  <c r="R57" i="2"/>
  <c r="R56" i="2"/>
  <c r="R55" i="2"/>
  <c r="R46" i="2"/>
  <c r="R40" i="2"/>
  <c r="R39" i="2"/>
  <c r="R38" i="2"/>
  <c r="R37" i="2"/>
  <c r="R36" i="2"/>
  <c r="R35" i="2"/>
  <c r="R34" i="2"/>
  <c r="R33" i="2"/>
  <c r="R32" i="2"/>
  <c r="R31" i="2"/>
  <c r="R26" i="2"/>
  <c r="R27" i="2"/>
  <c r="R28" i="2"/>
  <c r="R25" i="2"/>
  <c r="R20" i="2"/>
  <c r="R21" i="2"/>
  <c r="R22" i="2"/>
  <c r="R23" i="2"/>
  <c r="R24" i="2"/>
  <c r="R19" i="2"/>
  <c r="Q122" i="2"/>
  <c r="P122" i="2"/>
  <c r="O122" i="2"/>
  <c r="N122" i="2"/>
  <c r="M122" i="2"/>
  <c r="K122" i="2"/>
  <c r="I122" i="2"/>
  <c r="H122" i="2"/>
  <c r="G122" i="2"/>
  <c r="Q121" i="2"/>
  <c r="O121" i="2"/>
  <c r="N121" i="2"/>
  <c r="M121" i="2"/>
  <c r="K121" i="2"/>
  <c r="I121" i="2"/>
  <c r="H121" i="2"/>
  <c r="G121" i="2"/>
  <c r="Q110" i="2"/>
  <c r="P110" i="2"/>
  <c r="O110" i="2"/>
  <c r="N110" i="2"/>
  <c r="M110" i="2"/>
  <c r="K110" i="2"/>
  <c r="I110" i="2"/>
  <c r="H110" i="2"/>
  <c r="G110" i="2"/>
  <c r="F110" i="2"/>
  <c r="Q109" i="2"/>
  <c r="O109" i="2"/>
  <c r="N109" i="2"/>
  <c r="M109" i="2"/>
  <c r="K109" i="2"/>
  <c r="I109" i="2"/>
  <c r="H109" i="2"/>
  <c r="G109" i="2"/>
  <c r="Q98" i="2"/>
  <c r="P98" i="2"/>
  <c r="F98" i="2" s="1"/>
  <c r="O98" i="2"/>
  <c r="N98" i="2"/>
  <c r="M98" i="2"/>
  <c r="K98" i="2"/>
  <c r="I98" i="2"/>
  <c r="H98" i="2"/>
  <c r="G98" i="2"/>
  <c r="Q97" i="2"/>
  <c r="O97" i="2"/>
  <c r="N97" i="2"/>
  <c r="M97" i="2"/>
  <c r="K97" i="2"/>
  <c r="I97" i="2"/>
  <c r="H97" i="2"/>
  <c r="G97" i="2"/>
  <c r="Q86" i="2"/>
  <c r="P86" i="2"/>
  <c r="O86" i="2"/>
  <c r="N86" i="2"/>
  <c r="M86" i="2"/>
  <c r="K86" i="2"/>
  <c r="I86" i="2"/>
  <c r="F86" i="2" s="1"/>
  <c r="H86" i="2"/>
  <c r="G86" i="2"/>
  <c r="Q85" i="2"/>
  <c r="O85" i="2"/>
  <c r="N85" i="2"/>
  <c r="M85" i="2"/>
  <c r="K85" i="2"/>
  <c r="I85" i="2"/>
  <c r="H85" i="2"/>
  <c r="G85" i="2"/>
  <c r="Q74" i="2"/>
  <c r="P74" i="2"/>
  <c r="O74" i="2"/>
  <c r="N74" i="2"/>
  <c r="M74" i="2"/>
  <c r="K74" i="2"/>
  <c r="I74" i="2"/>
  <c r="H74" i="2"/>
  <c r="G74" i="2"/>
  <c r="Q73" i="2"/>
  <c r="O73" i="2"/>
  <c r="N73" i="2"/>
  <c r="M73" i="2"/>
  <c r="K73" i="2"/>
  <c r="I73" i="2"/>
  <c r="H73" i="2"/>
  <c r="G73" i="2"/>
  <c r="Q62" i="2"/>
  <c r="P62" i="2"/>
  <c r="O62" i="2"/>
  <c r="N62" i="2"/>
  <c r="M62" i="2"/>
  <c r="K62" i="2"/>
  <c r="I62" i="2"/>
  <c r="F62" i="2" s="1"/>
  <c r="H62" i="2"/>
  <c r="G62" i="2"/>
  <c r="Q61" i="2"/>
  <c r="O61" i="2"/>
  <c r="N61" i="2"/>
  <c r="M61" i="2"/>
  <c r="K61" i="2"/>
  <c r="I61" i="2"/>
  <c r="H61" i="2"/>
  <c r="G61" i="2"/>
  <c r="Q50" i="2"/>
  <c r="P50" i="2"/>
  <c r="O50" i="2"/>
  <c r="N50" i="2"/>
  <c r="M50" i="2"/>
  <c r="K50" i="2"/>
  <c r="I50" i="2"/>
  <c r="H50" i="2"/>
  <c r="G50" i="2"/>
  <c r="Q49" i="2"/>
  <c r="O49" i="2"/>
  <c r="N49" i="2"/>
  <c r="M49" i="2"/>
  <c r="K49" i="2"/>
  <c r="I49" i="2"/>
  <c r="H49" i="2"/>
  <c r="G49" i="2"/>
  <c r="Q38" i="2"/>
  <c r="P38" i="2"/>
  <c r="O38" i="2"/>
  <c r="N38" i="2"/>
  <c r="M38" i="2"/>
  <c r="K38" i="2"/>
  <c r="I38" i="2"/>
  <c r="F38" i="2" s="1"/>
  <c r="H38" i="2"/>
  <c r="G38" i="2"/>
  <c r="Q37" i="2"/>
  <c r="O37" i="2"/>
  <c r="N37" i="2"/>
  <c r="M37" i="2"/>
  <c r="K37" i="2"/>
  <c r="I37" i="2"/>
  <c r="H37" i="2"/>
  <c r="G37" i="2"/>
  <c r="Q26" i="2"/>
  <c r="P26" i="2"/>
  <c r="O26" i="2"/>
  <c r="N26" i="2"/>
  <c r="M26" i="2"/>
  <c r="K26" i="2"/>
  <c r="I26" i="2"/>
  <c r="H26" i="2"/>
  <c r="G26" i="2"/>
  <c r="Q25" i="2"/>
  <c r="O25" i="2"/>
  <c r="N25" i="2"/>
  <c r="M25" i="2"/>
  <c r="K25" i="2"/>
  <c r="I25" i="2"/>
  <c r="H25" i="2"/>
  <c r="G25" i="2"/>
  <c r="R7" i="2"/>
  <c r="R8" i="2"/>
  <c r="R9" i="2"/>
  <c r="R10" i="2"/>
  <c r="R11" i="2"/>
  <c r="R12" i="2"/>
  <c r="R13" i="2"/>
  <c r="R14" i="2"/>
  <c r="R15" i="2"/>
  <c r="R16" i="2"/>
  <c r="Q14" i="2"/>
  <c r="P14" i="2"/>
  <c r="O14" i="2"/>
  <c r="N14" i="2"/>
  <c r="M14" i="2"/>
  <c r="K14" i="2"/>
  <c r="I14" i="2"/>
  <c r="H14" i="2"/>
  <c r="G14" i="2"/>
  <c r="Q13" i="2"/>
  <c r="O13" i="2"/>
  <c r="N13" i="2"/>
  <c r="M13" i="2"/>
  <c r="K13" i="2"/>
  <c r="I13" i="2"/>
  <c r="H13" i="2"/>
  <c r="G13" i="2"/>
  <c r="C106" i="27"/>
  <c r="C105" i="27"/>
  <c r="C104" i="27"/>
  <c r="C103" i="27"/>
  <c r="C96" i="27"/>
  <c r="O77" i="27" s="1"/>
  <c r="E77" i="27" s="1"/>
  <c r="C95" i="27"/>
  <c r="L88" i="27"/>
  <c r="L109" i="16" s="1"/>
  <c r="K88" i="27"/>
  <c r="J88" i="27"/>
  <c r="J121" i="16" s="1"/>
  <c r="I88" i="27"/>
  <c r="I121" i="16" s="1"/>
  <c r="H88" i="27"/>
  <c r="H73" i="16" s="1"/>
  <c r="G88" i="27"/>
  <c r="G13" i="16" s="1"/>
  <c r="F88" i="27"/>
  <c r="F85" i="16" s="1"/>
  <c r="P77" i="27"/>
  <c r="M77" i="27"/>
  <c r="L77" i="27"/>
  <c r="J77" i="27"/>
  <c r="I77" i="27"/>
  <c r="H77" i="27"/>
  <c r="G77" i="27"/>
  <c r="F77" i="27"/>
  <c r="E76" i="27"/>
  <c r="P75" i="27"/>
  <c r="M75" i="27"/>
  <c r="L75" i="27"/>
  <c r="J75" i="27"/>
  <c r="G75" i="27"/>
  <c r="F75" i="27"/>
  <c r="P74" i="27"/>
  <c r="M74" i="27"/>
  <c r="L74" i="27"/>
  <c r="J74" i="27"/>
  <c r="H74" i="27"/>
  <c r="G74" i="27"/>
  <c r="F74" i="27"/>
  <c r="B105" i="27"/>
  <c r="E71" i="27"/>
  <c r="E70" i="27"/>
  <c r="E69" i="27"/>
  <c r="E68" i="27"/>
  <c r="E65" i="27"/>
  <c r="E64" i="27"/>
  <c r="E63" i="27"/>
  <c r="E62" i="27"/>
  <c r="E59" i="27"/>
  <c r="E58" i="27"/>
  <c r="E57" i="27"/>
  <c r="E56" i="27"/>
  <c r="I43" i="27"/>
  <c r="L36" i="27"/>
  <c r="L98" i="16" s="1"/>
  <c r="K36" i="27"/>
  <c r="J36" i="27"/>
  <c r="J98" i="16" s="1"/>
  <c r="I36" i="27"/>
  <c r="I86" i="16" s="1"/>
  <c r="H36" i="27"/>
  <c r="H86" i="16" s="1"/>
  <c r="G36" i="27"/>
  <c r="G98" i="16" s="1"/>
  <c r="F36" i="27"/>
  <c r="F122" i="16" s="1"/>
  <c r="P26" i="27"/>
  <c r="O26" i="27"/>
  <c r="M26" i="27"/>
  <c r="L26" i="27"/>
  <c r="J26" i="27"/>
  <c r="I26" i="27"/>
  <c r="H26" i="27"/>
  <c r="G26" i="27"/>
  <c r="F26" i="27"/>
  <c r="E26" i="27"/>
  <c r="E25" i="27"/>
  <c r="P24" i="27"/>
  <c r="O24" i="27"/>
  <c r="M24" i="27"/>
  <c r="L24" i="27"/>
  <c r="J24" i="27"/>
  <c r="G24" i="27"/>
  <c r="F24" i="27"/>
  <c r="E24" i="27"/>
  <c r="O23" i="27"/>
  <c r="O23" i="27" a="1"/>
  <c r="N23" i="27"/>
  <c r="M23" i="27"/>
  <c r="L23" i="27"/>
  <c r="J23" i="27"/>
  <c r="H23" i="27"/>
  <c r="G23" i="27"/>
  <c r="F23" i="27"/>
  <c r="E23" i="27"/>
  <c r="E20" i="27"/>
  <c r="E19" i="27"/>
  <c r="E18" i="27"/>
  <c r="E17" i="27"/>
  <c r="E14" i="27"/>
  <c r="E13" i="27"/>
  <c r="E12" i="27"/>
  <c r="E11" i="27"/>
  <c r="K97" i="16" l="1"/>
  <c r="K25" i="16"/>
  <c r="K85" i="16"/>
  <c r="K49" i="16"/>
  <c r="K13" i="16"/>
  <c r="K73" i="16"/>
  <c r="K37" i="16"/>
  <c r="K109" i="16"/>
  <c r="K61" i="16"/>
  <c r="K121" i="16"/>
  <c r="K122" i="16"/>
  <c r="K124" i="16" s="1"/>
  <c r="K125" i="16" s="1"/>
  <c r="K74" i="16"/>
  <c r="K26" i="16"/>
  <c r="K28" i="16" s="1"/>
  <c r="K29" i="16" s="1"/>
  <c r="K38" i="16"/>
  <c r="K110" i="16"/>
  <c r="K62" i="16"/>
  <c r="K98" i="16"/>
  <c r="K100" i="16" s="1"/>
  <c r="K101" i="16" s="1"/>
  <c r="K50" i="16"/>
  <c r="K86" i="16"/>
  <c r="K88" i="16" s="1"/>
  <c r="K89" i="16" s="1"/>
  <c r="F109" i="16"/>
  <c r="J13" i="16"/>
  <c r="I25" i="16"/>
  <c r="G37" i="16"/>
  <c r="L73" i="16"/>
  <c r="I85" i="16"/>
  <c r="G97" i="16"/>
  <c r="G109" i="16"/>
  <c r="L13" i="16"/>
  <c r="J25" i="16"/>
  <c r="H37" i="16"/>
  <c r="F49" i="16"/>
  <c r="F61" i="16"/>
  <c r="J85" i="16"/>
  <c r="H97" i="16"/>
  <c r="H109" i="16"/>
  <c r="F121" i="16"/>
  <c r="L25" i="16"/>
  <c r="I37" i="16"/>
  <c r="G49" i="16"/>
  <c r="G61" i="16"/>
  <c r="L85" i="16"/>
  <c r="I97" i="16"/>
  <c r="I109" i="16"/>
  <c r="G121" i="16"/>
  <c r="J37" i="16"/>
  <c r="H49" i="16"/>
  <c r="H61" i="16"/>
  <c r="F73" i="16"/>
  <c r="J97" i="16"/>
  <c r="J109" i="16"/>
  <c r="H121" i="16"/>
  <c r="F13" i="16"/>
  <c r="L37" i="16"/>
  <c r="I49" i="16"/>
  <c r="I61" i="16"/>
  <c r="G73" i="16"/>
  <c r="L97" i="16"/>
  <c r="F25" i="16"/>
  <c r="J49" i="16"/>
  <c r="J61" i="16"/>
  <c r="L38" i="16"/>
  <c r="I74" i="16"/>
  <c r="L86" i="16"/>
  <c r="I122" i="16"/>
  <c r="J26" i="16"/>
  <c r="F50" i="16"/>
  <c r="H62" i="16"/>
  <c r="J74" i="16"/>
  <c r="F98" i="16"/>
  <c r="H110" i="16"/>
  <c r="J122" i="16"/>
  <c r="I26" i="16"/>
  <c r="L26" i="16"/>
  <c r="G50" i="16"/>
  <c r="I62" i="16"/>
  <c r="L74" i="16"/>
  <c r="I110" i="16"/>
  <c r="L122" i="16"/>
  <c r="F38" i="16"/>
  <c r="H50" i="16"/>
  <c r="J62" i="16"/>
  <c r="F86" i="16"/>
  <c r="H98" i="16"/>
  <c r="J110" i="16"/>
  <c r="L62" i="16"/>
  <c r="I98" i="16"/>
  <c r="L110" i="16"/>
  <c r="I50" i="16"/>
  <c r="F26" i="16"/>
  <c r="H38" i="16"/>
  <c r="J50" i="16"/>
  <c r="F74" i="16"/>
  <c r="I38" i="16"/>
  <c r="L50" i="16"/>
  <c r="W15" i="28"/>
  <c r="X15" i="28" s="1"/>
  <c r="P13" i="14"/>
  <c r="P17" i="14" s="1"/>
  <c r="Q10" i="13" s="1"/>
  <c r="P37" i="14"/>
  <c r="P41" i="14" s="1"/>
  <c r="Q20" i="13" s="1"/>
  <c r="P61" i="14"/>
  <c r="F61" i="14" s="1"/>
  <c r="P85" i="14"/>
  <c r="P89" i="14" s="1"/>
  <c r="Q40" i="13" s="1"/>
  <c r="P109" i="14"/>
  <c r="P113" i="14" s="1"/>
  <c r="Q50" i="13" s="1"/>
  <c r="P25" i="14"/>
  <c r="P29" i="14" s="1"/>
  <c r="Q15" i="13" s="1"/>
  <c r="P49" i="14"/>
  <c r="F49" i="14" s="1"/>
  <c r="P73" i="14"/>
  <c r="F73" i="14" s="1"/>
  <c r="P97" i="14"/>
  <c r="P101" i="14" s="1"/>
  <c r="Q45" i="13" s="1"/>
  <c r="P121" i="14"/>
  <c r="P125" i="14" s="1"/>
  <c r="Q55" i="13" s="1"/>
  <c r="B103" i="27"/>
  <c r="F26" i="14"/>
  <c r="F37" i="14"/>
  <c r="F26" i="2"/>
  <c r="F50" i="2"/>
  <c r="F74" i="2"/>
  <c r="F98" i="14"/>
  <c r="F14" i="2"/>
  <c r="F62" i="15"/>
  <c r="F74" i="14"/>
  <c r="F122" i="2"/>
  <c r="F50" i="14"/>
  <c r="F85" i="14"/>
  <c r="F14" i="15"/>
  <c r="O74" i="27"/>
  <c r="O75" i="27"/>
  <c r="K40" i="16" l="1"/>
  <c r="K41" i="16" s="1"/>
  <c r="K76" i="16"/>
  <c r="K77" i="16" s="1"/>
  <c r="K52" i="16"/>
  <c r="K53" i="16" s="1"/>
  <c r="K16" i="16"/>
  <c r="K17" i="16" s="1"/>
  <c r="K65" i="16"/>
  <c r="K112" i="16"/>
  <c r="K113" i="16" s="1"/>
  <c r="F13" i="14"/>
  <c r="F109" i="14"/>
  <c r="F97" i="14"/>
  <c r="P65" i="14"/>
  <c r="Q30" i="13" s="1"/>
  <c r="P53" i="14"/>
  <c r="Q25" i="13" s="1"/>
  <c r="F121" i="14"/>
  <c r="E75" i="27"/>
  <c r="P121" i="15"/>
  <c r="P109" i="15"/>
  <c r="P97" i="15"/>
  <c r="P85" i="15"/>
  <c r="P73" i="15"/>
  <c r="P61" i="15"/>
  <c r="P49" i="15"/>
  <c r="P37" i="15"/>
  <c r="P25" i="15"/>
  <c r="P13" i="15"/>
  <c r="P77" i="14"/>
  <c r="Q35" i="13" s="1"/>
  <c r="P85" i="2"/>
  <c r="F85" i="2" s="1"/>
  <c r="P61" i="2"/>
  <c r="P37" i="2"/>
  <c r="F37" i="2" s="1"/>
  <c r="P13" i="2"/>
  <c r="F13" i="2" s="1"/>
  <c r="P121" i="2"/>
  <c r="F121" i="2" s="1"/>
  <c r="P73" i="2"/>
  <c r="P25" i="2"/>
  <c r="F25" i="2" s="1"/>
  <c r="P49" i="2"/>
  <c r="P97" i="2"/>
  <c r="F97" i="2" s="1"/>
  <c r="P109" i="2"/>
  <c r="F109" i="2" s="1"/>
  <c r="F25" i="14"/>
  <c r="B104" i="27"/>
  <c r="B106" i="27" s="1"/>
  <c r="E74" i="27"/>
  <c r="O59" i="16" l="1"/>
  <c r="O58" i="16"/>
  <c r="O57" i="16"/>
  <c r="O62" i="16"/>
  <c r="O54" i="16"/>
  <c r="O60" i="16"/>
  <c r="O56" i="16"/>
  <c r="O63" i="16"/>
  <c r="O61" i="16"/>
  <c r="O55" i="16"/>
  <c r="O64" i="16"/>
  <c r="P77" i="15"/>
  <c r="Q33" i="13" s="1"/>
  <c r="F73" i="15"/>
  <c r="P89" i="15"/>
  <c r="Q38" i="13" s="1"/>
  <c r="F85" i="15"/>
  <c r="P17" i="15"/>
  <c r="Q8" i="13" s="1"/>
  <c r="F13" i="15"/>
  <c r="P113" i="15"/>
  <c r="Q48" i="13" s="1"/>
  <c r="F109" i="15"/>
  <c r="F61" i="2"/>
  <c r="P53" i="2"/>
  <c r="Q22" i="13" s="1"/>
  <c r="F49" i="2"/>
  <c r="F97" i="15"/>
  <c r="P101" i="15"/>
  <c r="Q43" i="13" s="1"/>
  <c r="F73" i="2"/>
  <c r="P29" i="15"/>
  <c r="Q13" i="13" s="1"/>
  <c r="F25" i="15"/>
  <c r="F121" i="15"/>
  <c r="P125" i="15"/>
  <c r="Q53" i="13" s="1"/>
  <c r="P41" i="15"/>
  <c r="Q18" i="13" s="1"/>
  <c r="F37" i="15"/>
  <c r="P53" i="15"/>
  <c r="Q23" i="13" s="1"/>
  <c r="F49" i="15"/>
  <c r="P65" i="15"/>
  <c r="Q28" i="13" s="1"/>
  <c r="F61" i="15"/>
  <c r="I12" i="26"/>
  <c r="Q26" i="13" l="1"/>
  <c r="W15" i="13"/>
  <c r="U20" i="13" l="1"/>
  <c r="W50" i="13"/>
  <c r="W48" i="13"/>
  <c r="W47" i="13"/>
  <c r="W45" i="13"/>
  <c r="W43" i="13"/>
  <c r="W42" i="13"/>
  <c r="W40" i="13"/>
  <c r="W38" i="13"/>
  <c r="W37" i="13"/>
  <c r="W35" i="13"/>
  <c r="W33" i="13"/>
  <c r="W32" i="13"/>
  <c r="W30" i="13"/>
  <c r="W28" i="13"/>
  <c r="W27" i="13"/>
  <c r="W25" i="13"/>
  <c r="W23" i="13"/>
  <c r="W22" i="13"/>
  <c r="W20" i="13"/>
  <c r="W18" i="13"/>
  <c r="W17" i="13"/>
  <c r="W13" i="13"/>
  <c r="W12" i="13"/>
  <c r="W10" i="13"/>
  <c r="W8" i="13"/>
  <c r="W7" i="13"/>
  <c r="C71" i="4"/>
  <c r="D71" i="4"/>
  <c r="E71" i="4"/>
  <c r="F71" i="4"/>
  <c r="G71" i="4"/>
  <c r="H71" i="4"/>
  <c r="I71" i="4"/>
  <c r="J71" i="4"/>
  <c r="K71" i="4"/>
  <c r="B71" i="4"/>
  <c r="O9" i="17"/>
  <c r="K9" i="23"/>
  <c r="J9" i="23"/>
  <c r="I9" i="23"/>
  <c r="H9" i="23"/>
  <c r="G9" i="23"/>
  <c r="F9" i="23"/>
  <c r="E9" i="23"/>
  <c r="D9" i="23"/>
  <c r="C9" i="23"/>
  <c r="K6" i="23"/>
  <c r="J6" i="23"/>
  <c r="I6" i="23"/>
  <c r="H6" i="23"/>
  <c r="G6" i="23"/>
  <c r="F6" i="23"/>
  <c r="E6" i="23"/>
  <c r="E7" i="23" s="1"/>
  <c r="D6" i="23"/>
  <c r="B7" i="23"/>
  <c r="C6" i="23"/>
  <c r="B12" i="23"/>
  <c r="B9" i="23"/>
  <c r="C12" i="23"/>
  <c r="K12" i="23"/>
  <c r="J12" i="23"/>
  <c r="I12" i="23"/>
  <c r="H12" i="23"/>
  <c r="G12" i="23"/>
  <c r="F12" i="23"/>
  <c r="E12" i="23"/>
  <c r="D12" i="23"/>
  <c r="E21" i="25"/>
  <c r="E26" i="25" s="1"/>
  <c r="B20" i="25"/>
  <c r="B25" i="25" s="1"/>
  <c r="B30" i="25" s="1"/>
  <c r="C20" i="25"/>
  <c r="C25" i="25" s="1"/>
  <c r="D20" i="25"/>
  <c r="D25" i="25" s="1"/>
  <c r="E20" i="25"/>
  <c r="E25" i="25" s="1"/>
  <c r="F20" i="25"/>
  <c r="F25" i="25" s="1"/>
  <c r="G20" i="25"/>
  <c r="G25" i="25" s="1"/>
  <c r="H20" i="25"/>
  <c r="H25" i="25" s="1"/>
  <c r="I20" i="25"/>
  <c r="I25" i="25" s="1"/>
  <c r="J20" i="25"/>
  <c r="J25" i="25" s="1"/>
  <c r="K20" i="25"/>
  <c r="K25" i="25" s="1"/>
  <c r="B21" i="25"/>
  <c r="B26" i="25" s="1"/>
  <c r="B31" i="25" s="1"/>
  <c r="C21" i="25"/>
  <c r="C26" i="25" s="1"/>
  <c r="D21" i="25"/>
  <c r="D26" i="25" s="1"/>
  <c r="F21" i="25"/>
  <c r="F26" i="25" s="1"/>
  <c r="G21" i="25"/>
  <c r="G26" i="25" s="1"/>
  <c r="H21" i="25"/>
  <c r="H26" i="25" s="1"/>
  <c r="H31" i="25" s="1"/>
  <c r="I21" i="25"/>
  <c r="I26" i="25" s="1"/>
  <c r="J21" i="25"/>
  <c r="J26" i="25" s="1"/>
  <c r="K21" i="25"/>
  <c r="K26" i="25" s="1"/>
  <c r="B22" i="25"/>
  <c r="B27" i="25" s="1"/>
  <c r="B32" i="25" s="1"/>
  <c r="C22" i="25"/>
  <c r="C27" i="25" s="1"/>
  <c r="D22" i="25"/>
  <c r="D27" i="25" s="1"/>
  <c r="E22" i="25"/>
  <c r="E27" i="25" s="1"/>
  <c r="F22" i="25"/>
  <c r="F27" i="25" s="1"/>
  <c r="G22" i="25"/>
  <c r="G27" i="25" s="1"/>
  <c r="H22" i="25"/>
  <c r="H27" i="25" s="1"/>
  <c r="H32" i="25" s="1"/>
  <c r="I22" i="25"/>
  <c r="I27" i="25" s="1"/>
  <c r="I32" i="25" s="1"/>
  <c r="J22" i="25"/>
  <c r="J27" i="25" s="1"/>
  <c r="K22" i="25"/>
  <c r="K27" i="25" s="1"/>
  <c r="W21" i="13" l="1"/>
  <c r="K11" i="26" s="1"/>
  <c r="B33" i="25"/>
  <c r="G32" i="25"/>
  <c r="G44" i="25" s="1"/>
  <c r="G49" i="25" s="1"/>
  <c r="D31" i="25"/>
  <c r="C32" i="25"/>
  <c r="C44" i="25" s="1"/>
  <c r="C49" i="25" s="1"/>
  <c r="J30" i="25"/>
  <c r="J31" i="25"/>
  <c r="J32" i="25"/>
  <c r="I30" i="25"/>
  <c r="I31" i="25"/>
  <c r="I44" i="25"/>
  <c r="I49" i="25" s="1"/>
  <c r="H30" i="25"/>
  <c r="H44" i="25"/>
  <c r="H49" i="25" s="1"/>
  <c r="H43" i="25"/>
  <c r="H48" i="25" s="1"/>
  <c r="G31" i="25"/>
  <c r="G30" i="25"/>
  <c r="F30" i="25"/>
  <c r="F31" i="25"/>
  <c r="F32" i="25"/>
  <c r="E31" i="25"/>
  <c r="E43" i="25" s="1"/>
  <c r="E48" i="25" s="1"/>
  <c r="E30" i="25"/>
  <c r="D30" i="25"/>
  <c r="D43" i="25"/>
  <c r="D48" i="25" s="1"/>
  <c r="C30" i="25"/>
  <c r="C31" i="25"/>
  <c r="C43" i="25" s="1"/>
  <c r="C48" i="25" s="1"/>
  <c r="B43" i="25"/>
  <c r="B48" i="25" s="1"/>
  <c r="B44" i="25"/>
  <c r="B49" i="25" s="1"/>
  <c r="D32" i="25" l="1"/>
  <c r="D33" i="25" s="1"/>
  <c r="J33" i="25"/>
  <c r="J43" i="25"/>
  <c r="J48" i="25" s="1"/>
  <c r="J44" i="25"/>
  <c r="J49" i="25" s="1"/>
  <c r="J42" i="25"/>
  <c r="J47" i="25" s="1"/>
  <c r="I76" i="25"/>
  <c r="I56" i="25"/>
  <c r="I66" i="25"/>
  <c r="I43" i="25"/>
  <c r="I48" i="25" s="1"/>
  <c r="I33" i="25"/>
  <c r="I42" i="25"/>
  <c r="I47" i="25" s="1"/>
  <c r="H56" i="25"/>
  <c r="H66" i="25"/>
  <c r="H76" i="25"/>
  <c r="H55" i="25"/>
  <c r="H75" i="25"/>
  <c r="H65" i="25"/>
  <c r="H33" i="25"/>
  <c r="H42" i="25"/>
  <c r="H47" i="25" s="1"/>
  <c r="G33" i="25"/>
  <c r="G56" i="25"/>
  <c r="G66" i="25"/>
  <c r="G76" i="25"/>
  <c r="G42" i="25"/>
  <c r="G47" i="25" s="1"/>
  <c r="G43" i="25"/>
  <c r="G48" i="25" s="1"/>
  <c r="F33" i="25"/>
  <c r="F44" i="25"/>
  <c r="F49" i="25" s="1"/>
  <c r="F43" i="25"/>
  <c r="F48" i="25" s="1"/>
  <c r="F42" i="25"/>
  <c r="F47" i="25" s="1"/>
  <c r="E32" i="25"/>
  <c r="E33" i="25" s="1"/>
  <c r="E75" i="25"/>
  <c r="E55" i="25"/>
  <c r="E65" i="25"/>
  <c r="E42" i="25"/>
  <c r="E47" i="25" s="1"/>
  <c r="D55" i="25"/>
  <c r="D65" i="25"/>
  <c r="D75" i="25"/>
  <c r="D42" i="25"/>
  <c r="D47" i="25" s="1"/>
  <c r="C75" i="25"/>
  <c r="C55" i="25"/>
  <c r="C65" i="25"/>
  <c r="C56" i="25"/>
  <c r="C76" i="25"/>
  <c r="C66" i="25"/>
  <c r="C33" i="25"/>
  <c r="C42" i="25"/>
  <c r="C47" i="25" s="1"/>
  <c r="B55" i="25"/>
  <c r="B65" i="25"/>
  <c r="B75" i="25"/>
  <c r="B56" i="25"/>
  <c r="B66" i="25"/>
  <c r="B76" i="25"/>
  <c r="B42" i="25"/>
  <c r="B47" i="25" s="1"/>
  <c r="D44" i="25" l="1"/>
  <c r="D49" i="25" s="1"/>
  <c r="D66" i="25" s="1"/>
  <c r="B85" i="25"/>
  <c r="B90" i="25" s="1"/>
  <c r="B106" i="25" s="1"/>
  <c r="E85" i="25"/>
  <c r="E90" i="25" s="1"/>
  <c r="E106" i="25" s="1"/>
  <c r="E44" i="25"/>
  <c r="E49" i="25" s="1"/>
  <c r="E56" i="25" s="1"/>
  <c r="I86" i="25"/>
  <c r="I91" i="25" s="1"/>
  <c r="I107" i="25" s="1"/>
  <c r="C85" i="25"/>
  <c r="C90" i="25" s="1"/>
  <c r="C101" i="25" s="1"/>
  <c r="B86" i="25"/>
  <c r="B91" i="25" s="1"/>
  <c r="B102" i="25" s="1"/>
  <c r="D85" i="25"/>
  <c r="D90" i="25" s="1"/>
  <c r="C86" i="25"/>
  <c r="C91" i="25" s="1"/>
  <c r="C102" i="25" s="1"/>
  <c r="G86" i="25"/>
  <c r="G91" i="25" s="1"/>
  <c r="G102" i="25" s="1"/>
  <c r="H86" i="25"/>
  <c r="H91" i="25" s="1"/>
  <c r="H85" i="25"/>
  <c r="H90" i="25" s="1"/>
  <c r="H106" i="25" s="1"/>
  <c r="J56" i="25"/>
  <c r="J66" i="25"/>
  <c r="J76" i="25"/>
  <c r="J64" i="25"/>
  <c r="J74" i="25"/>
  <c r="J54" i="25"/>
  <c r="J75" i="25"/>
  <c r="J55" i="25"/>
  <c r="J65" i="25"/>
  <c r="I75" i="25"/>
  <c r="I55" i="25"/>
  <c r="I65" i="25"/>
  <c r="I74" i="25"/>
  <c r="I64" i="25"/>
  <c r="I54" i="25"/>
  <c r="H74" i="25"/>
  <c r="H54" i="25"/>
  <c r="H64" i="25"/>
  <c r="H67" i="25" s="1"/>
  <c r="G74" i="25"/>
  <c r="G54" i="25"/>
  <c r="G64" i="25"/>
  <c r="G75" i="25"/>
  <c r="G55" i="25"/>
  <c r="G65" i="25"/>
  <c r="F75" i="25"/>
  <c r="F55" i="25"/>
  <c r="F65" i="25"/>
  <c r="F74" i="25"/>
  <c r="F54" i="25"/>
  <c r="F64" i="25"/>
  <c r="F56" i="25"/>
  <c r="F66" i="25"/>
  <c r="F76" i="25"/>
  <c r="E64" i="25"/>
  <c r="E74" i="25"/>
  <c r="E54" i="25"/>
  <c r="D74" i="25"/>
  <c r="D54" i="25"/>
  <c r="D64" i="25"/>
  <c r="C54" i="25"/>
  <c r="C74" i="25"/>
  <c r="C64" i="25"/>
  <c r="C67" i="25" s="1"/>
  <c r="B74" i="25"/>
  <c r="B64" i="25"/>
  <c r="B67" i="25" s="1"/>
  <c r="B54" i="25"/>
  <c r="D67" i="25" l="1"/>
  <c r="D76" i="25"/>
  <c r="D56" i="25"/>
  <c r="D86" i="25" s="1"/>
  <c r="D91" i="25" s="1"/>
  <c r="D107" i="25" s="1"/>
  <c r="E66" i="25"/>
  <c r="E67" i="25" s="1"/>
  <c r="J67" i="25"/>
  <c r="G67" i="25"/>
  <c r="J85" i="25"/>
  <c r="J90" i="25" s="1"/>
  <c r="J101" i="25" s="1"/>
  <c r="F67" i="25"/>
  <c r="E76" i="25"/>
  <c r="H107" i="25"/>
  <c r="H115" i="25" s="1"/>
  <c r="H102" i="25"/>
  <c r="D101" i="25"/>
  <c r="D106" i="25"/>
  <c r="D114" i="25" s="1"/>
  <c r="B84" i="25"/>
  <c r="B89" i="25" s="1"/>
  <c r="B92" i="25" s="1"/>
  <c r="I84" i="25"/>
  <c r="I89" i="25" s="1"/>
  <c r="I100" i="25" s="1"/>
  <c r="I67" i="25"/>
  <c r="I85" i="25"/>
  <c r="I90" i="25" s="1"/>
  <c r="E101" i="25"/>
  <c r="H101" i="25"/>
  <c r="J86" i="25"/>
  <c r="J91" i="25" s="1"/>
  <c r="J107" i="25" s="1"/>
  <c r="C106" i="25"/>
  <c r="C109" i="25" s="1"/>
  <c r="B101" i="25"/>
  <c r="G85" i="25"/>
  <c r="G90" i="25" s="1"/>
  <c r="G101" i="25" s="1"/>
  <c r="G107" i="25"/>
  <c r="G115" i="25" s="1"/>
  <c r="C84" i="25"/>
  <c r="C89" i="25" s="1"/>
  <c r="C92" i="25" s="1"/>
  <c r="F85" i="25"/>
  <c r="F90" i="25" s="1"/>
  <c r="F106" i="25" s="1"/>
  <c r="J84" i="25"/>
  <c r="J89" i="25" s="1"/>
  <c r="J57" i="25"/>
  <c r="I110" i="25"/>
  <c r="I115" i="25"/>
  <c r="I102" i="25"/>
  <c r="I57" i="25"/>
  <c r="H84" i="25"/>
  <c r="H57" i="25"/>
  <c r="H109" i="25"/>
  <c r="H114" i="25"/>
  <c r="G57" i="25"/>
  <c r="G84" i="25"/>
  <c r="F84" i="25"/>
  <c r="F57" i="25"/>
  <c r="F86" i="25"/>
  <c r="E109" i="25"/>
  <c r="E114" i="25"/>
  <c r="E57" i="25"/>
  <c r="E84" i="25"/>
  <c r="D84" i="25"/>
  <c r="C107" i="25"/>
  <c r="C57" i="25"/>
  <c r="B109" i="25"/>
  <c r="B114" i="25"/>
  <c r="B107" i="25"/>
  <c r="B57" i="25"/>
  <c r="D57" i="25" l="1"/>
  <c r="E86" i="25"/>
  <c r="E91" i="25" s="1"/>
  <c r="E107" i="25" s="1"/>
  <c r="E110" i="25" s="1"/>
  <c r="G110" i="25"/>
  <c r="H110" i="25"/>
  <c r="J106" i="25"/>
  <c r="J109" i="25" s="1"/>
  <c r="D109" i="25"/>
  <c r="I101" i="25"/>
  <c r="I106" i="25"/>
  <c r="I109" i="25" s="1"/>
  <c r="J102" i="25"/>
  <c r="B100" i="25"/>
  <c r="C114" i="25"/>
  <c r="J105" i="25"/>
  <c r="J108" i="25" s="1"/>
  <c r="J100" i="25"/>
  <c r="F101" i="25"/>
  <c r="C105" i="25"/>
  <c r="C108" i="25" s="1"/>
  <c r="J110" i="25"/>
  <c r="J115" i="25"/>
  <c r="J92" i="25"/>
  <c r="I92" i="25"/>
  <c r="I105" i="25"/>
  <c r="H89" i="25"/>
  <c r="H100" i="25" s="1"/>
  <c r="G106" i="25"/>
  <c r="G89" i="25"/>
  <c r="G100" i="25" s="1"/>
  <c r="F91" i="25"/>
  <c r="F107" i="25" s="1"/>
  <c r="F89" i="25"/>
  <c r="F100" i="25" s="1"/>
  <c r="F114" i="25"/>
  <c r="F109" i="25"/>
  <c r="E89" i="25"/>
  <c r="E100" i="25" s="1"/>
  <c r="D102" i="25"/>
  <c r="D110" i="25"/>
  <c r="D115" i="25"/>
  <c r="D89" i="25"/>
  <c r="D100" i="25" s="1"/>
  <c r="C110" i="25"/>
  <c r="C115" i="25"/>
  <c r="C100" i="25"/>
  <c r="B110" i="25"/>
  <c r="B115" i="25"/>
  <c r="B105" i="25"/>
  <c r="E115" i="25" l="1"/>
  <c r="E102" i="25"/>
  <c r="I114" i="25"/>
  <c r="J114" i="25"/>
  <c r="J113" i="25"/>
  <c r="C113" i="25"/>
  <c r="C116" i="25" s="1"/>
  <c r="F102" i="25"/>
  <c r="I108" i="25"/>
  <c r="I113" i="25"/>
  <c r="H92" i="25"/>
  <c r="H105" i="25"/>
  <c r="G92" i="25"/>
  <c r="G105" i="25"/>
  <c r="G109" i="25"/>
  <c r="G114" i="25"/>
  <c r="F92" i="25"/>
  <c r="F105" i="25"/>
  <c r="F110" i="25"/>
  <c r="F115" i="25"/>
  <c r="E92" i="25"/>
  <c r="E105" i="25"/>
  <c r="D92" i="25"/>
  <c r="D105" i="25"/>
  <c r="B108" i="25"/>
  <c r="B113" i="25"/>
  <c r="B116" i="25" s="1"/>
  <c r="J116" i="25" l="1"/>
  <c r="I116" i="25"/>
  <c r="H108" i="25"/>
  <c r="H113" i="25"/>
  <c r="H116" i="25" s="1"/>
  <c r="G108" i="25"/>
  <c r="G113" i="25"/>
  <c r="G116" i="25" s="1"/>
  <c r="F108" i="25"/>
  <c r="F113" i="25"/>
  <c r="F116" i="25" s="1"/>
  <c r="E108" i="25"/>
  <c r="E113" i="25"/>
  <c r="E116" i="25" s="1"/>
  <c r="D113" i="25"/>
  <c r="D116" i="25" s="1"/>
  <c r="D108" i="25"/>
  <c r="K7" i="23" l="1"/>
  <c r="J7" i="23"/>
  <c r="I7" i="23"/>
  <c r="H7" i="23"/>
  <c r="G7" i="23"/>
  <c r="F7" i="23"/>
  <c r="D7" i="23"/>
  <c r="C7" i="23"/>
  <c r="D13" i="23"/>
  <c r="K13" i="23"/>
  <c r="D14" i="23" l="1"/>
  <c r="D16" i="23" s="1"/>
  <c r="C13" i="23"/>
  <c r="C14" i="23" s="1"/>
  <c r="C16" i="23" s="1"/>
  <c r="F13" i="23"/>
  <c r="F14" i="23" s="1"/>
  <c r="F68" i="25" s="1"/>
  <c r="U30" i="13" s="1"/>
  <c r="E13" i="23"/>
  <c r="E14" i="23" s="1"/>
  <c r="K14" i="23"/>
  <c r="J13" i="23"/>
  <c r="J14" i="23" s="1"/>
  <c r="B13" i="23"/>
  <c r="B14" i="23" s="1"/>
  <c r="B68" i="25" s="1"/>
  <c r="U10" i="13" s="1"/>
  <c r="H13" i="23"/>
  <c r="H14" i="23" s="1"/>
  <c r="G13" i="23"/>
  <c r="G14" i="23" s="1"/>
  <c r="I13" i="23"/>
  <c r="I14" i="23" s="1"/>
  <c r="K30" i="25"/>
  <c r="K42" i="25" s="1"/>
  <c r="K31" i="25"/>
  <c r="K43" i="25" s="1"/>
  <c r="H58" i="25" l="1"/>
  <c r="H68" i="25"/>
  <c r="U40" i="13" s="1"/>
  <c r="H93" i="25"/>
  <c r="D58" i="25"/>
  <c r="D68" i="25"/>
  <c r="D93" i="25"/>
  <c r="S8" i="17"/>
  <c r="X12" i="13"/>
  <c r="X15" i="13"/>
  <c r="X13" i="13"/>
  <c r="S9" i="17"/>
  <c r="X18" i="13"/>
  <c r="X17" i="13"/>
  <c r="X20" i="13"/>
  <c r="B93" i="25"/>
  <c r="B58" i="25"/>
  <c r="H16" i="23"/>
  <c r="U19" i="13"/>
  <c r="T19" i="13" s="1"/>
  <c r="G19" i="13" s="1"/>
  <c r="D72" i="4"/>
  <c r="U14" i="13"/>
  <c r="T14" i="13" s="1"/>
  <c r="G14" i="13" s="1"/>
  <c r="C72" i="4"/>
  <c r="C93" i="25"/>
  <c r="C68" i="25"/>
  <c r="U15" i="13" s="1"/>
  <c r="C58" i="25"/>
  <c r="J119" i="25"/>
  <c r="J34" i="25"/>
  <c r="J68" i="25"/>
  <c r="U50" i="13" s="1"/>
  <c r="J16" i="23"/>
  <c r="J93" i="25"/>
  <c r="J58" i="25"/>
  <c r="G34" i="25"/>
  <c r="G119" i="25"/>
  <c r="G93" i="25"/>
  <c r="G16" i="23"/>
  <c r="G58" i="25"/>
  <c r="G68" i="25"/>
  <c r="U35" i="13" s="1"/>
  <c r="I34" i="25"/>
  <c r="I119" i="25"/>
  <c r="I58" i="25"/>
  <c r="I16" i="23"/>
  <c r="I93" i="25"/>
  <c r="I68" i="25"/>
  <c r="U45" i="13" s="1"/>
  <c r="E34" i="25"/>
  <c r="E119" i="25"/>
  <c r="F58" i="25"/>
  <c r="K16" i="23"/>
  <c r="E16" i="23"/>
  <c r="H119" i="25"/>
  <c r="H34" i="25"/>
  <c r="F16" i="23"/>
  <c r="E58" i="25"/>
  <c r="E68" i="25"/>
  <c r="U25" i="13" s="1"/>
  <c r="B119" i="25"/>
  <c r="B34" i="25"/>
  <c r="F119" i="25"/>
  <c r="F34" i="25"/>
  <c r="F93" i="25"/>
  <c r="E93" i="25"/>
  <c r="C119" i="25"/>
  <c r="C34" i="25"/>
  <c r="D34" i="25"/>
  <c r="D119" i="25"/>
  <c r="H122" i="25" l="1"/>
  <c r="D122" i="25"/>
  <c r="B122" i="25"/>
  <c r="S7" i="17"/>
  <c r="X10" i="13"/>
  <c r="X8" i="13"/>
  <c r="X7" i="13"/>
  <c r="S12" i="17"/>
  <c r="X32" i="13"/>
  <c r="X35" i="13"/>
  <c r="X33" i="13"/>
  <c r="S13" i="17"/>
  <c r="X37" i="13"/>
  <c r="X40" i="13"/>
  <c r="X38" i="13"/>
  <c r="S16" i="17"/>
  <c r="X52" i="13"/>
  <c r="X55" i="13"/>
  <c r="X53" i="13"/>
  <c r="S11" i="17"/>
  <c r="U29" i="13"/>
  <c r="T29" i="13" s="1"/>
  <c r="G29" i="13" s="1"/>
  <c r="X30" i="13"/>
  <c r="X28" i="13"/>
  <c r="X27" i="13"/>
  <c r="X45" i="13"/>
  <c r="X43" i="13"/>
  <c r="X42" i="13"/>
  <c r="S15" i="17"/>
  <c r="X50" i="13"/>
  <c r="X48" i="13"/>
  <c r="X47" i="13"/>
  <c r="S10" i="17"/>
  <c r="X25" i="13"/>
  <c r="X23" i="13"/>
  <c r="X22" i="13"/>
  <c r="H72" i="4"/>
  <c r="U44" i="13"/>
  <c r="T44" i="13" s="1"/>
  <c r="G44" i="13" s="1"/>
  <c r="S14" i="17"/>
  <c r="U39" i="13"/>
  <c r="T39" i="13" s="1"/>
  <c r="G39" i="13" s="1"/>
  <c r="C122" i="25"/>
  <c r="V15" i="13" s="1"/>
  <c r="T15" i="13" s="1"/>
  <c r="F122" i="25"/>
  <c r="U9" i="13"/>
  <c r="T9" i="13" s="1"/>
  <c r="G9" i="13" s="1"/>
  <c r="B72" i="4"/>
  <c r="F72" i="4"/>
  <c r="U24" i="13"/>
  <c r="T24" i="13" s="1"/>
  <c r="G24" i="13" s="1"/>
  <c r="E72" i="4"/>
  <c r="U54" i="13"/>
  <c r="T54" i="13" s="1"/>
  <c r="G54" i="13" s="1"/>
  <c r="K72" i="4"/>
  <c r="U34" i="13"/>
  <c r="T34" i="13" s="1"/>
  <c r="G34" i="13" s="1"/>
  <c r="G72" i="4"/>
  <c r="U49" i="13"/>
  <c r="T49" i="13" s="1"/>
  <c r="G49" i="13" s="1"/>
  <c r="J72" i="4"/>
  <c r="I72" i="4"/>
  <c r="E122" i="25"/>
  <c r="G122" i="25"/>
  <c r="J122" i="25"/>
  <c r="I122" i="25"/>
  <c r="R79" i="2" l="1"/>
  <c r="R80" i="2"/>
  <c r="R81" i="2"/>
  <c r="R82" i="2"/>
  <c r="R83" i="2"/>
  <c r="R84" i="2"/>
  <c r="R78" i="2"/>
  <c r="P89" i="2" s="1"/>
  <c r="Q37" i="13" s="1"/>
  <c r="Q41" i="13" s="1"/>
  <c r="H40" i="4"/>
  <c r="H56" i="4" l="1"/>
  <c r="C10" i="23" l="1"/>
  <c r="B10" i="23"/>
  <c r="H10" i="23" l="1"/>
  <c r="I10" i="23"/>
  <c r="F10" i="23"/>
  <c r="J10" i="23"/>
  <c r="D10" i="23"/>
  <c r="E10" i="23" l="1"/>
  <c r="G10" i="23"/>
  <c r="H25" i="4" l="1"/>
  <c r="K32" i="25" l="1"/>
  <c r="K44" i="25" s="1"/>
  <c r="K49" i="25" l="1"/>
  <c r="K76" i="25" s="1"/>
  <c r="K33" i="25"/>
  <c r="K34" i="25" s="1"/>
  <c r="K47" i="25"/>
  <c r="K48" i="25"/>
  <c r="K55" i="25" s="1"/>
  <c r="K64" i="25" l="1"/>
  <c r="K54" i="25"/>
  <c r="K66" i="25"/>
  <c r="K56" i="25"/>
  <c r="K10" i="23"/>
  <c r="K86" i="25"/>
  <c r="K91" i="25" s="1"/>
  <c r="K107" i="25" s="1"/>
  <c r="K110" i="25" s="1"/>
  <c r="K65" i="25"/>
  <c r="K75" i="25"/>
  <c r="K74" i="25"/>
  <c r="K57" i="25" l="1"/>
  <c r="K58" i="25" s="1"/>
  <c r="K84" i="25"/>
  <c r="K67" i="25"/>
  <c r="K68" i="25" s="1"/>
  <c r="U55" i="13" s="1"/>
  <c r="K115" i="25"/>
  <c r="K102" i="25"/>
  <c r="K85" i="25"/>
  <c r="W55" i="13" l="1"/>
  <c r="W53" i="13"/>
  <c r="W52" i="13"/>
  <c r="K89" i="25"/>
  <c r="K90" i="25"/>
  <c r="K106" i="25" s="1"/>
  <c r="K92" i="25" l="1"/>
  <c r="K93" i="25" s="1"/>
  <c r="K122" i="25" s="1"/>
  <c r="K100" i="25"/>
  <c r="V40" i="13"/>
  <c r="V10" i="13"/>
  <c r="T10" i="13" s="1"/>
  <c r="K105" i="25"/>
  <c r="K108" i="25" s="1"/>
  <c r="K109" i="25"/>
  <c r="K114" i="25"/>
  <c r="K101" i="25"/>
  <c r="V30" i="13" l="1"/>
  <c r="T30" i="13" s="1"/>
  <c r="T31" i="13" s="1"/>
  <c r="J16" i="26" s="1"/>
  <c r="V20" i="13"/>
  <c r="T20" i="13" s="1"/>
  <c r="V25" i="13"/>
  <c r="T25" i="13" s="1"/>
  <c r="T26" i="13" s="1"/>
  <c r="J14" i="26" s="1"/>
  <c r="K113" i="25"/>
  <c r="K116" i="25" s="1"/>
  <c r="K119" i="25" s="1"/>
  <c r="M9" i="17" l="1"/>
  <c r="V35" i="13"/>
  <c r="T35" i="13" s="1"/>
  <c r="V45" i="13"/>
  <c r="V50" i="13" l="1"/>
  <c r="T50" i="13" s="1"/>
  <c r="V55" i="13"/>
  <c r="T55" i="13" s="1"/>
  <c r="L112" i="16" l="1"/>
  <c r="J112" i="16"/>
  <c r="I112" i="16"/>
  <c r="H112" i="16"/>
  <c r="G112" i="16"/>
  <c r="F112" i="16"/>
  <c r="L100" i="16"/>
  <c r="J100" i="16"/>
  <c r="I100" i="16"/>
  <c r="H100" i="16"/>
  <c r="G100" i="16"/>
  <c r="F100" i="16"/>
  <c r="L88" i="16"/>
  <c r="J88" i="16"/>
  <c r="I88" i="16"/>
  <c r="H88" i="16"/>
  <c r="G88" i="16"/>
  <c r="F88" i="16"/>
  <c r="L76" i="16"/>
  <c r="J76" i="16"/>
  <c r="I76" i="16"/>
  <c r="H76" i="16"/>
  <c r="G76" i="16"/>
  <c r="F76" i="16"/>
  <c r="L64" i="16"/>
  <c r="J64" i="16"/>
  <c r="I64" i="16"/>
  <c r="H64" i="16"/>
  <c r="G64" i="16"/>
  <c r="F64" i="16"/>
  <c r="L52" i="16"/>
  <c r="J52" i="16"/>
  <c r="I52" i="16"/>
  <c r="H52" i="16"/>
  <c r="G52" i="16"/>
  <c r="F52" i="16"/>
  <c r="L40" i="16"/>
  <c r="J40" i="16"/>
  <c r="I40" i="16"/>
  <c r="H40" i="16"/>
  <c r="G40" i="16"/>
  <c r="F40" i="16"/>
  <c r="L28" i="16"/>
  <c r="J28" i="16"/>
  <c r="I28" i="16"/>
  <c r="H28" i="16"/>
  <c r="G28" i="16"/>
  <c r="F28" i="16"/>
  <c r="L16" i="16"/>
  <c r="J16" i="16"/>
  <c r="I16" i="16"/>
  <c r="H16" i="16"/>
  <c r="G16" i="16"/>
  <c r="F16" i="16"/>
  <c r="L124" i="16"/>
  <c r="J124" i="16"/>
  <c r="I124" i="16"/>
  <c r="H124" i="16"/>
  <c r="G124" i="16"/>
  <c r="F124" i="16"/>
  <c r="M51" i="13"/>
  <c r="M46" i="13"/>
  <c r="M41" i="13"/>
  <c r="L125" i="16" l="1"/>
  <c r="R16" i="17" s="1"/>
  <c r="X41" i="13"/>
  <c r="L8" i="26" s="1"/>
  <c r="I29" i="16"/>
  <c r="O8" i="17" s="1"/>
  <c r="H89" i="16"/>
  <c r="G65" i="16"/>
  <c r="M11" i="17" s="1"/>
  <c r="I113" i="16"/>
  <c r="O15" i="17" s="1"/>
  <c r="H41" i="16"/>
  <c r="H101" i="16"/>
  <c r="I77" i="16"/>
  <c r="O12" i="17" s="1"/>
  <c r="I17" i="16"/>
  <c r="O7" i="17" s="1"/>
  <c r="F125" i="16"/>
  <c r="H29" i="16"/>
  <c r="L41" i="16"/>
  <c r="R9" i="17" s="1"/>
  <c r="J53" i="16"/>
  <c r="J77" i="16"/>
  <c r="J89" i="16"/>
  <c r="I101" i="16"/>
  <c r="O14" i="17" s="1"/>
  <c r="J113" i="16"/>
  <c r="W41" i="13"/>
  <c r="K8" i="26" s="1"/>
  <c r="G125" i="16"/>
  <c r="M16" i="17" s="1"/>
  <c r="F29" i="16"/>
  <c r="F41" i="16"/>
  <c r="L65" i="16"/>
  <c r="R11" i="17" s="1"/>
  <c r="J101" i="16"/>
  <c r="H125" i="16"/>
  <c r="J17" i="16"/>
  <c r="G29" i="16"/>
  <c r="M8" i="17" s="1"/>
  <c r="G41" i="16"/>
  <c r="L53" i="16"/>
  <c r="R10" i="17" s="1"/>
  <c r="F65" i="16"/>
  <c r="L77" i="16"/>
  <c r="R12" i="17" s="1"/>
  <c r="L89" i="16"/>
  <c r="R13" i="17" s="1"/>
  <c r="L113" i="16"/>
  <c r="R15" i="17" s="1"/>
  <c r="I125" i="16"/>
  <c r="O16" i="17" s="1"/>
  <c r="H77" i="16"/>
  <c r="F89" i="16"/>
  <c r="L101" i="16"/>
  <c r="R14" i="17" s="1"/>
  <c r="F113" i="16"/>
  <c r="J125" i="16"/>
  <c r="L17" i="16"/>
  <c r="R7" i="17" s="1"/>
  <c r="F53" i="16"/>
  <c r="F77" i="16"/>
  <c r="F101" i="16"/>
  <c r="H113" i="16"/>
  <c r="W46" i="13"/>
  <c r="K7" i="26" s="1"/>
  <c r="F17" i="16"/>
  <c r="J29" i="16"/>
  <c r="I41" i="16"/>
  <c r="G53" i="16"/>
  <c r="M10" i="17" s="1"/>
  <c r="H65" i="16"/>
  <c r="G77" i="16"/>
  <c r="M12" i="17" s="1"/>
  <c r="G89" i="16"/>
  <c r="M13" i="17" s="1"/>
  <c r="G113" i="16"/>
  <c r="M15" i="17" s="1"/>
  <c r="X51" i="13"/>
  <c r="L13" i="26" s="1"/>
  <c r="W51" i="13"/>
  <c r="K13" i="26" s="1"/>
  <c r="H17" i="16"/>
  <c r="J41" i="16"/>
  <c r="H53" i="16"/>
  <c r="I65" i="16"/>
  <c r="O11" i="17" s="1"/>
  <c r="G101" i="16"/>
  <c r="M14" i="17" s="1"/>
  <c r="G17" i="16"/>
  <c r="M7" i="17" s="1"/>
  <c r="L29" i="16"/>
  <c r="R8" i="17" s="1"/>
  <c r="I53" i="16"/>
  <c r="O10" i="17" s="1"/>
  <c r="J65" i="16"/>
  <c r="I89" i="16"/>
  <c r="O13" i="17" s="1"/>
  <c r="X46" i="13"/>
  <c r="L7" i="26" s="1"/>
  <c r="X36" i="13"/>
  <c r="L15" i="26" s="1"/>
  <c r="W36" i="13"/>
  <c r="K15" i="26" s="1"/>
  <c r="M36" i="13"/>
  <c r="M31" i="13"/>
  <c r="M26" i="13"/>
  <c r="M21" i="13"/>
  <c r="X16" i="13"/>
  <c r="L9" i="26" s="1"/>
  <c r="M16" i="13"/>
  <c r="X11" i="13"/>
  <c r="L12" i="26" s="1"/>
  <c r="M11" i="13"/>
  <c r="X21" i="13" l="1"/>
  <c r="L11" i="26" s="1"/>
  <c r="W11" i="13"/>
  <c r="K12" i="26" s="1"/>
  <c r="W16" i="13"/>
  <c r="K9" i="26" s="1"/>
  <c r="W26" i="13"/>
  <c r="K14" i="26" s="1"/>
  <c r="X31" i="13"/>
  <c r="L16" i="26" s="1"/>
  <c r="W31" i="13"/>
  <c r="K16" i="26" s="1"/>
  <c r="X26" i="13"/>
  <c r="L14" i="26" s="1"/>
  <c r="F120" i="14" l="1"/>
  <c r="F119" i="14"/>
  <c r="F118" i="14"/>
  <c r="F117" i="14"/>
  <c r="F116" i="14"/>
  <c r="F115" i="14"/>
  <c r="F114" i="14"/>
  <c r="F108" i="14"/>
  <c r="F107" i="14"/>
  <c r="F106" i="14"/>
  <c r="F105" i="14"/>
  <c r="F104" i="14"/>
  <c r="F103" i="14"/>
  <c r="F102" i="14"/>
  <c r="F96" i="14"/>
  <c r="F95" i="14"/>
  <c r="F94" i="14"/>
  <c r="F93" i="14"/>
  <c r="F92" i="14"/>
  <c r="F91" i="14"/>
  <c r="F90" i="14"/>
  <c r="F84" i="14"/>
  <c r="F83" i="14"/>
  <c r="F82" i="14"/>
  <c r="F81" i="14"/>
  <c r="F80" i="14"/>
  <c r="F79" i="14"/>
  <c r="F78" i="14"/>
  <c r="F72" i="14"/>
  <c r="F71" i="14"/>
  <c r="F70" i="14"/>
  <c r="F69" i="14"/>
  <c r="F68" i="14"/>
  <c r="F67" i="14"/>
  <c r="F66" i="14"/>
  <c r="F60" i="14"/>
  <c r="F59" i="14"/>
  <c r="F58" i="14"/>
  <c r="F57" i="14"/>
  <c r="F56" i="14"/>
  <c r="F55" i="14"/>
  <c r="F54" i="14"/>
  <c r="F48" i="14"/>
  <c r="F47" i="14"/>
  <c r="F46" i="14"/>
  <c r="F45" i="14"/>
  <c r="F44" i="14"/>
  <c r="F43" i="14"/>
  <c r="F42" i="14"/>
  <c r="F36" i="14"/>
  <c r="F35" i="14"/>
  <c r="F34" i="14"/>
  <c r="F33" i="14"/>
  <c r="F32" i="14"/>
  <c r="F31" i="14"/>
  <c r="F30" i="14"/>
  <c r="F24" i="14"/>
  <c r="F23" i="14"/>
  <c r="F22" i="14"/>
  <c r="F21" i="14"/>
  <c r="F20" i="14"/>
  <c r="F19" i="14"/>
  <c r="F18" i="14"/>
  <c r="F12" i="14"/>
  <c r="F11" i="14"/>
  <c r="F10" i="14"/>
  <c r="F9" i="14"/>
  <c r="F8" i="14"/>
  <c r="F7" i="14"/>
  <c r="F6" i="14"/>
  <c r="F108" i="15"/>
  <c r="F107" i="15"/>
  <c r="F106" i="15"/>
  <c r="F105" i="15"/>
  <c r="F104" i="15"/>
  <c r="F103" i="15"/>
  <c r="F102" i="15"/>
  <c r="F96" i="15"/>
  <c r="F95" i="15"/>
  <c r="F94" i="15"/>
  <c r="F93" i="15"/>
  <c r="F92" i="15"/>
  <c r="F91" i="15"/>
  <c r="F90" i="15"/>
  <c r="F84" i="15"/>
  <c r="F83" i="15"/>
  <c r="F82" i="15"/>
  <c r="F81" i="15"/>
  <c r="F80" i="15"/>
  <c r="F79" i="15"/>
  <c r="F78" i="15"/>
  <c r="F72" i="15"/>
  <c r="F71" i="15"/>
  <c r="F70" i="15"/>
  <c r="F69" i="15"/>
  <c r="F68" i="15"/>
  <c r="F67" i="15"/>
  <c r="F66" i="15"/>
  <c r="F60" i="15"/>
  <c r="F59" i="15"/>
  <c r="F58" i="15"/>
  <c r="F57" i="15"/>
  <c r="F56" i="15"/>
  <c r="F55" i="15"/>
  <c r="F54" i="15"/>
  <c r="F48" i="15"/>
  <c r="F47" i="15"/>
  <c r="F46" i="15"/>
  <c r="F45" i="15"/>
  <c r="F44" i="15"/>
  <c r="F43" i="15"/>
  <c r="F42" i="15"/>
  <c r="F36" i="15"/>
  <c r="F35" i="15"/>
  <c r="F34" i="15"/>
  <c r="F33" i="15"/>
  <c r="F32" i="15"/>
  <c r="F31" i="15"/>
  <c r="F30" i="15"/>
  <c r="F24" i="15"/>
  <c r="F23" i="15"/>
  <c r="F22" i="15"/>
  <c r="F21" i="15"/>
  <c r="F20" i="15"/>
  <c r="F19" i="15"/>
  <c r="F18" i="15"/>
  <c r="F12" i="15"/>
  <c r="F11" i="15"/>
  <c r="F10" i="15"/>
  <c r="F9" i="15"/>
  <c r="F8" i="15"/>
  <c r="F7" i="15"/>
  <c r="F6" i="15"/>
  <c r="F108" i="2"/>
  <c r="F107" i="2"/>
  <c r="F106" i="2"/>
  <c r="F105" i="2"/>
  <c r="F104" i="2"/>
  <c r="F103" i="2"/>
  <c r="F102" i="2"/>
  <c r="F96" i="2"/>
  <c r="F95" i="2"/>
  <c r="F94" i="2"/>
  <c r="F93" i="2"/>
  <c r="F92" i="2"/>
  <c r="F91" i="2"/>
  <c r="F90" i="2"/>
  <c r="F84" i="2"/>
  <c r="F83" i="2"/>
  <c r="F82" i="2"/>
  <c r="F81" i="2"/>
  <c r="F80" i="2"/>
  <c r="F79" i="2"/>
  <c r="F78" i="2"/>
  <c r="F72" i="2"/>
  <c r="F71" i="2"/>
  <c r="F70" i="2"/>
  <c r="F69" i="2"/>
  <c r="F68" i="2"/>
  <c r="F67" i="2"/>
  <c r="F66" i="2"/>
  <c r="F60" i="2"/>
  <c r="F59" i="2"/>
  <c r="F58" i="2"/>
  <c r="F57" i="2"/>
  <c r="F56" i="2"/>
  <c r="F55" i="2"/>
  <c r="F54" i="2"/>
  <c r="F48" i="2"/>
  <c r="F47" i="2"/>
  <c r="F46" i="2"/>
  <c r="F45" i="2"/>
  <c r="F44" i="2"/>
  <c r="F43" i="2"/>
  <c r="F42" i="2"/>
  <c r="F36" i="2"/>
  <c r="F35" i="2"/>
  <c r="F34" i="2"/>
  <c r="F33" i="2"/>
  <c r="F32" i="2"/>
  <c r="F31" i="2"/>
  <c r="F30" i="2"/>
  <c r="F24" i="2"/>
  <c r="F23" i="2"/>
  <c r="F22" i="2"/>
  <c r="F21" i="2"/>
  <c r="F20" i="2"/>
  <c r="F19" i="2"/>
  <c r="F18" i="2"/>
  <c r="F12" i="2"/>
  <c r="F11" i="2"/>
  <c r="F10" i="2"/>
  <c r="F9" i="2"/>
  <c r="F8" i="2"/>
  <c r="F7" i="2"/>
  <c r="F6" i="2"/>
  <c r="F120" i="15"/>
  <c r="F119" i="15"/>
  <c r="F118" i="15"/>
  <c r="F117" i="15"/>
  <c r="F116" i="15"/>
  <c r="F115" i="15"/>
  <c r="F114" i="15"/>
  <c r="F115" i="2"/>
  <c r="F116" i="2"/>
  <c r="F117" i="2"/>
  <c r="F118" i="2"/>
  <c r="F119" i="2"/>
  <c r="F120" i="2"/>
  <c r="F114" i="2"/>
  <c r="M56" i="13"/>
  <c r="R103" i="2" l="1"/>
  <c r="R104" i="2"/>
  <c r="R105" i="2"/>
  <c r="R106" i="2"/>
  <c r="R107" i="2"/>
  <c r="R108" i="2"/>
  <c r="R109" i="2"/>
  <c r="R110" i="2"/>
  <c r="R111" i="2"/>
  <c r="R112" i="2"/>
  <c r="R102" i="2"/>
  <c r="R91" i="2"/>
  <c r="R92" i="2"/>
  <c r="R93" i="2"/>
  <c r="R94" i="2"/>
  <c r="R95" i="2"/>
  <c r="R96" i="2"/>
  <c r="R90" i="2"/>
  <c r="R72" i="2"/>
  <c r="P77" i="2" s="1"/>
  <c r="Q32" i="13" s="1"/>
  <c r="Q36" i="13" s="1"/>
  <c r="R63" i="2"/>
  <c r="R64" i="2"/>
  <c r="R54" i="2"/>
  <c r="P65" i="2" s="1"/>
  <c r="Q27" i="13" s="1"/>
  <c r="Q31" i="13" s="1"/>
  <c r="R30" i="2"/>
  <c r="P41" i="2" s="1"/>
  <c r="Q17" i="13" s="1"/>
  <c r="Q21" i="13" s="1"/>
  <c r="R18" i="2"/>
  <c r="P29" i="2" s="1"/>
  <c r="Q12" i="13" s="1"/>
  <c r="Q16" i="13" s="1"/>
  <c r="R6" i="2"/>
  <c r="P17" i="2" s="1"/>
  <c r="Q7" i="13" s="1"/>
  <c r="Q11" i="13" s="1"/>
  <c r="P113" i="2" l="1"/>
  <c r="Q47" i="13" s="1"/>
  <c r="Q51" i="13" s="1"/>
  <c r="P101" i="2"/>
  <c r="Q42" i="13" s="1"/>
  <c r="Q46" i="13" s="1"/>
  <c r="O41" i="15"/>
  <c r="O77" i="15"/>
  <c r="P33" i="13" s="1"/>
  <c r="Q76" i="15"/>
  <c r="Q77" i="15" s="1"/>
  <c r="R33" i="13" s="1"/>
  <c r="Q89" i="2"/>
  <c r="O89" i="2"/>
  <c r="Q40" i="15"/>
  <c r="Q41" i="15" s="1"/>
  <c r="Q65" i="15"/>
  <c r="Q100" i="15"/>
  <c r="Q101" i="15" s="1"/>
  <c r="O41" i="14"/>
  <c r="Q29" i="14"/>
  <c r="R15" i="13" s="1"/>
  <c r="O89" i="14"/>
  <c r="O113" i="14"/>
  <c r="Q29" i="15"/>
  <c r="O89" i="15"/>
  <c r="Q89" i="15"/>
  <c r="O65" i="2"/>
  <c r="O113" i="15"/>
  <c r="Q113" i="15"/>
  <c r="Q53" i="14"/>
  <c r="Q29" i="2"/>
  <c r="O29" i="2"/>
  <c r="O101" i="15"/>
  <c r="O65" i="15"/>
  <c r="O53" i="14"/>
  <c r="Q17" i="14"/>
  <c r="Q77" i="2"/>
  <c r="R32" i="13" s="1"/>
  <c r="Q41" i="2"/>
  <c r="O41" i="2"/>
  <c r="O113" i="2"/>
  <c r="Q113" i="2"/>
  <c r="Q89" i="14"/>
  <c r="O17" i="2"/>
  <c r="O77" i="2"/>
  <c r="P32" i="13" s="1"/>
  <c r="O65" i="14"/>
  <c r="Q65" i="14"/>
  <c r="Q17" i="15"/>
  <c r="O53" i="15"/>
  <c r="Q53" i="15"/>
  <c r="Q53" i="2"/>
  <c r="O53" i="2"/>
  <c r="Q41" i="14"/>
  <c r="O101" i="14"/>
  <c r="Q101" i="14"/>
  <c r="Q65" i="2"/>
  <c r="O29" i="15"/>
  <c r="Q113" i="14"/>
  <c r="O17" i="15"/>
  <c r="O29" i="14"/>
  <c r="P15" i="13" s="1"/>
  <c r="O77" i="14"/>
  <c r="P35" i="13" s="1"/>
  <c r="Q77" i="14"/>
  <c r="R35" i="13" s="1"/>
  <c r="Q17" i="2"/>
  <c r="R7" i="13" s="1"/>
  <c r="O101" i="2"/>
  <c r="Q101" i="2"/>
  <c r="Q125" i="14"/>
  <c r="O125" i="14"/>
  <c r="O17" i="14"/>
  <c r="B40" i="4"/>
  <c r="C40" i="4"/>
  <c r="D40" i="4"/>
  <c r="E40" i="4"/>
  <c r="F40" i="4"/>
  <c r="G40" i="4"/>
  <c r="I40" i="4"/>
  <c r="J40" i="4"/>
  <c r="K40" i="4"/>
  <c r="X56" i="13" l="1"/>
  <c r="L10" i="26" s="1"/>
  <c r="J112" i="14" l="1"/>
  <c r="J113" i="14" s="1"/>
  <c r="J76" i="14"/>
  <c r="J77" i="14" s="1"/>
  <c r="J124" i="14"/>
  <c r="J125" i="14" s="1"/>
  <c r="J40" i="14"/>
  <c r="J41" i="14" s="1"/>
  <c r="J100" i="14"/>
  <c r="J101" i="14" s="1"/>
  <c r="J52" i="14"/>
  <c r="J53" i="14" s="1"/>
  <c r="G124" i="2"/>
  <c r="G88" i="2"/>
  <c r="J28" i="14"/>
  <c r="J29" i="14" s="1"/>
  <c r="J16" i="14"/>
  <c r="J17" i="14" s="1"/>
  <c r="J88" i="14"/>
  <c r="J89" i="14" s="1"/>
  <c r="J64" i="14"/>
  <c r="J65" i="14" s="1"/>
  <c r="B25" i="4"/>
  <c r="C25" i="4"/>
  <c r="D25" i="4"/>
  <c r="E25" i="4"/>
  <c r="F25" i="4"/>
  <c r="G25" i="4"/>
  <c r="I25" i="4"/>
  <c r="J25" i="4"/>
  <c r="B56" i="4"/>
  <c r="C56" i="4"/>
  <c r="D56" i="4"/>
  <c r="E56" i="4"/>
  <c r="F56" i="4"/>
  <c r="G56" i="4"/>
  <c r="I56" i="4"/>
  <c r="J56" i="4"/>
  <c r="K25" i="4"/>
  <c r="W56" i="13"/>
  <c r="K10" i="26" s="1"/>
  <c r="K56" i="4"/>
  <c r="H124" i="2" l="1"/>
  <c r="H88" i="2"/>
  <c r="H89" i="2" s="1"/>
  <c r="G28" i="2"/>
  <c r="G29" i="2" s="1"/>
  <c r="G64" i="2"/>
  <c r="G65" i="2" s="1"/>
  <c r="G100" i="2"/>
  <c r="G76" i="2"/>
  <c r="G77" i="2" s="1"/>
  <c r="H32" i="13" s="1"/>
  <c r="G40" i="2"/>
  <c r="G41" i="2" s="1"/>
  <c r="G112" i="2"/>
  <c r="G113" i="2" s="1"/>
  <c r="G16" i="2"/>
  <c r="G17" i="2" s="1"/>
  <c r="H7" i="13" s="1"/>
  <c r="K88" i="2"/>
  <c r="K89" i="2" s="1"/>
  <c r="G89" i="2"/>
  <c r="I88" i="2"/>
  <c r="G52" i="2"/>
  <c r="I125" i="15"/>
  <c r="G124" i="15"/>
  <c r="G125" i="15" s="1"/>
  <c r="K124" i="2"/>
  <c r="H124" i="15"/>
  <c r="H125" i="15" s="1"/>
  <c r="M64" i="14"/>
  <c r="M65" i="14" s="1"/>
  <c r="N64" i="2"/>
  <c r="N65" i="2" s="1"/>
  <c r="M40" i="2"/>
  <c r="M41" i="2" s="1"/>
  <c r="J101" i="15"/>
  <c r="I52" i="14"/>
  <c r="I53" i="14" s="1"/>
  <c r="K52" i="15"/>
  <c r="K53" i="15" s="1"/>
  <c r="K88" i="15"/>
  <c r="K89" i="15" s="1"/>
  <c r="M28" i="14"/>
  <c r="M29" i="14" s="1"/>
  <c r="N15" i="13" s="1"/>
  <c r="M16" i="14"/>
  <c r="M17" i="14" s="1"/>
  <c r="I64" i="2"/>
  <c r="I65" i="2" s="1"/>
  <c r="I16" i="2"/>
  <c r="I17" i="2" s="1"/>
  <c r="H52" i="15"/>
  <c r="H53" i="15" s="1"/>
  <c r="H28" i="15"/>
  <c r="H29" i="15" s="1"/>
  <c r="N124" i="2"/>
  <c r="I113" i="15"/>
  <c r="M76" i="2"/>
  <c r="M77" i="2" s="1"/>
  <c r="N32" i="13" s="1"/>
  <c r="H100" i="14"/>
  <c r="H101" i="14" s="1"/>
  <c r="M64" i="15"/>
  <c r="M65" i="15" s="1"/>
  <c r="G112" i="14"/>
  <c r="J53" i="15"/>
  <c r="J113" i="15"/>
  <c r="N112" i="14"/>
  <c r="N113" i="14" s="1"/>
  <c r="N28" i="15"/>
  <c r="N29" i="15" s="1"/>
  <c r="G40" i="15"/>
  <c r="L101" i="14"/>
  <c r="L89" i="14"/>
  <c r="K76" i="14"/>
  <c r="K77" i="14" s="1"/>
  <c r="L35" i="13" s="1"/>
  <c r="K124" i="14"/>
  <c r="K125" i="14" s="1"/>
  <c r="K40" i="14"/>
  <c r="K41" i="14" s="1"/>
  <c r="H40" i="2"/>
  <c r="H41" i="2" s="1"/>
  <c r="H112" i="14"/>
  <c r="H113" i="14" s="1"/>
  <c r="I64" i="14"/>
  <c r="I65" i="14" s="1"/>
  <c r="L29" i="15"/>
  <c r="L125" i="15"/>
  <c r="K16" i="15"/>
  <c r="K17" i="15" s="1"/>
  <c r="M100" i="14"/>
  <c r="M101" i="14" s="1"/>
  <c r="M88" i="14"/>
  <c r="M89" i="14" s="1"/>
  <c r="I76" i="2"/>
  <c r="I77" i="2" s="1"/>
  <c r="J32" i="13" s="1"/>
  <c r="I52" i="2"/>
  <c r="I53" i="2" s="1"/>
  <c r="H112" i="15"/>
  <c r="H113" i="15" s="1"/>
  <c r="I53" i="15"/>
  <c r="I29" i="15"/>
  <c r="M28" i="2"/>
  <c r="M29" i="2" s="1"/>
  <c r="K112" i="2"/>
  <c r="K113" i="2" s="1"/>
  <c r="K28" i="2"/>
  <c r="K29" i="2" s="1"/>
  <c r="H52" i="14"/>
  <c r="H53" i="14" s="1"/>
  <c r="H76" i="14"/>
  <c r="H77" i="14" s="1"/>
  <c r="I35" i="13" s="1"/>
  <c r="J77" i="15"/>
  <c r="G52" i="15"/>
  <c r="G16" i="15"/>
  <c r="L77" i="14"/>
  <c r="L125" i="14"/>
  <c r="H16" i="2"/>
  <c r="H17" i="2" s="1"/>
  <c r="L113" i="15"/>
  <c r="I101" i="15"/>
  <c r="K76" i="2"/>
  <c r="K77" i="2" s="1"/>
  <c r="L32" i="13" s="1"/>
  <c r="L113" i="14"/>
  <c r="I88" i="14"/>
  <c r="I89" i="14" s="1"/>
  <c r="L77" i="15"/>
  <c r="L53" i="15"/>
  <c r="L89" i="15"/>
  <c r="K64" i="15"/>
  <c r="K65" i="15" s="1"/>
  <c r="M112" i="14"/>
  <c r="M113" i="14" s="1"/>
  <c r="I112" i="2"/>
  <c r="I113" i="2" s="1"/>
  <c r="I28" i="2"/>
  <c r="I29" i="2" s="1"/>
  <c r="H100" i="15"/>
  <c r="H101" i="15" s="1"/>
  <c r="N100" i="2"/>
  <c r="N101" i="2" s="1"/>
  <c r="N76" i="2"/>
  <c r="N77" i="2" s="1"/>
  <c r="O32" i="13" s="1"/>
  <c r="N16" i="2"/>
  <c r="N17" i="2" s="1"/>
  <c r="I17" i="15"/>
  <c r="I77" i="15"/>
  <c r="M88" i="2"/>
  <c r="M89" i="2" s="1"/>
  <c r="H16" i="14"/>
  <c r="H17" i="14" s="1"/>
  <c r="M28" i="15"/>
  <c r="M29" i="15" s="1"/>
  <c r="J17" i="15"/>
  <c r="J89" i="15"/>
  <c r="G64" i="15"/>
  <c r="K52" i="14"/>
  <c r="K53" i="14" s="1"/>
  <c r="H76" i="2"/>
  <c r="H77" i="2" s="1"/>
  <c r="I32" i="13" s="1"/>
  <c r="H52" i="2"/>
  <c r="H53" i="2" s="1"/>
  <c r="I28" i="14"/>
  <c r="I29" i="14" s="1"/>
  <c r="J15" i="13" s="1"/>
  <c r="K15" i="13" s="1"/>
  <c r="K40" i="15"/>
  <c r="K41" i="15" s="1"/>
  <c r="K112" i="15"/>
  <c r="K113" i="15" s="1"/>
  <c r="M76" i="14"/>
  <c r="M77" i="14" s="1"/>
  <c r="N35" i="13" s="1"/>
  <c r="M124" i="14"/>
  <c r="M125" i="14" s="1"/>
  <c r="I124" i="2"/>
  <c r="H40" i="15"/>
  <c r="H41" i="15" s="1"/>
  <c r="H16" i="15"/>
  <c r="H17" i="15" s="1"/>
  <c r="N40" i="2"/>
  <c r="N41" i="2" s="1"/>
  <c r="N112" i="2"/>
  <c r="N113" i="2" s="1"/>
  <c r="I65" i="15"/>
  <c r="I89" i="15"/>
  <c r="M52" i="2"/>
  <c r="M53" i="2" s="1"/>
  <c r="H64" i="14"/>
  <c r="H65" i="14" s="1"/>
  <c r="M76" i="15"/>
  <c r="M77" i="15" s="1"/>
  <c r="N33" i="13" s="1"/>
  <c r="J65" i="15"/>
  <c r="J41" i="15"/>
  <c r="N40" i="15"/>
  <c r="N41" i="15" s="1"/>
  <c r="N16" i="15"/>
  <c r="N17" i="15" s="1"/>
  <c r="N112" i="15"/>
  <c r="N113" i="15" s="1"/>
  <c r="N124" i="15"/>
  <c r="N125" i="15" s="1"/>
  <c r="G100" i="15"/>
  <c r="K28" i="14"/>
  <c r="K29" i="14" s="1"/>
  <c r="L15" i="13" s="1"/>
  <c r="K16" i="14"/>
  <c r="K17" i="14" s="1"/>
  <c r="H112" i="2"/>
  <c r="H113" i="2" s="1"/>
  <c r="H28" i="2"/>
  <c r="H29" i="2" s="1"/>
  <c r="H76" i="15"/>
  <c r="H77" i="15" s="1"/>
  <c r="I33" i="13" s="1"/>
  <c r="J29" i="15"/>
  <c r="N76" i="14"/>
  <c r="N77" i="14" s="1"/>
  <c r="O35" i="13" s="1"/>
  <c r="N52" i="15"/>
  <c r="N53" i="15" s="1"/>
  <c r="I76" i="14"/>
  <c r="I77" i="14" s="1"/>
  <c r="J35" i="13" s="1"/>
  <c r="K35" i="13" s="1"/>
  <c r="I124" i="14"/>
  <c r="I125" i="14" s="1"/>
  <c r="I40" i="14"/>
  <c r="I41" i="14" s="1"/>
  <c r="K28" i="15"/>
  <c r="K29" i="15" s="1"/>
  <c r="K124" i="15"/>
  <c r="K125" i="15" s="1"/>
  <c r="H64" i="15"/>
  <c r="H65" i="15" s="1"/>
  <c r="H88" i="15"/>
  <c r="H89" i="15" s="1"/>
  <c r="M100" i="2"/>
  <c r="M101" i="2" s="1"/>
  <c r="K52" i="2"/>
  <c r="K53" i="2" s="1"/>
  <c r="K100" i="2"/>
  <c r="K101" i="2" s="1"/>
  <c r="H88" i="14"/>
  <c r="H89" i="14" s="1"/>
  <c r="M40" i="15"/>
  <c r="M41" i="15" s="1"/>
  <c r="M52" i="15"/>
  <c r="M53" i="15" s="1"/>
  <c r="M124" i="15"/>
  <c r="M125" i="15" s="1"/>
  <c r="G28" i="14"/>
  <c r="G16" i="14"/>
  <c r="G17" i="14" s="1"/>
  <c r="N28" i="14"/>
  <c r="N29" i="14" s="1"/>
  <c r="O15" i="13" s="1"/>
  <c r="N16" i="14"/>
  <c r="N17" i="14" s="1"/>
  <c r="N64" i="15"/>
  <c r="N65" i="15" s="1"/>
  <c r="N100" i="15"/>
  <c r="N101" i="15" s="1"/>
  <c r="G28" i="15"/>
  <c r="G112" i="15"/>
  <c r="L53" i="14"/>
  <c r="K64" i="14"/>
  <c r="K65" i="14" s="1"/>
  <c r="H64" i="2"/>
  <c r="H65" i="2" s="1"/>
  <c r="L101" i="15"/>
  <c r="M40" i="14"/>
  <c r="M41" i="14" s="1"/>
  <c r="M112" i="2"/>
  <c r="M113" i="2" s="1"/>
  <c r="M112" i="15"/>
  <c r="M113" i="15" s="1"/>
  <c r="G52" i="14"/>
  <c r="N52" i="14"/>
  <c r="N53" i="14" s="1"/>
  <c r="N76" i="15"/>
  <c r="N77" i="15" s="1"/>
  <c r="O33" i="13" s="1"/>
  <c r="I100" i="14"/>
  <c r="I101" i="14" s="1"/>
  <c r="L17" i="15"/>
  <c r="K76" i="15"/>
  <c r="K77" i="15" s="1"/>
  <c r="L33" i="13" s="1"/>
  <c r="I100" i="2"/>
  <c r="I101" i="2" s="1"/>
  <c r="N28" i="2"/>
  <c r="N29" i="2" s="1"/>
  <c r="I41" i="15"/>
  <c r="M64" i="2"/>
  <c r="M65" i="2" s="1"/>
  <c r="M124" i="2"/>
  <c r="K40" i="2"/>
  <c r="K41" i="2" s="1"/>
  <c r="H28" i="14"/>
  <c r="H29" i="14" s="1"/>
  <c r="I15" i="13" s="1"/>
  <c r="G124" i="14"/>
  <c r="G40" i="14"/>
  <c r="G64" i="14"/>
  <c r="N40" i="14"/>
  <c r="N41" i="14" s="1"/>
  <c r="N64" i="14"/>
  <c r="N65" i="14" s="1"/>
  <c r="G76" i="15"/>
  <c r="L29" i="14"/>
  <c r="L17" i="14"/>
  <c r="K100" i="14"/>
  <c r="K101" i="14" s="1"/>
  <c r="K88" i="14"/>
  <c r="K89" i="14" s="1"/>
  <c r="I16" i="14"/>
  <c r="I17" i="14" s="1"/>
  <c r="G76" i="14"/>
  <c r="N124" i="14"/>
  <c r="I112" i="14"/>
  <c r="I113" i="14" s="1"/>
  <c r="J50" i="13" s="1"/>
  <c r="L65" i="15"/>
  <c r="L41" i="15"/>
  <c r="K100" i="15"/>
  <c r="K101" i="15" s="1"/>
  <c r="M52" i="14"/>
  <c r="M53" i="14" s="1"/>
  <c r="I40" i="2"/>
  <c r="I41" i="2" s="1"/>
  <c r="N52" i="2"/>
  <c r="N53" i="2" s="1"/>
  <c r="N88" i="2"/>
  <c r="N89" i="2" s="1"/>
  <c r="M16" i="2"/>
  <c r="M17" i="2" s="1"/>
  <c r="K64" i="2"/>
  <c r="K65" i="2" s="1"/>
  <c r="K16" i="2"/>
  <c r="K17" i="2" s="1"/>
  <c r="H124" i="14"/>
  <c r="H40" i="14"/>
  <c r="H41" i="14" s="1"/>
  <c r="M88" i="15"/>
  <c r="M89" i="15" s="1"/>
  <c r="M16" i="15"/>
  <c r="M17" i="15" s="1"/>
  <c r="M100" i="15"/>
  <c r="M101" i="15" s="1"/>
  <c r="G100" i="14"/>
  <c r="G88" i="14"/>
  <c r="N100" i="14"/>
  <c r="N101" i="14" s="1"/>
  <c r="N88" i="14"/>
  <c r="N89" i="14" s="1"/>
  <c r="N88" i="15"/>
  <c r="N89" i="15" s="1"/>
  <c r="G88" i="15"/>
  <c r="L41" i="14"/>
  <c r="L65" i="14"/>
  <c r="K112" i="14"/>
  <c r="K113" i="14" s="1"/>
  <c r="H100" i="2"/>
  <c r="H101" i="2" s="1"/>
  <c r="J125" i="15"/>
  <c r="O125" i="15"/>
  <c r="Q125" i="15"/>
  <c r="R115" i="2"/>
  <c r="R116" i="2"/>
  <c r="R117" i="2"/>
  <c r="R118" i="2"/>
  <c r="R119" i="2"/>
  <c r="R120" i="2"/>
  <c r="R121" i="2"/>
  <c r="R122" i="2"/>
  <c r="R123" i="2"/>
  <c r="R124" i="2"/>
  <c r="R114" i="2"/>
  <c r="G32" i="13" l="1"/>
  <c r="G12" i="17" s="1"/>
  <c r="P125" i="2"/>
  <c r="Q52" i="13" s="1"/>
  <c r="Q56" i="13" s="1"/>
  <c r="H37" i="13"/>
  <c r="F124" i="2"/>
  <c r="F125" i="2" s="1"/>
  <c r="F88" i="2"/>
  <c r="F89" i="2" s="1"/>
  <c r="F112" i="2"/>
  <c r="F113" i="2" s="1"/>
  <c r="F16" i="14"/>
  <c r="F17" i="14" s="1"/>
  <c r="F40" i="2"/>
  <c r="F41" i="2" s="1"/>
  <c r="F64" i="2"/>
  <c r="F65" i="2" s="1"/>
  <c r="F28" i="2"/>
  <c r="F29" i="2" s="1"/>
  <c r="F16" i="2"/>
  <c r="F17" i="2" s="1"/>
  <c r="I89" i="2"/>
  <c r="F76" i="2"/>
  <c r="F77" i="2" s="1"/>
  <c r="F124" i="15"/>
  <c r="F125" i="15" s="1"/>
  <c r="G89" i="15"/>
  <c r="F88" i="15"/>
  <c r="F89" i="15" s="1"/>
  <c r="G17" i="15"/>
  <c r="F17" i="15"/>
  <c r="G65" i="14"/>
  <c r="F64" i="14"/>
  <c r="F65" i="14" s="1"/>
  <c r="G53" i="14"/>
  <c r="F52" i="14"/>
  <c r="F53" i="14" s="1"/>
  <c r="G113" i="15"/>
  <c r="F112" i="15"/>
  <c r="F113" i="15" s="1"/>
  <c r="G29" i="15"/>
  <c r="F28" i="15"/>
  <c r="F29" i="15" s="1"/>
  <c r="G53" i="15"/>
  <c r="F52" i="15"/>
  <c r="F53" i="15" s="1"/>
  <c r="G41" i="14"/>
  <c r="F40" i="14"/>
  <c r="F41" i="14" s="1"/>
  <c r="G41" i="15"/>
  <c r="F40" i="15"/>
  <c r="F41" i="15" s="1"/>
  <c r="G101" i="2"/>
  <c r="F100" i="2"/>
  <c r="F101" i="2" s="1"/>
  <c r="G125" i="2"/>
  <c r="G125" i="14"/>
  <c r="F124" i="14"/>
  <c r="F125" i="14" s="1"/>
  <c r="G77" i="14"/>
  <c r="H35" i="13" s="1"/>
  <c r="G35" i="13" s="1"/>
  <c r="F76" i="14"/>
  <c r="F77" i="14" s="1"/>
  <c r="G29" i="14"/>
  <c r="H15" i="13" s="1"/>
  <c r="G15" i="13" s="1"/>
  <c r="F28" i="14"/>
  <c r="F29" i="14" s="1"/>
  <c r="G65" i="15"/>
  <c r="F64" i="15"/>
  <c r="F65" i="15" s="1"/>
  <c r="G53" i="2"/>
  <c r="F52" i="2"/>
  <c r="F53" i="2" s="1"/>
  <c r="G89" i="14"/>
  <c r="F88" i="14"/>
  <c r="F89" i="14" s="1"/>
  <c r="G77" i="15"/>
  <c r="H33" i="13" s="1"/>
  <c r="G33" i="13" s="1"/>
  <c r="F76" i="15"/>
  <c r="F77" i="15" s="1"/>
  <c r="G101" i="14"/>
  <c r="F100" i="14"/>
  <c r="F101" i="14" s="1"/>
  <c r="G101" i="15"/>
  <c r="F100" i="15"/>
  <c r="F101" i="15" s="1"/>
  <c r="G113" i="14"/>
  <c r="F112" i="14"/>
  <c r="F113" i="14" s="1"/>
  <c r="N125" i="14"/>
  <c r="H125" i="14"/>
  <c r="H125" i="2"/>
  <c r="I125" i="2"/>
  <c r="O125" i="2"/>
  <c r="Q125" i="2"/>
  <c r="M125" i="2"/>
  <c r="K125" i="2"/>
  <c r="N125" i="2"/>
  <c r="AA51" i="13" l="1"/>
  <c r="AA26" i="13"/>
  <c r="AA36" i="13"/>
  <c r="AA11" i="13"/>
  <c r="AA41" i="13"/>
  <c r="AA16" i="13"/>
  <c r="AA56" i="13"/>
  <c r="AA31" i="13"/>
  <c r="AA46" i="13"/>
  <c r="AA21" i="13"/>
  <c r="I13" i="17" l="1"/>
  <c r="I15" i="17"/>
  <c r="I8" i="17"/>
  <c r="H12" i="17" l="1"/>
  <c r="I12" i="17"/>
  <c r="I10" i="17"/>
  <c r="I14" i="17"/>
  <c r="I9" i="17"/>
  <c r="I11" i="17"/>
  <c r="I7" i="17"/>
  <c r="P8" i="17" l="1"/>
  <c r="L8" i="17"/>
  <c r="Q8" i="17"/>
  <c r="N8" i="17"/>
  <c r="P13" i="13"/>
  <c r="R13" i="13"/>
  <c r="P12" i="13"/>
  <c r="R12" i="13"/>
  <c r="I13" i="13"/>
  <c r="L13" i="13"/>
  <c r="N13" i="13"/>
  <c r="L12" i="13"/>
  <c r="I12" i="13"/>
  <c r="J12" i="13"/>
  <c r="N12" i="13"/>
  <c r="O12" i="13"/>
  <c r="O13" i="13"/>
  <c r="T16" i="13"/>
  <c r="J9" i="26" s="1"/>
  <c r="P8" i="13" l="1"/>
  <c r="J37" i="13"/>
  <c r="I40" i="13"/>
  <c r="I38" i="13"/>
  <c r="L13" i="17"/>
  <c r="O37" i="13"/>
  <c r="P38" i="13"/>
  <c r="O38" i="13"/>
  <c r="N40" i="13"/>
  <c r="Q13" i="17"/>
  <c r="N37" i="13"/>
  <c r="R40" i="13"/>
  <c r="P13" i="17"/>
  <c r="R38" i="13"/>
  <c r="I37" i="13"/>
  <c r="L40" i="13"/>
  <c r="P37" i="13"/>
  <c r="N13" i="17"/>
  <c r="N38" i="13"/>
  <c r="L38" i="13"/>
  <c r="P40" i="13"/>
  <c r="L37" i="13"/>
  <c r="O40" i="13"/>
  <c r="R37" i="13"/>
  <c r="T40" i="13"/>
  <c r="T41" i="13" s="1"/>
  <c r="J8" i="26" s="1"/>
  <c r="P15" i="17"/>
  <c r="L15" i="17"/>
  <c r="Q15" i="17"/>
  <c r="N15" i="17"/>
  <c r="R47" i="13"/>
  <c r="P48" i="13"/>
  <c r="P47" i="13"/>
  <c r="P50" i="13"/>
  <c r="R50" i="13"/>
  <c r="R48" i="13"/>
  <c r="O50" i="13"/>
  <c r="L48" i="13"/>
  <c r="O48" i="13"/>
  <c r="J47" i="13"/>
  <c r="I48" i="13"/>
  <c r="L50" i="13"/>
  <c r="I47" i="13"/>
  <c r="L47" i="13"/>
  <c r="I50" i="13"/>
  <c r="N47" i="13"/>
  <c r="N50" i="13"/>
  <c r="N48" i="13"/>
  <c r="O47" i="13"/>
  <c r="T51" i="13"/>
  <c r="J13" i="26" s="1"/>
  <c r="Q12" i="17"/>
  <c r="L12" i="17"/>
  <c r="N12" i="17"/>
  <c r="P12" i="17"/>
  <c r="K16" i="13"/>
  <c r="H12" i="13"/>
  <c r="G12" i="13" s="1"/>
  <c r="H13" i="13"/>
  <c r="G13" i="13" l="1"/>
  <c r="H8" i="17" s="1"/>
  <c r="G37" i="13"/>
  <c r="G13" i="17" s="1"/>
  <c r="H16" i="13"/>
  <c r="B9" i="26" s="1"/>
  <c r="J8" i="17"/>
  <c r="G8" i="17"/>
  <c r="L8" i="13"/>
  <c r="L10" i="13"/>
  <c r="O10" i="13"/>
  <c r="P10" i="13"/>
  <c r="I7" i="13"/>
  <c r="L7" i="17"/>
  <c r="N7" i="17"/>
  <c r="I10" i="13"/>
  <c r="P7" i="13"/>
  <c r="N8" i="13"/>
  <c r="P7" i="17"/>
  <c r="O8" i="13"/>
  <c r="I8" i="13"/>
  <c r="Q7" i="17"/>
  <c r="N10" i="13"/>
  <c r="R10" i="13"/>
  <c r="N7" i="13"/>
  <c r="O7" i="13"/>
  <c r="R8" i="13"/>
  <c r="L7" i="13"/>
  <c r="J7" i="13"/>
  <c r="J10" i="13"/>
  <c r="K10" i="13" s="1"/>
  <c r="K11" i="13" s="1"/>
  <c r="T11" i="13"/>
  <c r="J12" i="26" s="1"/>
  <c r="J16" i="13"/>
  <c r="D9" i="26" s="1"/>
  <c r="P9" i="17"/>
  <c r="L17" i="13"/>
  <c r="O18" i="13"/>
  <c r="N17" i="13"/>
  <c r="I17" i="13"/>
  <c r="R18" i="13"/>
  <c r="O17" i="13"/>
  <c r="I20" i="13"/>
  <c r="L9" i="17"/>
  <c r="O20" i="13"/>
  <c r="Q9" i="17"/>
  <c r="N20" i="13"/>
  <c r="R17" i="13"/>
  <c r="I18" i="13"/>
  <c r="J17" i="13"/>
  <c r="P20" i="13"/>
  <c r="P17" i="13"/>
  <c r="N9" i="17"/>
  <c r="R20" i="13"/>
  <c r="L18" i="13"/>
  <c r="N18" i="13"/>
  <c r="P18" i="13"/>
  <c r="L20" i="13"/>
  <c r="T21" i="13"/>
  <c r="J11" i="26" s="1"/>
  <c r="Q11" i="17"/>
  <c r="P11" i="17"/>
  <c r="N11" i="17"/>
  <c r="L11" i="17"/>
  <c r="P27" i="13"/>
  <c r="R28" i="13"/>
  <c r="P30" i="13"/>
  <c r="P28" i="13"/>
  <c r="R27" i="13"/>
  <c r="R30" i="13"/>
  <c r="I30" i="13"/>
  <c r="L30" i="13"/>
  <c r="N27" i="13"/>
  <c r="I27" i="13"/>
  <c r="O27" i="13"/>
  <c r="I28" i="13"/>
  <c r="L27" i="13"/>
  <c r="N28" i="13"/>
  <c r="L28" i="13"/>
  <c r="N30" i="13"/>
  <c r="J27" i="13"/>
  <c r="O28" i="13"/>
  <c r="O30" i="13"/>
  <c r="P22" i="13"/>
  <c r="N22" i="13"/>
  <c r="R23" i="13"/>
  <c r="L10" i="17"/>
  <c r="L22" i="13"/>
  <c r="J22" i="13"/>
  <c r="O22" i="13"/>
  <c r="N10" i="17"/>
  <c r="L25" i="13"/>
  <c r="L23" i="13"/>
  <c r="Q10" i="17"/>
  <c r="I25" i="13"/>
  <c r="P10" i="17"/>
  <c r="R22" i="13"/>
  <c r="I22" i="13"/>
  <c r="O23" i="13"/>
  <c r="R25" i="13"/>
  <c r="P25" i="13"/>
  <c r="P23" i="13"/>
  <c r="O25" i="13"/>
  <c r="N23" i="13"/>
  <c r="I23" i="13"/>
  <c r="N25" i="13"/>
  <c r="P42" i="13"/>
  <c r="I42" i="13"/>
  <c r="I45" i="13"/>
  <c r="J42" i="13"/>
  <c r="R45" i="13"/>
  <c r="Q14" i="17"/>
  <c r="P43" i="13"/>
  <c r="N42" i="13"/>
  <c r="I43" i="13"/>
  <c r="N43" i="13"/>
  <c r="L14" i="17"/>
  <c r="R43" i="13"/>
  <c r="O45" i="13"/>
  <c r="P14" i="17"/>
  <c r="L42" i="13"/>
  <c r="N14" i="17"/>
  <c r="P45" i="13"/>
  <c r="O43" i="13"/>
  <c r="L45" i="13"/>
  <c r="O42" i="13"/>
  <c r="L43" i="13"/>
  <c r="N45" i="13"/>
  <c r="R42" i="13"/>
  <c r="T45" i="13"/>
  <c r="T46" i="13" s="1"/>
  <c r="J7" i="26" s="1"/>
  <c r="H47" i="13"/>
  <c r="G47" i="13" s="1"/>
  <c r="K50" i="13"/>
  <c r="K51" i="13" s="1"/>
  <c r="H48" i="13"/>
  <c r="G48" i="13" s="1"/>
  <c r="H50" i="13"/>
  <c r="H38" i="13"/>
  <c r="G38" i="13" s="1"/>
  <c r="H40" i="13"/>
  <c r="J40" i="13"/>
  <c r="K40" i="13" s="1"/>
  <c r="K41" i="13" s="1"/>
  <c r="G40" i="13" l="1"/>
  <c r="J13" i="17" s="1"/>
  <c r="G7" i="13"/>
  <c r="G7" i="17" s="1"/>
  <c r="G50" i="13"/>
  <c r="J15" i="17" s="1"/>
  <c r="H13" i="17"/>
  <c r="G15" i="17"/>
  <c r="H15" i="17"/>
  <c r="H8" i="13"/>
  <c r="G8" i="13" s="1"/>
  <c r="H10" i="13"/>
  <c r="G10" i="13" s="1"/>
  <c r="J41" i="13"/>
  <c r="D8" i="26" s="1"/>
  <c r="J11" i="13"/>
  <c r="J51" i="13"/>
  <c r="D13" i="26" s="1"/>
  <c r="J45" i="13"/>
  <c r="K45" i="13" s="1"/>
  <c r="K46" i="13" s="1"/>
  <c r="H42" i="13"/>
  <c r="G42" i="13" s="1"/>
  <c r="H45" i="13"/>
  <c r="H43" i="13"/>
  <c r="G43" i="13" s="1"/>
  <c r="H22" i="13"/>
  <c r="G22" i="13" s="1"/>
  <c r="H23" i="13"/>
  <c r="G23" i="13" s="1"/>
  <c r="H25" i="13"/>
  <c r="J25" i="13"/>
  <c r="K25" i="13" s="1"/>
  <c r="K26" i="13" s="1"/>
  <c r="H27" i="13"/>
  <c r="G27" i="13" s="1"/>
  <c r="H30" i="13"/>
  <c r="J30" i="13"/>
  <c r="K30" i="13" s="1"/>
  <c r="K31" i="13" s="1"/>
  <c r="H28" i="13"/>
  <c r="G28" i="13" s="1"/>
  <c r="J20" i="13"/>
  <c r="K20" i="13" s="1"/>
  <c r="K21" i="13" s="1"/>
  <c r="H20" i="13"/>
  <c r="H17" i="13"/>
  <c r="G17" i="13" s="1"/>
  <c r="H18" i="13"/>
  <c r="I16" i="17"/>
  <c r="G20" i="13" l="1"/>
  <c r="J9" i="17" s="1"/>
  <c r="G45" i="13"/>
  <c r="J14" i="17" s="1"/>
  <c r="G30" i="13"/>
  <c r="J11" i="17" s="1"/>
  <c r="G25" i="13"/>
  <c r="J10" i="17" s="1"/>
  <c r="G18" i="13"/>
  <c r="H9" i="17" s="1"/>
  <c r="D12" i="26"/>
  <c r="H21" i="13"/>
  <c r="B11" i="26" s="1"/>
  <c r="H11" i="13"/>
  <c r="H7" i="17"/>
  <c r="T36" i="13"/>
  <c r="J15" i="26" s="1"/>
  <c r="H10" i="17"/>
  <c r="H11" i="17"/>
  <c r="G10" i="17"/>
  <c r="H14" i="17"/>
  <c r="G11" i="17"/>
  <c r="G14" i="17"/>
  <c r="G9" i="17"/>
  <c r="J7" i="17"/>
  <c r="J46" i="13"/>
  <c r="D7" i="26" s="1"/>
  <c r="J31" i="13"/>
  <c r="D16" i="26" s="1"/>
  <c r="J21" i="13"/>
  <c r="D11" i="26" s="1"/>
  <c r="J26" i="13"/>
  <c r="D14" i="26" s="1"/>
  <c r="K36" i="13"/>
  <c r="B12" i="26" l="1"/>
  <c r="J36" i="13"/>
  <c r="D15" i="26" s="1"/>
  <c r="J12" i="17"/>
  <c r="H53" i="13" l="1"/>
  <c r="P53" i="13"/>
  <c r="I53" i="13"/>
  <c r="I52" i="13"/>
  <c r="I55" i="13"/>
  <c r="R55" i="13"/>
  <c r="L16" i="17"/>
  <c r="O53" i="13"/>
  <c r="J52" i="13"/>
  <c r="R52" i="13"/>
  <c r="N53" i="13"/>
  <c r="N52" i="13"/>
  <c r="Q16" i="17"/>
  <c r="R53" i="13"/>
  <c r="L55" i="13"/>
  <c r="L53" i="13"/>
  <c r="P52" i="13"/>
  <c r="N16" i="17"/>
  <c r="P55" i="13"/>
  <c r="N55" i="13"/>
  <c r="L52" i="13"/>
  <c r="P16" i="17"/>
  <c r="O52" i="13"/>
  <c r="O55" i="13"/>
  <c r="G53" i="13" l="1"/>
  <c r="H16" i="17" s="1"/>
  <c r="P56" i="13"/>
  <c r="G10" i="26" s="1"/>
  <c r="L56" i="13"/>
  <c r="E10" i="26" s="1"/>
  <c r="N56" i="13"/>
  <c r="H55" i="13"/>
  <c r="J55" i="13"/>
  <c r="K55" i="13" s="1"/>
  <c r="K56" i="13" s="1"/>
  <c r="H52" i="13"/>
  <c r="G52" i="13" s="1"/>
  <c r="R56" i="13"/>
  <c r="H10" i="26" s="1"/>
  <c r="T56" i="13"/>
  <c r="J10" i="26" s="1"/>
  <c r="I56" i="13"/>
  <c r="C10" i="26" s="1"/>
  <c r="O56" i="13"/>
  <c r="F10" i="26" s="1"/>
  <c r="G55" i="13" l="1"/>
  <c r="J16" i="17" s="1"/>
  <c r="G16" i="17"/>
  <c r="J56" i="13"/>
  <c r="D10" i="26" s="1"/>
  <c r="H56" i="13"/>
  <c r="B10" i="26" s="1"/>
  <c r="N41" i="13"/>
  <c r="O41" i="13"/>
  <c r="F8" i="26" s="1"/>
  <c r="R41" i="13"/>
  <c r="H8" i="26" s="1"/>
  <c r="I41" i="13"/>
  <c r="C8" i="26" s="1"/>
  <c r="L41" i="13"/>
  <c r="E8" i="26" s="1"/>
  <c r="P41" i="13"/>
  <c r="G8" i="26" s="1"/>
  <c r="I36" i="13"/>
  <c r="C15" i="26" s="1"/>
  <c r="L16" i="13"/>
  <c r="E9" i="26" s="1"/>
  <c r="O36" i="13"/>
  <c r="F15" i="26" s="1"/>
  <c r="R36" i="13"/>
  <c r="H15" i="26" s="1"/>
  <c r="R16" i="13"/>
  <c r="H9" i="26" s="1"/>
  <c r="N16" i="13"/>
  <c r="P36" i="13"/>
  <c r="G15" i="26" s="1"/>
  <c r="I16" i="13"/>
  <c r="C9" i="26" s="1"/>
  <c r="L36" i="13"/>
  <c r="E15" i="26" s="1"/>
  <c r="O16" i="13"/>
  <c r="F9" i="26" s="1"/>
  <c r="P16" i="13"/>
  <c r="G9" i="26" s="1"/>
  <c r="N36" i="13"/>
  <c r="L46" i="13"/>
  <c r="E7" i="26" s="1"/>
  <c r="I26" i="13"/>
  <c r="C14" i="26" s="1"/>
  <c r="R46" i="13"/>
  <c r="H7" i="26" s="1"/>
  <c r="O26" i="13"/>
  <c r="F14" i="26" s="1"/>
  <c r="L26" i="13"/>
  <c r="E14" i="26" s="1"/>
  <c r="N46" i="13"/>
  <c r="O21" i="13"/>
  <c r="F11" i="26" s="1"/>
  <c r="R26" i="13"/>
  <c r="H14" i="26" s="1"/>
  <c r="H41" i="13"/>
  <c r="B8" i="26" s="1"/>
  <c r="I21" i="13"/>
  <c r="C11" i="26" s="1"/>
  <c r="R21" i="13"/>
  <c r="H11" i="26" s="1"/>
  <c r="O46" i="13"/>
  <c r="F7" i="26" s="1"/>
  <c r="N21" i="13"/>
  <c r="I46" i="13"/>
  <c r="C7" i="26" s="1"/>
  <c r="P46" i="13"/>
  <c r="G7" i="26" s="1"/>
  <c r="P21" i="13"/>
  <c r="G11" i="26" s="1"/>
  <c r="N26" i="13"/>
  <c r="L21" i="13"/>
  <c r="E11" i="26" s="1"/>
  <c r="P26" i="13"/>
  <c r="G14" i="26" s="1"/>
  <c r="O11" i="13"/>
  <c r="L31" i="13"/>
  <c r="E16" i="26" s="1"/>
  <c r="R31" i="13"/>
  <c r="H16" i="26" s="1"/>
  <c r="L51" i="13"/>
  <c r="E13" i="26" s="1"/>
  <c r="I51" i="13"/>
  <c r="C13" i="26" s="1"/>
  <c r="H36" i="13"/>
  <c r="B15" i="26" s="1"/>
  <c r="P31" i="13"/>
  <c r="G16" i="26" s="1"/>
  <c r="L11" i="13"/>
  <c r="I11" i="13"/>
  <c r="P11" i="13"/>
  <c r="P51" i="13"/>
  <c r="G13" i="26" s="1"/>
  <c r="I31" i="13"/>
  <c r="C16" i="26" s="1"/>
  <c r="N51" i="13"/>
  <c r="R51" i="13"/>
  <c r="H13" i="26" s="1"/>
  <c r="N11" i="13"/>
  <c r="O31" i="13"/>
  <c r="F16" i="26" s="1"/>
  <c r="R11" i="13"/>
  <c r="O51" i="13"/>
  <c r="F13" i="26" s="1"/>
  <c r="N31" i="13"/>
  <c r="H51" i="13"/>
  <c r="B13" i="26" s="1"/>
  <c r="H26" i="13"/>
  <c r="B14" i="26" s="1"/>
  <c r="H46" i="13"/>
  <c r="B7" i="26" s="1"/>
  <c r="H31" i="13"/>
  <c r="B16" i="26" s="1"/>
  <c r="M8" i="26" l="1"/>
  <c r="M9" i="26"/>
  <c r="M7" i="26"/>
  <c r="M10" i="26"/>
  <c r="M16" i="26"/>
  <c r="M15" i="26"/>
  <c r="M14" i="26"/>
  <c r="G12" i="26"/>
  <c r="H12" i="26"/>
  <c r="C12" i="26"/>
  <c r="F12" i="26"/>
  <c r="M11" i="26"/>
  <c r="E12" i="26"/>
  <c r="G56" i="13"/>
  <c r="F16" i="17" s="1"/>
  <c r="G41" i="13"/>
  <c r="F13" i="17" s="1"/>
  <c r="Z56" i="13"/>
  <c r="G21" i="13"/>
  <c r="F9" i="17" s="1"/>
  <c r="G36" i="13"/>
  <c r="F12" i="17" s="1"/>
  <c r="Z11" i="13"/>
  <c r="G31" i="13"/>
  <c r="F11" i="17" s="1"/>
  <c r="Z26" i="13"/>
  <c r="Z16" i="13"/>
  <c r="Z41" i="13"/>
  <c r="Z36" i="13"/>
  <c r="Z21" i="13"/>
  <c r="Z46" i="13"/>
  <c r="Z51" i="13"/>
  <c r="Z31" i="13"/>
  <c r="G26" i="13"/>
  <c r="F10" i="17" s="1"/>
  <c r="G16" i="13"/>
  <c r="F8" i="17" s="1"/>
  <c r="G51" i="13"/>
  <c r="F15" i="17" s="1"/>
  <c r="G46" i="13"/>
  <c r="F14" i="17" s="1"/>
  <c r="G11" i="13"/>
  <c r="F7" i="17" s="1"/>
  <c r="M13" i="26" l="1"/>
  <c r="M12"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Ludvig Karlsson</author>
  </authors>
  <commentList>
    <comment ref="F12" authorId="0" shapeId="0" xr:uid="{7C880B36-DEAA-45C6-BBBF-505082479EB8}">
      <text>
        <r>
          <rPr>
            <sz val="11"/>
            <color theme="1"/>
            <rFont val="Calibri"/>
            <family val="2"/>
            <scheme val="minor"/>
          </rPr>
          <t xml:space="preserve">Ludvig Karlsson:
0,21 according to CRF-table. Assumed to have missed a zero, adjusted to 0,021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<sst xmlns="http://schemas.openxmlformats.org/spreadsheetml/2006/main" count="3683" uniqueCount="498">
  <si>
    <t>Read me</t>
  </si>
  <si>
    <t xml:space="preserve">This is a file that contains the calculations of the footprints from egg production. </t>
  </si>
  <si>
    <t>Mj/kg</t>
  </si>
  <si>
    <t>Assumptions:</t>
  </si>
  <si>
    <t xml:space="preserve"> - All hens are also eaten</t>
  </si>
  <si>
    <t xml:space="preserve"> - Impacts are allocated equally across egg and hen meat</t>
  </si>
  <si>
    <t>Color codes:</t>
  </si>
  <si>
    <t>Results</t>
  </si>
  <si>
    <t>Sheets for input</t>
  </si>
  <si>
    <t>Intermediate calculations</t>
  </si>
  <si>
    <t>Figures</t>
  </si>
  <si>
    <t>Att göra:</t>
  </si>
  <si>
    <t>Fyll i olika gödselsystem från NIR-rapporterna - ev. gjort? Kolla med Ludvig</t>
  </si>
  <si>
    <t>Lägg in landspecifika foderstater, åtminstonde Sverige efter återkoppling med Svenska Ägg</t>
  </si>
  <si>
    <t>Noggrannare energiförbrukning i stallar - låg prio</t>
  </si>
  <si>
    <t>Greenhouse gas emission for egg across countries, to farmgate</t>
  </si>
  <si>
    <t>Production of mineral fertilizer</t>
  </si>
  <si>
    <t xml:space="preserve">Production of capital goods </t>
  </si>
  <si>
    <t xml:space="preserve">Emissions from soil </t>
  </si>
  <si>
    <t>Diesel use field machinary</t>
  </si>
  <si>
    <t>Energy use for feed processing</t>
  </si>
  <si>
    <t>Land use change emissions</t>
  </si>
  <si>
    <t>Feed transports</t>
  </si>
  <si>
    <t>Enteric fermentation</t>
  </si>
  <si>
    <t>Manure management</t>
  </si>
  <si>
    <t>Energy use in stables</t>
  </si>
  <si>
    <t>Energy use for slaughter</t>
  </si>
  <si>
    <t>Tot</t>
  </si>
  <si>
    <t>Order this study:</t>
  </si>
  <si>
    <t>Order Lesschen:</t>
  </si>
  <si>
    <t>Poland</t>
  </si>
  <si>
    <t>Greece</t>
  </si>
  <si>
    <t>Netherlands</t>
  </si>
  <si>
    <t>Germany</t>
  </si>
  <si>
    <t>Sweden</t>
  </si>
  <si>
    <t>Hungary</t>
  </si>
  <si>
    <t>France</t>
  </si>
  <si>
    <t>Ireland</t>
  </si>
  <si>
    <t>Spain</t>
  </si>
  <si>
    <t>Italy</t>
  </si>
  <si>
    <t xml:space="preserve">Hungary </t>
  </si>
  <si>
    <t>Comment:</t>
  </si>
  <si>
    <t xml:space="preserve"> - Hungary and Italy low feed emissions because of lower N2O emission factors</t>
  </si>
  <si>
    <t xml:space="preserve"> - Ireland has a high egg yield</t>
  </si>
  <si>
    <t>Water use - have not checked!!</t>
  </si>
  <si>
    <t xml:space="preserve">Denmark </t>
  </si>
  <si>
    <t>Footprints (per kg of egg)</t>
  </si>
  <si>
    <t>* Adjusted for manure</t>
  </si>
  <si>
    <t>Animal products</t>
  </si>
  <si>
    <t>Climate</t>
  </si>
  <si>
    <t>Land</t>
  </si>
  <si>
    <t>Nitrogen*</t>
  </si>
  <si>
    <t>Phosphorus</t>
  </si>
  <si>
    <t>Water</t>
  </si>
  <si>
    <t>Pesticides</t>
  </si>
  <si>
    <t>Biodiversity</t>
  </si>
  <si>
    <t>Ammonia</t>
  </si>
  <si>
    <t>Labour</t>
  </si>
  <si>
    <t>Animal welfare</t>
  </si>
  <si>
    <t>Use of antibiotics</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</si>
  <si>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</si>
  <si>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</si>
  <si>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</si>
  <si>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</si>
  <si>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</si>
  <si>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</si>
  <si>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</si>
  <si>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</si>
  <si>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</si>
  <si>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</si>
  <si>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</si>
  <si>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</si>
  <si>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</si>
  <si>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</si>
  <si>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</si>
  <si>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</si>
  <si>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</si>
  <si>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</si>
  <si>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</si>
  <si>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egg</t>
  </si>
  <si>
    <t>Antibiotica use indicator</t>
  </si>
  <si>
    <t>0231</t>
  </si>
  <si>
    <t>Hen eggs in shell</t>
  </si>
  <si>
    <t>Egg</t>
  </si>
  <si>
    <t>FR</t>
  </si>
  <si>
    <t>DE</t>
  </si>
  <si>
    <t>GR</t>
  </si>
  <si>
    <t>HU</t>
  </si>
  <si>
    <t>IE</t>
  </si>
  <si>
    <t>IT</t>
  </si>
  <si>
    <t>NL</t>
  </si>
  <si>
    <t>PL</t>
  </si>
  <si>
    <t>ES</t>
  </si>
  <si>
    <t>SE</t>
  </si>
  <si>
    <t>* Production of mineral fertiliser is adjusted to account for the N supplied by manure.</t>
  </si>
  <si>
    <t>GHG emissions (per kg of egg)</t>
  </si>
  <si>
    <t>** Adjusted for use of manure instead of mineral fertiliser (lower emission factor for manure)</t>
  </si>
  <si>
    <t>*** Calculated as percentage of direct emissions due to assumption due to data limitations regarding nitrogen leaching and volatilization from soils in different regions.</t>
  </si>
  <si>
    <t>Animals</t>
  </si>
  <si>
    <t>Stables</t>
  </si>
  <si>
    <t>Slaughter</t>
  </si>
  <si>
    <t>Control</t>
  </si>
  <si>
    <t>Sum</t>
  </si>
  <si>
    <t>Inputs</t>
  </si>
  <si>
    <t>Soil emissions</t>
  </si>
  <si>
    <t>Energy use</t>
  </si>
  <si>
    <t>Land use change</t>
  </si>
  <si>
    <t>Feed processing</t>
  </si>
  <si>
    <t>Transports</t>
  </si>
  <si>
    <t>FoodEx code</t>
  </si>
  <si>
    <t>FoodEx name</t>
  </si>
  <si>
    <t>Food Ex category (L1)</t>
  </si>
  <si>
    <t>Gas</t>
  </si>
  <si>
    <t>GHG</t>
  </si>
  <si>
    <t>Production of mineral fertilizer*</t>
  </si>
  <si>
    <t>Direct emissions**</t>
  </si>
  <si>
    <t>Indirect emissions***</t>
  </si>
  <si>
    <t>Diesel use field mach</t>
  </si>
  <si>
    <t>Energy use in greenhouses</t>
  </si>
  <si>
    <t>Energy use for irrigation</t>
  </si>
  <si>
    <t>Energy use for post-harvest proc</t>
  </si>
  <si>
    <t>LUC emissions</t>
  </si>
  <si>
    <t>Enteric fermentation*</t>
  </si>
  <si>
    <t>Manure management - tot</t>
  </si>
  <si>
    <t>Manure management - direct</t>
  </si>
  <si>
    <t>Manure management - indirect</t>
  </si>
  <si>
    <t>Total feed, excl LUC</t>
  </si>
  <si>
    <t>Feed mix emissions, kg CO2 per kg feed, excl. adjustement manure</t>
  </si>
  <si>
    <t>A031G</t>
  </si>
  <si>
    <t>Hen eggs</t>
  </si>
  <si>
    <t>CO2</t>
  </si>
  <si>
    <t>CH4, fossil</t>
  </si>
  <si>
    <t>CH4, biogenic</t>
  </si>
  <si>
    <t>N2O</t>
  </si>
  <si>
    <t>CO2e</t>
  </si>
  <si>
    <t xml:space="preserve">Ireland </t>
  </si>
  <si>
    <t>Netherland</t>
  </si>
  <si>
    <t>Production system</t>
  </si>
  <si>
    <t>Animals in production per year (no)</t>
  </si>
  <si>
    <t>Laying hens</t>
  </si>
  <si>
    <t>Number of laying hens (any number can be used here)</t>
  </si>
  <si>
    <t>Recruitment hens</t>
  </si>
  <si>
    <t>HAR JAG TÄNKT RÄTT HÄR??</t>
  </si>
  <si>
    <t>Total:</t>
  </si>
  <si>
    <t>Animals slaughtered per year (no)</t>
  </si>
  <si>
    <t>Hens</t>
  </si>
  <si>
    <t>Food produced (kg bonefree meat for hen)</t>
  </si>
  <si>
    <t>Hen meat, kg bonefree</t>
  </si>
  <si>
    <t>Number of animals * slaughtering weight</t>
  </si>
  <si>
    <t>Eggs, kg</t>
  </si>
  <si>
    <t xml:space="preserve">Animals in production per kg of food </t>
  </si>
  <si>
    <t>Hens per kg of egg&amp;meat, no</t>
  </si>
  <si>
    <t>Production parameters and emission factors, country specific</t>
  </si>
  <si>
    <t>Sources:</t>
  </si>
  <si>
    <t>Production parameters</t>
  </si>
  <si>
    <t>Denmark</t>
  </si>
  <si>
    <t>Slaughter age, days</t>
  </si>
  <si>
    <t>Cederberg et al. 2009</t>
  </si>
  <si>
    <t>Hens eaten, %</t>
  </si>
  <si>
    <t>Made up number - look for source!!</t>
  </si>
  <si>
    <t>Meat yield, kg CW per hen</t>
  </si>
  <si>
    <t xml:space="preserve">Assuming the same as chicken </t>
  </si>
  <si>
    <t>Meat yield, kg bonefree meat per kg CW</t>
  </si>
  <si>
    <t>Assuming the same as chicken</t>
  </si>
  <si>
    <t>Eggs per hen and year, kg</t>
  </si>
  <si>
    <t>Calculated from Eurostat (and SCB for Sweden) statistics on number of hens and production of eggs (see tab Egg yield),  no data for GR, IT and NL approx. with neighbouring countries</t>
  </si>
  <si>
    <t>Mortality rearing, %</t>
  </si>
  <si>
    <t>Cumulative mortality at 60wk. 4% in cages and 3% in avaries. Percent in cages within country range from 7 to 88; no data on Greece.</t>
  </si>
  <si>
    <t>Share of feed ingredients (%)</t>
  </si>
  <si>
    <t>Barley, average</t>
  </si>
  <si>
    <t>CAPRI-diets from Karlsson et al., see "Livestock feed.xlsx", tab Egg</t>
  </si>
  <si>
    <t>Maize (corn)</t>
  </si>
  <si>
    <t>Oats</t>
  </si>
  <si>
    <t>Rye</t>
  </si>
  <si>
    <t>Wheat, average</t>
  </si>
  <si>
    <t>Peas, dry</t>
  </si>
  <si>
    <t>Broad beans and horse beans, dry</t>
  </si>
  <si>
    <t>Approximation based on multiple sources:</t>
  </si>
  <si>
    <t>Rape seed cake</t>
  </si>
  <si>
    <t>Abín et al. (2018) show an energy use of approx 0.06 kWh/kg egg in Spain</t>
  </si>
  <si>
    <t>Soy cake</t>
  </si>
  <si>
    <t>Guillaume et al. (2022) estimate an energy use of approx 0.01 kWh for the Czech Repulic.</t>
  </si>
  <si>
    <t>By-products</t>
  </si>
  <si>
    <t>Paris et al. (2022) contain estimates between 0.3-3 kWh/kg egg</t>
  </si>
  <si>
    <t>Other</t>
  </si>
  <si>
    <t>For Sweden only very old data of 1 kWh/kg egg (+ additional energy for layers is available)</t>
  </si>
  <si>
    <t>Based on the above we set energy use to 0.1 kWh/kg egg</t>
  </si>
  <si>
    <t>Cereals</t>
  </si>
  <si>
    <t>Feed requirement</t>
  </si>
  <si>
    <t>Source:</t>
  </si>
  <si>
    <t>Feed conversion, kg per kg bonefree including parents and losses</t>
  </si>
  <si>
    <t>Cederberg et al. 2009, retrieved from Moberg et al. 2019</t>
  </si>
  <si>
    <t xml:space="preserve">Energy use in stables </t>
  </si>
  <si>
    <t>For Sweden (from Cederberg et al):</t>
  </si>
  <si>
    <t>Total energy use, kWh per kg egg&amp;meat</t>
  </si>
  <si>
    <t>Share non electricity</t>
  </si>
  <si>
    <t>Share biofuels for non-electricity</t>
  </si>
  <si>
    <t>Energy use at slaughter</t>
  </si>
  <si>
    <t>Energy use electricity, kWh/kg CW</t>
  </si>
  <si>
    <t>Approx with chicken, see Chicken.xlsx</t>
  </si>
  <si>
    <t>Energy use heating oil, kWh/kg CW</t>
  </si>
  <si>
    <t>Emission factors electricity</t>
  </si>
  <si>
    <t>Electricity, kg CO2e/kWh</t>
  </si>
  <si>
    <t>ecoinvent; market for electricity, low voltage</t>
  </si>
  <si>
    <t>Electricity, kg CO2/kWh</t>
  </si>
  <si>
    <t>Electricity, kg CH4 fossil/kWh</t>
  </si>
  <si>
    <t>Electricity, kg CH4 biogenic/kWh</t>
  </si>
  <si>
    <t>Electricity, kg N2O/kWh</t>
  </si>
  <si>
    <t>Emission factors changes in SOC and LUC</t>
  </si>
  <si>
    <t>Soil carbon loss, kg CO2e/feed</t>
  </si>
  <si>
    <t>Moberg et al. 2019</t>
  </si>
  <si>
    <t>Emission from the production of mineral fertilisers (kg)</t>
  </si>
  <si>
    <t>Fraction BAT</t>
  </si>
  <si>
    <t>Fraction AN</t>
  </si>
  <si>
    <t>Emission factors N2O from soil</t>
  </si>
  <si>
    <t>Direct emissions from mineral fertiliser</t>
  </si>
  <si>
    <t>Direct emissions from manure</t>
  </si>
  <si>
    <t>Difference in emission factor min. fert - manure</t>
  </si>
  <si>
    <t>Indirect emissions, share of direct emissions</t>
  </si>
  <si>
    <t>Manure replacement factor</t>
  </si>
  <si>
    <t>Based on växttillgängligt kväve</t>
  </si>
  <si>
    <t>Water use</t>
  </si>
  <si>
    <t>Water use for housing and drinking, m3 per kg egg</t>
  </si>
  <si>
    <t>Mekonnen and Hoekstra (2012), collected from Moberg et al. 2019</t>
  </si>
  <si>
    <t>Labour requirements</t>
  </si>
  <si>
    <t xml:space="preserve">Labour requirements, h per animal </t>
  </si>
  <si>
    <t>Approx. with chicken</t>
  </si>
  <si>
    <t>Diseases hens (ratio of animals)</t>
  </si>
  <si>
    <t>Space hens</t>
  </si>
  <si>
    <t>Animal welfare in production system</t>
  </si>
  <si>
    <t>Animal welfare index per kg of egg&amp;meat</t>
  </si>
  <si>
    <t>Yield (eggs per hen) - for Sweden, see further down</t>
  </si>
  <si>
    <t>Data extracted on 03/03/2024 09:06:11 from [ESTAT]</t>
  </si>
  <si>
    <t>Data extracted on 03/03/2024 09:11:24 from [ESTAT]</t>
  </si>
  <si>
    <t xml:space="preserve">Dataset: </t>
  </si>
  <si>
    <t>Production of eggs for consumption and number of laying hens [apro_ec_egghen__custom_10105181]</t>
  </si>
  <si>
    <t xml:space="preserve">Last updated: </t>
  </si>
  <si>
    <t>31/08/2023 23:00</t>
  </si>
  <si>
    <t>Time frequency</t>
  </si>
  <si>
    <t>Annual</t>
  </si>
  <si>
    <t>Operator/Trader</t>
  </si>
  <si>
    <t>Total</t>
  </si>
  <si>
    <t>Agricultural products</t>
  </si>
  <si>
    <t>Laying hens (producing eggs for consumption)</t>
  </si>
  <si>
    <t>Unit of measure</t>
  </si>
  <si>
    <t>Thousand</t>
  </si>
  <si>
    <t>TIME</t>
  </si>
  <si>
    <t>2019</t>
  </si>
  <si>
    <t/>
  </si>
  <si>
    <t>2020</t>
  </si>
  <si>
    <t>2021</t>
  </si>
  <si>
    <t>2022</t>
  </si>
  <si>
    <t>Averages:</t>
  </si>
  <si>
    <t>GEO (Labels)</t>
  </si>
  <si>
    <t>Hens (thousands)</t>
  </si>
  <si>
    <t>Eggs (millions)</t>
  </si>
  <si>
    <t>Egg/hen</t>
  </si>
  <si>
    <t>kg egg/hen</t>
  </si>
  <si>
    <t>hens/egg (for animal welfare assessment)</t>
  </si>
  <si>
    <t>Belgium</t>
  </si>
  <si>
    <t>e</t>
  </si>
  <si>
    <t>:</t>
  </si>
  <si>
    <t>Bulgaria</t>
  </si>
  <si>
    <t>Czechia</t>
  </si>
  <si>
    <t>Estonia</t>
  </si>
  <si>
    <t>p</t>
  </si>
  <si>
    <t>Croatia</t>
  </si>
  <si>
    <t>Cyprus</t>
  </si>
  <si>
    <t>Latvia</t>
  </si>
  <si>
    <t>Lithuania</t>
  </si>
  <si>
    <t>Luxembourg</t>
  </si>
  <si>
    <t>Malta</t>
  </si>
  <si>
    <t>Portugal</t>
  </si>
  <si>
    <t>Romania</t>
  </si>
  <si>
    <t>Slovenia</t>
  </si>
  <si>
    <t>Slovakia</t>
  </si>
  <si>
    <t>Finland</t>
  </si>
  <si>
    <t>United Kingdom</t>
  </si>
  <si>
    <t>Serbia</t>
  </si>
  <si>
    <t>Türkiye</t>
  </si>
  <si>
    <t>Special value</t>
  </si>
  <si>
    <t>not available</t>
  </si>
  <si>
    <t>Available flags:</t>
  </si>
  <si>
    <t>estimated</t>
  </si>
  <si>
    <t>b</t>
  </si>
  <si>
    <t>provisional</t>
  </si>
  <si>
    <t>Sweden, https://statistik.sjv.se/PXWeb/pxweb/sv/Jordbruksverkets%20statistikdatabas/Jordbruksverkets%20statistikdatabas__Animalieproduktion__Agg/JO0604A7.px/table/tableViewLayout1/?loadedQueryId=JO0604A7_2020&amp;timeType=item</t>
  </si>
  <si>
    <t>Average</t>
  </si>
  <si>
    <t>Egg, thousand tons</t>
  </si>
  <si>
    <t>No of hens</t>
  </si>
  <si>
    <t>kg  egg/hen</t>
  </si>
  <si>
    <t>hens/kg egg</t>
  </si>
  <si>
    <t>Manure emissions</t>
  </si>
  <si>
    <t xml:space="preserve"> </t>
  </si>
  <si>
    <t>Share solid</t>
  </si>
  <si>
    <t>CRF 2023, Table3.B(a)s2. Only solid, liquid and other (deep litter) considered, adjusted to 100%.</t>
  </si>
  <si>
    <t>NIR 2023, Table 5.10-5.12</t>
  </si>
  <si>
    <t>Share liquid</t>
  </si>
  <si>
    <t>NIR 2023, Table 5.10-5.13</t>
  </si>
  <si>
    <t>Share deep litter</t>
  </si>
  <si>
    <t>NIR 2023, Table 5.10-5.14</t>
  </si>
  <si>
    <t>METHANE EMISSIONS</t>
  </si>
  <si>
    <t>Emission factors methane emissions</t>
  </si>
  <si>
    <t>Poultry, broilers, kg CH4 per animal per year</t>
  </si>
  <si>
    <t>CRF 2023, Table3.B(a)s1</t>
  </si>
  <si>
    <t>NIR, 2023. Table 5.17</t>
  </si>
  <si>
    <t>CRF 2023, Table3.B(a)s1. 0,21 according to CRF-table. Assumed to have missed a zero, adjusted to 0,021</t>
  </si>
  <si>
    <t>NIR, 2023. p. 245</t>
  </si>
  <si>
    <t>NIR 2023, Table 5.3.3</t>
  </si>
  <si>
    <t>NIR 2022, Table 5.18</t>
  </si>
  <si>
    <t>NITROGEN  EMISSIONS</t>
  </si>
  <si>
    <t>N excreted per animal</t>
  </si>
  <si>
    <t>N excreted, kg per head per year</t>
  </si>
  <si>
    <t>CRF 2023, Table3.B(b)</t>
  </si>
  <si>
    <t>NIR, 2023. Table 5.3.16</t>
  </si>
  <si>
    <t>NIR 2022, Table 5.17</t>
  </si>
  <si>
    <t>Proportion of TAN</t>
  </si>
  <si>
    <t>EMEP/EEA 2019. Table 3.9</t>
  </si>
  <si>
    <t>N excreted in different systems, kg per year</t>
  </si>
  <si>
    <t>Solid</t>
  </si>
  <si>
    <t>Liquid</t>
  </si>
  <si>
    <t xml:space="preserve">Deep litter </t>
  </si>
  <si>
    <t>TAN excreted in different systems, kg per year, m_house, TAN</t>
  </si>
  <si>
    <t>Emissions from housing, kg NH3-N per year, E_house</t>
  </si>
  <si>
    <t>Step 6</t>
  </si>
  <si>
    <t xml:space="preserve">Using EF for solid manure </t>
  </si>
  <si>
    <t>Per kg egg&amp;meat</t>
  </si>
  <si>
    <t>EF NH3-N housing solid</t>
  </si>
  <si>
    <t>EF NH3-N housing slurry</t>
  </si>
  <si>
    <t>Add bedding</t>
  </si>
  <si>
    <t>Step 7</t>
  </si>
  <si>
    <t>Remaining TAN after housing losses, kg per year, m_storage, TAN</t>
  </si>
  <si>
    <t>Modified TAN to account for org N mineralisation (only applies to liquid)</t>
  </si>
  <si>
    <t>Step 9</t>
  </si>
  <si>
    <t>Deep litter</t>
  </si>
  <si>
    <t>f min</t>
  </si>
  <si>
    <t>EMEP/EEA 2019, just below equ. 32</t>
  </si>
  <si>
    <t>Emission of NH3-N from storage, kg per year, E_storage_ammonia</t>
  </si>
  <si>
    <t>Step 10</t>
  </si>
  <si>
    <t>Step 10 is emissions of NH3-N, N2O-N, NO-N and N2 but here they are split</t>
  </si>
  <si>
    <t>EF NH3-N storage solid</t>
  </si>
  <si>
    <t>EF NH3-N storage slurry</t>
  </si>
  <si>
    <t>Emission of N2O-N from storage, kg per year, E_storage_N2O</t>
  </si>
  <si>
    <t>EF N2O-N storage solid</t>
  </si>
  <si>
    <t>EMEP/EEA 2019. Table 3.8, Layer manure heaps, solid</t>
  </si>
  <si>
    <t>Här verkar alla använda litet olika och det slår ganska mycket</t>
  </si>
  <si>
    <t>EF N2O-N storage slurry</t>
  </si>
  <si>
    <t>EMEP/EEA 2019. Table 3.8, Cattle slurry with natural crust</t>
  </si>
  <si>
    <t>Emission of NO and N2 from storage, kg per year, E_storage_NO and N2</t>
  </si>
  <si>
    <t>EF NO storage solid</t>
  </si>
  <si>
    <t>EMEP/EEA 2019. Table 3.10</t>
  </si>
  <si>
    <t>EF NO storage slurry</t>
  </si>
  <si>
    <t>EF N2 storage solid</t>
  </si>
  <si>
    <t>EF N2 storage slurry</t>
  </si>
  <si>
    <t>Remaining TAN after storage losses, kg per year, m_applic, TAN</t>
  </si>
  <si>
    <t>Emission of NH3-N from application, kg per year, E_application_ammonia</t>
  </si>
  <si>
    <t>Step 12</t>
  </si>
  <si>
    <t>Per kg of egg&amp;meat</t>
  </si>
  <si>
    <t>EF NH3-N application solid</t>
  </si>
  <si>
    <t>EF NH3-N application slurry</t>
  </si>
  <si>
    <t>EF N2O volatilization</t>
  </si>
  <si>
    <t>IPCC, 2019</t>
  </si>
  <si>
    <t>Remaining TAN after application losses, kg per year, m_returned, TAN</t>
  </si>
  <si>
    <t>Total losses, kg N per year</t>
  </si>
  <si>
    <t>Fraction of applied that is lost:</t>
  </si>
  <si>
    <t>Remaining total-N after losses, kg per year</t>
  </si>
  <si>
    <t>Total returned to soils:</t>
  </si>
  <si>
    <t>Remaining total-N per kg of food</t>
  </si>
  <si>
    <t>Excreted N after losses, kg N per kg of egg&amp;meat</t>
  </si>
  <si>
    <t>Ammonia emissions</t>
  </si>
  <si>
    <t>Ammonia emissions, kg NH3 per kg of egg&amp;meat</t>
  </si>
  <si>
    <t>Emissions of CO2 from feed crops (per kg of crop)</t>
  </si>
  <si>
    <t>Columns A-M copied straight from RPC filerna</t>
  </si>
  <si>
    <t xml:space="preserve">Shares from Karlsson et al. </t>
  </si>
  <si>
    <t>Crops</t>
  </si>
  <si>
    <t>Share</t>
  </si>
  <si>
    <t xml:space="preserve">Categories </t>
  </si>
  <si>
    <t>Direct emissions</t>
  </si>
  <si>
    <t>Indirect emissions</t>
  </si>
  <si>
    <t>Energy use feed processing</t>
  </si>
  <si>
    <t>Transports of feed</t>
  </si>
  <si>
    <t>0115</t>
  </si>
  <si>
    <t>Cereals, incl feed</t>
  </si>
  <si>
    <t>0112</t>
  </si>
  <si>
    <t>0117</t>
  </si>
  <si>
    <t>0116</t>
  </si>
  <si>
    <t>0111</t>
  </si>
  <si>
    <t>01705</t>
  </si>
  <si>
    <t>Pulses, incl feed</t>
  </si>
  <si>
    <t>01702</t>
  </si>
  <si>
    <t>Protein feed</t>
  </si>
  <si>
    <t>Soy bean meal</t>
  </si>
  <si>
    <t>By-product</t>
  </si>
  <si>
    <t>Other, feed</t>
  </si>
  <si>
    <t>Feed, other</t>
  </si>
  <si>
    <t>Total for the feed mix:</t>
  </si>
  <si>
    <t>Emissions of CH4 from feed crops (per kg of crop)</t>
  </si>
  <si>
    <t>Emissions of N2O from feed crops (per kg of crop)</t>
  </si>
  <si>
    <t>Environmental footprints per kg of feed</t>
  </si>
  <si>
    <t>Columns F-L copied straight from RPC filerna</t>
  </si>
  <si>
    <t>Nitrogen</t>
  </si>
  <si>
    <t>N application, kg N/kg</t>
  </si>
  <si>
    <t>P application, kg P/kg</t>
  </si>
  <si>
    <t>Emission and characterisation factors, general</t>
  </si>
  <si>
    <t>Emission factors energy carriers</t>
  </si>
  <si>
    <t>kg CO2 per kWh</t>
  </si>
  <si>
    <t>kg CH4 per kWh</t>
  </si>
  <si>
    <t>kg N2O per kWh</t>
  </si>
  <si>
    <t>Heating oil, kg CO2e/kWh</t>
  </si>
  <si>
    <t>Gode et al 2011</t>
  </si>
  <si>
    <t>Biofuels, kg CO2e/kWh</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</si>
  <si>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</si>
  <si>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</si>
  <si>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</si>
  <si>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</si>
  <si>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</si>
  <si>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</si>
  <si>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</si>
  <si>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</si>
  <si>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</si>
  <si>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Ability to perceive handling (from 0 to 1)</t>
  </si>
  <si>
    <t>Slaughter duration class (0.01-2)</t>
  </si>
  <si>
    <t>Weight no of animal</t>
  </si>
  <si>
    <t>Weight ability to perceive handling</t>
  </si>
  <si>
    <t>Weight mortality</t>
  </si>
  <si>
    <t>Weight diseases</t>
  </si>
  <si>
    <t>Weight space</t>
  </si>
  <si>
    <t>Weight slaughter duration class</t>
  </si>
  <si>
    <t>Emission factors, electricity Brazil</t>
  </si>
  <si>
    <t>See Chicken.xlsx</t>
  </si>
  <si>
    <t>Electricity, kg CH4/kWh</t>
  </si>
  <si>
    <t>Off-farm feed</t>
  </si>
  <si>
    <t>Greenhouse gas emissons:</t>
  </si>
  <si>
    <t>Cultivated in country</t>
  </si>
  <si>
    <t>Source LUC:</t>
  </si>
  <si>
    <t>0141</t>
  </si>
  <si>
    <t>Soya beans</t>
  </si>
  <si>
    <t>Brazil</t>
  </si>
  <si>
    <t>Pendrill et al. 2022</t>
  </si>
  <si>
    <t>CH4, bio</t>
  </si>
  <si>
    <t>Argentina</t>
  </si>
  <si>
    <t>0141_m</t>
  </si>
  <si>
    <t>Brazil, Argentina</t>
  </si>
  <si>
    <t>Flysjö et al. 2008, Figur 6.35</t>
  </si>
  <si>
    <t>Flysjö et al. 2008, Figur 6.35, divided by GWP-factor used in report, Tabell 5.1</t>
  </si>
  <si>
    <t>Other footprints:</t>
  </si>
  <si>
    <t>Pulses</t>
  </si>
  <si>
    <t>BR</t>
  </si>
  <si>
    <t>AR</t>
  </si>
  <si>
    <t>Feed</t>
  </si>
  <si>
    <t>Parameters for soy</t>
  </si>
  <si>
    <t>Soy meal in 1 kg soy bean</t>
  </si>
  <si>
    <t>Flysjö et al. 2008, Tabell 4.24</t>
  </si>
  <si>
    <t>Economic allocation factor meal</t>
  </si>
  <si>
    <t>Energy use processing:</t>
  </si>
  <si>
    <t>Electricity</t>
  </si>
  <si>
    <t>MJ per kg soy beans processed</t>
  </si>
  <si>
    <t>Share electricity:</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</si>
  <si>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</si>
  <si>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</si>
  <si>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</si>
  <si>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</si>
  <si>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</si>
  <si>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</si>
  <si>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</si>
  <si>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</si>
  <si>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France, Germany, Poland</t>
  </si>
  <si>
    <t>Source transports:</t>
  </si>
  <si>
    <t>Flysjö et al. 2008, Figur 6.36</t>
  </si>
  <si>
    <t>Flysjö et al. 2008, Figur 6.36, divided by GWP-factor used in report, Tabell 5.1</t>
  </si>
  <si>
    <t>Parameters for rape seed</t>
  </si>
  <si>
    <t>Rape meal in 1 kg rape seed</t>
  </si>
  <si>
    <t>MJ per kg rape seed processed</t>
  </si>
  <si>
    <t>Flysjö et al. 2008, p. 45, using share of electricity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</si>
  <si>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</si>
  <si>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</si>
  <si>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Verification</t>
  </si>
  <si>
    <t>This study</t>
  </si>
  <si>
    <t>Cultivation</t>
  </si>
  <si>
    <t>Slightly different because in this study we use a mix of three countries, Flysjö only Sweden</t>
  </si>
  <si>
    <t>Processing</t>
  </si>
  <si>
    <t>Slightly higher because of electricity mix from the three countries</t>
  </si>
  <si>
    <t>Transport</t>
  </si>
  <si>
    <t>Slightly different because of different GWP-factors</t>
  </si>
  <si>
    <t>References</t>
  </si>
  <si>
    <t>Abín et al. 2018.Environmental assesment of intensive egg production: A Spanish case study. Journal of Cleaner Production 179, 160-168. https://doi.org/10.1016/j.jclepro.2018.01.067</t>
  </si>
  <si>
    <t>Guillaume et al. 2022. Environmental Impacts of Egg Production from a Life Cycle Perspective. Agriculture 2022, 12, 355. https://doi.org/10.3390/agriculture12030355</t>
  </si>
  <si>
    <t xml:space="preserve">Landquist et al. 2020. Uppdaterad och utökad livscykelanalys av svensk grisproduktion. RISE Rapport 2020:59. https://www.diva-portal.org/smash/get/diva2:1516404/FULLTEXT03.pdf </t>
  </si>
  <si>
    <t>Paris et al. 2022. Energy Use in the EU Livestock Sector: A Review Recommending Energy Efficiency Measures and Renewable Energy Sources Adoption. Appl. Sci. 2022, 12, 2142. https://doi.org/10.3390/app12042142</t>
  </si>
  <si>
    <t>Copied from RPC-file</t>
  </si>
  <si>
    <t>Remember to divide biodiversity by 100 when updating! Or use merged_data in the R-script</t>
  </si>
  <si>
    <t>approx Germany</t>
  </si>
  <si>
    <t>Share of extinction rate , %</t>
  </si>
  <si>
    <t>Parent animals</t>
  </si>
  <si>
    <t>Half are hens</t>
  </si>
  <si>
    <t>No of eggs per parent hen, 16 kg egg per year * 60 g per egg</t>
  </si>
  <si>
    <t>Parent animals per hen</t>
  </si>
  <si>
    <t>Per kg of egg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</si>
</sst>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0.000"/>
    <numFmt numFmtId="173" formatCode="_-* #,##0.00\ _F_-;\-* #,##0.00\ _F_-;_-* &quot;-&quot;??\ _F_-;_-@_-"/>
    <numFmt numFmtId="174" formatCode="#,##0.0000"/>
    <numFmt numFmtId="175" formatCode="#,##0.##########"/>
  </numFmts>
  <fonts count="86"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b/>
      <i/>
      <sz val="11"/>
      <color theme="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000000"/>
      <name val="Trebuchet MS"/>
      <family val="2"/>
    </font>
    <font>
      <b/>
      <i/>
      <sz val="11"/>
      <name val="Calibri"/>
      <family val="2"/>
      <scheme val="minor"/>
    </font>
    <font>
      <sz val="11"/>
      <color rgb="FF000000"/>
      <name val="Calibri"/>
      <family val="2"/>
      <scheme val="minor"/>
    </font>
    <font>
      <sz val="11"/>
      <color theme="5" tint="-0.249977111117893"/>
      <name val="Calibri"/>
      <family val="2"/>
      <scheme val="minor"/>
    </font>
    <font>
      <sz val="10"/>
      <color rgb="FFFF0000"/>
      <name val="Calibri"/>
      <family val="2"/>
      <scheme val="minor"/>
    </font>
    <font>
      <sz val="10"/>
      <name val="Calibri"/>
      <family val="2"/>
      <scheme val="minor"/>
    </font>
    <font>
      <i/>
      <sz val="11"/>
      <color rgb="FFFF0000"/>
      <name val="Calibri"/>
      <family val="2"/>
      <scheme val="minor"/>
    </font>
    <font>
      <b/>
      <sz val="11"/>
      <color rgb="FFFF0000"/>
      <name val="Calibri"/>
      <family val="2"/>
      <scheme val="minor"/>
    </font>
    <font>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i/>
      <sz val="11"/>
      <color rgb="FF7F7F7F"/>
      <name val="Calibri"/>
      <family val="2"/>
      <scheme val="minor"/>
    </font>
    <font>
      <b/>
      <sz val="12"/>
      <name val="Times New Roman"/>
      <family val="1"/>
    </font>
    <font>
      <sz val="9"/>
      <color indexed="8"/>
      <name val="Times New Roman"/>
      <family val="1"/>
    </font>
    <font>
      <b/>
      <sz val="9"/>
      <name val="Times New Roman"/>
      <family val="1"/>
    </font>
    <font>
      <sz val="9"/>
      <name val="Times New Roman"/>
      <family val="1"/>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8"/>
      <name val="Calibri"/>
      <family val="2"/>
      <scheme val="minor"/>
    </font>
    <font>
      <sz val="9"/>
      <name val="Arial"/>
      <family val="2"/>
    </font>
    <font>
      <b/>
      <sz val="9"/>
      <name val="Arial"/>
      <family val="2"/>
    </font>
    <font>
      <b/>
      <sz val="9"/>
      <color indexed="9"/>
      <name val="Arial"/>
      <family val="2"/>
    </font>
  </fonts>
  <fills count="6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CC99"/>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2"/>
        <bgColor indexed="64"/>
      </patternFill>
    </fill>
    <fill>
      <patternFill patternType="solid">
        <fgColor indexed="55"/>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theme="9" tint="0.39997558519241921"/>
        <bgColor indexed="64"/>
      </patternFill>
    </fill>
    <fill>
      <patternFill patternType="solid">
        <fgColor theme="2" tint="-0.249977111117893"/>
        <bgColor indexed="64"/>
      </patternFill>
    </fill>
    <fill>
      <patternFill patternType="solid">
        <fgColor rgb="FF4669AF"/>
      </patternFill>
    </fill>
    <fill>
      <patternFill patternType="solid">
        <fgColor rgb="FF0096DC"/>
      </patternFill>
    </fill>
    <fill>
      <patternFill patternType="mediumGray">
        <bgColor indexed="22"/>
      </patternFill>
    </fill>
    <fill>
      <patternFill patternType="solid">
        <fgColor rgb="FFDCE6F1"/>
      </patternFill>
    </fill>
    <fill>
      <patternFill patternType="solid">
        <fgColor rgb="FFF6F6F6"/>
      </patternFill>
    </fill>
  </fills>
  <borders count="98">
    <border>
      <left/>
      <right/>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style="double">
        <color theme="9" tint="-0.249977111117893"/>
      </right>
      <top style="double">
        <color theme="9" tint="-0.249977111117893"/>
      </top>
      <bottom style="thin">
        <color indexed="64"/>
      </bottom>
      <diagonal/>
    </border>
    <border>
      <left style="double">
        <color theme="9" tint="-0.249977111117893"/>
      </left>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0B0B0"/>
      </left>
      <right style="thin">
        <color rgb="FFB0B0B0"/>
      </right>
      <top style="thin">
        <color rgb="FFB0B0B0"/>
      </top>
      <bottom style="thin">
        <color rgb="FFB0B0B0"/>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4137">
    <xf numFmtId="0" fontId="0" fillId="0" borderId="0"/>
    <xf numFmtId="0" fontId="5" fillId="0" borderId="0"/>
    <xf numFmtId="0" fontId="37" fillId="0" borderId="44" applyNumberFormat="0" applyFill="0" applyAlignment="0" applyProtection="0"/>
    <xf numFmtId="0" fontId="30" fillId="13" borderId="7" applyNumberFormat="0" applyAlignment="0" applyProtection="0"/>
    <xf numFmtId="0" fontId="34" fillId="0" borderId="0" applyNumberFormat="0" applyFill="0" applyBorder="0" applyAlignment="0" applyProtection="0"/>
    <xf numFmtId="0" fontId="35" fillId="0" borderId="0" applyNumberFormat="0">
      <alignment horizontal="right"/>
    </xf>
    <xf numFmtId="0" fontId="5" fillId="0" borderId="0"/>
    <xf numFmtId="0" fontId="36" fillId="0" borderId="0" applyNumberFormat="0" applyFill="0" applyBorder="0" applyProtection="0">
      <alignment horizontal="left" vertical="center"/>
    </xf>
    <xf numFmtId="0" fontId="37" fillId="33" borderId="0" applyBorder="0">
      <alignment horizontal="right" vertical="center"/>
    </xf>
    <xf numFmtId="0" fontId="37" fillId="33" borderId="10">
      <alignment horizontal="right" vertical="center"/>
    </xf>
    <xf numFmtId="0" fontId="5" fillId="0" borderId="0" applyNumberFormat="0" applyFont="0" applyFill="0" applyBorder="0" applyProtection="0">
      <alignment horizontal="left" vertical="center" indent="2"/>
    </xf>
    <xf numFmtId="0" fontId="37" fillId="33" borderId="0" applyBorder="0">
      <alignment horizontal="right" vertical="center"/>
    </xf>
    <xf numFmtId="0" fontId="37" fillId="0" borderId="0" applyBorder="0">
      <alignment horizontal="right" vertical="center"/>
    </xf>
    <xf numFmtId="0" fontId="5" fillId="34" borderId="0" applyNumberFormat="0" applyFont="0" applyBorder="0" applyAlignment="0" applyProtection="0"/>
    <xf numFmtId="0" fontId="5" fillId="0" borderId="0" applyNumberFormat="0" applyFont="0" applyFill="0" applyBorder="0" applyProtection="0">
      <alignment horizontal="left" vertical="center" indent="5"/>
    </xf>
    <xf numFmtId="0" fontId="37" fillId="0" borderId="14" applyNumberFormat="0" applyFill="0" applyAlignment="0" applyProtection="0"/>
    <xf numFmtId="0" fontId="35" fillId="0" borderId="17">
      <alignment horizontal="left" vertical="top" wrapText="1"/>
    </xf>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5" fillId="0" borderId="18"/>
    <xf numFmtId="0" fontId="39" fillId="33" borderId="14">
      <alignment horizontal="right" vertical="center"/>
    </xf>
    <xf numFmtId="0" fontId="37" fillId="34" borderId="14"/>
    <xf numFmtId="0" fontId="35" fillId="33" borderId="14">
      <alignment horizontal="right" vertical="center"/>
    </xf>
    <xf numFmtId="0" fontId="35" fillId="33" borderId="11">
      <alignment horizontal="right" vertical="center"/>
    </xf>
    <xf numFmtId="0" fontId="37" fillId="0" borderId="11">
      <alignment horizontal="right" vertical="center"/>
    </xf>
    <xf numFmtId="4" fontId="5" fillId="0" borderId="0"/>
    <xf numFmtId="0" fontId="35" fillId="35" borderId="16">
      <alignment horizontal="right" vertical="center"/>
    </xf>
    <xf numFmtId="0" fontId="35" fillId="35" borderId="11">
      <alignment horizontal="right" vertical="center"/>
    </xf>
    <xf numFmtId="0" fontId="35" fillId="35" borderId="13">
      <alignment horizontal="right" vertical="center"/>
    </xf>
    <xf numFmtId="4" fontId="35" fillId="35" borderId="15">
      <alignment horizontal="right" vertical="center"/>
    </xf>
    <xf numFmtId="0" fontId="37" fillId="0" borderId="0"/>
    <xf numFmtId="0" fontId="37" fillId="38" borderId="14">
      <alignment horizontal="right" vertical="center"/>
    </xf>
    <xf numFmtId="0" fontId="37" fillId="38" borderId="0" applyBorder="0">
      <alignment horizontal="right" vertical="center"/>
    </xf>
    <xf numFmtId="0" fontId="5" fillId="0" borderId="0"/>
    <xf numFmtId="0" fontId="5" fillId="37" borderId="14"/>
    <xf numFmtId="4" fontId="5" fillId="0" borderId="0"/>
    <xf numFmtId="4" fontId="37" fillId="0" borderId="14" applyFill="0" applyBorder="0" applyProtection="0">
      <alignment horizontal="right" vertical="center"/>
    </xf>
    <xf numFmtId="0" fontId="42" fillId="0" borderId="0" applyNumberFormat="0" applyFill="0" applyBorder="0" applyAlignment="0" applyProtection="0"/>
    <xf numFmtId="4" fontId="5" fillId="0" borderId="0"/>
    <xf numFmtId="4" fontId="5" fillId="0" borderId="0"/>
    <xf numFmtId="0" fontId="29" fillId="0" borderId="0"/>
    <xf numFmtId="0" fontId="37" fillId="34" borderId="14"/>
    <xf numFmtId="0" fontId="35" fillId="35" borderId="15">
      <alignment horizontal="right" vertical="center"/>
    </xf>
    <xf numFmtId="0" fontId="35" fillId="35" borderId="37">
      <alignment horizontal="right" vertical="center"/>
    </xf>
    <xf numFmtId="0" fontId="35" fillId="35" borderId="82">
      <alignment horizontal="right" vertical="center"/>
    </xf>
    <xf numFmtId="0" fontId="13" fillId="26" borderId="0" applyNumberFormat="0" applyBorder="0" applyAlignment="0" applyProtection="0"/>
    <xf numFmtId="0" fontId="5" fillId="60" borderId="68" applyNumberFormat="0" applyFont="0" applyAlignment="0" applyProtection="0"/>
    <xf numFmtId="0" fontId="37" fillId="0" borderId="61">
      <alignment horizontal="right" vertical="center"/>
    </xf>
    <xf numFmtId="0" fontId="35" fillId="35" borderId="61">
      <alignment horizontal="right" vertical="center"/>
    </xf>
    <xf numFmtId="4" fontId="35" fillId="35" borderId="39">
      <alignment horizontal="right" vertical="center"/>
    </xf>
    <xf numFmtId="4" fontId="39" fillId="33" borderId="37">
      <alignment horizontal="right" vertical="center"/>
    </xf>
    <xf numFmtId="0" fontId="31" fillId="14" borderId="8" applyNumberFormat="0" applyAlignment="0" applyProtection="0"/>
    <xf numFmtId="0" fontId="32" fillId="14" borderId="7" applyNumberFormat="0" applyAlignment="0" applyProtection="0"/>
    <xf numFmtId="0" fontId="43" fillId="60" borderId="68" applyNumberFormat="0" applyFont="0" applyAlignment="0" applyProtection="0"/>
    <xf numFmtId="0" fontId="37" fillId="0" borderId="40">
      <alignment horizontal="left" vertical="center" wrapText="1" indent="2"/>
    </xf>
    <xf numFmtId="0" fontId="1" fillId="0" borderId="0" applyNumberFormat="0" applyFill="0" applyBorder="0" applyAlignment="0" applyProtection="0"/>
    <xf numFmtId="0" fontId="35" fillId="33" borderId="37">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68" fillId="0" borderId="67" applyNumberFormat="0" applyFill="0" applyAlignment="0" applyProtection="0"/>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0" fontId="61" fillId="44" borderId="58" applyNumberFormat="0" applyAlignment="0" applyProtection="0"/>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29" fillId="22" borderId="0" applyNumberFormat="0" applyBorder="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43" fillId="60" borderId="81" applyNumberFormat="0" applyFont="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1" fillId="0" borderId="0" applyNumberFormat="0" applyFill="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35" fillId="35" borderId="69">
      <alignment horizontal="right" vertical="center"/>
    </xf>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0" fontId="37" fillId="0" borderId="14" applyNumberFormat="0" applyFill="0" applyAlignment="0" applyProtection="0"/>
    <xf numFmtId="0" fontId="35" fillId="35" borderId="14">
      <alignment horizontal="right" vertical="center"/>
    </xf>
    <xf numFmtId="0" fontId="35" fillId="35" borderId="14">
      <alignment horizontal="right" vertical="center"/>
    </xf>
    <xf numFmtId="0" fontId="37" fillId="0" borderId="19">
      <alignment horizontal="left" vertical="center" wrapText="1" indent="2"/>
    </xf>
    <xf numFmtId="0" fontId="35" fillId="35" borderId="15">
      <alignment horizontal="right" vertical="center"/>
    </xf>
    <xf numFmtId="0" fontId="37" fillId="0" borderId="14">
      <alignment horizontal="right" vertical="center"/>
    </xf>
    <xf numFmtId="0" fontId="39" fillId="33" borderId="14">
      <alignment horizontal="right" vertical="center"/>
    </xf>
    <xf numFmtId="0" fontId="37" fillId="34" borderId="14"/>
    <xf numFmtId="0" fontId="35" fillId="33" borderId="14">
      <alignment horizontal="right" vertical="center"/>
    </xf>
    <xf numFmtId="0" fontId="35" fillId="35" borderId="13">
      <alignment horizontal="right" vertical="center"/>
    </xf>
    <xf numFmtId="0" fontId="41"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5" fillId="0" borderId="0" applyNumberFormat="0" applyFont="0" applyFill="0" applyBorder="0" applyProtection="0">
      <alignment horizontal="left" vertical="center" indent="2"/>
    </xf>
    <xf numFmtId="0" fontId="5" fillId="0" borderId="0" applyNumberFormat="0" applyFont="0" applyFill="0" applyBorder="0" applyProtection="0">
      <alignment horizontal="left" vertical="center" indent="2"/>
    </xf>
    <xf numFmtId="49" fontId="37" fillId="0" borderId="14" applyNumberFormat="0" applyFont="0" applyFill="0" applyBorder="0" applyProtection="0">
      <alignment horizontal="left" vertical="center" indent="2"/>
    </xf>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5" fillId="0" borderId="0" applyNumberFormat="0" applyFont="0" applyFill="0" applyBorder="0" applyProtection="0">
      <alignment horizontal="left" vertical="center" indent="5"/>
    </xf>
    <xf numFmtId="0" fontId="5" fillId="0" borderId="0" applyNumberFormat="0" applyFont="0" applyFill="0" applyBorder="0" applyProtection="0">
      <alignment horizontal="left" vertical="center" indent="5"/>
    </xf>
    <xf numFmtId="49" fontId="37" fillId="0" borderId="13" applyNumberFormat="0" applyFont="0" applyFill="0" applyBorder="0" applyProtection="0">
      <alignment horizontal="left" vertical="center" indent="5"/>
    </xf>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36" fillId="38" borderId="0" applyBorder="0" applyAlignment="0"/>
    <xf numFmtId="4" fontId="36" fillId="38" borderId="0" applyBorder="0" applyAlignment="0"/>
    <xf numFmtId="4" fontId="37" fillId="38" borderId="0" applyBorder="0">
      <alignment horizontal="right" vertical="center"/>
    </xf>
    <xf numFmtId="4" fontId="37" fillId="33" borderId="0" applyBorder="0">
      <alignment horizontal="right" vertical="center"/>
    </xf>
    <xf numFmtId="4" fontId="37" fillId="33" borderId="0" applyBorder="0">
      <alignment horizontal="right" vertical="center"/>
    </xf>
    <xf numFmtId="4" fontId="35" fillId="33" borderId="14">
      <alignment horizontal="right" vertical="center"/>
    </xf>
    <xf numFmtId="4" fontId="39" fillId="33" borderId="14">
      <alignment horizontal="right" vertical="center"/>
    </xf>
    <xf numFmtId="4" fontId="35" fillId="35" borderId="14">
      <alignment horizontal="right" vertical="center"/>
    </xf>
    <xf numFmtId="4" fontId="35" fillId="35" borderId="14">
      <alignment horizontal="right" vertical="center"/>
    </xf>
    <xf numFmtId="4" fontId="35" fillId="35" borderId="13">
      <alignment horizontal="right" vertical="center"/>
    </xf>
    <xf numFmtId="4" fontId="35" fillId="35" borderId="15">
      <alignment horizontal="right" vertical="center"/>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47" fillId="40" borderId="0" applyNumberFormat="0" applyBorder="0" applyAlignment="0" applyProtection="0"/>
    <xf numFmtId="4" fontId="36" fillId="0" borderId="12" applyFill="0" applyBorder="0" applyProtection="0">
      <alignment horizontal="right" vertical="center"/>
    </xf>
    <xf numFmtId="0" fontId="49" fillId="57" borderId="21" applyNumberFormat="0" applyAlignment="0" applyProtection="0"/>
    <xf numFmtId="0" fontId="50" fillId="58" borderId="22" applyNumberFormat="0" applyAlignment="0" applyProtection="0"/>
    <xf numFmtId="43" fontId="40" fillId="0" borderId="0" applyFont="0" applyFill="0" applyBorder="0" applyAlignment="0" applyProtection="0"/>
    <xf numFmtId="173" fontId="51" fillId="0" borderId="0" applyFont="0" applyFill="0" applyBorder="0" applyAlignment="0" applyProtection="0"/>
    <xf numFmtId="43" fontId="40" fillId="0" borderId="0" applyFont="0" applyFill="0" applyBorder="0" applyAlignment="0" applyProtection="0"/>
    <xf numFmtId="0" fontId="37" fillId="35" borderId="19">
      <alignment horizontal="left" vertical="center" wrapText="1" indent="2"/>
    </xf>
    <xf numFmtId="0" fontId="37" fillId="33" borderId="13">
      <alignment horizontal="left" vertical="center"/>
    </xf>
    <xf numFmtId="0" fontId="55" fillId="0" borderId="0" applyNumberFormat="0" applyFill="0" applyBorder="0" applyAlignment="0" applyProtection="0"/>
    <xf numFmtId="0" fontId="56" fillId="41" borderId="0" applyNumberFormat="0" applyBorder="0" applyAlignment="0" applyProtection="0"/>
    <xf numFmtId="0" fontId="57"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4" fontId="37" fillId="0" borderId="0" applyBorder="0">
      <alignment horizontal="right" vertical="center"/>
    </xf>
    <xf numFmtId="0" fontId="37" fillId="0" borderId="2">
      <alignment horizontal="right" vertical="center"/>
    </xf>
    <xf numFmtId="4" fontId="37" fillId="0" borderId="14">
      <alignment horizontal="right" vertical="center"/>
    </xf>
    <xf numFmtId="1" fontId="38" fillId="33" borderId="0" applyBorder="0">
      <alignment horizontal="right" vertical="center"/>
    </xf>
    <xf numFmtId="0" fontId="62" fillId="0" borderId="27" applyNumberFormat="0" applyFill="0" applyAlignment="0" applyProtection="0"/>
    <xf numFmtId="0" fontId="63" fillId="59" borderId="0" applyNumberFormat="0" applyBorder="0" applyAlignment="0" applyProtection="0"/>
    <xf numFmtId="0" fontId="5" fillId="0" borderId="0"/>
    <xf numFmtId="0" fontId="5" fillId="0" borderId="0"/>
    <xf numFmtId="0" fontId="5" fillId="0" borderId="0"/>
    <xf numFmtId="0" fontId="5" fillId="0" borderId="0"/>
    <xf numFmtId="0" fontId="51" fillId="0" borderId="0"/>
    <xf numFmtId="4" fontId="64" fillId="0" borderId="0"/>
    <xf numFmtId="0" fontId="5" fillId="0" borderId="0"/>
    <xf numFmtId="0" fontId="5" fillId="0" borderId="0"/>
    <xf numFmtId="0" fontId="5" fillId="0" borderId="0"/>
    <xf numFmtId="0" fontId="5" fillId="0" borderId="0"/>
    <xf numFmtId="0" fontId="29"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14" applyFill="0" applyBorder="0" applyProtection="0">
      <alignment horizontal="right" vertical="center"/>
    </xf>
    <xf numFmtId="0" fontId="36" fillId="0" borderId="0" applyNumberFormat="0" applyFill="0" applyBorder="0" applyProtection="0">
      <alignment horizontal="left" vertical="center"/>
    </xf>
    <xf numFmtId="49" fontId="36" fillId="0" borderId="14" applyNumberFormat="0" applyFill="0" applyBorder="0" applyProtection="0">
      <alignment horizontal="left" vertical="center"/>
    </xf>
    <xf numFmtId="0" fontId="5" fillId="34" borderId="0" applyNumberFormat="0" applyFont="0" applyBorder="0" applyAlignment="0" applyProtection="0"/>
    <xf numFmtId="4" fontId="5" fillId="34" borderId="0" applyNumberFormat="0" applyFont="0" applyBorder="0" applyAlignment="0" applyProtection="0"/>
    <xf numFmtId="4" fontId="5" fillId="34" borderId="0" applyNumberFormat="0" applyFont="0" applyBorder="0" applyAlignment="0" applyProtection="0"/>
    <xf numFmtId="0" fontId="5" fillId="34" borderId="0" applyNumberFormat="0" applyFont="0" applyBorder="0" applyAlignment="0" applyProtection="0"/>
    <xf numFmtId="0" fontId="5" fillId="34" borderId="0" applyNumberFormat="0" applyFont="0" applyBorder="0" applyAlignment="0" applyProtection="0"/>
    <xf numFmtId="0" fontId="51" fillId="36" borderId="0" applyNumberFormat="0" applyFont="0" applyBorder="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174" fontId="37" fillId="61" borderId="14" applyNumberFormat="0" applyFont="0" applyBorder="0" applyAlignment="0" applyProtection="0">
      <alignment horizontal="right" vertical="center"/>
    </xf>
    <xf numFmtId="9" fontId="51" fillId="0" borderId="0" applyFont="0" applyFill="0" applyBorder="0" applyAlignment="0" applyProtection="0"/>
    <xf numFmtId="0" fontId="66" fillId="40" borderId="0" applyNumberFormat="0" applyBorder="0" applyAlignment="0" applyProtection="0"/>
    <xf numFmtId="4" fontId="37" fillId="34" borderId="14"/>
    <xf numFmtId="0" fontId="37" fillId="34" borderId="11"/>
    <xf numFmtId="0" fontId="67" fillId="0" borderId="0" applyNumberFormat="0" applyFill="0" applyBorder="0" applyAlignment="0" applyProtection="0"/>
    <xf numFmtId="0" fontId="68" fillId="0" borderId="23" applyNumberFormat="0" applyFill="0" applyAlignment="0" applyProtection="0"/>
    <xf numFmtId="0" fontId="69" fillId="0" borderId="0" applyNumberFormat="0" applyFill="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5" fillId="0" borderId="0" applyNumberFormat="0" applyFill="0" applyBorder="0" applyAlignment="0" applyProtection="0"/>
    <xf numFmtId="0" fontId="76" fillId="58" borderId="22" applyNumberFormat="0" applyAlignment="0" applyProtection="0"/>
    <xf numFmtId="0" fontId="42" fillId="0" borderId="0" applyNumberFormat="0" applyFill="0" applyBorder="0" applyAlignment="0" applyProtection="0"/>
    <xf numFmtId="0" fontId="77" fillId="0" borderId="0" applyNumberFormat="0" applyFill="0" applyBorder="0" applyAlignment="0" applyProtection="0"/>
    <xf numFmtId="0" fontId="5" fillId="0" borderId="0" applyNumberFormat="0" applyFont="0" applyFill="0" applyBorder="0" applyProtection="0">
      <alignment horizontal="left" vertical="center"/>
    </xf>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4" fontId="5" fillId="0" borderId="0"/>
    <xf numFmtId="0" fontId="78" fillId="0" borderId="0"/>
    <xf numFmtId="0" fontId="5" fillId="34" borderId="0" applyNumberFormat="0" applyFont="0" applyBorder="0" applyAlignment="0" applyProtection="0"/>
    <xf numFmtId="0" fontId="42" fillId="0" borderId="0" applyNumberFormat="0" applyFill="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47" fillId="40" borderId="0" applyNumberFormat="0" applyBorder="0" applyAlignment="0" applyProtection="0"/>
    <xf numFmtId="0" fontId="49" fillId="57" borderId="21" applyNumberFormat="0" applyAlignment="0" applyProtection="0"/>
    <xf numFmtId="0" fontId="50" fillId="58" borderId="22" applyNumberFormat="0" applyAlignment="0" applyProtection="0"/>
    <xf numFmtId="0" fontId="55" fillId="0" borderId="0" applyNumberFormat="0" applyFill="0" applyBorder="0" applyAlignment="0" applyProtection="0"/>
    <xf numFmtId="0" fontId="56" fillId="41" borderId="0" applyNumberFormat="0" applyBorder="0" applyAlignment="0" applyProtection="0"/>
    <xf numFmtId="0" fontId="58" fillId="0" borderId="24" applyNumberFormat="0" applyFill="0" applyAlignment="0" applyProtection="0"/>
    <xf numFmtId="0" fontId="59" fillId="0" borderId="25" applyNumberFormat="0" applyFill="0" applyAlignment="0" applyProtection="0"/>
    <xf numFmtId="0" fontId="60" fillId="0" borderId="26" applyNumberFormat="0" applyFill="0" applyAlignment="0" applyProtection="0"/>
    <xf numFmtId="0" fontId="60" fillId="0" borderId="0" applyNumberFormat="0" applyFill="0" applyBorder="0" applyAlignment="0" applyProtection="0"/>
    <xf numFmtId="0" fontId="61" fillId="44" borderId="21" applyNumberFormat="0" applyAlignment="0" applyProtection="0"/>
    <xf numFmtId="0" fontId="62" fillId="0" borderId="27" applyNumberFormat="0" applyFill="0" applyAlignment="0" applyProtection="0"/>
    <xf numFmtId="0" fontId="63" fillId="59" borderId="0" applyNumberFormat="0" applyBorder="0" applyAlignment="0" applyProtection="0"/>
    <xf numFmtId="0" fontId="5" fillId="0" borderId="0"/>
    <xf numFmtId="0" fontId="43" fillId="60" borderId="28" applyNumberFormat="0" applyFont="0" applyAlignment="0" applyProtection="0"/>
    <xf numFmtId="0" fontId="65" fillId="57" borderId="20" applyNumberFormat="0" applyAlignment="0" applyProtection="0"/>
    <xf numFmtId="0" fontId="67" fillId="0" borderId="0" applyNumberFormat="0" applyFill="0" applyBorder="0" applyAlignment="0" applyProtection="0"/>
    <xf numFmtId="0" fontId="68" fillId="0" borderId="23" applyNumberFormat="0" applyFill="0" applyAlignment="0" applyProtection="0"/>
    <xf numFmtId="0" fontId="75" fillId="0" borderId="0" applyNumberFormat="0" applyFill="0" applyBorder="0" applyAlignment="0" applyProtection="0"/>
    <xf numFmtId="0" fontId="79" fillId="0" borderId="0">
      <alignment horizontal="left" vertical="center" indent="1"/>
    </xf>
    <xf numFmtId="0" fontId="43" fillId="39" borderId="0" applyNumberFormat="0" applyBorder="0" applyAlignment="0" applyProtection="0"/>
    <xf numFmtId="0" fontId="43" fillId="40" borderId="0" applyNumberFormat="0" applyBorder="0" applyAlignment="0" applyProtection="0"/>
    <xf numFmtId="0" fontId="43" fillId="41"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2" borderId="0" applyNumberFormat="0" applyBorder="0" applyAlignment="0" applyProtection="0"/>
    <xf numFmtId="0" fontId="43" fillId="45" borderId="0" applyNumberFormat="0" applyBorder="0" applyAlignment="0" applyProtection="0"/>
    <xf numFmtId="0" fontId="43" fillId="48"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55" fillId="0" borderId="0" applyNumberFormat="0" applyFill="0" applyBorder="0" applyAlignment="0" applyProtection="0"/>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29" fillId="0" borderId="0"/>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75" fillId="0" borderId="0" applyNumberFormat="0" applyFill="0" applyBorder="0" applyAlignment="0" applyProtection="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13" borderId="7" applyNumberFormat="0" applyAlignment="0" applyProtection="0"/>
    <xf numFmtId="0" fontId="37" fillId="33" borderId="0" applyBorder="0">
      <alignment horizontal="right" vertical="center"/>
    </xf>
    <xf numFmtId="0" fontId="37" fillId="33" borderId="0" applyBorder="0">
      <alignment horizontal="right" vertical="center"/>
    </xf>
    <xf numFmtId="0" fontId="37" fillId="0" borderId="0" applyBorder="0">
      <alignment horizontal="right" vertical="center"/>
    </xf>
    <xf numFmtId="0" fontId="5" fillId="0" borderId="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0" fontId="44" fillId="53" borderId="0" applyNumberFormat="0" applyBorder="0" applyAlignment="0" applyProtection="0"/>
    <xf numFmtId="0" fontId="44" fillId="54" borderId="0" applyNumberFormat="0" applyBorder="0" applyAlignment="0" applyProtection="0"/>
    <xf numFmtId="0" fontId="44" fillId="55"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6" borderId="0" applyNumberFormat="0" applyBorder="0" applyAlignment="0" applyProtection="0"/>
    <xf numFmtId="0" fontId="57" fillId="41" borderId="0" applyNumberFormat="0" applyBorder="0" applyAlignment="0" applyProtection="0"/>
    <xf numFmtId="4" fontId="5" fillId="0" borderId="0"/>
    <xf numFmtId="0" fontId="5" fillId="0" borderId="0"/>
    <xf numFmtId="0" fontId="29" fillId="0" borderId="0"/>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5" fillId="34" borderId="0" applyNumberFormat="0" applyFont="0" applyBorder="0" applyAlignment="0" applyProtection="0"/>
    <xf numFmtId="0" fontId="66" fillId="40" borderId="0" applyNumberFormat="0" applyBorder="0" applyAlignment="0" applyProtection="0"/>
    <xf numFmtId="0" fontId="70" fillId="0" borderId="24" applyNumberFormat="0" applyFill="0" applyAlignment="0" applyProtection="0"/>
    <xf numFmtId="0" fontId="71" fillId="0" borderId="25" applyNumberFormat="0" applyFill="0" applyAlignment="0" applyProtection="0"/>
    <xf numFmtId="0" fontId="72" fillId="0" borderId="26" applyNumberFormat="0" applyFill="0" applyAlignment="0" applyProtection="0"/>
    <xf numFmtId="0" fontId="72" fillId="0" borderId="0" applyNumberFormat="0" applyFill="0" applyBorder="0" applyAlignment="0" applyProtection="0"/>
    <xf numFmtId="0" fontId="73" fillId="0" borderId="27" applyNumberFormat="0" applyFill="0" applyAlignment="0" applyProtection="0"/>
    <xf numFmtId="0" fontId="76" fillId="58" borderId="22" applyNumberFormat="0" applyAlignment="0" applyProtection="0"/>
    <xf numFmtId="0" fontId="42" fillId="0" borderId="0" applyNumberFormat="0" applyFill="0" applyBorder="0" applyAlignment="0" applyProtection="0"/>
    <xf numFmtId="0" fontId="29" fillId="0" borderId="0"/>
    <xf numFmtId="0" fontId="30" fillId="13" borderId="7" applyNumberFormat="0" applyAlignment="0" applyProtection="0"/>
    <xf numFmtId="0" fontId="40"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2" borderId="0" applyNumberFormat="0" applyBorder="0" applyAlignment="0" applyProtection="0"/>
    <xf numFmtId="0" fontId="40" fillId="45" borderId="0" applyNumberFormat="0" applyBorder="0" applyAlignment="0" applyProtection="0"/>
    <xf numFmtId="0" fontId="40" fillId="48" borderId="0" applyNumberFormat="0" applyBorder="0" applyAlignment="0" applyProtection="0"/>
    <xf numFmtId="0" fontId="44" fillId="49"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54" fillId="0" borderId="0" applyNumberFormat="0" applyFill="0" applyBorder="0" applyAlignment="0" applyProtection="0"/>
    <xf numFmtId="0" fontId="29" fillId="0" borderId="0"/>
    <xf numFmtId="0" fontId="74" fillId="0" borderId="0" applyNumberFormat="0" applyFill="0" applyBorder="0" applyAlignment="0" applyProtection="0"/>
    <xf numFmtId="0" fontId="29" fillId="0" borderId="0"/>
    <xf numFmtId="0" fontId="29" fillId="0" borderId="0"/>
    <xf numFmtId="0" fontId="29" fillId="0" borderId="0"/>
    <xf numFmtId="49" fontId="37" fillId="0" borderId="14" applyNumberFormat="0" applyFont="0" applyFill="0" applyBorder="0" applyProtection="0">
      <alignment horizontal="left" vertical="center" indent="2"/>
    </xf>
    <xf numFmtId="49" fontId="37" fillId="0" borderId="13" applyNumberFormat="0" applyFont="0" applyFill="0" applyBorder="0" applyProtection="0">
      <alignment horizontal="left" vertical="center" indent="5"/>
    </xf>
    <xf numFmtId="0" fontId="35" fillId="33" borderId="14">
      <alignment horizontal="right" vertical="center"/>
    </xf>
    <xf numFmtId="4" fontId="35" fillId="33" borderId="14">
      <alignment horizontal="right" vertical="center"/>
    </xf>
    <xf numFmtId="0" fontId="39" fillId="33" borderId="14">
      <alignment horizontal="right" vertical="center"/>
    </xf>
    <xf numFmtId="4" fontId="39" fillId="33" borderId="14">
      <alignment horizontal="right" vertical="center"/>
    </xf>
    <xf numFmtId="0" fontId="35" fillId="35" borderId="14">
      <alignment horizontal="right" vertical="center"/>
    </xf>
    <xf numFmtId="4" fontId="35" fillId="35" borderId="14">
      <alignment horizontal="right" vertical="center"/>
    </xf>
    <xf numFmtId="0" fontId="35" fillId="35" borderId="14">
      <alignment horizontal="right" vertical="center"/>
    </xf>
    <xf numFmtId="4" fontId="35" fillId="35" borderId="14">
      <alignment horizontal="right" vertical="center"/>
    </xf>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173" fontId="80" fillId="0" borderId="0" applyFont="0" applyFill="0" applyBorder="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52" fillId="44" borderId="21" applyNumberFormat="0" applyAlignment="0" applyProtection="0"/>
    <xf numFmtId="0" fontId="37" fillId="0" borderId="14">
      <alignment horizontal="right" vertical="center"/>
    </xf>
    <xf numFmtId="4" fontId="37" fillId="0" borderId="14">
      <alignment horizontal="right" vertical="center"/>
    </xf>
    <xf numFmtId="0" fontId="80" fillId="0" borderId="0"/>
    <xf numFmtId="0" fontId="78" fillId="0" borderId="0"/>
    <xf numFmtId="0" fontId="78" fillId="0" borderId="0"/>
    <xf numFmtId="0" fontId="29" fillId="0" borderId="0"/>
    <xf numFmtId="0" fontId="29" fillId="0" borderId="0"/>
    <xf numFmtId="0" fontId="29" fillId="0" borderId="0"/>
    <xf numFmtId="0" fontId="29" fillId="0" borderId="0"/>
    <xf numFmtId="0" fontId="78" fillId="0" borderId="0"/>
    <xf numFmtId="0" fontId="5" fillId="0" borderId="0"/>
    <xf numFmtId="4" fontId="37" fillId="0" borderId="14" applyFill="0" applyBorder="0" applyProtection="0">
      <alignment horizontal="right" vertical="center"/>
    </xf>
    <xf numFmtId="49" fontId="36" fillId="0" borderId="14" applyNumberFormat="0" applyFill="0" applyBorder="0" applyProtection="0">
      <alignment horizontal="left" vertical="center"/>
    </xf>
    <xf numFmtId="0" fontId="37" fillId="0" borderId="14" applyNumberFormat="0" applyFill="0" applyAlignment="0" applyProtection="0"/>
    <xf numFmtId="0" fontId="80" fillId="36" borderId="0" applyNumberFormat="0" applyFont="0" applyBorder="0" applyAlignment="0" applyProtection="0"/>
    <xf numFmtId="174" fontId="37" fillId="61" borderId="14" applyNumberFormat="0" applyFont="0" applyBorder="0" applyAlignment="0" applyProtection="0">
      <alignment horizontal="right" vertical="center"/>
    </xf>
    <xf numFmtId="9" fontId="80" fillId="0" borderId="0" applyFont="0" applyFill="0" applyBorder="0" applyAlignment="0" applyProtection="0"/>
    <xf numFmtId="0" fontId="37" fillId="34" borderId="14"/>
    <xf numFmtId="4" fontId="37" fillId="34" borderId="14"/>
    <xf numFmtId="0" fontId="37" fillId="35" borderId="32">
      <alignment horizontal="left" vertical="center" wrapText="1" indent="2"/>
    </xf>
    <xf numFmtId="0" fontId="37" fillId="0" borderId="32">
      <alignment horizontal="left" vertical="center" wrapText="1" indent="2"/>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7" fillId="35" borderId="19">
      <alignment horizontal="left" vertical="center" wrapText="1" indent="2"/>
    </xf>
    <xf numFmtId="0" fontId="37" fillId="0" borderId="19">
      <alignment horizontal="left" vertical="center" wrapText="1" indent="2"/>
    </xf>
    <xf numFmtId="0" fontId="5" fillId="0" borderId="0"/>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5" fillId="0" borderId="0"/>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37" fillId="0" borderId="32">
      <alignment horizontal="left" vertical="center" wrapText="1" indent="2"/>
    </xf>
    <xf numFmtId="0" fontId="46" fillId="57" borderId="20" applyNumberFormat="0" applyAlignment="0" applyProtection="0"/>
    <xf numFmtId="0" fontId="48" fillId="57" borderId="21" applyNumberFormat="0" applyAlignment="0" applyProtection="0"/>
    <xf numFmtId="0" fontId="49" fillId="57" borderId="21" applyNumberFormat="0" applyAlignment="0" applyProtection="0"/>
    <xf numFmtId="0" fontId="52" fillId="44" borderId="21" applyNumberFormat="0" applyAlignment="0" applyProtection="0"/>
    <xf numFmtId="0" fontId="53" fillId="0" borderId="23" applyNumberFormat="0" applyFill="0" applyAlignment="0" applyProtection="0"/>
    <xf numFmtId="0" fontId="61" fillId="44" borderId="21" applyNumberFormat="0" applyAlignment="0" applyProtection="0"/>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49" fillId="57"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13">
      <alignment horizontal="right" vertical="center"/>
    </xf>
    <xf numFmtId="4" fontId="35" fillId="35" borderId="13">
      <alignment horizontal="right" vertical="center"/>
    </xf>
    <xf numFmtId="0" fontId="35" fillId="35" borderId="15">
      <alignment horizontal="right" vertical="center"/>
    </xf>
    <xf numFmtId="4" fontId="35" fillId="35" borderId="15">
      <alignment horizontal="right" vertical="center"/>
    </xf>
    <xf numFmtId="0" fontId="49" fillId="57" borderId="21" applyNumberFormat="0" applyAlignment="0" applyProtection="0"/>
    <xf numFmtId="0" fontId="37" fillId="35" borderId="19">
      <alignment horizontal="left" vertical="center" wrapText="1" indent="2"/>
    </xf>
    <xf numFmtId="0" fontId="37" fillId="0" borderId="19">
      <alignment horizontal="left" vertical="center" wrapText="1" indent="2"/>
    </xf>
    <xf numFmtId="0" fontId="37" fillId="33" borderId="13">
      <alignment horizontal="left" vertical="center"/>
    </xf>
    <xf numFmtId="0" fontId="61" fillId="44" borderId="21" applyNumberFormat="0" applyAlignment="0" applyProtection="0"/>
    <xf numFmtId="0" fontId="65" fillId="57" borderId="20" applyNumberFormat="0" applyAlignment="0" applyProtection="0"/>
    <xf numFmtId="0" fontId="68" fillId="0" borderId="23" applyNumberFormat="0" applyFill="0" applyAlignment="0" applyProtection="0"/>
    <xf numFmtId="49" fontId="37" fillId="0" borderId="13" applyNumberFormat="0" applyFont="0" applyFill="0" applyBorder="0" applyProtection="0">
      <alignment horizontal="left" vertical="center" indent="5"/>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52" fillId="44" borderId="21" applyNumberFormat="0" applyAlignment="0" applyProtection="0"/>
    <xf numFmtId="0" fontId="37" fillId="0" borderId="29">
      <alignment horizontal="right" vertical="center"/>
    </xf>
    <xf numFmtId="4" fontId="37" fillId="0" borderId="29">
      <alignment horizontal="right" vertical="center"/>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29" applyNumberFormat="0" applyFill="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4" fontId="35" fillId="35" borderId="29">
      <alignment horizontal="right" vertical="center"/>
    </xf>
    <xf numFmtId="0" fontId="37" fillId="34" borderId="29"/>
    <xf numFmtId="0" fontId="48" fillId="57" borderId="21" applyNumberFormat="0" applyAlignment="0" applyProtection="0"/>
    <xf numFmtId="0" fontId="35" fillId="33" borderId="29">
      <alignment horizontal="right" vertical="center"/>
    </xf>
    <xf numFmtId="0" fontId="37" fillId="0" borderId="29">
      <alignment horizontal="right" vertical="center"/>
    </xf>
    <xf numFmtId="0" fontId="68" fillId="0" borderId="23" applyNumberFormat="0" applyFill="0" applyAlignment="0" applyProtection="0"/>
    <xf numFmtId="0" fontId="37" fillId="33" borderId="30">
      <alignment horizontal="left" vertical="center"/>
    </xf>
    <xf numFmtId="0" fontId="61" fillId="44" borderId="21" applyNumberFormat="0" applyAlignment="0" applyProtection="0"/>
    <xf numFmtId="174" fontId="37" fillId="61" borderId="29" applyNumberFormat="0" applyFont="0" applyBorder="0" applyAlignment="0" applyProtection="0">
      <alignment horizontal="right" vertical="center"/>
    </xf>
    <xf numFmtId="0" fontId="43" fillId="60" borderId="28" applyNumberFormat="0" applyFont="0" applyAlignment="0" applyProtection="0"/>
    <xf numFmtId="0" fontId="37" fillId="0" borderId="32">
      <alignment horizontal="left" vertical="center" wrapText="1" indent="2"/>
    </xf>
    <xf numFmtId="4" fontId="37" fillId="34" borderId="29"/>
    <xf numFmtId="49" fontId="36" fillId="0" borderId="29" applyNumberFormat="0" applyFill="0" applyBorder="0" applyProtection="0">
      <alignment horizontal="left" vertical="center"/>
    </xf>
    <xf numFmtId="0" fontId="37" fillId="0" borderId="29">
      <alignment horizontal="right" vertical="center"/>
    </xf>
    <xf numFmtId="4" fontId="35" fillId="35" borderId="31">
      <alignment horizontal="right" vertical="center"/>
    </xf>
    <xf numFmtId="4" fontId="35" fillId="35" borderId="29">
      <alignment horizontal="right" vertical="center"/>
    </xf>
    <xf numFmtId="4" fontId="35" fillId="35" borderId="29">
      <alignment horizontal="right" vertical="center"/>
    </xf>
    <xf numFmtId="0" fontId="39" fillId="33" borderId="29">
      <alignment horizontal="right" vertical="center"/>
    </xf>
    <xf numFmtId="0" fontId="35" fillId="33" borderId="29">
      <alignment horizontal="right" vertical="center"/>
    </xf>
    <xf numFmtId="49" fontId="37" fillId="0" borderId="29" applyNumberFormat="0" applyFont="0" applyFill="0" applyBorder="0" applyProtection="0">
      <alignment horizontal="left" vertical="center" indent="2"/>
    </xf>
    <xf numFmtId="0" fontId="61" fillId="44" borderId="21" applyNumberFormat="0" applyAlignment="0" applyProtection="0"/>
    <xf numFmtId="0" fontId="46" fillId="57" borderId="20" applyNumberFormat="0" applyAlignment="0" applyProtection="0"/>
    <xf numFmtId="49" fontId="37" fillId="0" borderId="29" applyNumberFormat="0" applyFont="0" applyFill="0" applyBorder="0" applyProtection="0">
      <alignment horizontal="left" vertical="center" indent="2"/>
    </xf>
    <xf numFmtId="0" fontId="52" fillId="44" borderId="21" applyNumberFormat="0" applyAlignment="0" applyProtection="0"/>
    <xf numFmtId="4" fontId="37" fillId="0" borderId="29" applyFill="0" applyBorder="0" applyProtection="0">
      <alignment horizontal="right" vertical="center"/>
    </xf>
    <xf numFmtId="0" fontId="49" fillId="57" borderId="21" applyNumberFormat="0" applyAlignment="0" applyProtection="0"/>
    <xf numFmtId="0" fontId="68" fillId="0" borderId="23" applyNumberFormat="0" applyFill="0" applyAlignment="0" applyProtection="0"/>
    <xf numFmtId="0" fontId="65" fillId="57" borderId="20" applyNumberFormat="0" applyAlignment="0" applyProtection="0"/>
    <xf numFmtId="0" fontId="37" fillId="0" borderId="29" applyNumberFormat="0" applyFill="0" applyAlignment="0" applyProtection="0"/>
    <xf numFmtId="4" fontId="37" fillId="0" borderId="29">
      <alignment horizontal="right" vertical="center"/>
    </xf>
    <xf numFmtId="0" fontId="37" fillId="0" borderId="29">
      <alignment horizontal="right" vertical="center"/>
    </xf>
    <xf numFmtId="0" fontId="61" fillId="44" borderId="21" applyNumberFormat="0" applyAlignment="0" applyProtection="0"/>
    <xf numFmtId="0" fontId="46" fillId="57" borderId="20" applyNumberFormat="0" applyAlignment="0" applyProtection="0"/>
    <xf numFmtId="0" fontId="48" fillId="57" borderId="21" applyNumberFormat="0" applyAlignment="0" applyProtection="0"/>
    <xf numFmtId="0" fontId="37" fillId="35" borderId="32">
      <alignment horizontal="left" vertical="center" wrapText="1" indent="2"/>
    </xf>
    <xf numFmtId="0" fontId="49" fillId="57" borderId="21" applyNumberFormat="0" applyAlignment="0" applyProtection="0"/>
    <xf numFmtId="0" fontId="49" fillId="57" borderId="21" applyNumberFormat="0" applyAlignment="0" applyProtection="0"/>
    <xf numFmtId="4" fontId="35" fillId="35" borderId="30">
      <alignment horizontal="right" vertical="center"/>
    </xf>
    <xf numFmtId="0" fontId="35" fillId="35" borderId="30">
      <alignment horizontal="right" vertical="center"/>
    </xf>
    <xf numFmtId="0" fontId="35" fillId="35" borderId="29">
      <alignment horizontal="right" vertical="center"/>
    </xf>
    <xf numFmtId="4" fontId="39" fillId="33" borderId="29">
      <alignment horizontal="right" vertical="center"/>
    </xf>
    <xf numFmtId="0" fontId="52" fillId="44" borderId="21" applyNumberFormat="0" applyAlignment="0" applyProtection="0"/>
    <xf numFmtId="0" fontId="53" fillId="0" borderId="23" applyNumberFormat="0" applyFill="0" applyAlignment="0" applyProtection="0"/>
    <xf numFmtId="0" fontId="68" fillId="0" borderId="23" applyNumberFormat="0" applyFill="0" applyAlignment="0" applyProtection="0"/>
    <xf numFmtId="0" fontId="43" fillId="60" borderId="28" applyNumberFormat="0" applyFont="0" applyAlignment="0" applyProtection="0"/>
    <xf numFmtId="0" fontId="61" fillId="44" borderId="21" applyNumberFormat="0" applyAlignment="0" applyProtection="0"/>
    <xf numFmtId="49" fontId="36" fillId="0" borderId="29" applyNumberFormat="0" applyFill="0" applyBorder="0" applyProtection="0">
      <alignment horizontal="left" vertical="center"/>
    </xf>
    <xf numFmtId="0" fontId="37" fillId="35" borderId="32">
      <alignment horizontal="left" vertical="center" wrapText="1" indent="2"/>
    </xf>
    <xf numFmtId="0" fontId="49" fillId="57" borderId="21" applyNumberFormat="0" applyAlignment="0" applyProtection="0"/>
    <xf numFmtId="0" fontId="37" fillId="0" borderId="32">
      <alignment horizontal="left" vertical="center" wrapText="1" indent="2"/>
    </xf>
    <xf numFmtId="0" fontId="43" fillId="60" borderId="28" applyNumberFormat="0" applyFont="0" applyAlignment="0" applyProtection="0"/>
    <xf numFmtId="0" fontId="5"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4" fontId="37" fillId="34" borderId="29"/>
    <xf numFmtId="0" fontId="35" fillId="35" borderId="29">
      <alignment horizontal="right" vertical="center"/>
    </xf>
    <xf numFmtId="0" fontId="68" fillId="0" borderId="23" applyNumberFormat="0" applyFill="0" applyAlignment="0" applyProtection="0"/>
    <xf numFmtId="4" fontId="35" fillId="35" borderId="31">
      <alignment horizontal="right" vertical="center"/>
    </xf>
    <xf numFmtId="0" fontId="48" fillId="57" borderId="21" applyNumberFormat="0" applyAlignment="0" applyProtection="0"/>
    <xf numFmtId="0" fontId="35" fillId="35" borderId="30">
      <alignment horizontal="right" vertical="center"/>
    </xf>
    <xf numFmtId="0" fontId="49" fillId="57" borderId="21" applyNumberFormat="0" applyAlignment="0" applyProtection="0"/>
    <xf numFmtId="0" fontId="53" fillId="0" borderId="23" applyNumberFormat="0" applyFill="0" applyAlignment="0" applyProtection="0"/>
    <xf numFmtId="0" fontId="43" fillId="60" borderId="28" applyNumberFormat="0" applyFont="0" applyAlignment="0" applyProtection="0"/>
    <xf numFmtId="4" fontId="35" fillId="35" borderId="30">
      <alignment horizontal="right" vertical="center"/>
    </xf>
    <xf numFmtId="0" fontId="37" fillId="35" borderId="32">
      <alignment horizontal="left" vertical="center" wrapText="1" indent="2"/>
    </xf>
    <xf numFmtId="0" fontId="37" fillId="34" borderId="29"/>
    <xf numFmtId="174" fontId="37" fillId="61" borderId="29" applyNumberFormat="0" applyFont="0" applyBorder="0" applyAlignment="0" applyProtection="0">
      <alignment horizontal="right" vertical="center"/>
    </xf>
    <xf numFmtId="0" fontId="37" fillId="0" borderId="29" applyNumberFormat="0" applyFill="0" applyAlignment="0" applyProtection="0"/>
    <xf numFmtId="4" fontId="37" fillId="0" borderId="29" applyFill="0" applyBorder="0" applyProtection="0">
      <alignment horizontal="right" vertical="center"/>
    </xf>
    <xf numFmtId="4" fontId="35" fillId="33" borderId="29">
      <alignment horizontal="right" vertical="center"/>
    </xf>
    <xf numFmtId="0" fontId="53" fillId="0" borderId="23" applyNumberFormat="0" applyFill="0" applyAlignment="0" applyProtection="0"/>
    <xf numFmtId="49" fontId="36" fillId="0" borderId="29" applyNumberFormat="0" applyFill="0" applyBorder="0" applyProtection="0">
      <alignment horizontal="left" vertical="center"/>
    </xf>
    <xf numFmtId="49" fontId="37" fillId="0" borderId="30" applyNumberFormat="0" applyFont="0" applyFill="0" applyBorder="0" applyProtection="0">
      <alignment horizontal="left" vertical="center" indent="5"/>
    </xf>
    <xf numFmtId="0" fontId="37" fillId="33" borderId="30">
      <alignment horizontal="left" vertical="center"/>
    </xf>
    <xf numFmtId="0" fontId="49" fillId="57" borderId="21" applyNumberFormat="0" applyAlignment="0" applyProtection="0"/>
    <xf numFmtId="4" fontId="35" fillId="35" borderId="31">
      <alignment horizontal="right" vertical="center"/>
    </xf>
    <xf numFmtId="0" fontId="61" fillId="44" borderId="21" applyNumberFormat="0" applyAlignment="0" applyProtection="0"/>
    <xf numFmtId="0" fontId="61" fillId="44" borderId="21" applyNumberFormat="0" applyAlignment="0" applyProtection="0"/>
    <xf numFmtId="0" fontId="43" fillId="60" borderId="28" applyNumberFormat="0" applyFont="0" applyAlignment="0" applyProtection="0"/>
    <xf numFmtId="0" fontId="65" fillId="57" borderId="20" applyNumberFormat="0" applyAlignment="0" applyProtection="0"/>
    <xf numFmtId="0" fontId="68" fillId="0" borderId="23" applyNumberFormat="0" applyFill="0" applyAlignment="0" applyProtection="0"/>
    <xf numFmtId="0" fontId="35" fillId="35" borderId="29">
      <alignment horizontal="right" vertical="center"/>
    </xf>
    <xf numFmtId="0" fontId="5" fillId="60" borderId="28" applyNumberFormat="0" applyFont="0" applyAlignment="0" applyProtection="0"/>
    <xf numFmtId="4" fontId="37" fillId="0" borderId="29">
      <alignment horizontal="right" vertical="center"/>
    </xf>
    <xf numFmtId="0" fontId="68" fillId="0" borderId="23" applyNumberFormat="0" applyFill="0" applyAlignment="0" applyProtection="0"/>
    <xf numFmtId="0" fontId="35" fillId="35" borderId="29">
      <alignment horizontal="right" vertical="center"/>
    </xf>
    <xf numFmtId="0" fontId="35" fillId="35" borderId="29">
      <alignment horizontal="right" vertical="center"/>
    </xf>
    <xf numFmtId="4" fontId="39" fillId="33" borderId="29">
      <alignment horizontal="right" vertical="center"/>
    </xf>
    <xf numFmtId="0" fontId="35" fillId="33" borderId="29">
      <alignment horizontal="right" vertical="center"/>
    </xf>
    <xf numFmtId="4" fontId="35" fillId="33" borderId="29">
      <alignment horizontal="right" vertical="center"/>
    </xf>
    <xf numFmtId="0" fontId="39" fillId="33" borderId="29">
      <alignment horizontal="right" vertical="center"/>
    </xf>
    <xf numFmtId="4" fontId="39" fillId="33" borderId="29">
      <alignment horizontal="right" vertical="center"/>
    </xf>
    <xf numFmtId="0" fontId="35" fillId="35" borderId="29">
      <alignment horizontal="right" vertical="center"/>
    </xf>
    <xf numFmtId="4" fontId="35" fillId="35" borderId="29">
      <alignment horizontal="right" vertical="center"/>
    </xf>
    <xf numFmtId="0" fontId="35" fillId="35" borderId="29">
      <alignment horizontal="right" vertical="center"/>
    </xf>
    <xf numFmtId="4" fontId="35" fillId="35" borderId="29">
      <alignment horizontal="right" vertical="center"/>
    </xf>
    <xf numFmtId="0" fontId="35" fillId="35" borderId="30">
      <alignment horizontal="right" vertical="center"/>
    </xf>
    <xf numFmtId="4" fontId="35" fillId="35" borderId="30">
      <alignment horizontal="right" vertical="center"/>
    </xf>
    <xf numFmtId="0" fontId="35" fillId="35" borderId="31">
      <alignment horizontal="right" vertical="center"/>
    </xf>
    <xf numFmtId="4" fontId="35" fillId="35" borderId="31">
      <alignment horizontal="right" vertical="center"/>
    </xf>
    <xf numFmtId="0" fontId="49"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3" borderId="30">
      <alignment horizontal="left" vertical="center"/>
    </xf>
    <xf numFmtId="0" fontId="61" fillId="44" borderId="21" applyNumberFormat="0" applyAlignment="0" applyProtection="0"/>
    <xf numFmtId="0" fontId="37" fillId="0" borderId="29">
      <alignment horizontal="right" vertical="center"/>
    </xf>
    <xf numFmtId="4" fontId="37" fillId="0" borderId="29">
      <alignment horizontal="right" vertical="center"/>
    </xf>
    <xf numFmtId="0" fontId="37" fillId="0" borderId="29" applyNumberFormat="0" applyFill="0" applyAlignment="0" applyProtection="0"/>
    <xf numFmtId="0" fontId="65" fillId="57" borderId="20" applyNumberFormat="0" applyAlignment="0" applyProtection="0"/>
    <xf numFmtId="174" fontId="37" fillId="61" borderId="29" applyNumberFormat="0" applyFont="0" applyBorder="0" applyAlignment="0" applyProtection="0">
      <alignment horizontal="right" vertical="center"/>
    </xf>
    <xf numFmtId="0" fontId="37" fillId="34" borderId="29"/>
    <xf numFmtId="4" fontId="37" fillId="34" borderId="29"/>
    <xf numFmtId="0" fontId="68" fillId="0" borderId="23" applyNumberFormat="0" applyFill="0" applyAlignment="0" applyProtection="0"/>
    <xf numFmtId="0" fontId="5" fillId="60" borderId="28" applyNumberFormat="0" applyFont="0" applyAlignment="0" applyProtection="0"/>
    <xf numFmtId="0" fontId="43" fillId="60" borderId="28" applyNumberFormat="0" applyFont="0" applyAlignment="0" applyProtection="0"/>
    <xf numFmtId="0" fontId="37" fillId="0" borderId="29" applyNumberFormat="0" applyFill="0" applyAlignment="0" applyProtection="0"/>
    <xf numFmtId="0" fontId="53" fillId="0" borderId="23" applyNumberFormat="0" applyFill="0" applyAlignment="0" applyProtection="0"/>
    <xf numFmtId="0" fontId="68" fillId="0" borderId="23" applyNumberFormat="0" applyFill="0" applyAlignment="0" applyProtection="0"/>
    <xf numFmtId="0" fontId="52" fillId="44" borderId="21" applyNumberFormat="0" applyAlignment="0" applyProtection="0"/>
    <xf numFmtId="0" fontId="49" fillId="57" borderId="21" applyNumberFormat="0" applyAlignment="0" applyProtection="0"/>
    <xf numFmtId="4" fontId="39" fillId="33" borderId="29">
      <alignment horizontal="right" vertical="center"/>
    </xf>
    <xf numFmtId="0" fontId="35" fillId="33" borderId="29">
      <alignment horizontal="right" vertical="center"/>
    </xf>
    <xf numFmtId="174" fontId="37" fillId="61" borderId="29" applyNumberFormat="0" applyFont="0" applyBorder="0" applyAlignment="0" applyProtection="0">
      <alignment horizontal="right" vertical="center"/>
    </xf>
    <xf numFmtId="0" fontId="53" fillId="0" borderId="23" applyNumberFormat="0" applyFill="0" applyAlignment="0" applyProtection="0"/>
    <xf numFmtId="49" fontId="37" fillId="0" borderId="29" applyNumberFormat="0" applyFont="0" applyFill="0" applyBorder="0" applyProtection="0">
      <alignment horizontal="left" vertical="center" indent="2"/>
    </xf>
    <xf numFmtId="49" fontId="37" fillId="0" borderId="30" applyNumberFormat="0" applyFont="0" applyFill="0" applyBorder="0" applyProtection="0">
      <alignment horizontal="left" vertical="center" indent="5"/>
    </xf>
    <xf numFmtId="49" fontId="37" fillId="0" borderId="29" applyNumberFormat="0" applyFont="0" applyFill="0" applyBorder="0" applyProtection="0">
      <alignment horizontal="left" vertical="center" indent="2"/>
    </xf>
    <xf numFmtId="4" fontId="37" fillId="0" borderId="29" applyFill="0" applyBorder="0" applyProtection="0">
      <alignment horizontal="right" vertical="center"/>
    </xf>
    <xf numFmtId="49" fontId="36" fillId="0" borderId="29" applyNumberFormat="0" applyFill="0" applyBorder="0" applyProtection="0">
      <alignment horizontal="left" vertical="center"/>
    </xf>
    <xf numFmtId="0" fontId="37" fillId="0" borderId="32">
      <alignment horizontal="left" vertical="center" wrapText="1" indent="2"/>
    </xf>
    <xf numFmtId="0" fontId="65" fillId="57" borderId="20" applyNumberFormat="0" applyAlignment="0" applyProtection="0"/>
    <xf numFmtId="0" fontId="35" fillId="35" borderId="31">
      <alignment horizontal="right" vertical="center"/>
    </xf>
    <xf numFmtId="0" fontId="52" fillId="44" borderId="21" applyNumberFormat="0" applyAlignment="0" applyProtection="0"/>
    <xf numFmtId="0" fontId="35" fillId="35" borderId="31">
      <alignment horizontal="right" vertical="center"/>
    </xf>
    <xf numFmtId="4" fontId="35" fillId="35" borderId="29">
      <alignment horizontal="right" vertical="center"/>
    </xf>
    <xf numFmtId="0" fontId="35" fillId="35" borderId="29">
      <alignment horizontal="right" vertical="center"/>
    </xf>
    <xf numFmtId="0" fontId="46" fillId="57" borderId="20" applyNumberFormat="0" applyAlignment="0" applyProtection="0"/>
    <xf numFmtId="0" fontId="48" fillId="57" borderId="21" applyNumberFormat="0" applyAlignment="0" applyProtection="0"/>
    <xf numFmtId="0" fontId="53" fillId="0" borderId="23" applyNumberFormat="0" applyFill="0" applyAlignment="0" applyProtection="0"/>
    <xf numFmtId="0" fontId="37" fillId="34" borderId="29"/>
    <xf numFmtId="4" fontId="37" fillId="34" borderId="29"/>
    <xf numFmtId="4" fontId="35" fillId="35" borderId="29">
      <alignment horizontal="right" vertical="center"/>
    </xf>
    <xf numFmtId="0" fontId="39" fillId="33" borderId="29">
      <alignment horizontal="right" vertical="center"/>
    </xf>
    <xf numFmtId="0" fontId="52" fillId="44" borderId="21" applyNumberFormat="0" applyAlignment="0" applyProtection="0"/>
    <xf numFmtId="0" fontId="49" fillId="57" borderId="21" applyNumberFormat="0" applyAlignment="0" applyProtection="0"/>
    <xf numFmtId="4" fontId="37" fillId="0" borderId="29">
      <alignment horizontal="right" vertical="center"/>
    </xf>
    <xf numFmtId="0" fontId="37" fillId="35" borderId="32">
      <alignment horizontal="left" vertical="center" wrapText="1" indent="2"/>
    </xf>
    <xf numFmtId="0" fontId="37" fillId="0" borderId="32">
      <alignment horizontal="left" vertical="center" wrapText="1" indent="2"/>
    </xf>
    <xf numFmtId="0" fontId="65" fillId="57" borderId="20" applyNumberFormat="0" applyAlignment="0" applyProtection="0"/>
    <xf numFmtId="0" fontId="61" fillId="44" borderId="21" applyNumberFormat="0" applyAlignment="0" applyProtection="0"/>
    <xf numFmtId="0" fontId="48" fillId="57" borderId="21" applyNumberFormat="0" applyAlignment="0" applyProtection="0"/>
    <xf numFmtId="0" fontId="46" fillId="57" borderId="20" applyNumberFormat="0" applyAlignment="0" applyProtection="0"/>
    <xf numFmtId="0" fontId="35" fillId="35" borderId="31">
      <alignment horizontal="right" vertical="center"/>
    </xf>
    <xf numFmtId="0" fontId="39" fillId="33" borderId="29">
      <alignment horizontal="right" vertical="center"/>
    </xf>
    <xf numFmtId="4" fontId="35" fillId="33" borderId="29">
      <alignment horizontal="right" vertical="center"/>
    </xf>
    <xf numFmtId="4" fontId="35" fillId="35" borderId="29">
      <alignment horizontal="right" vertical="center"/>
    </xf>
    <xf numFmtId="49" fontId="37" fillId="0" borderId="30" applyNumberFormat="0" applyFont="0" applyFill="0" applyBorder="0" applyProtection="0">
      <alignment horizontal="left" vertical="center" indent="5"/>
    </xf>
    <xf numFmtId="4" fontId="37" fillId="0" borderId="29" applyFill="0" applyBorder="0" applyProtection="0">
      <alignment horizontal="right" vertical="center"/>
    </xf>
    <xf numFmtId="4" fontId="35" fillId="33" borderId="29">
      <alignment horizontal="right" vertical="center"/>
    </xf>
    <xf numFmtId="0" fontId="61" fillId="44" borderId="21" applyNumberFormat="0" applyAlignment="0" applyProtection="0"/>
    <xf numFmtId="0" fontId="52" fillId="44" borderId="21" applyNumberFormat="0" applyAlignment="0" applyProtection="0"/>
    <xf numFmtId="0" fontId="48" fillId="57" borderId="21" applyNumberFormat="0" applyAlignment="0" applyProtection="0"/>
    <xf numFmtId="0" fontId="37" fillId="35" borderId="32">
      <alignment horizontal="left" vertical="center" wrapText="1" indent="2"/>
    </xf>
    <xf numFmtId="0" fontId="37" fillId="0" borderId="32">
      <alignment horizontal="left" vertical="center" wrapText="1" indent="2"/>
    </xf>
    <xf numFmtId="0" fontId="37" fillId="35" borderId="32">
      <alignment horizontal="left" vertical="center" wrapText="1" indent="2"/>
    </xf>
    <xf numFmtId="0" fontId="29" fillId="0" borderId="0"/>
    <xf numFmtId="4" fontId="35" fillId="35" borderId="63">
      <alignment horizontal="right" vertical="center"/>
    </xf>
    <xf numFmtId="0" fontId="53" fillId="0" borderId="35" applyNumberFormat="0" applyFill="0" applyAlignment="0" applyProtection="0"/>
    <xf numFmtId="0" fontId="61" fillId="44" borderId="34" applyNumberFormat="0" applyAlignment="0" applyProtection="0"/>
    <xf numFmtId="0" fontId="29" fillId="30" borderId="0" applyNumberFormat="0" applyBorder="0" applyAlignment="0" applyProtection="0"/>
    <xf numFmtId="4" fontId="39" fillId="33" borderId="37">
      <alignment horizontal="right" vertical="center"/>
    </xf>
    <xf numFmtId="0" fontId="37" fillId="35" borderId="40">
      <alignment horizontal="left" vertical="center" wrapText="1" indent="2"/>
    </xf>
    <xf numFmtId="49" fontId="36" fillId="0" borderId="44" applyNumberFormat="0" applyFill="0" applyBorder="0" applyProtection="0">
      <alignment horizontal="left" vertical="center"/>
    </xf>
    <xf numFmtId="0" fontId="48" fillId="57" borderId="58" applyNumberFormat="0" applyAlignment="0" applyProtection="0"/>
    <xf numFmtId="4" fontId="37" fillId="0" borderId="77">
      <alignment horizontal="right" vertical="center"/>
    </xf>
    <xf numFmtId="49" fontId="37" fillId="0" borderId="37" applyNumberFormat="0" applyFont="0" applyFill="0" applyBorder="0" applyProtection="0">
      <alignment horizontal="left" vertical="center" indent="2"/>
    </xf>
    <xf numFmtId="0" fontId="32" fillId="14" borderId="7" applyNumberFormat="0" applyAlignment="0" applyProtection="0"/>
    <xf numFmtId="4" fontId="35" fillId="35" borderId="61">
      <alignment horizontal="right" vertical="center"/>
    </xf>
    <xf numFmtId="0" fontId="35" fillId="35" borderId="71">
      <alignment horizontal="right" vertical="center"/>
    </xf>
    <xf numFmtId="0" fontId="49" fillId="57" borderId="34" applyNumberFormat="0" applyAlignment="0" applyProtection="0"/>
    <xf numFmtId="0" fontId="35" fillId="33" borderId="37">
      <alignment horizontal="right" vertical="center"/>
    </xf>
    <xf numFmtId="0" fontId="43" fillId="60" borderId="36" applyNumberFormat="0" applyFont="0" applyAlignment="0" applyProtection="0"/>
    <xf numFmtId="4" fontId="35" fillId="33" borderId="37">
      <alignment horizontal="right" vertical="center"/>
    </xf>
    <xf numFmtId="0" fontId="49" fillId="57" borderId="41" applyNumberFormat="0" applyAlignment="0" applyProtection="0"/>
    <xf numFmtId="0" fontId="37" fillId="0" borderId="64">
      <alignment horizontal="left" vertical="center" wrapText="1" indent="2"/>
    </xf>
    <xf numFmtId="0" fontId="13" fillId="20" borderId="0" applyNumberFormat="0" applyBorder="0" applyAlignment="0" applyProtection="0"/>
    <xf numFmtId="4" fontId="35" fillId="33" borderId="61">
      <alignment horizontal="right" vertical="center"/>
    </xf>
    <xf numFmtId="0" fontId="5" fillId="60" borderId="36" applyNumberFormat="0" applyFont="0" applyAlignment="0" applyProtection="0"/>
    <xf numFmtId="0" fontId="37" fillId="0" borderId="40">
      <alignment horizontal="left" vertical="center" wrapText="1" indent="2"/>
    </xf>
    <xf numFmtId="0" fontId="68" fillId="0" borderId="35" applyNumberFormat="0" applyFill="0" applyAlignment="0" applyProtection="0"/>
    <xf numFmtId="0" fontId="29" fillId="15" borderId="0" applyNumberFormat="0" applyBorder="0" applyAlignment="0" applyProtection="0"/>
    <xf numFmtId="0" fontId="39" fillId="33" borderId="37">
      <alignment horizontal="right" vertical="center"/>
    </xf>
    <xf numFmtId="0" fontId="52" fillId="44" borderId="34" applyNumberFormat="0" applyAlignment="0" applyProtection="0"/>
    <xf numFmtId="0" fontId="43" fillId="60" borderId="60" applyNumberFormat="0" applyFont="0" applyAlignment="0" applyProtection="0"/>
    <xf numFmtId="4" fontId="37" fillId="0" borderId="37">
      <alignment horizontal="right" vertical="center"/>
    </xf>
    <xf numFmtId="4" fontId="35" fillId="35" borderId="37">
      <alignment horizontal="right" vertical="center"/>
    </xf>
    <xf numFmtId="0" fontId="37" fillId="34" borderId="37"/>
    <xf numFmtId="4" fontId="37" fillId="34" borderId="37"/>
    <xf numFmtId="49" fontId="36" fillId="0" borderId="53" applyNumberFormat="0" applyFill="0" applyBorder="0" applyProtection="0">
      <alignment horizontal="left" vertical="center"/>
    </xf>
    <xf numFmtId="0" fontId="39" fillId="33" borderId="53">
      <alignment horizontal="right" vertical="center"/>
    </xf>
    <xf numFmtId="0" fontId="37" fillId="34" borderId="37"/>
    <xf numFmtId="0" fontId="49" fillId="57" borderId="50" applyNumberFormat="0" applyAlignment="0" applyProtection="0"/>
    <xf numFmtId="0" fontId="46" fillId="57" borderId="33" applyNumberFormat="0" applyAlignment="0" applyProtection="0"/>
    <xf numFmtId="0" fontId="52" fillId="44" borderId="34" applyNumberFormat="0" applyAlignment="0" applyProtection="0"/>
    <xf numFmtId="0" fontId="43" fillId="60" borderId="60" applyNumberFormat="0" applyFont="0" applyAlignment="0" applyProtection="0"/>
    <xf numFmtId="0" fontId="61" fillId="44" borderId="34" applyNumberFormat="0" applyAlignment="0" applyProtection="0"/>
    <xf numFmtId="49" fontId="37" fillId="0" borderId="37" applyNumberFormat="0" applyFont="0" applyFill="0" applyBorder="0" applyProtection="0">
      <alignment horizontal="left" vertical="center" indent="2"/>
    </xf>
    <xf numFmtId="0" fontId="37" fillId="35" borderId="64">
      <alignment horizontal="left" vertical="center" wrapText="1" indent="2"/>
    </xf>
    <xf numFmtId="0" fontId="37" fillId="0" borderId="82">
      <alignment horizontal="right" vertical="center"/>
    </xf>
    <xf numFmtId="0" fontId="48" fillId="57" borderId="66" applyNumberFormat="0" applyAlignment="0" applyProtection="0"/>
    <xf numFmtId="0" fontId="35" fillId="33" borderId="69">
      <alignment horizontal="right" vertical="center"/>
    </xf>
    <xf numFmtId="0" fontId="49" fillId="57" borderId="58" applyNumberFormat="0" applyAlignment="0" applyProtection="0"/>
    <xf numFmtId="4" fontId="37" fillId="0" borderId="37">
      <alignment horizontal="right" vertical="center"/>
    </xf>
    <xf numFmtId="4" fontId="39" fillId="33" borderId="77">
      <alignment horizontal="right" vertical="center"/>
    </xf>
    <xf numFmtId="0" fontId="29" fillId="16" borderId="0" applyNumberFormat="0" applyBorder="0" applyAlignment="0" applyProtection="0"/>
    <xf numFmtId="0" fontId="68" fillId="0" borderId="59" applyNumberFormat="0" applyFill="0" applyAlignment="0" applyProtection="0"/>
    <xf numFmtId="4" fontId="35" fillId="35" borderId="70">
      <alignment horizontal="right" vertical="center"/>
    </xf>
    <xf numFmtId="4" fontId="35" fillId="33" borderId="82">
      <alignment horizontal="right" vertical="center"/>
    </xf>
    <xf numFmtId="0" fontId="61" fillId="44" borderId="58" applyNumberFormat="0" applyAlignment="0" applyProtection="0"/>
    <xf numFmtId="0" fontId="13" fillId="23" borderId="0" applyNumberFormat="0" applyBorder="0" applyAlignment="0" applyProtection="0"/>
    <xf numFmtId="0" fontId="65" fillId="57" borderId="57" applyNumberFormat="0" applyAlignment="0" applyProtection="0"/>
    <xf numFmtId="4" fontId="39" fillId="33" borderId="69">
      <alignment horizontal="right" vertical="center"/>
    </xf>
    <xf numFmtId="0" fontId="49" fillId="57" borderId="58" applyNumberFormat="0" applyAlignment="0" applyProtection="0"/>
    <xf numFmtId="0" fontId="37" fillId="0" borderId="61" applyNumberFormat="0" applyFill="0" applyAlignment="0" applyProtection="0"/>
    <xf numFmtId="0" fontId="33" fillId="0" borderId="0" applyNumberFormat="0" applyFill="0" applyBorder="0" applyAlignment="0" applyProtection="0"/>
    <xf numFmtId="0" fontId="37" fillId="33" borderId="62">
      <alignment horizontal="left" vertical="center"/>
    </xf>
    <xf numFmtId="0" fontId="61" fillId="44" borderId="34" applyNumberFormat="0" applyAlignment="0" applyProtection="0"/>
    <xf numFmtId="49" fontId="37" fillId="0" borderId="69" applyNumberFormat="0" applyFont="0" applyFill="0" applyBorder="0" applyProtection="0">
      <alignment horizontal="left" vertical="center" indent="2"/>
    </xf>
    <xf numFmtId="0" fontId="37" fillId="35" borderId="56">
      <alignment horizontal="left" vertical="center" wrapText="1" indent="2"/>
    </xf>
    <xf numFmtId="4" fontId="37" fillId="34" borderId="53"/>
    <xf numFmtId="49" fontId="37" fillId="0" borderId="78" applyNumberFormat="0" applyFont="0" applyFill="0" applyBorder="0" applyProtection="0">
      <alignment horizontal="left" vertical="center" indent="5"/>
    </xf>
    <xf numFmtId="0" fontId="5" fillId="60" borderId="68" applyNumberFormat="0" applyFont="0" applyAlignment="0" applyProtection="0"/>
    <xf numFmtId="0" fontId="13" fillId="17" borderId="0" applyNumberFormat="0" applyBorder="0" applyAlignment="0" applyProtection="0"/>
    <xf numFmtId="4" fontId="39" fillId="33" borderId="61">
      <alignment horizontal="right" vertical="center"/>
    </xf>
    <xf numFmtId="0" fontId="29" fillId="31" borderId="0" applyNumberFormat="0" applyBorder="0" applyAlignment="0" applyProtection="0"/>
    <xf numFmtId="0" fontId="31" fillId="14" borderId="8" applyNumberFormat="0" applyAlignment="0" applyProtection="0"/>
    <xf numFmtId="0" fontId="32" fillId="14" borderId="7" applyNumberFormat="0" applyAlignment="0" applyProtection="0"/>
    <xf numFmtId="4" fontId="37" fillId="0" borderId="61">
      <alignment horizontal="right" vertical="center"/>
    </xf>
    <xf numFmtId="0" fontId="52" fillId="44" borderId="66" applyNumberFormat="0" applyAlignment="0" applyProtection="0"/>
    <xf numFmtId="0" fontId="1" fillId="0" borderId="0" applyNumberFormat="0" applyFill="0" applyBorder="0" applyAlignment="0" applyProtection="0"/>
    <xf numFmtId="4" fontId="35" fillId="35" borderId="45">
      <alignment horizontal="right" vertical="center"/>
    </xf>
    <xf numFmtId="0" fontId="33" fillId="0" borderId="0" applyNumberFormat="0" applyFill="0" applyBorder="0" applyAlignment="0" applyProtection="0"/>
    <xf numFmtId="0" fontId="2" fillId="0" borderId="9" applyNumberFormat="0" applyFill="0" applyAlignment="0" applyProtection="0"/>
    <xf numFmtId="0" fontId="39" fillId="33" borderId="61">
      <alignment horizontal="right" vertical="center"/>
    </xf>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4" fontId="37" fillId="0" borderId="69">
      <alignment horizontal="right" vertical="center"/>
    </xf>
    <xf numFmtId="0" fontId="29" fillId="18" borderId="0" applyNumberFormat="0" applyBorder="0" applyAlignment="0" applyProtection="0"/>
    <xf numFmtId="0" fontId="29" fillId="19" borderId="0" applyNumberFormat="0" applyBorder="0" applyAlignment="0" applyProtection="0"/>
    <xf numFmtId="0" fontId="13" fillId="20" borderId="0" applyNumberFormat="0" applyBorder="0" applyAlignment="0" applyProtection="0"/>
    <xf numFmtId="0" fontId="43" fillId="60" borderId="68" applyNumberFormat="0" applyFont="0" applyAlignment="0" applyProtection="0"/>
    <xf numFmtId="0" fontId="29" fillId="21" borderId="0" applyNumberFormat="0" applyBorder="0" applyAlignment="0" applyProtection="0"/>
    <xf numFmtId="0" fontId="29" fillId="22" borderId="0" applyNumberFormat="0" applyBorder="0" applyAlignment="0" applyProtection="0"/>
    <xf numFmtId="0" fontId="13" fillId="23" borderId="0" applyNumberFormat="0" applyBorder="0" applyAlignment="0" applyProtection="0"/>
    <xf numFmtId="0" fontId="29" fillId="24" borderId="0" applyNumberFormat="0" applyBorder="0" applyAlignment="0" applyProtection="0"/>
    <xf numFmtId="0" fontId="29" fillId="25" borderId="0" applyNumberFormat="0" applyBorder="0" applyAlignment="0" applyProtection="0"/>
    <xf numFmtId="0" fontId="13" fillId="26" borderId="0" applyNumberFormat="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29" fillId="30" borderId="0" applyNumberFormat="0" applyBorder="0" applyAlignment="0" applyProtection="0"/>
    <xf numFmtId="0" fontId="29" fillId="31" borderId="0" applyNumberFormat="0" applyBorder="0" applyAlignment="0" applyProtection="0"/>
    <xf numFmtId="0" fontId="13" fillId="32" borderId="0" applyNumberFormat="0" applyBorder="0" applyAlignment="0" applyProtection="0"/>
    <xf numFmtId="174" fontId="37" fillId="61" borderId="69" applyNumberFormat="0" applyFont="0" applyBorder="0" applyAlignment="0" applyProtection="0">
      <alignment horizontal="right" vertical="center"/>
    </xf>
    <xf numFmtId="0" fontId="43" fillId="60" borderId="36" applyNumberFormat="0" applyFont="0" applyAlignment="0" applyProtection="0"/>
    <xf numFmtId="0" fontId="65" fillId="57" borderId="33" applyNumberFormat="0" applyAlignment="0" applyProtection="0"/>
    <xf numFmtId="0" fontId="5" fillId="60" borderId="60" applyNumberFormat="0" applyFont="0" applyAlignment="0" applyProtection="0"/>
    <xf numFmtId="174" fontId="37" fillId="61" borderId="37" applyNumberFormat="0" applyFont="0" applyBorder="0" applyAlignment="0" applyProtection="0">
      <alignment horizontal="right" vertical="center"/>
    </xf>
    <xf numFmtId="4" fontId="37" fillId="0" borderId="69">
      <alignment horizontal="right" vertical="center"/>
    </xf>
    <xf numFmtId="0" fontId="43" fillId="60" borderId="36" applyNumberFormat="0" applyFont="0" applyAlignment="0" applyProtection="0"/>
    <xf numFmtId="0" fontId="39" fillId="33" borderId="37">
      <alignment horizontal="right" vertical="center"/>
    </xf>
    <xf numFmtId="0" fontId="35" fillId="35" borderId="37">
      <alignment horizontal="right" vertical="center"/>
    </xf>
    <xf numFmtId="0" fontId="68" fillId="0" borderId="59" applyNumberFormat="0" applyFill="0" applyAlignment="0" applyProtection="0"/>
    <xf numFmtId="0" fontId="52" fillId="44" borderId="34" applyNumberFormat="0" applyAlignment="0" applyProtection="0"/>
    <xf numFmtId="0" fontId="65" fillId="57" borderId="33" applyNumberFormat="0" applyAlignment="0" applyProtection="0"/>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49" fontId="37" fillId="0" borderId="37" applyNumberFormat="0" applyFont="0" applyFill="0" applyBorder="0" applyProtection="0">
      <alignment horizontal="left" vertical="center" indent="2"/>
    </xf>
    <xf numFmtId="174" fontId="37" fillId="61" borderId="37" applyNumberFormat="0" applyFont="0" applyBorder="0" applyAlignment="0" applyProtection="0">
      <alignment horizontal="right" vertical="center"/>
    </xf>
    <xf numFmtId="0" fontId="49" fillId="57" borderId="34" applyNumberFormat="0" applyAlignment="0" applyProtection="0"/>
    <xf numFmtId="0" fontId="52" fillId="44" borderId="34" applyNumberFormat="0" applyAlignment="0" applyProtection="0"/>
    <xf numFmtId="0" fontId="68" fillId="0" borderId="35" applyNumberFormat="0" applyFill="0" applyAlignment="0" applyProtection="0"/>
    <xf numFmtId="4" fontId="35" fillId="35" borderId="37">
      <alignment horizontal="right" vertical="center"/>
    </xf>
    <xf numFmtId="4" fontId="39" fillId="33" borderId="37">
      <alignment horizontal="right" vertical="center"/>
    </xf>
    <xf numFmtId="4" fontId="35" fillId="33" borderId="37">
      <alignment horizontal="right" vertical="center"/>
    </xf>
    <xf numFmtId="4" fontId="39" fillId="33" borderId="37">
      <alignment horizontal="right" vertical="center"/>
    </xf>
    <xf numFmtId="0" fontId="35" fillId="35" borderId="37">
      <alignment horizontal="right" vertical="center"/>
    </xf>
    <xf numFmtId="4" fontId="37" fillId="0" borderId="37">
      <alignment horizontal="right" vertical="center"/>
    </xf>
    <xf numFmtId="0" fontId="68" fillId="0" borderId="35" applyNumberFormat="0" applyFill="0" applyAlignment="0" applyProtection="0"/>
    <xf numFmtId="0" fontId="65" fillId="57" borderId="33" applyNumberFormat="0" applyAlignment="0" applyProtection="0"/>
    <xf numFmtId="0" fontId="43" fillId="60" borderId="36" applyNumberFormat="0" applyFont="0" applyAlignment="0" applyProtection="0"/>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0" fontId="37" fillId="0" borderId="40">
      <alignment horizontal="left" vertical="center" wrapText="1" indent="2"/>
    </xf>
    <xf numFmtId="0" fontId="37" fillId="35" borderId="40">
      <alignment horizontal="left" vertical="center" wrapText="1" indent="2"/>
    </xf>
    <xf numFmtId="0" fontId="61" fillId="44" borderId="34" applyNumberFormat="0" applyAlignment="0" applyProtection="0"/>
    <xf numFmtId="0" fontId="68" fillId="0" borderId="35" applyNumberFormat="0" applyFill="0" applyAlignment="0" applyProtection="0"/>
    <xf numFmtId="4" fontId="39" fillId="33" borderId="37">
      <alignment horizontal="right" vertical="center"/>
    </xf>
    <xf numFmtId="4" fontId="35" fillId="35" borderId="38">
      <alignment horizontal="right" vertical="center"/>
    </xf>
    <xf numFmtId="0" fontId="37" fillId="35" borderId="40">
      <alignment horizontal="left" vertical="center" wrapText="1" indent="2"/>
    </xf>
    <xf numFmtId="0" fontId="61" fillId="44" borderId="34" applyNumberFormat="0" applyAlignment="0" applyProtection="0"/>
    <xf numFmtId="0" fontId="37" fillId="0" borderId="37" applyNumberFormat="0" applyFill="0" applyAlignment="0" applyProtection="0"/>
    <xf numFmtId="0" fontId="49" fillId="57" borderId="34" applyNumberFormat="0" applyAlignment="0" applyProtection="0"/>
    <xf numFmtId="4" fontId="37" fillId="0" borderId="37" applyFill="0" applyBorder="0" applyProtection="0">
      <alignment horizontal="right" vertical="center"/>
    </xf>
    <xf numFmtId="49" fontId="37" fillId="0" borderId="37" applyNumberFormat="0" applyFont="0" applyFill="0" applyBorder="0" applyProtection="0">
      <alignment horizontal="left" vertical="center" indent="2"/>
    </xf>
    <xf numFmtId="0" fontId="39" fillId="33" borderId="37">
      <alignment horizontal="right" vertical="center"/>
    </xf>
    <xf numFmtId="0" fontId="37" fillId="0" borderId="37">
      <alignment horizontal="right" vertical="center"/>
    </xf>
    <xf numFmtId="174" fontId="37" fillId="61" borderId="37" applyNumberFormat="0" applyFont="0" applyBorder="0" applyAlignment="0" applyProtection="0">
      <alignment horizontal="right" vertical="center"/>
    </xf>
    <xf numFmtId="0" fontId="53" fillId="0" borderId="35" applyNumberFormat="0" applyFill="0" applyAlignment="0" applyProtection="0"/>
    <xf numFmtId="0" fontId="53" fillId="0" borderId="35" applyNumberFormat="0" applyFill="0" applyAlignment="0" applyProtection="0"/>
    <xf numFmtId="0" fontId="48" fillId="57" borderId="34" applyNumberFormat="0" applyAlignment="0" applyProtection="0"/>
    <xf numFmtId="4" fontId="37" fillId="34" borderId="37"/>
    <xf numFmtId="0" fontId="39" fillId="33" borderId="37">
      <alignment horizontal="right" vertical="center"/>
    </xf>
    <xf numFmtId="0" fontId="37" fillId="35" borderId="40">
      <alignment horizontal="left" vertical="center" wrapText="1" indent="2"/>
    </xf>
    <xf numFmtId="4" fontId="35" fillId="35" borderId="38">
      <alignment horizontal="right" vertical="center"/>
    </xf>
    <xf numFmtId="0" fontId="43" fillId="60" borderId="36" applyNumberFormat="0" applyFont="0" applyAlignment="0" applyProtection="0"/>
    <xf numFmtId="0" fontId="53" fillId="0" borderId="35" applyNumberFormat="0" applyFill="0" applyAlignment="0" applyProtection="0"/>
    <xf numFmtId="0" fontId="49" fillId="57" borderId="34" applyNumberFormat="0" applyAlignment="0" applyProtection="0"/>
    <xf numFmtId="0" fontId="35" fillId="35" borderId="38">
      <alignment horizontal="right" vertical="center"/>
    </xf>
    <xf numFmtId="0" fontId="52" fillId="44" borderId="34" applyNumberFormat="0" applyAlignment="0" applyProtection="0"/>
    <xf numFmtId="4" fontId="35" fillId="35" borderId="37">
      <alignment horizontal="right" vertical="center"/>
    </xf>
    <xf numFmtId="4" fontId="35" fillId="35" borderId="39">
      <alignment horizontal="right" vertical="center"/>
    </xf>
    <xf numFmtId="4" fontId="35" fillId="33" borderId="44">
      <alignment horizontal="right" vertical="center"/>
    </xf>
    <xf numFmtId="0" fontId="37" fillId="0" borderId="64">
      <alignment horizontal="left" vertical="center" wrapText="1" indent="2"/>
    </xf>
    <xf numFmtId="0" fontId="13" fillId="23" borderId="0" applyNumberFormat="0" applyBorder="0" applyAlignment="0" applyProtection="0"/>
    <xf numFmtId="0" fontId="29" fillId="28" borderId="0" applyNumberFormat="0" applyBorder="0" applyAlignment="0" applyProtection="0"/>
    <xf numFmtId="0" fontId="68" fillId="0" borderId="59" applyNumberFormat="0" applyFill="0" applyAlignment="0" applyProtection="0"/>
    <xf numFmtId="4" fontId="35" fillId="35" borderId="83">
      <alignment horizontal="right" vertical="center"/>
    </xf>
    <xf numFmtId="0" fontId="53" fillId="0" borderId="35" applyNumberFormat="0" applyFill="0" applyAlignment="0" applyProtection="0"/>
    <xf numFmtId="0" fontId="31" fillId="14" borderId="8" applyNumberFormat="0" applyAlignment="0" applyProtection="0"/>
    <xf numFmtId="49" fontId="36" fillId="0" borderId="61" applyNumberFormat="0" applyFill="0" applyBorder="0" applyProtection="0">
      <alignment horizontal="left" vertical="center"/>
    </xf>
    <xf numFmtId="0" fontId="49" fillId="57" borderId="87" applyNumberFormat="0" applyAlignment="0" applyProtection="0"/>
    <xf numFmtId="0" fontId="65" fillId="57" borderId="65" applyNumberFormat="0" applyAlignment="0" applyProtection="0"/>
    <xf numFmtId="0" fontId="37" fillId="0" borderId="64">
      <alignment horizontal="left" vertical="center" wrapText="1" indent="2"/>
    </xf>
    <xf numFmtId="4" fontId="39" fillId="33" borderId="82">
      <alignment horizontal="right" vertical="center"/>
    </xf>
    <xf numFmtId="0" fontId="65" fillId="57" borderId="57" applyNumberFormat="0" applyAlignment="0" applyProtection="0"/>
    <xf numFmtId="4" fontId="37" fillId="0" borderId="61">
      <alignment horizontal="right" vertical="center"/>
    </xf>
    <xf numFmtId="4" fontId="37" fillId="0" borderId="82">
      <alignment horizontal="right" vertical="center"/>
    </xf>
    <xf numFmtId="0" fontId="37" fillId="35" borderId="85">
      <alignment horizontal="left" vertical="center" wrapText="1" indent="2"/>
    </xf>
    <xf numFmtId="0" fontId="29" fillId="16" borderId="0" applyNumberFormat="0" applyBorder="0" applyAlignment="0" applyProtection="0"/>
    <xf numFmtId="0" fontId="35" fillId="35" borderId="61">
      <alignment horizontal="right" vertical="center"/>
    </xf>
    <xf numFmtId="0" fontId="68" fillId="0" borderId="51" applyNumberFormat="0" applyFill="0" applyAlignment="0" applyProtection="0"/>
    <xf numFmtId="0" fontId="65" fillId="57" borderId="57" applyNumberFormat="0" applyAlignment="0" applyProtection="0"/>
    <xf numFmtId="0" fontId="68" fillId="0" borderId="59" applyNumberFormat="0" applyFill="0" applyAlignment="0" applyProtection="0"/>
    <xf numFmtId="0" fontId="29" fillId="30" borderId="0" applyNumberFormat="0" applyBorder="0" applyAlignment="0" applyProtection="0"/>
    <xf numFmtId="0" fontId="1" fillId="0" borderId="0" applyNumberFormat="0" applyFill="0" applyBorder="0" applyAlignment="0" applyProtection="0"/>
    <xf numFmtId="0" fontId="52" fillId="44" borderId="58" applyNumberFormat="0" applyAlignment="0" applyProtection="0"/>
    <xf numFmtId="0" fontId="29" fillId="25" borderId="0" applyNumberFormat="0" applyBorder="0" applyAlignment="0" applyProtection="0"/>
    <xf numFmtId="4" fontId="35" fillId="35" borderId="61">
      <alignment horizontal="right" vertical="center"/>
    </xf>
    <xf numFmtId="0" fontId="35" fillId="35" borderId="63">
      <alignment horizontal="right" vertical="center"/>
    </xf>
    <xf numFmtId="0" fontId="29" fillId="28" borderId="0" applyNumberFormat="0" applyBorder="0" applyAlignment="0" applyProtection="0"/>
    <xf numFmtId="0" fontId="37" fillId="0" borderId="53">
      <alignment horizontal="right" vertical="center"/>
    </xf>
    <xf numFmtId="174" fontId="37" fillId="61" borderId="69" applyNumberFormat="0" applyFont="0" applyBorder="0" applyAlignment="0" applyProtection="0">
      <alignment horizontal="right" vertical="center"/>
    </xf>
    <xf numFmtId="0" fontId="29" fillId="27" borderId="0" applyNumberFormat="0" applyBorder="0" applyAlignment="0" applyProtection="0"/>
    <xf numFmtId="49" fontId="37" fillId="0" borderId="44" applyNumberFormat="0" applyFont="0" applyFill="0" applyBorder="0" applyProtection="0">
      <alignment horizontal="left" vertical="center" indent="2"/>
    </xf>
    <xf numFmtId="4" fontId="35" fillId="35" borderId="71">
      <alignment horizontal="right" vertical="center"/>
    </xf>
    <xf numFmtId="4" fontId="37" fillId="0" borderId="44" applyFill="0" applyBorder="0" applyProtection="0">
      <alignment horizontal="right" vertical="center"/>
    </xf>
    <xf numFmtId="0" fontId="29" fillId="19" borderId="0" applyNumberFormat="0" applyBorder="0" applyAlignment="0" applyProtection="0"/>
    <xf numFmtId="4" fontId="37" fillId="34" borderId="61"/>
    <xf numFmtId="0" fontId="35" fillId="35" borderId="62">
      <alignment horizontal="right" vertical="center"/>
    </xf>
    <xf numFmtId="0" fontId="29" fillId="30" borderId="0" applyNumberFormat="0" applyBorder="0" applyAlignment="0" applyProtection="0"/>
    <xf numFmtId="0" fontId="29" fillId="21" borderId="0" applyNumberFormat="0" applyBorder="0" applyAlignment="0" applyProtection="0"/>
    <xf numFmtId="4" fontId="37" fillId="34" borderId="61"/>
    <xf numFmtId="0" fontId="32" fillId="14" borderId="7" applyNumberFormat="0" applyAlignment="0" applyProtection="0"/>
    <xf numFmtId="0" fontId="31" fillId="14" borderId="8" applyNumberFormat="0" applyAlignment="0" applyProtection="0"/>
    <xf numFmtId="0" fontId="37" fillId="0" borderId="64">
      <alignment horizontal="left" vertical="center" wrapText="1" indent="2"/>
    </xf>
    <xf numFmtId="0" fontId="35" fillId="35" borderId="62">
      <alignment horizontal="right" vertical="center"/>
    </xf>
    <xf numFmtId="0" fontId="49" fillId="57" borderId="58" applyNumberFormat="0" applyAlignment="0" applyProtection="0"/>
    <xf numFmtId="4" fontId="35" fillId="35" borderId="63">
      <alignment horizontal="right" vertical="center"/>
    </xf>
    <xf numFmtId="4" fontId="35" fillId="35" borderId="83">
      <alignment horizontal="right" vertical="center"/>
    </xf>
    <xf numFmtId="0" fontId="29" fillId="16" borderId="0" applyNumberFormat="0" applyBorder="0" applyAlignment="0" applyProtection="0"/>
    <xf numFmtId="0" fontId="37" fillId="35" borderId="85">
      <alignment horizontal="left" vertical="center" wrapText="1" indent="2"/>
    </xf>
    <xf numFmtId="0" fontId="65" fillId="57" borderId="73" applyNumberFormat="0" applyAlignment="0" applyProtection="0"/>
    <xf numFmtId="4" fontId="37" fillId="0" borderId="69">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0" fontId="68" fillId="0" borderId="67" applyNumberFormat="0" applyFill="0" applyAlignment="0" applyProtection="0"/>
    <xf numFmtId="0" fontId="32" fillId="14" borderId="7" applyNumberFormat="0" applyAlignment="0" applyProtection="0"/>
    <xf numFmtId="4" fontId="37" fillId="0" borderId="37" applyFill="0" applyBorder="0" applyProtection="0">
      <alignment horizontal="right" vertical="center"/>
    </xf>
    <xf numFmtId="4" fontId="35" fillId="35" borderId="37">
      <alignment horizontal="right" vertical="center"/>
    </xf>
    <xf numFmtId="49" fontId="36" fillId="0" borderId="37" applyNumberFormat="0" applyFill="0" applyBorder="0" applyProtection="0">
      <alignment horizontal="left" vertical="center"/>
    </xf>
    <xf numFmtId="4" fontId="35" fillId="35" borderId="70">
      <alignment horizontal="right" vertical="center"/>
    </xf>
    <xf numFmtId="4" fontId="35" fillId="35" borderId="61">
      <alignment horizontal="right" vertical="center"/>
    </xf>
    <xf numFmtId="0" fontId="49" fillId="57" borderId="58" applyNumberFormat="0" applyAlignment="0" applyProtection="0"/>
    <xf numFmtId="4" fontId="35" fillId="33" borderId="69">
      <alignment horizontal="right" vertical="center"/>
    </xf>
    <xf numFmtId="4" fontId="39" fillId="33" borderId="44">
      <alignment horizontal="right" vertical="center"/>
    </xf>
    <xf numFmtId="0" fontId="35" fillId="35" borderId="39">
      <alignment horizontal="right" vertical="center"/>
    </xf>
    <xf numFmtId="0" fontId="37" fillId="0" borderId="40">
      <alignment horizontal="left" vertical="center" wrapText="1" indent="2"/>
    </xf>
    <xf numFmtId="4" fontId="37" fillId="0" borderId="37" applyFill="0" applyBorder="0" applyProtection="0">
      <alignment horizontal="right" vertical="center"/>
    </xf>
    <xf numFmtId="49" fontId="37" fillId="0" borderId="38" applyNumberFormat="0" applyFont="0" applyFill="0" applyBorder="0" applyProtection="0">
      <alignment horizontal="left" vertical="center" indent="5"/>
    </xf>
    <xf numFmtId="0" fontId="53" fillId="0" borderId="35" applyNumberFormat="0" applyFill="0" applyAlignment="0" applyProtection="0"/>
    <xf numFmtId="0" fontId="35" fillId="33" borderId="37">
      <alignment horizontal="right" vertical="center"/>
    </xf>
    <xf numFmtId="0" fontId="35" fillId="35" borderId="37">
      <alignment horizontal="right" vertical="center"/>
    </xf>
    <xf numFmtId="0" fontId="39" fillId="33" borderId="37">
      <alignment horizontal="right" vertical="center"/>
    </xf>
    <xf numFmtId="0" fontId="35" fillId="33" borderId="37">
      <alignment horizontal="right" vertical="center"/>
    </xf>
    <xf numFmtId="0" fontId="35" fillId="35" borderId="37">
      <alignment horizontal="right" vertical="center"/>
    </xf>
    <xf numFmtId="0" fontId="68" fillId="0" borderId="35" applyNumberFormat="0" applyFill="0" applyAlignment="0" applyProtection="0"/>
    <xf numFmtId="0" fontId="5" fillId="60" borderId="36" applyNumberFormat="0" applyFont="0" applyAlignment="0" applyProtection="0"/>
    <xf numFmtId="4" fontId="37" fillId="34" borderId="37"/>
    <xf numFmtId="0" fontId="65" fillId="57" borderId="33" applyNumberFormat="0" applyAlignment="0" applyProtection="0"/>
    <xf numFmtId="0" fontId="43" fillId="60" borderId="36" applyNumberFormat="0" applyFont="0" applyAlignment="0" applyProtection="0"/>
    <xf numFmtId="0" fontId="49" fillId="57" borderId="34" applyNumberFormat="0" applyAlignment="0" applyProtection="0"/>
    <xf numFmtId="49" fontId="36" fillId="0" borderId="37" applyNumberFormat="0" applyFill="0" applyBorder="0" applyProtection="0">
      <alignment horizontal="left" vertical="center"/>
    </xf>
    <xf numFmtId="0" fontId="43" fillId="60" borderId="36" applyNumberFormat="0" applyFont="0" applyAlignment="0" applyProtection="0"/>
    <xf numFmtId="0" fontId="53" fillId="0" borderId="35" applyNumberFormat="0" applyFill="0" applyAlignment="0" applyProtection="0"/>
    <xf numFmtId="0" fontId="35" fillId="35" borderId="37">
      <alignment horizontal="right" vertical="center"/>
    </xf>
    <xf numFmtId="0" fontId="49" fillId="57" borderId="34" applyNumberFormat="0" applyAlignment="0" applyProtection="0"/>
    <xf numFmtId="0" fontId="48" fillId="57" borderId="34" applyNumberFormat="0" applyAlignment="0" applyProtection="0"/>
    <xf numFmtId="0" fontId="37" fillId="0" borderId="37">
      <alignment horizontal="right" vertical="center"/>
    </xf>
    <xf numFmtId="0" fontId="65" fillId="57" borderId="33" applyNumberFormat="0" applyAlignment="0" applyProtection="0"/>
    <xf numFmtId="4" fontId="39" fillId="33" borderId="37">
      <alignment horizontal="right" vertical="center"/>
    </xf>
    <xf numFmtId="0" fontId="37" fillId="33" borderId="38">
      <alignment horizontal="left" vertical="center"/>
    </xf>
    <xf numFmtId="4" fontId="35" fillId="35" borderId="44">
      <alignment horizontal="right" vertical="center"/>
    </xf>
    <xf numFmtId="0" fontId="52" fillId="44" borderId="66" applyNumberFormat="0" applyAlignment="0" applyProtection="0"/>
    <xf numFmtId="0" fontId="48" fillId="57" borderId="34" applyNumberFormat="0" applyAlignment="0" applyProtection="0"/>
    <xf numFmtId="0" fontId="61" fillId="44" borderId="58" applyNumberFormat="0" applyAlignment="0" applyProtection="0"/>
    <xf numFmtId="0" fontId="48" fillId="57" borderId="50" applyNumberFormat="0" applyAlignment="0" applyProtection="0"/>
    <xf numFmtId="4" fontId="39" fillId="33" borderId="61">
      <alignment horizontal="right" vertical="center"/>
    </xf>
    <xf numFmtId="0" fontId="48" fillId="57" borderId="66" applyNumberFormat="0" applyAlignment="0" applyProtection="0"/>
    <xf numFmtId="0" fontId="46" fillId="57" borderId="57" applyNumberFormat="0" applyAlignment="0" applyProtection="0"/>
    <xf numFmtId="0" fontId="43" fillId="60" borderId="43" applyNumberFormat="0" applyFont="0" applyAlignment="0" applyProtection="0"/>
    <xf numFmtId="0" fontId="61" fillId="44" borderId="41" applyNumberFormat="0" applyAlignment="0" applyProtection="0"/>
    <xf numFmtId="0" fontId="13" fillId="32" borderId="0" applyNumberFormat="0" applyBorder="0" applyAlignment="0" applyProtection="0"/>
    <xf numFmtId="0" fontId="13" fillId="26" borderId="0" applyNumberFormat="0" applyBorder="0" applyAlignment="0" applyProtection="0"/>
    <xf numFmtId="0" fontId="35" fillId="35" borderId="61">
      <alignment horizontal="right" vertical="center"/>
    </xf>
    <xf numFmtId="0" fontId="49" fillId="57" borderId="66" applyNumberFormat="0" applyAlignment="0" applyProtection="0"/>
    <xf numFmtId="0" fontId="13" fillId="26" borderId="0" applyNumberFormat="0" applyBorder="0" applyAlignment="0" applyProtection="0"/>
    <xf numFmtId="0" fontId="52" fillId="44" borderId="34" applyNumberFormat="0" applyAlignment="0" applyProtection="0"/>
    <xf numFmtId="4" fontId="35" fillId="35" borderId="37">
      <alignment horizontal="right" vertical="center"/>
    </xf>
    <xf numFmtId="0" fontId="37" fillId="34" borderId="37"/>
    <xf numFmtId="0" fontId="48" fillId="57" borderId="34" applyNumberFormat="0" applyAlignment="0" applyProtection="0"/>
    <xf numFmtId="0" fontId="35" fillId="35" borderId="37">
      <alignment horizontal="right" vertical="center"/>
    </xf>
    <xf numFmtId="0" fontId="35" fillId="35" borderId="39">
      <alignment horizontal="right" vertical="center"/>
    </xf>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0" fontId="35" fillId="35" borderId="39">
      <alignment horizontal="right" vertical="center"/>
    </xf>
    <xf numFmtId="0" fontId="35" fillId="35" borderId="38">
      <alignment horizontal="right" vertical="center"/>
    </xf>
    <xf numFmtId="0" fontId="35" fillId="35" borderId="37">
      <alignment horizontal="right" vertical="center"/>
    </xf>
    <xf numFmtId="174" fontId="37" fillId="61" borderId="37" applyNumberFormat="0" applyFont="0" applyBorder="0" applyAlignment="0" applyProtection="0">
      <alignment horizontal="right" vertical="center"/>
    </xf>
    <xf numFmtId="0" fontId="37" fillId="35" borderId="40">
      <alignment horizontal="left" vertical="center" wrapText="1" indent="2"/>
    </xf>
    <xf numFmtId="0" fontId="43" fillId="60" borderId="36" applyNumberFormat="0" applyFont="0" applyAlignment="0" applyProtection="0"/>
    <xf numFmtId="0" fontId="49" fillId="57" borderId="34" applyNumberFormat="0" applyAlignment="0" applyProtection="0"/>
    <xf numFmtId="0" fontId="48" fillId="57" borderId="34" applyNumberFormat="0" applyAlignment="0" applyProtection="0"/>
    <xf numFmtId="0" fontId="68" fillId="0" borderId="35" applyNumberFormat="0" applyFill="0" applyAlignment="0" applyProtection="0"/>
    <xf numFmtId="0" fontId="37" fillId="0" borderId="37">
      <alignment horizontal="right" vertical="center"/>
    </xf>
    <xf numFmtId="0" fontId="35" fillId="33" borderId="37">
      <alignment horizontal="right" vertical="center"/>
    </xf>
    <xf numFmtId="0" fontId="65" fillId="57" borderId="33" applyNumberFormat="0" applyAlignment="0" applyProtection="0"/>
    <xf numFmtId="0" fontId="65" fillId="57" borderId="33" applyNumberFormat="0" applyAlignment="0" applyProtection="0"/>
    <xf numFmtId="4" fontId="35" fillId="35" borderId="37">
      <alignment horizontal="right" vertical="center"/>
    </xf>
    <xf numFmtId="0" fontId="37" fillId="0" borderId="40">
      <alignment horizontal="left" vertical="center" wrapText="1" indent="2"/>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174" fontId="37" fillId="61" borderId="37" applyNumberFormat="0" applyFont="0" applyBorder="0" applyAlignment="0" applyProtection="0">
      <alignment horizontal="right" vertical="center"/>
    </xf>
    <xf numFmtId="0" fontId="49" fillId="57" borderId="34" applyNumberFormat="0" applyAlignment="0" applyProtection="0"/>
    <xf numFmtId="0" fontId="35" fillId="35" borderId="37">
      <alignment horizontal="right" vertical="center"/>
    </xf>
    <xf numFmtId="0" fontId="37" fillId="0" borderId="37">
      <alignment horizontal="right" vertical="center"/>
    </xf>
    <xf numFmtId="0" fontId="29" fillId="19" borderId="0" applyNumberFormat="0" applyBorder="0" applyAlignment="0" applyProtection="0"/>
    <xf numFmtId="0" fontId="52" fillId="44" borderId="58" applyNumberFormat="0" applyAlignment="0" applyProtection="0"/>
    <xf numFmtId="0" fontId="37" fillId="35" borderId="40">
      <alignment horizontal="left" vertical="center" wrapText="1" indent="2"/>
    </xf>
    <xf numFmtId="0" fontId="29" fillId="21" borderId="0" applyNumberFormat="0" applyBorder="0" applyAlignment="0" applyProtection="0"/>
    <xf numFmtId="0" fontId="13" fillId="29" borderId="0" applyNumberFormat="0" applyBorder="0" applyAlignment="0" applyProtection="0"/>
    <xf numFmtId="0" fontId="68" fillId="0" borderId="42" applyNumberFormat="0" applyFill="0" applyAlignment="0" applyProtection="0"/>
    <xf numFmtId="0" fontId="65" fillId="57" borderId="33" applyNumberFormat="0" applyAlignment="0" applyProtection="0"/>
    <xf numFmtId="4" fontId="35" fillId="33" borderId="61">
      <alignment horizontal="right" vertical="center"/>
    </xf>
    <xf numFmtId="0" fontId="37" fillId="33" borderId="62">
      <alignment horizontal="left" vertical="center"/>
    </xf>
    <xf numFmtId="0" fontId="46" fillId="57" borderId="65" applyNumberFormat="0" applyAlignment="0" applyProtection="0"/>
    <xf numFmtId="49" fontId="36" fillId="0" borderId="61" applyNumberFormat="0" applyFill="0" applyBorder="0" applyProtection="0">
      <alignment horizontal="left" vertical="center"/>
    </xf>
    <xf numFmtId="0" fontId="61" fillId="44" borderId="58" applyNumberFormat="0" applyAlignment="0" applyProtection="0"/>
    <xf numFmtId="0" fontId="2" fillId="0" borderId="9" applyNumberFormat="0" applyFill="0" applyAlignment="0" applyProtection="0"/>
    <xf numFmtId="0" fontId="29" fillId="18" borderId="0" applyNumberFormat="0" applyBorder="0" applyAlignment="0" applyProtection="0"/>
    <xf numFmtId="0" fontId="52" fillId="44" borderId="41" applyNumberFormat="0" applyAlignment="0" applyProtection="0"/>
    <xf numFmtId="0" fontId="29" fillId="24" borderId="0" applyNumberFormat="0" applyBorder="0" applyAlignment="0" applyProtection="0"/>
    <xf numFmtId="0" fontId="35" fillId="35" borderId="39">
      <alignment horizontal="right" vertical="center"/>
    </xf>
    <xf numFmtId="0" fontId="37" fillId="34" borderId="53"/>
    <xf numFmtId="0" fontId="35" fillId="35" borderId="61">
      <alignment horizontal="right" vertical="center"/>
    </xf>
    <xf numFmtId="0" fontId="68" fillId="0" borderId="59" applyNumberFormat="0" applyFill="0" applyAlignment="0" applyProtection="0"/>
    <xf numFmtId="4" fontId="37" fillId="34" borderId="61"/>
    <xf numFmtId="0" fontId="29" fillId="18" borderId="0" applyNumberFormat="0" applyBorder="0" applyAlignment="0" applyProtection="0"/>
    <xf numFmtId="0" fontId="29" fillId="15" borderId="0" applyNumberFormat="0" applyBorder="0" applyAlignment="0" applyProtection="0"/>
    <xf numFmtId="0" fontId="39" fillId="33" borderId="37">
      <alignment horizontal="right" vertical="center"/>
    </xf>
    <xf numFmtId="4" fontId="37" fillId="0" borderId="37">
      <alignment horizontal="right" vertical="center"/>
    </xf>
    <xf numFmtId="0" fontId="68" fillId="0" borderId="35" applyNumberFormat="0" applyFill="0" applyAlignment="0" applyProtection="0"/>
    <xf numFmtId="4" fontId="35" fillId="35" borderId="38">
      <alignment horizontal="right" vertical="center"/>
    </xf>
    <xf numFmtId="0" fontId="29" fillId="22" borderId="0" applyNumberFormat="0" applyBorder="0" applyAlignment="0" applyProtection="0"/>
    <xf numFmtId="174" fontId="37" fillId="61" borderId="61" applyNumberFormat="0" applyFont="0" applyBorder="0" applyAlignment="0" applyProtection="0">
      <alignment horizontal="right" vertical="center"/>
    </xf>
    <xf numFmtId="0" fontId="37" fillId="0" borderId="47">
      <alignment horizontal="left" vertical="center" wrapText="1" indent="2"/>
    </xf>
    <xf numFmtId="0" fontId="5" fillId="60" borderId="68" applyNumberFormat="0" applyFont="0" applyAlignment="0" applyProtection="0"/>
    <xf numFmtId="0" fontId="43" fillId="60" borderId="43" applyNumberFormat="0" applyFont="0" applyAlignment="0" applyProtection="0"/>
    <xf numFmtId="4" fontId="35" fillId="33" borderId="61">
      <alignment horizontal="right" vertical="center"/>
    </xf>
    <xf numFmtId="0" fontId="65" fillId="57" borderId="49" applyNumberFormat="0" applyAlignment="0" applyProtection="0"/>
    <xf numFmtId="0" fontId="43" fillId="60" borderId="60" applyNumberFormat="0" applyFont="0" applyAlignment="0" applyProtection="0"/>
    <xf numFmtId="4" fontId="35" fillId="35" borderId="69">
      <alignment horizontal="right" vertical="center"/>
    </xf>
    <xf numFmtId="0" fontId="37" fillId="0" borderId="64">
      <alignment horizontal="left" vertical="center" wrapText="1" indent="2"/>
    </xf>
    <xf numFmtId="0" fontId="46" fillId="57" borderId="86" applyNumberFormat="0" applyAlignment="0" applyProtection="0"/>
    <xf numFmtId="0" fontId="37" fillId="33" borderId="38">
      <alignment horizontal="left" vertical="center"/>
    </xf>
    <xf numFmtId="0" fontId="65" fillId="57" borderId="33" applyNumberFormat="0" applyAlignment="0" applyProtection="0"/>
    <xf numFmtId="4" fontId="37" fillId="34" borderId="37"/>
    <xf numFmtId="0" fontId="37" fillId="0" borderId="37">
      <alignment horizontal="right" vertical="center"/>
    </xf>
    <xf numFmtId="4" fontId="35" fillId="35" borderId="37">
      <alignment horizontal="right" vertical="center"/>
    </xf>
    <xf numFmtId="0" fontId="35" fillId="35" borderId="38">
      <alignment horizontal="right" vertical="center"/>
    </xf>
    <xf numFmtId="4" fontId="35" fillId="33" borderId="37">
      <alignment horizontal="right" vertical="center"/>
    </xf>
    <xf numFmtId="0" fontId="29" fillId="24" borderId="0" applyNumberFormat="0" applyBorder="0" applyAlignment="0" applyProtection="0"/>
    <xf numFmtId="0" fontId="43" fillId="60" borderId="36" applyNumberFormat="0" applyFont="0" applyAlignment="0" applyProtection="0"/>
    <xf numFmtId="0" fontId="68" fillId="0" borderId="51" applyNumberFormat="0" applyFill="0" applyAlignment="0" applyProtection="0"/>
    <xf numFmtId="0" fontId="35" fillId="33" borderId="61">
      <alignment horizontal="right" vertical="center"/>
    </xf>
    <xf numFmtId="0" fontId="68" fillId="0" borderId="35" applyNumberFormat="0" applyFill="0" applyAlignment="0" applyProtection="0"/>
    <xf numFmtId="0" fontId="31" fillId="14" borderId="8" applyNumberFormat="0" applyAlignment="0" applyProtection="0"/>
    <xf numFmtId="0" fontId="37" fillId="33" borderId="45">
      <alignment horizontal="left" vertical="center"/>
    </xf>
    <xf numFmtId="0" fontId="68" fillId="0" borderId="42" applyNumberFormat="0" applyFill="0" applyAlignment="0" applyProtection="0"/>
    <xf numFmtId="0" fontId="35" fillId="35" borderId="61">
      <alignment horizontal="right" vertical="center"/>
    </xf>
    <xf numFmtId="0" fontId="31" fillId="14" borderId="8" applyNumberFormat="0" applyAlignment="0" applyProtection="0"/>
    <xf numFmtId="0" fontId="46" fillId="57" borderId="57" applyNumberFormat="0" applyAlignment="0" applyProtection="0"/>
    <xf numFmtId="49" fontId="36" fillId="0" borderId="61" applyNumberFormat="0" applyFill="0" applyBorder="0" applyProtection="0">
      <alignment horizontal="left" vertical="center"/>
    </xf>
    <xf numFmtId="49" fontId="37" fillId="0" borderId="69" applyNumberFormat="0" applyFont="0" applyFill="0" applyBorder="0" applyProtection="0">
      <alignment horizontal="left" vertical="center" indent="2"/>
    </xf>
    <xf numFmtId="0" fontId="29" fillId="27" borderId="0" applyNumberFormat="0" applyBorder="0" applyAlignment="0" applyProtection="0"/>
    <xf numFmtId="0" fontId="43" fillId="60" borderId="36" applyNumberFormat="0" applyFont="0" applyAlignment="0" applyProtection="0"/>
    <xf numFmtId="4" fontId="37" fillId="34" borderId="61"/>
    <xf numFmtId="4" fontId="35" fillId="35" borderId="61">
      <alignment horizontal="right" vertical="center"/>
    </xf>
    <xf numFmtId="4" fontId="35" fillId="35" borderId="37">
      <alignment horizontal="right" vertical="center"/>
    </xf>
    <xf numFmtId="4" fontId="37" fillId="34" borderId="37"/>
    <xf numFmtId="49" fontId="37" fillId="0" borderId="45" applyNumberFormat="0" applyFont="0" applyFill="0" applyBorder="0" applyProtection="0">
      <alignment horizontal="left" vertical="center" indent="5"/>
    </xf>
    <xf numFmtId="4" fontId="35" fillId="35" borderId="62">
      <alignment horizontal="right" vertical="center"/>
    </xf>
    <xf numFmtId="0" fontId="68" fillId="0" borderId="35" applyNumberFormat="0" applyFill="0" applyAlignment="0" applyProtection="0"/>
    <xf numFmtId="0" fontId="61" fillId="44" borderId="34" applyNumberFormat="0" applyAlignment="0" applyProtection="0"/>
    <xf numFmtId="0" fontId="52" fillId="44" borderId="34" applyNumberFormat="0" applyAlignment="0" applyProtection="0"/>
    <xf numFmtId="0" fontId="35" fillId="35" borderId="38">
      <alignment horizontal="right" vertical="center"/>
    </xf>
    <xf numFmtId="0" fontId="49" fillId="57" borderId="34" applyNumberFormat="0" applyAlignment="0" applyProtection="0"/>
    <xf numFmtId="0" fontId="46" fillId="57" borderId="33" applyNumberFormat="0" applyAlignment="0" applyProtection="0"/>
    <xf numFmtId="4" fontId="37" fillId="0" borderId="37">
      <alignment horizontal="right" vertical="center"/>
    </xf>
    <xf numFmtId="0" fontId="68" fillId="0" borderId="35" applyNumberFormat="0" applyFill="0" applyAlignment="0" applyProtection="0"/>
    <xf numFmtId="0" fontId="46" fillId="57" borderId="33" applyNumberFormat="0" applyAlignment="0" applyProtection="0"/>
    <xf numFmtId="0" fontId="68" fillId="0" borderId="59" applyNumberFormat="0" applyFill="0" applyAlignment="0" applyProtection="0"/>
    <xf numFmtId="0" fontId="46" fillId="57" borderId="57" applyNumberFormat="0" applyAlignment="0" applyProtection="0"/>
    <xf numFmtId="0" fontId="49" fillId="57" borderId="66" applyNumberFormat="0" applyAlignment="0" applyProtection="0"/>
    <xf numFmtId="4" fontId="35" fillId="35" borderId="61">
      <alignment horizontal="right" vertical="center"/>
    </xf>
    <xf numFmtId="0" fontId="35" fillId="35" borderId="46">
      <alignment horizontal="right" vertical="center"/>
    </xf>
    <xf numFmtId="4" fontId="37" fillId="0" borderId="82" applyFill="0" applyBorder="0" applyProtection="0">
      <alignment horizontal="right" vertical="center"/>
    </xf>
    <xf numFmtId="0" fontId="35" fillId="35" borderId="37">
      <alignment horizontal="right" vertical="center"/>
    </xf>
    <xf numFmtId="0" fontId="35" fillId="35" borderId="69">
      <alignment horizontal="right" vertical="center"/>
    </xf>
    <xf numFmtId="4" fontId="37" fillId="0" borderId="69">
      <alignment horizontal="right" vertical="center"/>
    </xf>
    <xf numFmtId="0" fontId="35" fillId="35" borderId="53">
      <alignment horizontal="right" vertical="center"/>
    </xf>
    <xf numFmtId="0" fontId="48" fillId="57" borderId="66" applyNumberFormat="0" applyAlignment="0" applyProtection="0"/>
    <xf numFmtId="0" fontId="29" fillId="31" borderId="0" applyNumberFormat="0" applyBorder="0" applyAlignment="0" applyProtection="0"/>
    <xf numFmtId="0" fontId="61" fillId="44" borderId="58" applyNumberFormat="0" applyAlignment="0" applyProtection="0"/>
    <xf numFmtId="4" fontId="37" fillId="34" borderId="61"/>
    <xf numFmtId="0" fontId="29" fillId="28" borderId="0" applyNumberFormat="0" applyBorder="0" applyAlignment="0" applyProtection="0"/>
    <xf numFmtId="0" fontId="33" fillId="0" borderId="0" applyNumberFormat="0" applyFill="0" applyBorder="0" applyAlignment="0" applyProtection="0"/>
    <xf numFmtId="0" fontId="49" fillId="57" borderId="34" applyNumberFormat="0" applyAlignment="0" applyProtection="0"/>
    <xf numFmtId="0" fontId="39" fillId="33" borderId="37">
      <alignment horizontal="right" vertical="center"/>
    </xf>
    <xf numFmtId="4" fontId="37" fillId="34" borderId="37"/>
    <xf numFmtId="0" fontId="53" fillId="0" borderId="35" applyNumberFormat="0" applyFill="0" applyAlignment="0" applyProtection="0"/>
    <xf numFmtId="0" fontId="46" fillId="57" borderId="33" applyNumberFormat="0" applyAlignment="0" applyProtection="0"/>
    <xf numFmtId="4" fontId="35" fillId="35" borderId="37">
      <alignment horizontal="right" vertical="center"/>
    </xf>
    <xf numFmtId="0" fontId="37" fillId="0" borderId="37">
      <alignment horizontal="right" vertical="center"/>
    </xf>
    <xf numFmtId="0" fontId="37" fillId="33" borderId="38">
      <alignment horizontal="left" vertical="center"/>
    </xf>
    <xf numFmtId="0" fontId="37" fillId="35" borderId="40">
      <alignment horizontal="left" vertical="center" wrapText="1" indent="2"/>
    </xf>
    <xf numFmtId="4" fontId="35" fillId="35" borderId="39">
      <alignment horizontal="right" vertical="center"/>
    </xf>
    <xf numFmtId="4" fontId="35" fillId="35" borderId="38">
      <alignment horizontal="right" vertical="center"/>
    </xf>
    <xf numFmtId="4" fontId="35" fillId="35" borderId="37">
      <alignment horizontal="right" vertical="center"/>
    </xf>
    <xf numFmtId="0" fontId="37" fillId="0" borderId="37" applyNumberFormat="0" applyFill="0" applyAlignment="0" applyProtection="0"/>
    <xf numFmtId="0" fontId="37" fillId="34" borderId="37"/>
    <xf numFmtId="4" fontId="35" fillId="35" borderId="38">
      <alignment horizontal="right" vertical="center"/>
    </xf>
    <xf numFmtId="0" fontId="53" fillId="0" borderId="35" applyNumberFormat="0" applyFill="0" applyAlignment="0" applyProtection="0"/>
    <xf numFmtId="0" fontId="35" fillId="35" borderId="38">
      <alignment horizontal="right" vertical="center"/>
    </xf>
    <xf numFmtId="4" fontId="35" fillId="35" borderId="39">
      <alignment horizontal="right" vertical="center"/>
    </xf>
    <xf numFmtId="0" fontId="48" fillId="57" borderId="34" applyNumberFormat="0" applyAlignment="0" applyProtection="0"/>
    <xf numFmtId="0" fontId="35" fillId="35" borderId="38">
      <alignment horizontal="right" vertical="center"/>
    </xf>
    <xf numFmtId="0" fontId="29" fillId="24" borderId="0" applyNumberFormat="0" applyBorder="0" applyAlignment="0" applyProtection="0"/>
    <xf numFmtId="4" fontId="35" fillId="35" borderId="61">
      <alignment horizontal="right" vertical="center"/>
    </xf>
    <xf numFmtId="0" fontId="31" fillId="14" borderId="8" applyNumberFormat="0" applyAlignment="0" applyProtection="0"/>
    <xf numFmtId="0" fontId="37" fillId="33" borderId="62">
      <alignment horizontal="left" vertical="center"/>
    </xf>
    <xf numFmtId="0" fontId="43" fillId="60" borderId="52" applyNumberFormat="0" applyFont="0" applyAlignment="0" applyProtection="0"/>
    <xf numFmtId="0" fontId="13" fillId="17" borderId="0" applyNumberFormat="0" applyBorder="0" applyAlignment="0" applyProtection="0"/>
    <xf numFmtId="0" fontId="29" fillId="24" borderId="0" applyNumberFormat="0" applyBorder="0" applyAlignment="0" applyProtection="0"/>
    <xf numFmtId="0" fontId="53" fillId="0" borderId="35" applyNumberFormat="0" applyFill="0" applyAlignment="0" applyProtection="0"/>
    <xf numFmtId="0" fontId="61" fillId="44" borderId="34" applyNumberFormat="0" applyAlignment="0" applyProtection="0"/>
    <xf numFmtId="0" fontId="37" fillId="0" borderId="37" applyNumberFormat="0" applyFill="0" applyAlignment="0" applyProtection="0"/>
    <xf numFmtId="0" fontId="61" fillId="44" borderId="34" applyNumberFormat="0" applyAlignment="0" applyProtection="0"/>
    <xf numFmtId="0" fontId="49" fillId="57" borderId="58" applyNumberFormat="0" applyAlignment="0" applyProtection="0"/>
    <xf numFmtId="0" fontId="48" fillId="57" borderId="34" applyNumberFormat="0" applyAlignment="0" applyProtection="0"/>
    <xf numFmtId="4" fontId="35" fillId="35" borderId="69">
      <alignment horizontal="right" vertical="center"/>
    </xf>
    <xf numFmtId="0" fontId="52" fillId="44" borderId="34" applyNumberFormat="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0" fontId="37" fillId="35" borderId="40">
      <alignment horizontal="left" vertical="center" wrapText="1" indent="2"/>
    </xf>
    <xf numFmtId="0" fontId="37" fillId="34" borderId="37"/>
    <xf numFmtId="0" fontId="43" fillId="60" borderId="36" applyNumberFormat="0" applyFont="0" applyAlignment="0" applyProtection="0"/>
    <xf numFmtId="4" fontId="35" fillId="33" borderId="37">
      <alignment horizontal="right" vertical="center"/>
    </xf>
    <xf numFmtId="4" fontId="37" fillId="0" borderId="61">
      <alignment horizontal="right" vertical="center"/>
    </xf>
    <xf numFmtId="0" fontId="29" fillId="27" borderId="0" applyNumberFormat="0" applyBorder="0" applyAlignment="0" applyProtection="0"/>
    <xf numFmtId="0" fontId="37" fillId="0" borderId="61" applyNumberFormat="0" applyFill="0" applyAlignment="0" applyProtection="0"/>
    <xf numFmtId="0" fontId="37" fillId="35" borderId="72">
      <alignment horizontal="left" vertical="center" wrapText="1" indent="2"/>
    </xf>
    <xf numFmtId="0" fontId="35" fillId="35" borderId="63">
      <alignment horizontal="right" vertical="center"/>
    </xf>
    <xf numFmtId="49" fontId="37" fillId="0" borderId="38" applyNumberFormat="0" applyFont="0" applyFill="0" applyBorder="0" applyProtection="0">
      <alignment horizontal="left" vertical="center" indent="5"/>
    </xf>
    <xf numFmtId="0" fontId="37" fillId="0" borderId="61">
      <alignment horizontal="right" vertical="center"/>
    </xf>
    <xf numFmtId="0" fontId="35" fillId="33" borderId="61">
      <alignment horizontal="right" vertical="center"/>
    </xf>
    <xf numFmtId="0" fontId="43" fillId="60" borderId="60" applyNumberFormat="0" applyFont="0" applyAlignment="0" applyProtection="0"/>
    <xf numFmtId="0" fontId="37" fillId="35" borderId="40">
      <alignment horizontal="left" vertical="center" wrapText="1" indent="2"/>
    </xf>
    <xf numFmtId="0" fontId="53" fillId="0" borderId="59" applyNumberFormat="0" applyFill="0" applyAlignment="0" applyProtection="0"/>
    <xf numFmtId="0" fontId="49" fillId="57" borderId="58" applyNumberFormat="0" applyAlignment="0" applyProtection="0"/>
    <xf numFmtId="0" fontId="37" fillId="34" borderId="69"/>
    <xf numFmtId="0" fontId="52" fillId="44" borderId="58" applyNumberFormat="0" applyAlignment="0" applyProtection="0"/>
    <xf numFmtId="0" fontId="65" fillId="57" borderId="57" applyNumberFormat="0" applyAlignment="0" applyProtection="0"/>
    <xf numFmtId="0" fontId="37" fillId="34" borderId="61"/>
    <xf numFmtId="0" fontId="43" fillId="60" borderId="60" applyNumberFormat="0" applyFont="0" applyAlignment="0" applyProtection="0"/>
    <xf numFmtId="0" fontId="29" fillId="22" borderId="0" applyNumberFormat="0" applyBorder="0" applyAlignment="0" applyProtection="0"/>
    <xf numFmtId="0" fontId="29" fillId="18" borderId="0" applyNumberFormat="0" applyBorder="0" applyAlignment="0" applyProtection="0"/>
    <xf numFmtId="0" fontId="1" fillId="0" borderId="0" applyNumberFormat="0" applyFill="0" applyBorder="0" applyAlignment="0" applyProtection="0"/>
    <xf numFmtId="0" fontId="13" fillId="20" borderId="0" applyNumberFormat="0" applyBorder="0" applyAlignment="0" applyProtection="0"/>
    <xf numFmtId="49" fontId="37" fillId="0" borderId="54" applyNumberFormat="0" applyFont="0" applyFill="0" applyBorder="0" applyProtection="0">
      <alignment horizontal="left" vertical="center" indent="5"/>
    </xf>
    <xf numFmtId="0" fontId="29" fillId="25" borderId="0" applyNumberFormat="0" applyBorder="0" applyAlignment="0" applyProtection="0"/>
    <xf numFmtId="0" fontId="48" fillId="57" borderId="74" applyNumberFormat="0" applyAlignment="0" applyProtection="0"/>
    <xf numFmtId="0" fontId="35" fillId="35" borderId="61">
      <alignment horizontal="right" vertical="center"/>
    </xf>
    <xf numFmtId="0" fontId="35" fillId="35" borderId="82">
      <alignment horizontal="right" vertical="center"/>
    </xf>
    <xf numFmtId="0" fontId="37" fillId="0" borderId="72">
      <alignment horizontal="left" vertical="center" wrapText="1" indent="2"/>
    </xf>
    <xf numFmtId="4" fontId="35" fillId="35" borderId="39">
      <alignment horizontal="right" vertical="center"/>
    </xf>
    <xf numFmtId="0" fontId="61" fillId="44" borderId="58" applyNumberFormat="0" applyAlignment="0" applyProtection="0"/>
    <xf numFmtId="174" fontId="37" fillId="61" borderId="37" applyNumberFormat="0" applyFont="0" applyBorder="0" applyAlignment="0" applyProtection="0">
      <alignment horizontal="right" vertical="center"/>
    </xf>
    <xf numFmtId="0" fontId="37" fillId="34" borderId="37"/>
    <xf numFmtId="0" fontId="37" fillId="0" borderId="37" applyNumberFormat="0" applyFill="0" applyAlignment="0" applyProtection="0"/>
    <xf numFmtId="0" fontId="33" fillId="0" borderId="0" applyNumberFormat="0" applyFill="0" applyBorder="0" applyAlignment="0" applyProtection="0"/>
    <xf numFmtId="0" fontId="61" fillId="44" borderId="34" applyNumberFormat="0" applyAlignment="0" applyProtection="0"/>
    <xf numFmtId="0" fontId="37" fillId="0" borderId="40">
      <alignment horizontal="left" vertical="center" wrapText="1" indent="2"/>
    </xf>
    <xf numFmtId="0" fontId="49" fillId="57" borderId="34" applyNumberFormat="0" applyAlignment="0" applyProtection="0"/>
    <xf numFmtId="4" fontId="39" fillId="33" borderId="37">
      <alignment horizontal="right" vertical="center"/>
    </xf>
    <xf numFmtId="0" fontId="35" fillId="35" borderId="37">
      <alignment horizontal="right" vertical="center"/>
    </xf>
    <xf numFmtId="4" fontId="35" fillId="35" borderId="37">
      <alignment horizontal="right" vertical="center"/>
    </xf>
    <xf numFmtId="0" fontId="35" fillId="35" borderId="37">
      <alignment horizontal="right" vertical="center"/>
    </xf>
    <xf numFmtId="0" fontId="35" fillId="35" borderId="61">
      <alignment horizontal="right" vertical="center"/>
    </xf>
    <xf numFmtId="0" fontId="35" fillId="33" borderId="37">
      <alignment horizontal="right" vertical="center"/>
    </xf>
    <xf numFmtId="0" fontId="37" fillId="34" borderId="61"/>
    <xf numFmtId="0" fontId="49" fillId="57" borderId="50" applyNumberFormat="0" applyAlignment="0" applyProtection="0"/>
    <xf numFmtId="0" fontId="37" fillId="0" borderId="53" applyNumberFormat="0" applyFill="0" applyAlignment="0" applyProtection="0"/>
    <xf numFmtId="0" fontId="61" fillId="44" borderId="34" applyNumberFormat="0" applyAlignment="0" applyProtection="0"/>
    <xf numFmtId="0" fontId="35" fillId="35" borderId="45">
      <alignment horizontal="right" vertical="center"/>
    </xf>
    <xf numFmtId="0" fontId="43" fillId="60" borderId="60" applyNumberFormat="0" applyFont="0" applyAlignment="0" applyProtection="0"/>
    <xf numFmtId="0" fontId="39" fillId="33" borderId="61">
      <alignment horizontal="right" vertical="center"/>
    </xf>
    <xf numFmtId="0" fontId="65" fillId="57" borderId="33" applyNumberFormat="0" applyAlignment="0" applyProtection="0"/>
    <xf numFmtId="0" fontId="43" fillId="60" borderId="60" applyNumberFormat="0" applyFont="0" applyAlignment="0" applyProtection="0"/>
    <xf numFmtId="0" fontId="68" fillId="0" borderId="59" applyNumberFormat="0" applyFill="0" applyAlignment="0" applyProtection="0"/>
    <xf numFmtId="0" fontId="35" fillId="35" borderId="84">
      <alignment horizontal="right" vertical="center"/>
    </xf>
    <xf numFmtId="0" fontId="68" fillId="0" borderId="51" applyNumberFormat="0" applyFill="0" applyAlignment="0" applyProtection="0"/>
    <xf numFmtId="4" fontId="37" fillId="0" borderId="44">
      <alignment horizontal="right" vertical="center"/>
    </xf>
    <xf numFmtId="0" fontId="37" fillId="0" borderId="61" applyNumberFormat="0" applyFill="0" applyAlignment="0" applyProtection="0"/>
    <xf numFmtId="0" fontId="35" fillId="35" borderId="62">
      <alignment horizontal="right" vertical="center"/>
    </xf>
    <xf numFmtId="0" fontId="49" fillId="57" borderId="34" applyNumberFormat="0" applyAlignment="0" applyProtection="0"/>
    <xf numFmtId="0" fontId="35" fillId="33" borderId="61">
      <alignment horizontal="right" vertical="center"/>
    </xf>
    <xf numFmtId="4" fontId="35" fillId="35" borderId="63">
      <alignment horizontal="right" vertical="center"/>
    </xf>
    <xf numFmtId="0" fontId="29" fillId="24" borderId="0" applyNumberFormat="0" applyBorder="0" applyAlignment="0" applyProtection="0"/>
    <xf numFmtId="0" fontId="46" fillId="57" borderId="65" applyNumberFormat="0" applyAlignment="0" applyProtection="0"/>
    <xf numFmtId="4" fontId="35" fillId="35" borderId="71">
      <alignment horizontal="right" vertical="center"/>
    </xf>
    <xf numFmtId="0" fontId="43" fillId="60" borderId="60" applyNumberFormat="0" applyFont="0" applyAlignment="0" applyProtection="0"/>
    <xf numFmtId="0" fontId="52" fillId="44" borderId="58" applyNumberFormat="0" applyAlignment="0" applyProtection="0"/>
    <xf numFmtId="0" fontId="29" fillId="19" borderId="0" applyNumberFormat="0" applyBorder="0" applyAlignment="0" applyProtection="0"/>
    <xf numFmtId="0" fontId="29" fillId="15" borderId="0" applyNumberFormat="0" applyBorder="0" applyAlignment="0" applyProtection="0"/>
    <xf numFmtId="0" fontId="29" fillId="21" borderId="0" applyNumberFormat="0" applyBorder="0" applyAlignment="0" applyProtection="0"/>
    <xf numFmtId="4" fontId="39" fillId="33" borderId="61">
      <alignment horizontal="right" vertical="center"/>
    </xf>
    <xf numFmtId="0" fontId="68" fillId="0" borderId="42" applyNumberFormat="0" applyFill="0" applyAlignment="0" applyProtection="0"/>
    <xf numFmtId="0" fontId="33" fillId="0" borderId="0" applyNumberFormat="0" applyFill="0" applyBorder="0" applyAlignment="0" applyProtection="0"/>
    <xf numFmtId="0" fontId="49" fillId="57" borderId="87" applyNumberFormat="0" applyAlignment="0" applyProtection="0"/>
    <xf numFmtId="4" fontId="35" fillId="33" borderId="53">
      <alignment horizontal="right" vertical="center"/>
    </xf>
    <xf numFmtId="0" fontId="49" fillId="57" borderId="50" applyNumberFormat="0" applyAlignment="0" applyProtection="0"/>
    <xf numFmtId="0" fontId="35" fillId="35" borderId="63">
      <alignment horizontal="right" vertical="center"/>
    </xf>
    <xf numFmtId="4" fontId="37" fillId="0" borderId="69" applyFill="0" applyBorder="0" applyProtection="0">
      <alignment horizontal="right" vertical="center"/>
    </xf>
    <xf numFmtId="4" fontId="37" fillId="34" borderId="69"/>
    <xf numFmtId="0" fontId="68" fillId="0" borderId="35" applyNumberFormat="0" applyFill="0" applyAlignment="0" applyProtection="0"/>
    <xf numFmtId="0" fontId="37" fillId="34" borderId="69"/>
    <xf numFmtId="0" fontId="5" fillId="60" borderId="36" applyNumberFormat="0" applyFont="0" applyAlignment="0" applyProtection="0"/>
    <xf numFmtId="0" fontId="65" fillId="57" borderId="33" applyNumberFormat="0" applyAlignment="0" applyProtection="0"/>
    <xf numFmtId="4" fontId="35" fillId="35" borderId="63">
      <alignment horizontal="right" vertical="center"/>
    </xf>
    <xf numFmtId="0" fontId="13" fillId="17" borderId="0" applyNumberFormat="0" applyBorder="0" applyAlignment="0" applyProtection="0"/>
    <xf numFmtId="0" fontId="68" fillId="0" borderId="59" applyNumberFormat="0" applyFill="0" applyAlignment="0" applyProtection="0"/>
    <xf numFmtId="0" fontId="32" fillId="14" borderId="7" applyNumberFormat="0" applyAlignment="0" applyProtection="0"/>
    <xf numFmtId="0" fontId="29" fillId="16" borderId="0" applyNumberFormat="0" applyBorder="0" applyAlignment="0" applyProtection="0"/>
    <xf numFmtId="0" fontId="61" fillId="44" borderId="50" applyNumberFormat="0" applyAlignment="0" applyProtection="0"/>
    <xf numFmtId="0" fontId="35" fillId="35" borderId="53">
      <alignment horizontal="right" vertical="center"/>
    </xf>
    <xf numFmtId="0" fontId="13" fillId="32" borderId="0" applyNumberFormat="0" applyBorder="0" applyAlignment="0" applyProtection="0"/>
    <xf numFmtId="4" fontId="35" fillId="35" borderId="69">
      <alignment horizontal="right" vertical="center"/>
    </xf>
    <xf numFmtId="0" fontId="29" fillId="30" borderId="0" applyNumberFormat="0" applyBorder="0" applyAlignment="0" applyProtection="0"/>
    <xf numFmtId="0" fontId="37" fillId="35" borderId="40">
      <alignment horizontal="left" vertical="center" wrapText="1" indent="2"/>
    </xf>
    <xf numFmtId="0" fontId="43" fillId="60" borderId="52" applyNumberFormat="0" applyFont="0" applyAlignment="0" applyProtection="0"/>
    <xf numFmtId="0" fontId="49" fillId="57" borderId="34" applyNumberFormat="0" applyAlignment="0" applyProtection="0"/>
    <xf numFmtId="0" fontId="35" fillId="35" borderId="37">
      <alignment horizontal="right" vertical="center"/>
    </xf>
    <xf numFmtId="0" fontId="48" fillId="57" borderId="87" applyNumberFormat="0" applyAlignment="0" applyProtection="0"/>
    <xf numFmtId="0" fontId="49" fillId="57" borderId="66" applyNumberFormat="0" applyAlignment="0" applyProtection="0"/>
    <xf numFmtId="4" fontId="35" fillId="35" borderId="71">
      <alignment horizontal="right" vertical="center"/>
    </xf>
    <xf numFmtId="0" fontId="29" fillId="15" borderId="0" applyNumberFormat="0" applyBorder="0" applyAlignment="0" applyProtection="0"/>
    <xf numFmtId="174" fontId="37" fillId="61" borderId="82" applyNumberFormat="0" applyFont="0" applyBorder="0" applyAlignment="0" applyProtection="0">
      <alignment horizontal="right" vertical="center"/>
    </xf>
    <xf numFmtId="0" fontId="37" fillId="35" borderId="56">
      <alignment horizontal="left" vertical="center" wrapText="1" indent="2"/>
    </xf>
    <xf numFmtId="0" fontId="61" fillId="44" borderId="87" applyNumberFormat="0" applyAlignment="0" applyProtection="0"/>
    <xf numFmtId="4" fontId="35" fillId="35" borderId="63">
      <alignment horizontal="right" vertical="center"/>
    </xf>
    <xf numFmtId="0" fontId="35" fillId="33" borderId="37">
      <alignment horizontal="right" vertical="center"/>
    </xf>
    <xf numFmtId="0" fontId="52" fillId="44" borderId="34" applyNumberFormat="0" applyAlignment="0" applyProtection="0"/>
    <xf numFmtId="0" fontId="49" fillId="57" borderId="34" applyNumberFormat="0" applyAlignment="0" applyProtection="0"/>
    <xf numFmtId="4" fontId="35" fillId="33" borderId="61">
      <alignment horizontal="right" vertical="center"/>
    </xf>
    <xf numFmtId="49" fontId="36" fillId="0" borderId="37" applyNumberFormat="0" applyFill="0" applyBorder="0" applyProtection="0">
      <alignment horizontal="left" vertical="center"/>
    </xf>
    <xf numFmtId="0" fontId="37" fillId="0" borderId="37" applyNumberFormat="0" applyFill="0" applyAlignment="0" applyProtection="0"/>
    <xf numFmtId="4" fontId="35" fillId="35" borderId="63">
      <alignment horizontal="right" vertical="center"/>
    </xf>
    <xf numFmtId="0" fontId="35" fillId="35" borderId="37">
      <alignment horizontal="right" vertical="center"/>
    </xf>
    <xf numFmtId="0" fontId="37" fillId="0" borderId="37" applyNumberFormat="0" applyFill="0" applyAlignment="0" applyProtection="0"/>
    <xf numFmtId="0" fontId="35" fillId="33" borderId="69">
      <alignment horizontal="right" vertical="center"/>
    </xf>
    <xf numFmtId="0" fontId="43" fillId="60" borderId="36" applyNumberFormat="0" applyFont="0" applyAlignment="0" applyProtection="0"/>
    <xf numFmtId="0" fontId="53" fillId="0" borderId="67" applyNumberFormat="0" applyFill="0" applyAlignment="0" applyProtection="0"/>
    <xf numFmtId="0" fontId="37" fillId="0" borderId="40">
      <alignment horizontal="left" vertical="center" wrapText="1" indent="2"/>
    </xf>
    <xf numFmtId="0" fontId="49" fillId="57" borderId="66" applyNumberFormat="0" applyAlignment="0" applyProtection="0"/>
    <xf numFmtId="0" fontId="29" fillId="15" borderId="0" applyNumberFormat="0" applyBorder="0" applyAlignment="0" applyProtection="0"/>
    <xf numFmtId="0" fontId="37" fillId="34" borderId="61"/>
    <xf numFmtId="0" fontId="37" fillId="0" borderId="69">
      <alignment horizontal="right" vertical="center"/>
    </xf>
    <xf numFmtId="49" fontId="36" fillId="0" borderId="37" applyNumberFormat="0" applyFill="0" applyBorder="0" applyProtection="0">
      <alignment horizontal="left" vertical="center"/>
    </xf>
    <xf numFmtId="49" fontId="37" fillId="0" borderId="37" applyNumberFormat="0" applyFont="0" applyFill="0" applyBorder="0" applyProtection="0">
      <alignment horizontal="left" vertical="center" indent="2"/>
    </xf>
    <xf numFmtId="0" fontId="53" fillId="0" borderId="59" applyNumberFormat="0" applyFill="0" applyAlignment="0" applyProtection="0"/>
    <xf numFmtId="0" fontId="37" fillId="0" borderId="37">
      <alignment horizontal="right" vertical="center"/>
    </xf>
    <xf numFmtId="0" fontId="65" fillId="57" borderId="33" applyNumberFormat="0" applyAlignment="0" applyProtection="0"/>
    <xf numFmtId="4" fontId="37" fillId="0" borderId="37">
      <alignment horizontal="right" vertical="center"/>
    </xf>
    <xf numFmtId="4" fontId="35" fillId="35" borderId="38">
      <alignment horizontal="right" vertical="center"/>
    </xf>
    <xf numFmtId="0" fontId="52" fillId="44" borderId="34" applyNumberFormat="0" applyAlignment="0" applyProtection="0"/>
    <xf numFmtId="0" fontId="46" fillId="57" borderId="49" applyNumberFormat="0" applyAlignment="0" applyProtection="0"/>
    <xf numFmtId="0" fontId="1" fillId="0" borderId="0" applyNumberFormat="0" applyFill="0" applyBorder="0" applyAlignment="0" applyProtection="0"/>
    <xf numFmtId="0" fontId="35" fillId="35" borderId="63">
      <alignment horizontal="right" vertical="center"/>
    </xf>
    <xf numFmtId="0" fontId="39" fillId="33" borderId="69">
      <alignment horizontal="right" vertical="center"/>
    </xf>
    <xf numFmtId="0" fontId="31" fillId="14" borderId="8" applyNumberFormat="0" applyAlignment="0" applyProtection="0"/>
    <xf numFmtId="0" fontId="29" fillId="30" borderId="0" applyNumberFormat="0" applyBorder="0" applyAlignment="0" applyProtection="0"/>
    <xf numFmtId="0" fontId="61" fillId="44" borderId="41" applyNumberFormat="0" applyAlignment="0" applyProtection="0"/>
    <xf numFmtId="0" fontId="35" fillId="35" borderId="61">
      <alignment horizontal="right" vertical="center"/>
    </xf>
    <xf numFmtId="0" fontId="49" fillId="57" borderId="34" applyNumberFormat="0" applyAlignment="0" applyProtection="0"/>
    <xf numFmtId="0" fontId="61" fillId="44" borderId="50" applyNumberFormat="0" applyAlignment="0" applyProtection="0"/>
    <xf numFmtId="0" fontId="49" fillId="57" borderId="58" applyNumberFormat="0" applyAlignment="0" applyProtection="0"/>
    <xf numFmtId="0" fontId="13" fillId="26" borderId="0" applyNumberFormat="0" applyBorder="0" applyAlignment="0" applyProtection="0"/>
    <xf numFmtId="0" fontId="35" fillId="33" borderId="53">
      <alignment horizontal="right" vertical="center"/>
    </xf>
    <xf numFmtId="0" fontId="53" fillId="0" borderId="59" applyNumberFormat="0" applyFill="0" applyAlignment="0" applyProtection="0"/>
    <xf numFmtId="4" fontId="37" fillId="0" borderId="61" applyFill="0" applyBorder="0" applyProtection="0">
      <alignment horizontal="right" vertical="center"/>
    </xf>
    <xf numFmtId="0" fontId="48" fillId="57" borderId="34" applyNumberFormat="0" applyAlignment="0" applyProtection="0"/>
    <xf numFmtId="4" fontId="35" fillId="35" borderId="62">
      <alignment horizontal="right" vertical="center"/>
    </xf>
    <xf numFmtId="0" fontId="35" fillId="35" borderId="37">
      <alignment horizontal="right" vertical="center"/>
    </xf>
    <xf numFmtId="0" fontId="48" fillId="57" borderId="34" applyNumberFormat="0" applyAlignment="0" applyProtection="0"/>
    <xf numFmtId="4" fontId="35" fillId="35" borderId="37">
      <alignment horizontal="right" vertical="center"/>
    </xf>
    <xf numFmtId="0" fontId="35" fillId="33" borderId="37">
      <alignment horizontal="right" vertical="center"/>
    </xf>
    <xf numFmtId="0" fontId="35" fillId="35" borderId="44">
      <alignment horizontal="right" vertical="center"/>
    </xf>
    <xf numFmtId="0" fontId="53" fillId="0" borderId="59" applyNumberFormat="0" applyFill="0" applyAlignment="0" applyProtection="0"/>
    <xf numFmtId="0" fontId="61" fillId="44" borderId="34" applyNumberFormat="0" applyAlignment="0" applyProtection="0"/>
    <xf numFmtId="4" fontId="35" fillId="35" borderId="69">
      <alignment horizontal="right" vertical="center"/>
    </xf>
    <xf numFmtId="0" fontId="13" fillId="20" borderId="0" applyNumberFormat="0" applyBorder="0" applyAlignment="0" applyProtection="0"/>
    <xf numFmtId="174" fontId="37" fillId="61" borderId="44" applyNumberFormat="0" applyFont="0" applyBorder="0" applyAlignment="0" applyProtection="0">
      <alignment horizontal="right" vertical="center"/>
    </xf>
    <xf numFmtId="4" fontId="39" fillId="33" borderId="69">
      <alignment horizontal="right" vertical="center"/>
    </xf>
    <xf numFmtId="0" fontId="37" fillId="33" borderId="38">
      <alignment horizontal="left" vertical="center"/>
    </xf>
    <xf numFmtId="4" fontId="35" fillId="35" borderId="62">
      <alignment horizontal="right" vertical="center"/>
    </xf>
    <xf numFmtId="0" fontId="37" fillId="33" borderId="38">
      <alignment horizontal="left" vertical="center"/>
    </xf>
    <xf numFmtId="0" fontId="68" fillId="0" borderId="35" applyNumberFormat="0" applyFill="0" applyAlignment="0" applyProtection="0"/>
    <xf numFmtId="4" fontId="37" fillId="0" borderId="37">
      <alignment horizontal="right" vertical="center"/>
    </xf>
    <xf numFmtId="0" fontId="29" fillId="27" borderId="0" applyNumberFormat="0" applyBorder="0" applyAlignment="0" applyProtection="0"/>
    <xf numFmtId="0" fontId="61" fillId="44" borderId="41" applyNumberFormat="0" applyAlignment="0" applyProtection="0"/>
    <xf numFmtId="4" fontId="35" fillId="35" borderId="82">
      <alignment horizontal="right" vertical="center"/>
    </xf>
    <xf numFmtId="0" fontId="29" fillId="25" borderId="0" applyNumberFormat="0" applyBorder="0" applyAlignment="0" applyProtection="0"/>
    <xf numFmtId="0" fontId="37" fillId="35" borderId="64">
      <alignment horizontal="left" vertical="center" wrapText="1" indent="2"/>
    </xf>
    <xf numFmtId="0" fontId="35" fillId="35" borderId="39">
      <alignment horizontal="right" vertical="center"/>
    </xf>
    <xf numFmtId="0" fontId="49" fillId="57" borderId="58" applyNumberFormat="0" applyAlignment="0" applyProtection="0"/>
    <xf numFmtId="49" fontId="37" fillId="0" borderId="37" applyNumberFormat="0" applyFont="0" applyFill="0" applyBorder="0" applyProtection="0">
      <alignment horizontal="left" vertical="center" indent="2"/>
    </xf>
    <xf numFmtId="4" fontId="39" fillId="33" borderId="61">
      <alignment horizontal="right" vertical="center"/>
    </xf>
    <xf numFmtId="0" fontId="53" fillId="0" borderId="35" applyNumberFormat="0" applyFill="0" applyAlignment="0" applyProtection="0"/>
    <xf numFmtId="49" fontId="37" fillId="0" borderId="37" applyNumberFormat="0" applyFont="0" applyFill="0" applyBorder="0" applyProtection="0">
      <alignment horizontal="left" vertical="center" indent="2"/>
    </xf>
    <xf numFmtId="0" fontId="46" fillId="57" borderId="33" applyNumberFormat="0" applyAlignment="0" applyProtection="0"/>
    <xf numFmtId="0" fontId="52" fillId="44" borderId="34" applyNumberFormat="0" applyAlignment="0" applyProtection="0"/>
    <xf numFmtId="0" fontId="48" fillId="57" borderId="34" applyNumberFormat="0" applyAlignment="0" applyProtection="0"/>
    <xf numFmtId="0" fontId="43" fillId="60" borderId="36" applyNumberFormat="0" applyFont="0" applyAlignment="0" applyProtection="0"/>
    <xf numFmtId="0" fontId="61" fillId="44" borderId="34" applyNumberFormat="0" applyAlignment="0" applyProtection="0"/>
    <xf numFmtId="4" fontId="35" fillId="33" borderId="37">
      <alignment horizontal="right" vertical="center"/>
    </xf>
    <xf numFmtId="0" fontId="37" fillId="35" borderId="40">
      <alignment horizontal="left" vertical="center" wrapText="1" indent="2"/>
    </xf>
    <xf numFmtId="4" fontId="39" fillId="33" borderId="37">
      <alignment horizontal="right" vertical="center"/>
    </xf>
    <xf numFmtId="0" fontId="35" fillId="35" borderId="39">
      <alignment horizontal="right" vertical="center"/>
    </xf>
    <xf numFmtId="4" fontId="35" fillId="35" borderId="39">
      <alignment horizontal="right" vertical="center"/>
    </xf>
    <xf numFmtId="0" fontId="65" fillId="57" borderId="33" applyNumberFormat="0" applyAlignment="0" applyProtection="0"/>
    <xf numFmtId="0" fontId="37" fillId="33" borderId="38">
      <alignment horizontal="left" vertical="center"/>
    </xf>
    <xf numFmtId="0" fontId="35" fillId="35" borderId="37">
      <alignment horizontal="right" vertical="center"/>
    </xf>
    <xf numFmtId="4" fontId="37" fillId="0" borderId="37">
      <alignment horizontal="right" vertical="center"/>
    </xf>
    <xf numFmtId="0" fontId="52" fillId="44" borderId="58" applyNumberFormat="0" applyAlignment="0" applyProtection="0"/>
    <xf numFmtId="0" fontId="48" fillId="57" borderId="58" applyNumberFormat="0" applyAlignment="0" applyProtection="0"/>
    <xf numFmtId="0" fontId="49" fillId="57" borderId="58" applyNumberFormat="0" applyAlignment="0" applyProtection="0"/>
    <xf numFmtId="0" fontId="49" fillId="57" borderId="58" applyNumberFormat="0" applyAlignment="0" applyProtection="0"/>
    <xf numFmtId="0" fontId="43" fillId="60" borderId="76" applyNumberFormat="0" applyFont="0" applyAlignment="0" applyProtection="0"/>
    <xf numFmtId="0" fontId="35" fillId="35" borderId="61">
      <alignment horizontal="right" vertical="center"/>
    </xf>
    <xf numFmtId="0" fontId="5" fillId="60" borderId="36" applyNumberFormat="0" applyFont="0" applyAlignment="0" applyProtection="0"/>
    <xf numFmtId="0" fontId="13" fillId="17" borderId="0" applyNumberFormat="0" applyBorder="0" applyAlignment="0" applyProtection="0"/>
    <xf numFmtId="0" fontId="2" fillId="0" borderId="9" applyNumberFormat="0" applyFill="0" applyAlignment="0" applyProtection="0"/>
    <xf numFmtId="4" fontId="37" fillId="0" borderId="61">
      <alignment horizontal="right" vertical="center"/>
    </xf>
    <xf numFmtId="0" fontId="2" fillId="0" borderId="9" applyNumberFormat="0" applyFill="0" applyAlignment="0" applyProtection="0"/>
    <xf numFmtId="49" fontId="36" fillId="0" borderId="61" applyNumberFormat="0" applyFill="0" applyBorder="0" applyProtection="0">
      <alignment horizontal="left" vertical="center"/>
    </xf>
    <xf numFmtId="0" fontId="5" fillId="60" borderId="52" applyNumberFormat="0" applyFont="0" applyAlignment="0" applyProtection="0"/>
    <xf numFmtId="0" fontId="61" fillId="44" borderId="50" applyNumberFormat="0" applyAlignment="0" applyProtection="0"/>
    <xf numFmtId="0" fontId="37" fillId="33" borderId="62">
      <alignment horizontal="left" vertical="center"/>
    </xf>
    <xf numFmtId="0" fontId="29" fillId="16" borderId="0" applyNumberFormat="0" applyBorder="0" applyAlignment="0" applyProtection="0"/>
    <xf numFmtId="4" fontId="37" fillId="34" borderId="37"/>
    <xf numFmtId="0" fontId="49" fillId="57" borderId="34" applyNumberFormat="0" applyAlignment="0" applyProtection="0"/>
    <xf numFmtId="0" fontId="35" fillId="35" borderId="37">
      <alignment horizontal="right" vertical="center"/>
    </xf>
    <xf numFmtId="0" fontId="2" fillId="0" borderId="9" applyNumberFormat="0" applyFill="0" applyAlignment="0" applyProtection="0"/>
    <xf numFmtId="4" fontId="37" fillId="34" borderId="37"/>
    <xf numFmtId="4" fontId="35" fillId="35" borderId="39">
      <alignment horizontal="right" vertical="center"/>
    </xf>
    <xf numFmtId="174" fontId="37" fillId="61" borderId="37" applyNumberFormat="0" applyFont="0" applyBorder="0" applyAlignment="0" applyProtection="0">
      <alignment horizontal="right" vertical="center"/>
    </xf>
    <xf numFmtId="0" fontId="49" fillId="57" borderId="41" applyNumberFormat="0" applyAlignment="0" applyProtection="0"/>
    <xf numFmtId="0" fontId="65" fillId="57" borderId="49" applyNumberFormat="0" applyAlignment="0" applyProtection="0"/>
    <xf numFmtId="0" fontId="37" fillId="0" borderId="69" applyNumberFormat="0" applyFill="0" applyAlignment="0" applyProtection="0"/>
    <xf numFmtId="49" fontId="36" fillId="0" borderId="37" applyNumberFormat="0" applyFill="0" applyBorder="0" applyProtection="0">
      <alignment horizontal="left" vertical="center"/>
    </xf>
    <xf numFmtId="0" fontId="29" fillId="21" borderId="0" applyNumberFormat="0" applyBorder="0" applyAlignment="0" applyProtection="0"/>
    <xf numFmtId="0" fontId="61" fillId="44" borderId="34" applyNumberFormat="0" applyAlignment="0" applyProtection="0"/>
    <xf numFmtId="0" fontId="35" fillId="35" borderId="37">
      <alignment horizontal="right" vertical="center"/>
    </xf>
    <xf numFmtId="4" fontId="35" fillId="33" borderId="37">
      <alignment horizontal="right" vertical="center"/>
    </xf>
    <xf numFmtId="4" fontId="35" fillId="35" borderId="39">
      <alignment horizontal="right" vertical="center"/>
    </xf>
    <xf numFmtId="4" fontId="35" fillId="35" borderId="38">
      <alignment horizontal="right" vertical="center"/>
    </xf>
    <xf numFmtId="0" fontId="48" fillId="57" borderId="66" applyNumberFormat="0" applyAlignment="0" applyProtection="0"/>
    <xf numFmtId="0" fontId="68" fillId="0" borderId="67" applyNumberFormat="0" applyFill="0" applyAlignment="0" applyProtection="0"/>
    <xf numFmtId="0" fontId="37" fillId="0" borderId="40">
      <alignment horizontal="left" vertical="center" wrapText="1" indent="2"/>
    </xf>
    <xf numFmtId="0" fontId="49" fillId="57" borderId="34" applyNumberFormat="0" applyAlignment="0" applyProtection="0"/>
    <xf numFmtId="0" fontId="5" fillId="60" borderId="43" applyNumberFormat="0" applyFont="0" applyAlignment="0" applyProtection="0"/>
    <xf numFmtId="0" fontId="37" fillId="34" borderId="37"/>
    <xf numFmtId="0" fontId="13" fillId="29" borderId="0" applyNumberFormat="0" applyBorder="0" applyAlignment="0" applyProtection="0"/>
    <xf numFmtId="0" fontId="35" fillId="35" borderId="54">
      <alignment horizontal="right" vertical="center"/>
    </xf>
    <xf numFmtId="49" fontId="37" fillId="0" borderId="53" applyNumberFormat="0" applyFont="0" applyFill="0" applyBorder="0" applyProtection="0">
      <alignment horizontal="left" vertical="center" indent="2"/>
    </xf>
    <xf numFmtId="0" fontId="29" fillId="28" borderId="0" applyNumberFormat="0" applyBorder="0" applyAlignment="0" applyProtection="0"/>
    <xf numFmtId="4" fontId="35" fillId="35" borderId="84">
      <alignment horizontal="right" vertical="center"/>
    </xf>
    <xf numFmtId="0" fontId="61" fillId="44" borderId="34" applyNumberFormat="0" applyAlignment="0" applyProtection="0"/>
    <xf numFmtId="0" fontId="43" fillId="60" borderId="36" applyNumberFormat="0" applyFont="0" applyAlignment="0" applyProtection="0"/>
    <xf numFmtId="4" fontId="35" fillId="33" borderId="37">
      <alignment horizontal="right" vertical="center"/>
    </xf>
    <xf numFmtId="0" fontId="65" fillId="57" borderId="33" applyNumberFormat="0" applyAlignment="0" applyProtection="0"/>
    <xf numFmtId="0" fontId="37" fillId="34" borderId="37"/>
    <xf numFmtId="4" fontId="37" fillId="0" borderId="37" applyFill="0" applyBorder="0" applyProtection="0">
      <alignment horizontal="right" vertical="center"/>
    </xf>
    <xf numFmtId="49" fontId="36" fillId="0" borderId="37" applyNumberFormat="0" applyFill="0" applyBorder="0" applyProtection="0">
      <alignment horizontal="left" vertical="center"/>
    </xf>
    <xf numFmtId="0" fontId="61" fillId="44" borderId="34" applyNumberFormat="0" applyAlignment="0" applyProtection="0"/>
    <xf numFmtId="4" fontId="35" fillId="35" borderId="37">
      <alignment horizontal="right" vertical="center"/>
    </xf>
    <xf numFmtId="0" fontId="48" fillId="57" borderId="58" applyNumberFormat="0" applyAlignment="0" applyProtection="0"/>
    <xf numFmtId="0" fontId="29" fillId="21" borderId="0" applyNumberFormat="0" applyBorder="0" applyAlignment="0" applyProtection="0"/>
    <xf numFmtId="0" fontId="29" fillId="31" borderId="0" applyNumberFormat="0" applyBorder="0" applyAlignment="0" applyProtection="0"/>
    <xf numFmtId="0" fontId="35" fillId="33" borderId="37">
      <alignment horizontal="right" vertical="center"/>
    </xf>
    <xf numFmtId="0" fontId="53" fillId="0" borderId="59" applyNumberFormat="0" applyFill="0" applyAlignment="0" applyProtection="0"/>
    <xf numFmtId="4" fontId="37" fillId="0" borderId="53" applyFill="0" applyBorder="0" applyProtection="0">
      <alignment horizontal="right" vertical="center"/>
    </xf>
    <xf numFmtId="0" fontId="52" fillId="44" borderId="58" applyNumberFormat="0" applyAlignment="0" applyProtection="0"/>
    <xf numFmtId="0" fontId="53" fillId="0" borderId="35" applyNumberFormat="0" applyFill="0" applyAlignment="0" applyProtection="0"/>
    <xf numFmtId="4" fontId="35" fillId="35" borderId="37">
      <alignment horizontal="right" vertical="center"/>
    </xf>
    <xf numFmtId="0" fontId="61" fillId="44" borderId="34" applyNumberFormat="0" applyAlignment="0" applyProtection="0"/>
    <xf numFmtId="0" fontId="29" fillId="18" borderId="0" applyNumberFormat="0" applyBorder="0" applyAlignment="0" applyProtection="0"/>
    <xf numFmtId="0" fontId="5" fillId="60" borderId="60" applyNumberFormat="0" applyFont="0" applyAlignment="0" applyProtection="0"/>
    <xf numFmtId="0" fontId="2" fillId="0" borderId="9" applyNumberFormat="0" applyFill="0" applyAlignment="0" applyProtection="0"/>
    <xf numFmtId="0" fontId="29" fillId="31" borderId="0" applyNumberFormat="0" applyBorder="0" applyAlignment="0" applyProtection="0"/>
    <xf numFmtId="0" fontId="52" fillId="44" borderId="58" applyNumberFormat="0" applyAlignment="0" applyProtection="0"/>
    <xf numFmtId="0" fontId="29" fillId="19" borderId="0" applyNumberFormat="0" applyBorder="0" applyAlignment="0" applyProtection="0"/>
    <xf numFmtId="0" fontId="32" fillId="14" borderId="7" applyNumberFormat="0" applyAlignment="0" applyProtection="0"/>
    <xf numFmtId="4" fontId="37" fillId="0" borderId="37" applyFill="0" applyBorder="0" applyProtection="0">
      <alignment horizontal="right" vertical="center"/>
    </xf>
    <xf numFmtId="0" fontId="61" fillId="44" borderId="58" applyNumberFormat="0" applyAlignment="0" applyProtection="0"/>
    <xf numFmtId="0" fontId="29" fillId="22" borderId="0" applyNumberFormat="0" applyBorder="0" applyAlignment="0" applyProtection="0"/>
    <xf numFmtId="0" fontId="35" fillId="35" borderId="71">
      <alignment horizontal="right" vertical="center"/>
    </xf>
    <xf numFmtId="4" fontId="35" fillId="35" borderId="37">
      <alignment horizontal="right" vertical="center"/>
    </xf>
    <xf numFmtId="0" fontId="37" fillId="0" borderId="40">
      <alignment horizontal="left" vertical="center" wrapText="1" indent="2"/>
    </xf>
    <xf numFmtId="0" fontId="37" fillId="0" borderId="37" applyNumberFormat="0" applyFill="0" applyAlignment="0" applyProtection="0"/>
    <xf numFmtId="0" fontId="65" fillId="57" borderId="33" applyNumberFormat="0" applyAlignment="0" applyProtection="0"/>
    <xf numFmtId="0" fontId="52" fillId="44" borderId="34" applyNumberFormat="0" applyAlignment="0" applyProtection="0"/>
    <xf numFmtId="0" fontId="52" fillId="44" borderId="58" applyNumberFormat="0" applyAlignment="0" applyProtection="0"/>
    <xf numFmtId="0" fontId="48" fillId="57" borderId="58" applyNumberFormat="0" applyAlignment="0" applyProtection="0"/>
    <xf numFmtId="0" fontId="13" fillId="17" borderId="0" applyNumberFormat="0" applyBorder="0" applyAlignment="0" applyProtection="0"/>
    <xf numFmtId="0" fontId="68" fillId="0" borderId="59" applyNumberFormat="0" applyFill="0" applyAlignment="0" applyProtection="0"/>
    <xf numFmtId="0" fontId="37" fillId="35" borderId="40">
      <alignment horizontal="left" vertical="center" wrapText="1" indent="2"/>
    </xf>
    <xf numFmtId="4" fontId="35" fillId="33" borderId="37">
      <alignment horizontal="right" vertical="center"/>
    </xf>
    <xf numFmtId="0" fontId="68" fillId="0" borderId="35" applyNumberFormat="0" applyFill="0" applyAlignment="0" applyProtection="0"/>
    <xf numFmtId="0" fontId="61" fillId="44" borderId="34" applyNumberFormat="0" applyAlignment="0" applyProtection="0"/>
    <xf numFmtId="0" fontId="48" fillId="57" borderId="58" applyNumberFormat="0" applyAlignment="0" applyProtection="0"/>
    <xf numFmtId="0" fontId="5" fillId="60" borderId="36" applyNumberFormat="0" applyFont="0" applyAlignment="0" applyProtection="0"/>
    <xf numFmtId="4" fontId="37" fillId="0" borderId="37">
      <alignment horizontal="right" vertical="center"/>
    </xf>
    <xf numFmtId="0" fontId="37" fillId="0" borderId="37">
      <alignment horizontal="right" vertical="center"/>
    </xf>
    <xf numFmtId="0" fontId="68" fillId="0" borderId="35" applyNumberFormat="0" applyFill="0" applyAlignment="0" applyProtection="0"/>
    <xf numFmtId="0" fontId="68" fillId="0" borderId="35" applyNumberFormat="0" applyFill="0" applyAlignment="0" applyProtection="0"/>
    <xf numFmtId="49" fontId="37" fillId="0" borderId="38" applyNumberFormat="0" applyFont="0" applyFill="0" applyBorder="0" applyProtection="0">
      <alignment horizontal="left" vertical="center" indent="5"/>
    </xf>
    <xf numFmtId="0" fontId="46" fillId="57" borderId="33" applyNumberFormat="0" applyAlignment="0" applyProtection="0"/>
    <xf numFmtId="174" fontId="37" fillId="61" borderId="37" applyNumberFormat="0" applyFont="0" applyBorder="0" applyAlignment="0" applyProtection="0">
      <alignment horizontal="right" vertical="center"/>
    </xf>
    <xf numFmtId="0" fontId="35" fillId="35" borderId="39">
      <alignment horizontal="right" vertical="center"/>
    </xf>
    <xf numFmtId="0" fontId="37" fillId="0" borderId="40">
      <alignment horizontal="left" vertical="center" wrapText="1" indent="2"/>
    </xf>
    <xf numFmtId="174" fontId="37" fillId="61" borderId="61" applyNumberFormat="0" applyFont="0" applyBorder="0" applyAlignment="0" applyProtection="0">
      <alignment horizontal="right" vertical="center"/>
    </xf>
    <xf numFmtId="4" fontId="35" fillId="35" borderId="69">
      <alignment horizontal="right" vertical="center"/>
    </xf>
    <xf numFmtId="0" fontId="52" fillId="44" borderId="50" applyNumberFormat="0" applyAlignment="0" applyProtection="0"/>
    <xf numFmtId="4" fontId="35" fillId="35" borderId="44">
      <alignment horizontal="right" vertical="center"/>
    </xf>
    <xf numFmtId="4" fontId="37" fillId="34" borderId="44"/>
    <xf numFmtId="0" fontId="29" fillId="18" borderId="0" applyNumberFormat="0" applyBorder="0" applyAlignment="0" applyProtection="0"/>
    <xf numFmtId="0" fontId="37" fillId="35" borderId="72">
      <alignment horizontal="left" vertical="center" wrapText="1" indent="2"/>
    </xf>
    <xf numFmtId="4" fontId="37" fillId="0" borderId="53">
      <alignment horizontal="right" vertical="center"/>
    </xf>
    <xf numFmtId="0" fontId="48" fillId="57" borderId="34" applyNumberFormat="0" applyAlignment="0" applyProtection="0"/>
    <xf numFmtId="49" fontId="37" fillId="0" borderId="77" applyNumberFormat="0" applyFont="0" applyFill="0" applyBorder="0" applyProtection="0">
      <alignment horizontal="left" vertical="center" indent="2"/>
    </xf>
    <xf numFmtId="0" fontId="37" fillId="35" borderId="40">
      <alignment horizontal="left" vertical="center" wrapText="1" indent="2"/>
    </xf>
    <xf numFmtId="4" fontId="35" fillId="35" borderId="37">
      <alignment horizontal="right" vertical="center"/>
    </xf>
    <xf numFmtId="49" fontId="37" fillId="0" borderId="69" applyNumberFormat="0" applyFont="0" applyFill="0" applyBorder="0" applyProtection="0">
      <alignment horizontal="left" vertical="center" indent="2"/>
    </xf>
    <xf numFmtId="0" fontId="13" fillId="32" borderId="0" applyNumberFormat="0" applyBorder="0" applyAlignment="0" applyProtection="0"/>
    <xf numFmtId="0" fontId="5" fillId="60" borderId="60" applyNumberFormat="0" applyFont="0" applyAlignment="0" applyProtection="0"/>
    <xf numFmtId="0" fontId="49" fillId="57" borderId="58" applyNumberFormat="0" applyAlignment="0" applyProtection="0"/>
    <xf numFmtId="0" fontId="68" fillId="0" borderId="88" applyNumberFormat="0" applyFill="0" applyAlignment="0" applyProtection="0"/>
    <xf numFmtId="0" fontId="29" fillId="19" borderId="0" applyNumberFormat="0" applyBorder="0" applyAlignment="0" applyProtection="0"/>
    <xf numFmtId="0" fontId="29" fillId="15" borderId="0" applyNumberFormat="0" applyBorder="0" applyAlignment="0" applyProtection="0"/>
    <xf numFmtId="4" fontId="39" fillId="33" borderId="53">
      <alignment horizontal="right" vertical="center"/>
    </xf>
    <xf numFmtId="0" fontId="35" fillId="35" borderId="61">
      <alignment horizontal="right" vertical="center"/>
    </xf>
    <xf numFmtId="4" fontId="37" fillId="34" borderId="61"/>
    <xf numFmtId="4" fontId="39" fillId="33" borderId="37">
      <alignment horizontal="right" vertical="center"/>
    </xf>
    <xf numFmtId="0" fontId="61" fillId="44" borderId="34" applyNumberFormat="0" applyAlignment="0" applyProtection="0"/>
    <xf numFmtId="0" fontId="48" fillId="57" borderId="34" applyNumberFormat="0" applyAlignment="0" applyProtection="0"/>
    <xf numFmtId="0" fontId="29" fillId="31" borderId="0" applyNumberFormat="0" applyBorder="0" applyAlignment="0" applyProtection="0"/>
    <xf numFmtId="4" fontId="37" fillId="0" borderId="37" applyFill="0" applyBorder="0" applyProtection="0">
      <alignment horizontal="right" vertical="center"/>
    </xf>
    <xf numFmtId="0" fontId="43" fillId="60" borderId="36" applyNumberFormat="0" applyFont="0" applyAlignment="0" applyProtection="0"/>
    <xf numFmtId="49" fontId="36" fillId="0" borderId="37" applyNumberFormat="0" applyFill="0" applyBorder="0" applyProtection="0">
      <alignment horizontal="left" vertical="center"/>
    </xf>
    <xf numFmtId="4" fontId="37" fillId="34" borderId="37"/>
    <xf numFmtId="4" fontId="37" fillId="0" borderId="37">
      <alignment horizontal="right" vertical="center"/>
    </xf>
    <xf numFmtId="0" fontId="43" fillId="60" borderId="60" applyNumberFormat="0" applyFont="0" applyAlignment="0" applyProtection="0"/>
    <xf numFmtId="0" fontId="49" fillId="57" borderId="41" applyNumberFormat="0" applyAlignment="0" applyProtection="0"/>
    <xf numFmtId="174" fontId="37" fillId="61" borderId="37" applyNumberFormat="0" applyFont="0" applyBorder="0" applyAlignment="0" applyProtection="0">
      <alignment horizontal="right" vertical="center"/>
    </xf>
    <xf numFmtId="0" fontId="49" fillId="57" borderId="66" applyNumberFormat="0" applyAlignment="0" applyProtection="0"/>
    <xf numFmtId="0" fontId="49" fillId="57" borderId="34" applyNumberFormat="0" applyAlignment="0" applyProtection="0"/>
    <xf numFmtId="0" fontId="32" fillId="14" borderId="7" applyNumberFormat="0" applyAlignment="0" applyProtection="0"/>
    <xf numFmtId="0" fontId="49" fillId="57" borderId="58" applyNumberFormat="0" applyAlignment="0" applyProtection="0"/>
    <xf numFmtId="0" fontId="68" fillId="0" borderId="67" applyNumberFormat="0" applyFill="0" applyAlignment="0" applyProtection="0"/>
    <xf numFmtId="0" fontId="13" fillId="23" borderId="0" applyNumberFormat="0" applyBorder="0" applyAlignment="0" applyProtection="0"/>
    <xf numFmtId="0" fontId="61" fillId="44" borderId="34" applyNumberFormat="0" applyAlignment="0" applyProtection="0"/>
    <xf numFmtId="0" fontId="46" fillId="57" borderId="33" applyNumberFormat="0" applyAlignment="0" applyProtection="0"/>
    <xf numFmtId="0" fontId="35" fillId="35" borderId="84">
      <alignment horizontal="right" vertical="center"/>
    </xf>
    <xf numFmtId="49" fontId="36" fillId="0" borderId="37" applyNumberFormat="0" applyFill="0" applyBorder="0" applyProtection="0">
      <alignment horizontal="left" vertical="center"/>
    </xf>
    <xf numFmtId="0" fontId="68" fillId="0" borderId="35" applyNumberFormat="0" applyFill="0" applyAlignment="0" applyProtection="0"/>
    <xf numFmtId="0" fontId="37" fillId="0" borderId="37">
      <alignment horizontal="right" vertical="center"/>
    </xf>
    <xf numFmtId="0" fontId="35" fillId="35" borderId="38">
      <alignment horizontal="right" vertical="center"/>
    </xf>
    <xf numFmtId="0" fontId="68" fillId="0" borderId="35" applyNumberFormat="0" applyFill="0" applyAlignment="0" applyProtection="0"/>
    <xf numFmtId="0" fontId="35" fillId="35" borderId="44">
      <alignment horizontal="right" vertical="center"/>
    </xf>
    <xf numFmtId="0" fontId="13" fillId="17" borderId="0" applyNumberFormat="0" applyBorder="0" applyAlignment="0" applyProtection="0"/>
    <xf numFmtId="0" fontId="1" fillId="0" borderId="0" applyNumberFormat="0" applyFill="0" applyBorder="0" applyAlignment="0" applyProtection="0"/>
    <xf numFmtId="49" fontId="36" fillId="0" borderId="61" applyNumberFormat="0" applyFill="0" applyBorder="0" applyProtection="0">
      <alignment horizontal="left" vertical="center"/>
    </xf>
    <xf numFmtId="0" fontId="37" fillId="0" borderId="61">
      <alignment horizontal="right" vertical="center"/>
    </xf>
    <xf numFmtId="0" fontId="65" fillId="57" borderId="49" applyNumberFormat="0" applyAlignment="0" applyProtection="0"/>
    <xf numFmtId="0" fontId="35" fillId="35" borderId="69">
      <alignment horizontal="right" vertical="center"/>
    </xf>
    <xf numFmtId="0" fontId="68" fillId="0" borderId="67" applyNumberFormat="0" applyFill="0" applyAlignment="0" applyProtection="0"/>
    <xf numFmtId="4" fontId="37" fillId="0" borderId="37" applyFill="0" applyBorder="0" applyProtection="0">
      <alignment horizontal="right" vertical="center"/>
    </xf>
    <xf numFmtId="174" fontId="37" fillId="61" borderId="53" applyNumberFormat="0" applyFont="0" applyBorder="0" applyAlignment="0" applyProtection="0">
      <alignment horizontal="right" vertical="center"/>
    </xf>
    <xf numFmtId="0" fontId="39" fillId="33" borderId="69">
      <alignment horizontal="right" vertical="center"/>
    </xf>
    <xf numFmtId="0" fontId="53" fillId="0" borderId="51" applyNumberFormat="0" applyFill="0" applyAlignment="0" applyProtection="0"/>
    <xf numFmtId="0" fontId="13" fillId="29" borderId="0" applyNumberFormat="0" applyBorder="0" applyAlignment="0" applyProtection="0"/>
    <xf numFmtId="0" fontId="49" fillId="57" borderId="74" applyNumberFormat="0" applyAlignment="0" applyProtection="0"/>
    <xf numFmtId="4" fontId="35" fillId="35" borderId="61">
      <alignment horizontal="right" vertical="center"/>
    </xf>
    <xf numFmtId="0" fontId="61" fillId="44" borderId="34" applyNumberFormat="0" applyAlignment="0" applyProtection="0"/>
    <xf numFmtId="0" fontId="68" fillId="0" borderId="35" applyNumberFormat="0" applyFill="0" applyAlignment="0" applyProtection="0"/>
    <xf numFmtId="0" fontId="46" fillId="57" borderId="33" applyNumberFormat="0" applyAlignment="0" applyProtection="0"/>
    <xf numFmtId="0" fontId="35" fillId="35" borderId="37">
      <alignment horizontal="right" vertical="center"/>
    </xf>
    <xf numFmtId="0" fontId="48" fillId="57" borderId="34" applyNumberFormat="0" applyAlignment="0" applyProtection="0"/>
    <xf numFmtId="4" fontId="35" fillId="35" borderId="46">
      <alignment horizontal="right" vertical="center"/>
    </xf>
    <xf numFmtId="0" fontId="37" fillId="33" borderId="38">
      <alignment horizontal="left" vertical="center"/>
    </xf>
    <xf numFmtId="49" fontId="37" fillId="0" borderId="61" applyNumberFormat="0" applyFont="0" applyFill="0" applyBorder="0" applyProtection="0">
      <alignment horizontal="left" vertical="center" indent="2"/>
    </xf>
    <xf numFmtId="0" fontId="29" fillId="19" borderId="0" applyNumberFormat="0" applyBorder="0" applyAlignment="0" applyProtection="0"/>
    <xf numFmtId="0" fontId="37" fillId="34" borderId="44"/>
    <xf numFmtId="0" fontId="37" fillId="0" borderId="56">
      <alignment horizontal="left" vertical="center" wrapText="1" indent="2"/>
    </xf>
    <xf numFmtId="0" fontId="68" fillId="0" borderId="35" applyNumberFormat="0" applyFill="0" applyAlignment="0" applyProtection="0"/>
    <xf numFmtId="0" fontId="39" fillId="33" borderId="44">
      <alignment horizontal="right" vertical="center"/>
    </xf>
    <xf numFmtId="0" fontId="49" fillId="57" borderId="34" applyNumberFormat="0" applyAlignment="0" applyProtection="0"/>
    <xf numFmtId="49" fontId="37" fillId="0" borderId="38" applyNumberFormat="0" applyFont="0" applyFill="0" applyBorder="0" applyProtection="0">
      <alignment horizontal="left" vertical="center" indent="5"/>
    </xf>
    <xf numFmtId="0" fontId="68" fillId="0" borderId="59" applyNumberFormat="0" applyFill="0" applyAlignment="0" applyProtection="0"/>
    <xf numFmtId="0" fontId="37" fillId="0" borderId="37">
      <alignment horizontal="right" vertical="center"/>
    </xf>
    <xf numFmtId="0" fontId="5" fillId="60" borderId="36" applyNumberFormat="0" applyFont="0" applyAlignment="0" applyProtection="0"/>
    <xf numFmtId="0" fontId="37" fillId="0" borderId="44">
      <alignment horizontal="right" vertical="center"/>
    </xf>
    <xf numFmtId="0" fontId="29" fillId="25" borderId="0" applyNumberFormat="0" applyBorder="0" applyAlignment="0" applyProtection="0"/>
    <xf numFmtId="0" fontId="37" fillId="35" borderId="47">
      <alignment horizontal="left" vertical="center" wrapText="1" indent="2"/>
    </xf>
    <xf numFmtId="0" fontId="29" fillId="24" borderId="0" applyNumberFormat="0" applyBorder="0" applyAlignment="0" applyProtection="0"/>
    <xf numFmtId="0" fontId="61" fillId="44" borderId="74" applyNumberFormat="0" applyAlignment="0" applyProtection="0"/>
    <xf numFmtId="0" fontId="46" fillId="57" borderId="33" applyNumberFormat="0" applyAlignment="0" applyProtection="0"/>
    <xf numFmtId="0" fontId="13" fillId="32" borderId="0" applyNumberFormat="0" applyBorder="0" applyAlignment="0" applyProtection="0"/>
    <xf numFmtId="0" fontId="13" fillId="20" borderId="0" applyNumberFormat="0" applyBorder="0" applyAlignment="0" applyProtection="0"/>
    <xf numFmtId="0" fontId="29" fillId="27" borderId="0" applyNumberFormat="0" applyBorder="0" applyAlignment="0" applyProtection="0"/>
    <xf numFmtId="0" fontId="37" fillId="0" borderId="37" applyNumberFormat="0" applyFill="0" applyAlignment="0" applyProtection="0"/>
    <xf numFmtId="0" fontId="53" fillId="0" borderId="35" applyNumberFormat="0" applyFill="0" applyAlignment="0" applyProtection="0"/>
    <xf numFmtId="0" fontId="48" fillId="57" borderId="41" applyNumberFormat="0" applyAlignment="0" applyProtection="0"/>
    <xf numFmtId="4" fontId="35" fillId="35" borderId="37">
      <alignment horizontal="right" vertical="center"/>
    </xf>
    <xf numFmtId="0" fontId="37" fillId="34" borderId="37"/>
    <xf numFmtId="0" fontId="61" fillId="44" borderId="34" applyNumberFormat="0" applyAlignment="0" applyProtection="0"/>
    <xf numFmtId="0" fontId="37" fillId="0" borderId="61">
      <alignment horizontal="right" vertical="center"/>
    </xf>
    <xf numFmtId="0" fontId="39" fillId="33" borderId="37">
      <alignment horizontal="right" vertical="center"/>
    </xf>
    <xf numFmtId="0" fontId="37" fillId="0" borderId="40">
      <alignment horizontal="left" vertical="center" wrapText="1" indent="2"/>
    </xf>
    <xf numFmtId="0" fontId="49" fillId="57" borderId="34" applyNumberFormat="0" applyAlignment="0" applyProtection="0"/>
    <xf numFmtId="0" fontId="65" fillId="57" borderId="33" applyNumberFormat="0" applyAlignment="0" applyProtection="0"/>
    <xf numFmtId="0" fontId="35" fillId="35" borderId="39">
      <alignment horizontal="right" vertical="center"/>
    </xf>
    <xf numFmtId="0" fontId="37" fillId="0" borderId="37" applyNumberFormat="0" applyFill="0" applyAlignment="0" applyProtection="0"/>
    <xf numFmtId="49" fontId="37" fillId="0" borderId="38" applyNumberFormat="0" applyFont="0" applyFill="0" applyBorder="0" applyProtection="0">
      <alignment horizontal="left" vertical="center" indent="5"/>
    </xf>
    <xf numFmtId="0" fontId="68" fillId="0" borderId="35" applyNumberFormat="0" applyFill="0" applyAlignment="0" applyProtection="0"/>
    <xf numFmtId="0" fontId="37" fillId="0" borderId="37" applyNumberFormat="0" applyFill="0" applyAlignment="0" applyProtection="0"/>
    <xf numFmtId="4" fontId="37" fillId="0" borderId="61" applyFill="0" applyBorder="0" applyProtection="0">
      <alignment horizontal="right" vertical="center"/>
    </xf>
    <xf numFmtId="0" fontId="37" fillId="35" borderId="64">
      <alignment horizontal="left" vertical="center" wrapText="1" indent="2"/>
    </xf>
    <xf numFmtId="0" fontId="37" fillId="0" borderId="72">
      <alignment horizontal="left" vertical="center" wrapText="1" indent="2"/>
    </xf>
    <xf numFmtId="4" fontId="35" fillId="35" borderId="62">
      <alignment horizontal="right" vertical="center"/>
    </xf>
    <xf numFmtId="4" fontId="37" fillId="34" borderId="61"/>
    <xf numFmtId="174" fontId="37" fillId="61" borderId="69" applyNumberFormat="0" applyFont="0" applyBorder="0" applyAlignment="0" applyProtection="0">
      <alignment horizontal="right" vertical="center"/>
    </xf>
    <xf numFmtId="0" fontId="65" fillId="57" borderId="65" applyNumberFormat="0" applyAlignment="0" applyProtection="0"/>
    <xf numFmtId="0" fontId="43" fillId="60" borderId="36" applyNumberFormat="0" applyFont="0" applyAlignment="0" applyProtection="0"/>
    <xf numFmtId="0" fontId="29" fillId="16" borderId="0" applyNumberFormat="0" applyBorder="0" applyAlignment="0" applyProtection="0"/>
    <xf numFmtId="4" fontId="35" fillId="35" borderId="62">
      <alignment horizontal="right" vertical="center"/>
    </xf>
    <xf numFmtId="4" fontId="37" fillId="34" borderId="61"/>
    <xf numFmtId="0" fontId="61" fillId="44" borderId="58" applyNumberFormat="0" applyAlignment="0" applyProtection="0"/>
    <xf numFmtId="0" fontId="37" fillId="0" borderId="69">
      <alignment horizontal="right" vertical="center"/>
    </xf>
    <xf numFmtId="0" fontId="53" fillId="0" borderId="42" applyNumberFormat="0" applyFill="0" applyAlignment="0" applyProtection="0"/>
    <xf numFmtId="0" fontId="43" fillId="60" borderId="60" applyNumberFormat="0" applyFont="0" applyAlignment="0" applyProtection="0"/>
    <xf numFmtId="0" fontId="33" fillId="0" borderId="0" applyNumberFormat="0" applyFill="0" applyBorder="0" applyAlignment="0" applyProtection="0"/>
    <xf numFmtId="0" fontId="37" fillId="0" borderId="40">
      <alignment horizontal="left" vertical="center" wrapText="1" indent="2"/>
    </xf>
    <xf numFmtId="0" fontId="35" fillId="35" borderId="69">
      <alignment horizontal="right" vertical="center"/>
    </xf>
    <xf numFmtId="4" fontId="39" fillId="33" borderId="37">
      <alignment horizontal="right" vertical="center"/>
    </xf>
    <xf numFmtId="0" fontId="33" fillId="0" borderId="0" applyNumberFormat="0" applyFill="0" applyBorder="0" applyAlignment="0" applyProtection="0"/>
    <xf numFmtId="49" fontId="37" fillId="0" borderId="61" applyNumberFormat="0" applyFont="0" applyFill="0" applyBorder="0" applyProtection="0">
      <alignment horizontal="left" vertical="center" indent="2"/>
    </xf>
    <xf numFmtId="0" fontId="37" fillId="34" borderId="37"/>
    <xf numFmtId="0" fontId="49" fillId="57" borderId="34" applyNumberFormat="0" applyAlignment="0" applyProtection="0"/>
    <xf numFmtId="0" fontId="65" fillId="57" borderId="33" applyNumberFormat="0" applyAlignment="0" applyProtection="0"/>
    <xf numFmtId="0" fontId="13" fillId="20" borderId="0" applyNumberFormat="0" applyBorder="0" applyAlignment="0" applyProtection="0"/>
    <xf numFmtId="0" fontId="37" fillId="35" borderId="47">
      <alignment horizontal="left" vertical="center" wrapText="1" indent="2"/>
    </xf>
    <xf numFmtId="4" fontId="35" fillId="35" borderId="53">
      <alignment horizontal="right" vertical="center"/>
    </xf>
    <xf numFmtId="0" fontId="13" fillId="23" borderId="0" applyNumberFormat="0" applyBorder="0" applyAlignment="0" applyProtection="0"/>
    <xf numFmtId="0" fontId="53" fillId="0" borderId="35" applyNumberFormat="0" applyFill="0" applyAlignment="0" applyProtection="0"/>
    <xf numFmtId="0" fontId="35" fillId="35" borderId="63">
      <alignment horizontal="right" vertical="center"/>
    </xf>
    <xf numFmtId="4" fontId="35" fillId="35" borderId="39">
      <alignment horizontal="right" vertical="center"/>
    </xf>
    <xf numFmtId="4" fontId="35" fillId="35" borderId="37">
      <alignment horizontal="right" vertical="center"/>
    </xf>
    <xf numFmtId="4" fontId="37" fillId="0" borderId="37" applyFill="0" applyBorder="0" applyProtection="0">
      <alignment horizontal="right" vertical="center"/>
    </xf>
    <xf numFmtId="0" fontId="68" fillId="0" borderId="35" applyNumberFormat="0" applyFill="0" applyAlignment="0" applyProtection="0"/>
    <xf numFmtId="0" fontId="49" fillId="57" borderId="34" applyNumberFormat="0" applyAlignment="0" applyProtection="0"/>
    <xf numFmtId="0" fontId="52" fillId="44" borderId="34" applyNumberFormat="0" applyAlignment="0" applyProtection="0"/>
    <xf numFmtId="0" fontId="37" fillId="0" borderId="64">
      <alignment horizontal="left" vertical="center" wrapText="1" indent="2"/>
    </xf>
    <xf numFmtId="0" fontId="43" fillId="60" borderId="60" applyNumberFormat="0" applyFont="0" applyAlignment="0" applyProtection="0"/>
    <xf numFmtId="49" fontId="36" fillId="0" borderId="37" applyNumberFormat="0" applyFill="0" applyBorder="0" applyProtection="0">
      <alignment horizontal="left" vertical="center"/>
    </xf>
    <xf numFmtId="0" fontId="68" fillId="0" borderId="35" applyNumberFormat="0" applyFill="0" applyAlignment="0" applyProtection="0"/>
    <xf numFmtId="0" fontId="35" fillId="35" borderId="61">
      <alignment horizontal="right" vertical="center"/>
    </xf>
    <xf numFmtId="4" fontId="35" fillId="35" borderId="37">
      <alignment horizontal="right" vertical="center"/>
    </xf>
    <xf numFmtId="0" fontId="61" fillId="44" borderId="87" applyNumberFormat="0" applyAlignment="0" applyProtection="0"/>
    <xf numFmtId="4" fontId="35" fillId="35" borderId="61">
      <alignment horizontal="right" vertical="center"/>
    </xf>
    <xf numFmtId="0" fontId="49" fillId="57" borderId="58" applyNumberFormat="0" applyAlignment="0" applyProtection="0"/>
    <xf numFmtId="0" fontId="29" fillId="27" borderId="0" applyNumberFormat="0" applyBorder="0" applyAlignment="0" applyProtection="0"/>
    <xf numFmtId="0" fontId="52" fillId="44" borderId="58" applyNumberFormat="0" applyAlignment="0" applyProtection="0"/>
    <xf numFmtId="49" fontId="37" fillId="0" borderId="37" applyNumberFormat="0" applyFont="0" applyFill="0" applyBorder="0" applyProtection="0">
      <alignment horizontal="left" vertical="center" indent="2"/>
    </xf>
    <xf numFmtId="0" fontId="68" fillId="0" borderId="35" applyNumberFormat="0" applyFill="0" applyAlignment="0" applyProtection="0"/>
    <xf numFmtId="4" fontId="37" fillId="0" borderId="37" applyFill="0" applyBorder="0" applyProtection="0">
      <alignment horizontal="right" vertical="center"/>
    </xf>
    <xf numFmtId="0" fontId="5" fillId="60" borderId="36" applyNumberFormat="0" applyFont="0" applyAlignment="0" applyProtection="0"/>
    <xf numFmtId="174" fontId="37" fillId="61" borderId="37" applyNumberFormat="0" applyFont="0" applyBorder="0" applyAlignment="0" applyProtection="0">
      <alignment horizontal="right" vertical="center"/>
    </xf>
    <xf numFmtId="49" fontId="37" fillId="0" borderId="37" applyNumberFormat="0" applyFont="0" applyFill="0" applyBorder="0" applyProtection="0">
      <alignment horizontal="left" vertical="center" indent="2"/>
    </xf>
    <xf numFmtId="0" fontId="53" fillId="0" borderId="35" applyNumberFormat="0" applyFill="0" applyAlignment="0" applyProtection="0"/>
    <xf numFmtId="0" fontId="29" fillId="16" borderId="0" applyNumberFormat="0" applyBorder="0" applyAlignment="0" applyProtection="0"/>
    <xf numFmtId="4" fontId="37" fillId="34" borderId="37"/>
    <xf numFmtId="0" fontId="37" fillId="0" borderId="47">
      <alignment horizontal="left" vertical="center" wrapText="1" indent="2"/>
    </xf>
    <xf numFmtId="0" fontId="53" fillId="0" borderId="59" applyNumberFormat="0" applyFill="0" applyAlignment="0" applyProtection="0"/>
    <xf numFmtId="0" fontId="39" fillId="33" borderId="37">
      <alignment horizontal="right" vertical="center"/>
    </xf>
    <xf numFmtId="0" fontId="49" fillId="57" borderId="66" applyNumberFormat="0" applyAlignment="0" applyProtection="0"/>
    <xf numFmtId="0" fontId="29" fillId="31" borderId="0" applyNumberFormat="0" applyBorder="0" applyAlignment="0" applyProtection="0"/>
    <xf numFmtId="0" fontId="29" fillId="15" borderId="0" applyNumberFormat="0" applyBorder="0" applyAlignment="0" applyProtection="0"/>
    <xf numFmtId="0" fontId="37" fillId="35" borderId="40">
      <alignment horizontal="left" vertical="center" wrapText="1" indent="2"/>
    </xf>
    <xf numFmtId="0" fontId="37" fillId="0" borderId="40">
      <alignment horizontal="left" vertical="center" wrapText="1" indent="2"/>
    </xf>
    <xf numFmtId="0" fontId="65" fillId="57" borderId="33" applyNumberFormat="0" applyAlignment="0" applyProtection="0"/>
    <xf numFmtId="0" fontId="61" fillId="44" borderId="34" applyNumberFormat="0" applyAlignment="0" applyProtection="0"/>
    <xf numFmtId="0" fontId="48" fillId="57" borderId="34" applyNumberFormat="0" applyAlignment="0" applyProtection="0"/>
    <xf numFmtId="0" fontId="46" fillId="57" borderId="33" applyNumberFormat="0" applyAlignment="0" applyProtection="0"/>
    <xf numFmtId="0" fontId="35" fillId="35" borderId="39">
      <alignment horizontal="right" vertical="center"/>
    </xf>
    <xf numFmtId="0" fontId="39" fillId="33" borderId="37">
      <alignment horizontal="right" vertical="center"/>
    </xf>
    <xf numFmtId="4" fontId="35" fillId="33" borderId="37">
      <alignment horizontal="right" vertical="center"/>
    </xf>
    <xf numFmtId="4" fontId="35" fillId="35" borderId="37">
      <alignment horizontal="right" vertical="center"/>
    </xf>
    <xf numFmtId="49" fontId="37" fillId="0" borderId="38" applyNumberFormat="0" applyFont="0" applyFill="0" applyBorder="0" applyProtection="0">
      <alignment horizontal="left" vertical="center" indent="5"/>
    </xf>
    <xf numFmtId="4" fontId="37" fillId="0" borderId="37" applyFill="0" applyBorder="0" applyProtection="0">
      <alignment horizontal="right" vertical="center"/>
    </xf>
    <xf numFmtId="4" fontId="35" fillId="33" borderId="37">
      <alignment horizontal="right" vertical="center"/>
    </xf>
    <xf numFmtId="0" fontId="61" fillId="44" borderId="34" applyNumberFormat="0" applyAlignment="0" applyProtection="0"/>
    <xf numFmtId="0" fontId="52" fillId="44" borderId="34" applyNumberFormat="0" applyAlignment="0" applyProtection="0"/>
    <xf numFmtId="0" fontId="48" fillId="57" borderId="34" applyNumberFormat="0" applyAlignment="0" applyProtection="0"/>
    <xf numFmtId="0" fontId="37" fillId="35" borderId="40">
      <alignment horizontal="left" vertical="center" wrapText="1" indent="2"/>
    </xf>
    <xf numFmtId="0" fontId="37" fillId="0" borderId="40">
      <alignment horizontal="left" vertical="center" wrapText="1" indent="2"/>
    </xf>
    <xf numFmtId="0" fontId="37" fillId="35" borderId="40">
      <alignment horizontal="left" vertical="center" wrapText="1" indent="2"/>
    </xf>
    <xf numFmtId="0" fontId="35" fillId="33" borderId="44">
      <alignment horizontal="right" vertical="center"/>
    </xf>
    <xf numFmtId="0" fontId="1" fillId="0" borderId="0" applyNumberFormat="0" applyFill="0" applyBorder="0" applyAlignment="0" applyProtection="0"/>
    <xf numFmtId="0" fontId="61" fillId="44" borderId="66" applyNumberFormat="0" applyAlignment="0" applyProtection="0"/>
    <xf numFmtId="0" fontId="53" fillId="0" borderId="67" applyNumberFormat="0" applyFill="0" applyAlignment="0" applyProtection="0"/>
    <xf numFmtId="0" fontId="2" fillId="0" borderId="9" applyNumberFormat="0" applyFill="0" applyAlignment="0" applyProtection="0"/>
    <xf numFmtId="0" fontId="39" fillId="33" borderId="61">
      <alignment horizontal="right" vertical="center"/>
    </xf>
    <xf numFmtId="0" fontId="35" fillId="35" borderId="70">
      <alignment horizontal="right" vertical="center"/>
    </xf>
    <xf numFmtId="0" fontId="53" fillId="0" borderId="59" applyNumberFormat="0" applyFill="0" applyAlignment="0" applyProtection="0"/>
    <xf numFmtId="0" fontId="37" fillId="34" borderId="61"/>
    <xf numFmtId="0" fontId="37" fillId="0" borderId="69" applyNumberFormat="0" applyFill="0" applyAlignment="0" applyProtection="0"/>
    <xf numFmtId="0" fontId="37" fillId="0" borderId="61" applyNumberFormat="0" applyFill="0" applyAlignment="0" applyProtection="0"/>
    <xf numFmtId="4" fontId="35" fillId="35" borderId="71">
      <alignment horizontal="right" vertical="center"/>
    </xf>
    <xf numFmtId="0" fontId="29" fillId="22" borderId="0" applyNumberFormat="0" applyBorder="0" applyAlignment="0" applyProtection="0"/>
    <xf numFmtId="0" fontId="37" fillId="35" borderId="64">
      <alignment horizontal="left" vertical="center" wrapText="1" indent="2"/>
    </xf>
    <xf numFmtId="0" fontId="35" fillId="35" borderId="63">
      <alignment horizontal="right" vertical="center"/>
    </xf>
    <xf numFmtId="0" fontId="35" fillId="35" borderId="61">
      <alignment horizontal="right" vertical="center"/>
    </xf>
    <xf numFmtId="0" fontId="29" fillId="25" borderId="0" applyNumberFormat="0" applyBorder="0" applyAlignment="0" applyProtection="0"/>
    <xf numFmtId="0" fontId="65" fillId="57" borderId="57" applyNumberFormat="0" applyAlignment="0" applyProtection="0"/>
    <xf numFmtId="0" fontId="43" fillId="60" borderId="60" applyNumberFormat="0" applyFont="0" applyAlignment="0" applyProtection="0"/>
    <xf numFmtId="0" fontId="29" fillId="24" borderId="0" applyNumberFormat="0" applyBorder="0" applyAlignment="0" applyProtection="0"/>
    <xf numFmtId="0" fontId="35" fillId="35" borderId="62">
      <alignment horizontal="right" vertical="center"/>
    </xf>
    <xf numFmtId="0" fontId="68" fillId="0" borderId="88" applyNumberFormat="0" applyFill="0" applyAlignment="0" applyProtection="0"/>
    <xf numFmtId="0" fontId="35" fillId="35" borderId="63">
      <alignment horizontal="right" vertical="center"/>
    </xf>
    <xf numFmtId="4" fontId="37" fillId="0" borderId="61">
      <alignment horizontal="right" vertical="center"/>
    </xf>
    <xf numFmtId="0" fontId="37" fillId="34" borderId="82"/>
    <xf numFmtId="0" fontId="68" fillId="0" borderId="59" applyNumberFormat="0" applyFill="0" applyAlignment="0" applyProtection="0"/>
    <xf numFmtId="0" fontId="46" fillId="57" borderId="65" applyNumberFormat="0" applyAlignment="0" applyProtection="0"/>
    <xf numFmtId="4" fontId="35" fillId="35" borderId="61">
      <alignment horizontal="right" vertical="center"/>
    </xf>
    <xf numFmtId="0" fontId="35" fillId="35" borderId="61">
      <alignment horizontal="right" vertical="center"/>
    </xf>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0" fontId="49" fillId="57" borderId="58" applyNumberFormat="0" applyAlignment="0" applyProtection="0"/>
    <xf numFmtId="49" fontId="37" fillId="0" borderId="82"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0" borderId="61">
      <alignment horizontal="right" vertical="center"/>
    </xf>
    <xf numFmtId="0" fontId="13" fillId="23" borderId="0" applyNumberFormat="0" applyBorder="0" applyAlignment="0" applyProtection="0"/>
    <xf numFmtId="0" fontId="65" fillId="57" borderId="57" applyNumberFormat="0" applyAlignment="0" applyProtection="0"/>
    <xf numFmtId="4" fontId="37" fillId="0" borderId="61" applyFill="0" applyBorder="0" applyProtection="0">
      <alignment horizontal="right" vertical="center"/>
    </xf>
    <xf numFmtId="0" fontId="37" fillId="0" borderId="69">
      <alignment horizontal="right" vertical="center"/>
    </xf>
    <xf numFmtId="0" fontId="37" fillId="35" borderId="64">
      <alignment horizontal="left" vertical="center" wrapText="1" indent="2"/>
    </xf>
    <xf numFmtId="0" fontId="29" fillId="25" borderId="0" applyNumberFormat="0" applyBorder="0" applyAlignment="0" applyProtection="0"/>
    <xf numFmtId="0" fontId="65" fillId="57" borderId="86" applyNumberFormat="0" applyAlignment="0" applyProtection="0"/>
    <xf numFmtId="0" fontId="37" fillId="35" borderId="64">
      <alignment horizontal="left" vertical="center" wrapText="1" indent="2"/>
    </xf>
    <xf numFmtId="0" fontId="35" fillId="33" borderId="82">
      <alignment horizontal="right" vertical="center"/>
    </xf>
    <xf numFmtId="0" fontId="35" fillId="35" borderId="61">
      <alignment horizontal="right" vertical="center"/>
    </xf>
    <xf numFmtId="0" fontId="61" fillId="44" borderId="58" applyNumberFormat="0" applyAlignment="0" applyProtection="0"/>
    <xf numFmtId="0" fontId="29" fillId="30" borderId="0" applyNumberFormat="0" applyBorder="0" applyAlignment="0" applyProtection="0"/>
    <xf numFmtId="0" fontId="29" fillId="28" borderId="0" applyNumberFormat="0" applyBorder="0" applyAlignment="0" applyProtection="0"/>
    <xf numFmtId="0" fontId="29" fillId="22" borderId="0" applyNumberFormat="0" applyBorder="0" applyAlignment="0" applyProtection="0"/>
    <xf numFmtId="0" fontId="35" fillId="35" borderId="61">
      <alignment horizontal="right" vertical="center"/>
    </xf>
    <xf numFmtId="0" fontId="37" fillId="33" borderId="54">
      <alignment horizontal="left" vertical="center"/>
    </xf>
    <xf numFmtId="4" fontId="35" fillId="35" borderId="55">
      <alignment horizontal="right" vertical="center"/>
    </xf>
    <xf numFmtId="0" fontId="43" fillId="60" borderId="68" applyNumberFormat="0" applyFont="0" applyAlignment="0" applyProtection="0"/>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37" fillId="35" borderId="85">
      <alignment horizontal="left" vertical="center" wrapText="1" indent="2"/>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7" fillId="0" borderId="47">
      <alignment horizontal="left" vertical="center" wrapText="1" indent="2"/>
    </xf>
    <xf numFmtId="0" fontId="46" fillId="57" borderId="48" applyNumberFormat="0" applyAlignment="0" applyProtection="0"/>
    <xf numFmtId="0" fontId="48" fillId="57" borderId="41" applyNumberFormat="0" applyAlignment="0" applyProtection="0"/>
    <xf numFmtId="0" fontId="49" fillId="57" borderId="41" applyNumberFormat="0" applyAlignment="0" applyProtection="0"/>
    <xf numFmtId="0" fontId="52" fillId="44" borderId="41" applyNumberFormat="0" applyAlignment="0" applyProtection="0"/>
    <xf numFmtId="0" fontId="53" fillId="0" borderId="42" applyNumberFormat="0" applyFill="0" applyAlignment="0" applyProtection="0"/>
    <xf numFmtId="0" fontId="61" fillId="44" borderId="41" applyNumberFormat="0" applyAlignment="0" applyProtection="0"/>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49" fillId="57"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61" fillId="44" borderId="58" applyNumberFormat="0" applyAlignment="0" applyProtection="0"/>
    <xf numFmtId="0" fontId="39" fillId="33" borderId="61">
      <alignment horizontal="right" vertical="center"/>
    </xf>
    <xf numFmtId="0" fontId="37" fillId="0" borderId="61" applyNumberFormat="0" applyFill="0" applyAlignment="0" applyProtection="0"/>
    <xf numFmtId="0" fontId="35" fillId="35" borderId="69">
      <alignment horizontal="right" vertical="center"/>
    </xf>
    <xf numFmtId="0" fontId="49" fillId="57" borderId="41" applyNumberFormat="0" applyAlignment="0" applyProtection="0"/>
    <xf numFmtId="0" fontId="37" fillId="0" borderId="56">
      <alignment horizontal="left" vertical="center" wrapText="1" indent="2"/>
    </xf>
    <xf numFmtId="4" fontId="35" fillId="35" borderId="54">
      <alignment horizontal="right" vertical="center"/>
    </xf>
    <xf numFmtId="4" fontId="35" fillId="35" borderId="53">
      <alignment horizontal="right" vertical="center"/>
    </xf>
    <xf numFmtId="0" fontId="61" fillId="44" borderId="41" applyNumberFormat="0" applyAlignment="0" applyProtection="0"/>
    <xf numFmtId="0" fontId="65" fillId="57" borderId="48" applyNumberFormat="0" applyAlignment="0" applyProtection="0"/>
    <xf numFmtId="0" fontId="68" fillId="0" borderId="42" applyNumberFormat="0" applyFill="0" applyAlignment="0" applyProtection="0"/>
    <xf numFmtId="4" fontId="37" fillId="34" borderId="69"/>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52" fillId="44" borderId="41" applyNumberFormat="0" applyAlignment="0" applyProtection="0"/>
    <xf numFmtId="0" fontId="37" fillId="0" borderId="44">
      <alignment horizontal="right" vertical="center"/>
    </xf>
    <xf numFmtId="4" fontId="37" fillId="0" borderId="44">
      <alignment horizontal="right" vertical="center"/>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4" applyNumberFormat="0" applyFill="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4" fontId="35" fillId="35" borderId="44">
      <alignment horizontal="right" vertical="center"/>
    </xf>
    <xf numFmtId="0" fontId="37" fillId="34" borderId="44"/>
    <xf numFmtId="0" fontId="48" fillId="57" borderId="41" applyNumberFormat="0" applyAlignment="0" applyProtection="0"/>
    <xf numFmtId="0" fontId="35" fillId="33" borderId="44">
      <alignment horizontal="right" vertical="center"/>
    </xf>
    <xf numFmtId="0" fontId="37" fillId="0" borderId="44">
      <alignment horizontal="right" vertical="center"/>
    </xf>
    <xf numFmtId="0" fontId="68" fillId="0" borderId="42" applyNumberFormat="0" applyFill="0" applyAlignment="0" applyProtection="0"/>
    <xf numFmtId="0" fontId="37" fillId="33" borderId="45">
      <alignment horizontal="left" vertical="center"/>
    </xf>
    <xf numFmtId="0" fontId="61" fillId="44" borderId="41" applyNumberFormat="0" applyAlignment="0" applyProtection="0"/>
    <xf numFmtId="174" fontId="37" fillId="61" borderId="44" applyNumberFormat="0" applyFont="0" applyBorder="0" applyAlignment="0" applyProtection="0">
      <alignment horizontal="right" vertical="center"/>
    </xf>
    <xf numFmtId="0" fontId="43" fillId="60" borderId="43" applyNumberFormat="0" applyFont="0" applyAlignment="0" applyProtection="0"/>
    <xf numFmtId="0" fontId="37" fillId="0" borderId="47">
      <alignment horizontal="left" vertical="center" wrapText="1" indent="2"/>
    </xf>
    <xf numFmtId="4" fontId="37" fillId="34" borderId="44"/>
    <xf numFmtId="49" fontId="36" fillId="0" borderId="44" applyNumberFormat="0" applyFill="0" applyBorder="0" applyProtection="0">
      <alignment horizontal="left" vertical="center"/>
    </xf>
    <xf numFmtId="0" fontId="37" fillId="0" borderId="44">
      <alignment horizontal="right" vertical="center"/>
    </xf>
    <xf numFmtId="4" fontId="35" fillId="35" borderId="46">
      <alignment horizontal="right" vertical="center"/>
    </xf>
    <xf numFmtId="4" fontId="35" fillId="35" borderId="44">
      <alignment horizontal="right" vertical="center"/>
    </xf>
    <xf numFmtId="4" fontId="35" fillId="35" borderId="44">
      <alignment horizontal="right" vertical="center"/>
    </xf>
    <xf numFmtId="0" fontId="39" fillId="33" borderId="44">
      <alignment horizontal="right" vertical="center"/>
    </xf>
    <xf numFmtId="0" fontId="35" fillId="33" borderId="44">
      <alignment horizontal="right" vertical="center"/>
    </xf>
    <xf numFmtId="49" fontId="37" fillId="0" borderId="44" applyNumberFormat="0" applyFont="0" applyFill="0" applyBorder="0" applyProtection="0">
      <alignment horizontal="left" vertical="center" indent="2"/>
    </xf>
    <xf numFmtId="0" fontId="61" fillId="44" borderId="41" applyNumberFormat="0" applyAlignment="0" applyProtection="0"/>
    <xf numFmtId="0" fontId="46" fillId="57" borderId="48" applyNumberFormat="0" applyAlignment="0" applyProtection="0"/>
    <xf numFmtId="49" fontId="37" fillId="0" borderId="44" applyNumberFormat="0" applyFont="0" applyFill="0" applyBorder="0" applyProtection="0">
      <alignment horizontal="left" vertical="center" indent="2"/>
    </xf>
    <xf numFmtId="0" fontId="52" fillId="44" borderId="41" applyNumberFormat="0" applyAlignment="0" applyProtection="0"/>
    <xf numFmtId="4" fontId="37" fillId="0" borderId="44" applyFill="0" applyBorder="0" applyProtection="0">
      <alignment horizontal="right" vertical="center"/>
    </xf>
    <xf numFmtId="0" fontId="49" fillId="57" borderId="41" applyNumberFormat="0" applyAlignment="0" applyProtection="0"/>
    <xf numFmtId="0" fontId="68" fillId="0" borderId="42" applyNumberFormat="0" applyFill="0" applyAlignment="0" applyProtection="0"/>
    <xf numFmtId="0" fontId="65" fillId="57" borderId="48" applyNumberFormat="0" applyAlignment="0" applyProtection="0"/>
    <xf numFmtId="0" fontId="37" fillId="0" borderId="44" applyNumberFormat="0" applyFill="0" applyAlignment="0" applyProtection="0"/>
    <xf numFmtId="4" fontId="37" fillId="0" borderId="44">
      <alignment horizontal="right" vertical="center"/>
    </xf>
    <xf numFmtId="0" fontId="37" fillId="0" borderId="44">
      <alignment horizontal="right" vertical="center"/>
    </xf>
    <xf numFmtId="0" fontId="61" fillId="44" borderId="41" applyNumberFormat="0" applyAlignment="0" applyProtection="0"/>
    <xf numFmtId="0" fontId="46" fillId="57" borderId="48" applyNumberFormat="0" applyAlignment="0" applyProtection="0"/>
    <xf numFmtId="0" fontId="48" fillId="57" borderId="41" applyNumberFormat="0" applyAlignment="0" applyProtection="0"/>
    <xf numFmtId="0" fontId="37" fillId="35" borderId="47">
      <alignment horizontal="left" vertical="center" wrapText="1" indent="2"/>
    </xf>
    <xf numFmtId="0" fontId="49" fillId="57" borderId="41" applyNumberFormat="0" applyAlignment="0" applyProtection="0"/>
    <xf numFmtId="0" fontId="49" fillId="57" borderId="41" applyNumberFormat="0" applyAlignment="0" applyProtection="0"/>
    <xf numFmtId="4" fontId="35" fillId="35" borderId="45">
      <alignment horizontal="right" vertical="center"/>
    </xf>
    <xf numFmtId="0" fontId="35" fillId="35" borderId="45">
      <alignment horizontal="right" vertical="center"/>
    </xf>
    <xf numFmtId="0" fontId="35" fillId="35" borderId="44">
      <alignment horizontal="right" vertical="center"/>
    </xf>
    <xf numFmtId="4" fontId="39" fillId="33" borderId="44">
      <alignment horizontal="right" vertical="center"/>
    </xf>
    <xf numFmtId="0" fontId="52" fillId="44" borderId="41" applyNumberFormat="0" applyAlignment="0" applyProtection="0"/>
    <xf numFmtId="0" fontId="53" fillId="0" borderId="42" applyNumberFormat="0" applyFill="0" applyAlignment="0" applyProtection="0"/>
    <xf numFmtId="0" fontId="68" fillId="0" borderId="42" applyNumberFormat="0" applyFill="0" applyAlignment="0" applyProtection="0"/>
    <xf numFmtId="0" fontId="43" fillId="60" borderId="43" applyNumberFormat="0" applyFont="0" applyAlignment="0" applyProtection="0"/>
    <xf numFmtId="0" fontId="61" fillId="44" borderId="41" applyNumberFormat="0" applyAlignment="0" applyProtection="0"/>
    <xf numFmtId="49" fontId="36" fillId="0" borderId="44" applyNumberFormat="0" applyFill="0" applyBorder="0" applyProtection="0">
      <alignment horizontal="left" vertical="center"/>
    </xf>
    <xf numFmtId="0" fontId="37" fillId="35" borderId="47">
      <alignment horizontal="left" vertical="center" wrapText="1" indent="2"/>
    </xf>
    <xf numFmtId="0" fontId="49" fillId="57" borderId="41" applyNumberFormat="0" applyAlignment="0" applyProtection="0"/>
    <xf numFmtId="0" fontId="37" fillId="0" borderId="47">
      <alignment horizontal="left" vertical="center" wrapText="1" indent="2"/>
    </xf>
    <xf numFmtId="0" fontId="43" fillId="60" borderId="43" applyNumberFormat="0" applyFont="0" applyAlignment="0" applyProtection="0"/>
    <xf numFmtId="0" fontId="5"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4" fontId="37" fillId="34" borderId="44"/>
    <xf numFmtId="0" fontId="35" fillId="35" borderId="44">
      <alignment horizontal="right" vertical="center"/>
    </xf>
    <xf numFmtId="0" fontId="68" fillId="0" borderId="42" applyNumberFormat="0" applyFill="0" applyAlignment="0" applyProtection="0"/>
    <xf numFmtId="4" fontId="35" fillId="35" borderId="46">
      <alignment horizontal="right" vertical="center"/>
    </xf>
    <xf numFmtId="0" fontId="48" fillId="57" borderId="41" applyNumberFormat="0" applyAlignment="0" applyProtection="0"/>
    <xf numFmtId="0" fontId="35" fillId="35" borderId="45">
      <alignment horizontal="right" vertical="center"/>
    </xf>
    <xf numFmtId="0" fontId="49" fillId="57" borderId="41" applyNumberFormat="0" applyAlignment="0" applyProtection="0"/>
    <xf numFmtId="0" fontId="53" fillId="0" borderId="42" applyNumberFormat="0" applyFill="0" applyAlignment="0" applyProtection="0"/>
    <xf numFmtId="0" fontId="43" fillId="60" borderId="43" applyNumberFormat="0" applyFont="0" applyAlignment="0" applyProtection="0"/>
    <xf numFmtId="4" fontId="35" fillId="35" borderId="45">
      <alignment horizontal="right" vertical="center"/>
    </xf>
    <xf numFmtId="0" fontId="37" fillId="35" borderId="47">
      <alignment horizontal="left" vertical="center" wrapText="1" indent="2"/>
    </xf>
    <xf numFmtId="0" fontId="37" fillId="34" borderId="44"/>
    <xf numFmtId="174" fontId="37" fillId="61" borderId="44" applyNumberFormat="0" applyFont="0" applyBorder="0" applyAlignment="0" applyProtection="0">
      <alignment horizontal="right" vertical="center"/>
    </xf>
    <xf numFmtId="0" fontId="37" fillId="0" borderId="44" applyNumberFormat="0" applyFill="0" applyAlignment="0" applyProtection="0"/>
    <xf numFmtId="4" fontId="37" fillId="0" borderId="44" applyFill="0" applyBorder="0" applyProtection="0">
      <alignment horizontal="right" vertical="center"/>
    </xf>
    <xf numFmtId="4" fontId="35" fillId="33" borderId="44">
      <alignment horizontal="right" vertical="center"/>
    </xf>
    <xf numFmtId="0" fontId="53" fillId="0" borderId="42" applyNumberFormat="0" applyFill="0" applyAlignment="0" applyProtection="0"/>
    <xf numFmtId="49" fontId="36" fillId="0" borderId="44" applyNumberFormat="0" applyFill="0" applyBorder="0" applyProtection="0">
      <alignment horizontal="left" vertical="center"/>
    </xf>
    <xf numFmtId="49" fontId="37" fillId="0" borderId="45" applyNumberFormat="0" applyFont="0" applyFill="0" applyBorder="0" applyProtection="0">
      <alignment horizontal="left" vertical="center" indent="5"/>
    </xf>
    <xf numFmtId="0" fontId="37" fillId="33" borderId="45">
      <alignment horizontal="left" vertical="center"/>
    </xf>
    <xf numFmtId="0" fontId="49" fillId="57" borderId="41" applyNumberFormat="0" applyAlignment="0" applyProtection="0"/>
    <xf numFmtId="4" fontId="35" fillId="35" borderId="46">
      <alignment horizontal="right" vertical="center"/>
    </xf>
    <xf numFmtId="0" fontId="61" fillId="44" borderId="41" applyNumberFormat="0" applyAlignment="0" applyProtection="0"/>
    <xf numFmtId="0" fontId="61" fillId="44" borderId="41" applyNumberFormat="0" applyAlignment="0" applyProtection="0"/>
    <xf numFmtId="0" fontId="43" fillId="60" borderId="43" applyNumberFormat="0" applyFont="0" applyAlignment="0" applyProtection="0"/>
    <xf numFmtId="0" fontId="65" fillId="57" borderId="48" applyNumberFormat="0" applyAlignment="0" applyProtection="0"/>
    <xf numFmtId="0" fontId="68" fillId="0" borderId="42" applyNumberFormat="0" applyFill="0" applyAlignment="0" applyProtection="0"/>
    <xf numFmtId="0" fontId="35" fillId="35" borderId="44">
      <alignment horizontal="right" vertical="center"/>
    </xf>
    <xf numFmtId="0" fontId="5" fillId="60" borderId="43" applyNumberFormat="0" applyFont="0" applyAlignment="0" applyProtection="0"/>
    <xf numFmtId="4" fontId="37" fillId="0" borderId="44">
      <alignment horizontal="right" vertical="center"/>
    </xf>
    <xf numFmtId="0" fontId="68" fillId="0" borderId="42" applyNumberFormat="0" applyFill="0" applyAlignment="0" applyProtection="0"/>
    <xf numFmtId="0" fontId="35" fillId="35" borderId="44">
      <alignment horizontal="right" vertical="center"/>
    </xf>
    <xf numFmtId="0" fontId="35" fillId="35" borderId="44">
      <alignment horizontal="right" vertical="center"/>
    </xf>
    <xf numFmtId="4" fontId="39" fillId="33" borderId="44">
      <alignment horizontal="right" vertical="center"/>
    </xf>
    <xf numFmtId="0" fontId="35" fillId="33" borderId="44">
      <alignment horizontal="right" vertical="center"/>
    </xf>
    <xf numFmtId="4" fontId="35" fillId="33" borderId="44">
      <alignment horizontal="right" vertical="center"/>
    </xf>
    <xf numFmtId="0" fontId="39" fillId="33" borderId="44">
      <alignment horizontal="right" vertical="center"/>
    </xf>
    <xf numFmtId="4" fontId="39" fillId="33" borderId="44">
      <alignment horizontal="right" vertical="center"/>
    </xf>
    <xf numFmtId="0" fontId="35" fillId="35" borderId="44">
      <alignment horizontal="right" vertical="center"/>
    </xf>
    <xf numFmtId="4" fontId="35" fillId="35" borderId="44">
      <alignment horizontal="right" vertical="center"/>
    </xf>
    <xf numFmtId="0" fontId="35" fillId="35" borderId="44">
      <alignment horizontal="right" vertical="center"/>
    </xf>
    <xf numFmtId="4" fontId="35" fillId="35" borderId="44">
      <alignment horizontal="right" vertical="center"/>
    </xf>
    <xf numFmtId="0" fontId="35" fillId="35" borderId="45">
      <alignment horizontal="right" vertical="center"/>
    </xf>
    <xf numFmtId="4" fontId="35" fillId="35" borderId="45">
      <alignment horizontal="right" vertical="center"/>
    </xf>
    <xf numFmtId="0" fontId="35" fillId="35" borderId="46">
      <alignment horizontal="right" vertical="center"/>
    </xf>
    <xf numFmtId="4" fontId="35" fillId="35" borderId="46">
      <alignment horizontal="right" vertical="center"/>
    </xf>
    <xf numFmtId="0" fontId="49"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3" borderId="45">
      <alignment horizontal="left" vertical="center"/>
    </xf>
    <xf numFmtId="0" fontId="61" fillId="44" borderId="41" applyNumberFormat="0" applyAlignment="0" applyProtection="0"/>
    <xf numFmtId="0" fontId="37" fillId="0" borderId="44">
      <alignment horizontal="right" vertical="center"/>
    </xf>
    <xf numFmtId="4" fontId="37" fillId="0" borderId="44">
      <alignment horizontal="right" vertical="center"/>
    </xf>
    <xf numFmtId="0" fontId="37" fillId="0" borderId="44" applyNumberFormat="0" applyFill="0" applyAlignment="0" applyProtection="0"/>
    <xf numFmtId="0" fontId="65" fillId="57" borderId="48" applyNumberFormat="0" applyAlignment="0" applyProtection="0"/>
    <xf numFmtId="174" fontId="37" fillId="61" borderId="44" applyNumberFormat="0" applyFont="0" applyBorder="0" applyAlignment="0" applyProtection="0">
      <alignment horizontal="right" vertical="center"/>
    </xf>
    <xf numFmtId="0" fontId="37" fillId="34" borderId="44"/>
    <xf numFmtId="4" fontId="37" fillId="34" borderId="44"/>
    <xf numFmtId="0" fontId="68" fillId="0" borderId="42" applyNumberFormat="0" applyFill="0" applyAlignment="0" applyProtection="0"/>
    <xf numFmtId="0" fontId="5" fillId="60" borderId="43" applyNumberFormat="0" applyFont="0" applyAlignment="0" applyProtection="0"/>
    <xf numFmtId="0" fontId="43" fillId="60" borderId="43" applyNumberFormat="0" applyFont="0" applyAlignment="0" applyProtection="0"/>
    <xf numFmtId="0" fontId="37" fillId="0" borderId="44" applyNumberFormat="0" applyFill="0" applyAlignment="0" applyProtection="0"/>
    <xf numFmtId="0" fontId="53" fillId="0" borderId="42" applyNumberFormat="0" applyFill="0" applyAlignment="0" applyProtection="0"/>
    <xf numFmtId="0" fontId="68" fillId="0" borderId="42" applyNumberFormat="0" applyFill="0" applyAlignment="0" applyProtection="0"/>
    <xf numFmtId="0" fontId="52" fillId="44" borderId="41" applyNumberFormat="0" applyAlignment="0" applyProtection="0"/>
    <xf numFmtId="0" fontId="49" fillId="57" borderId="41" applyNumberFormat="0" applyAlignment="0" applyProtection="0"/>
    <xf numFmtId="4" fontId="39" fillId="33" borderId="44">
      <alignment horizontal="right" vertical="center"/>
    </xf>
    <xf numFmtId="0" fontId="35" fillId="33" borderId="44">
      <alignment horizontal="right" vertical="center"/>
    </xf>
    <xf numFmtId="174" fontId="37" fillId="61" borderId="44" applyNumberFormat="0" applyFont="0" applyBorder="0" applyAlignment="0" applyProtection="0">
      <alignment horizontal="right" vertical="center"/>
    </xf>
    <xf numFmtId="0" fontId="53" fillId="0" borderId="42" applyNumberFormat="0" applyFill="0" applyAlignment="0" applyProtection="0"/>
    <xf numFmtId="49" fontId="37" fillId="0" borderId="44" applyNumberFormat="0" applyFont="0" applyFill="0" applyBorder="0" applyProtection="0">
      <alignment horizontal="left" vertical="center" indent="2"/>
    </xf>
    <xf numFmtId="49" fontId="37" fillId="0" borderId="45" applyNumberFormat="0" applyFont="0" applyFill="0" applyBorder="0" applyProtection="0">
      <alignment horizontal="left" vertical="center" indent="5"/>
    </xf>
    <xf numFmtId="49" fontId="37" fillId="0" borderId="44" applyNumberFormat="0" applyFont="0" applyFill="0" applyBorder="0" applyProtection="0">
      <alignment horizontal="left" vertical="center" indent="2"/>
    </xf>
    <xf numFmtId="4" fontId="37" fillId="0" borderId="44" applyFill="0" applyBorder="0" applyProtection="0">
      <alignment horizontal="right" vertical="center"/>
    </xf>
    <xf numFmtId="49" fontId="36" fillId="0" borderId="44" applyNumberFormat="0" applyFill="0" applyBorder="0" applyProtection="0">
      <alignment horizontal="left" vertical="center"/>
    </xf>
    <xf numFmtId="0" fontId="37" fillId="0" borderId="47">
      <alignment horizontal="left" vertical="center" wrapText="1" indent="2"/>
    </xf>
    <xf numFmtId="0" fontId="65" fillId="57" borderId="48" applyNumberFormat="0" applyAlignment="0" applyProtection="0"/>
    <xf numFmtId="0" fontId="35" fillId="35" borderId="46">
      <alignment horizontal="right" vertical="center"/>
    </xf>
    <xf numFmtId="0" fontId="52" fillId="44" borderId="41" applyNumberFormat="0" applyAlignment="0" applyProtection="0"/>
    <xf numFmtId="0" fontId="35" fillId="35" borderId="46">
      <alignment horizontal="right" vertical="center"/>
    </xf>
    <xf numFmtId="4" fontId="35" fillId="35" borderId="44">
      <alignment horizontal="right" vertical="center"/>
    </xf>
    <xf numFmtId="0" fontId="35" fillId="35" borderId="44">
      <alignment horizontal="right" vertical="center"/>
    </xf>
    <xf numFmtId="0" fontId="46" fillId="57" borderId="48" applyNumberFormat="0" applyAlignment="0" applyProtection="0"/>
    <xf numFmtId="0" fontId="48" fillId="57" borderId="41" applyNumberFormat="0" applyAlignment="0" applyProtection="0"/>
    <xf numFmtId="0" fontId="53" fillId="0" borderId="42" applyNumberFormat="0" applyFill="0" applyAlignment="0" applyProtection="0"/>
    <xf numFmtId="0" fontId="37" fillId="34" borderId="44"/>
    <xf numFmtId="4" fontId="37" fillId="34" borderId="44"/>
    <xf numFmtId="4" fontId="35" fillId="35" borderId="44">
      <alignment horizontal="right" vertical="center"/>
    </xf>
    <xf numFmtId="0" fontId="39" fillId="33" borderId="44">
      <alignment horizontal="right" vertical="center"/>
    </xf>
    <xf numFmtId="0" fontId="52" fillId="44" borderId="41" applyNumberFormat="0" applyAlignment="0" applyProtection="0"/>
    <xf numFmtId="0" fontId="49" fillId="57" borderId="41" applyNumberFormat="0" applyAlignment="0" applyProtection="0"/>
    <xf numFmtId="4" fontId="37" fillId="0" borderId="44">
      <alignment horizontal="right" vertical="center"/>
    </xf>
    <xf numFmtId="0" fontId="37" fillId="35" borderId="47">
      <alignment horizontal="left" vertical="center" wrapText="1" indent="2"/>
    </xf>
    <xf numFmtId="0" fontId="37" fillId="0" borderId="47">
      <alignment horizontal="left" vertical="center" wrapText="1" indent="2"/>
    </xf>
    <xf numFmtId="0" fontId="65" fillId="57" borderId="48" applyNumberFormat="0" applyAlignment="0" applyProtection="0"/>
    <xf numFmtId="0" fontId="61" fillId="44" borderId="41" applyNumberFormat="0" applyAlignment="0" applyProtection="0"/>
    <xf numFmtId="0" fontId="48" fillId="57" borderId="41" applyNumberFormat="0" applyAlignment="0" applyProtection="0"/>
    <xf numFmtId="0" fontId="46" fillId="57" borderId="48" applyNumberFormat="0" applyAlignment="0" applyProtection="0"/>
    <xf numFmtId="0" fontId="35" fillId="35" borderId="46">
      <alignment horizontal="right" vertical="center"/>
    </xf>
    <xf numFmtId="0" fontId="39" fillId="33" borderId="44">
      <alignment horizontal="right" vertical="center"/>
    </xf>
    <xf numFmtId="4" fontId="35" fillId="33" borderId="44">
      <alignment horizontal="right" vertical="center"/>
    </xf>
    <xf numFmtId="4" fontId="35" fillId="35" borderId="44">
      <alignment horizontal="right" vertical="center"/>
    </xf>
    <xf numFmtId="49" fontId="37" fillId="0" borderId="45" applyNumberFormat="0" applyFont="0" applyFill="0" applyBorder="0" applyProtection="0">
      <alignment horizontal="left" vertical="center" indent="5"/>
    </xf>
    <xf numFmtId="4" fontId="37" fillId="0" borderId="44" applyFill="0" applyBorder="0" applyProtection="0">
      <alignment horizontal="right" vertical="center"/>
    </xf>
    <xf numFmtId="4" fontId="35" fillId="33" borderId="44">
      <alignment horizontal="right" vertical="center"/>
    </xf>
    <xf numFmtId="0" fontId="61" fillId="44" borderId="41" applyNumberFormat="0" applyAlignment="0" applyProtection="0"/>
    <xf numFmtId="0" fontId="52" fillId="44" borderId="41" applyNumberFormat="0" applyAlignment="0" applyProtection="0"/>
    <xf numFmtId="0" fontId="48" fillId="57" borderId="41" applyNumberFormat="0" applyAlignment="0" applyProtection="0"/>
    <xf numFmtId="0" fontId="37" fillId="35" borderId="47">
      <alignment horizontal="left" vertical="center" wrapText="1" indent="2"/>
    </xf>
    <xf numFmtId="0" fontId="37" fillId="0" borderId="47">
      <alignment horizontal="left" vertical="center" wrapText="1" indent="2"/>
    </xf>
    <xf numFmtId="0" fontId="37" fillId="35" borderId="47">
      <alignment horizontal="left" vertical="center" wrapText="1" indent="2"/>
    </xf>
    <xf numFmtId="0" fontId="35" fillId="35" borderId="55">
      <alignment horizontal="right" vertical="center"/>
    </xf>
    <xf numFmtId="0" fontId="61" fillId="44" borderId="87" applyNumberFormat="0" applyAlignment="0" applyProtection="0"/>
    <xf numFmtId="0" fontId="35" fillId="33" borderId="69">
      <alignment horizontal="right" vertical="center"/>
    </xf>
    <xf numFmtId="4" fontId="39" fillId="33" borderId="61">
      <alignment horizontal="right" vertical="center"/>
    </xf>
    <xf numFmtId="0" fontId="29" fillId="24" borderId="0" applyNumberFormat="0" applyBorder="0" applyAlignment="0" applyProtection="0"/>
    <xf numFmtId="0" fontId="46" fillId="57" borderId="57" applyNumberFormat="0" applyAlignment="0" applyProtection="0"/>
    <xf numFmtId="0" fontId="48" fillId="57" borderId="58" applyNumberFormat="0" applyAlignment="0" applyProtection="0"/>
    <xf numFmtId="0" fontId="5" fillId="60" borderId="81" applyNumberFormat="0" applyFont="0" applyAlignment="0" applyProtection="0"/>
    <xf numFmtId="0" fontId="35" fillId="33" borderId="69">
      <alignment horizontal="right" vertical="center"/>
    </xf>
    <xf numFmtId="4" fontId="35" fillId="35" borderId="61">
      <alignment horizontal="right" vertical="center"/>
    </xf>
    <xf numFmtId="0" fontId="68" fillId="0" borderId="59" applyNumberFormat="0" applyFill="0" applyAlignment="0" applyProtection="0"/>
    <xf numFmtId="49" fontId="36" fillId="0" borderId="82" applyNumberFormat="0" applyFill="0" applyBorder="0" applyProtection="0">
      <alignment horizontal="left" vertical="center"/>
    </xf>
    <xf numFmtId="0" fontId="37" fillId="33" borderId="62">
      <alignment horizontal="left" vertical="center"/>
    </xf>
    <xf numFmtId="0" fontId="68" fillId="0" borderId="59" applyNumberFormat="0" applyFill="0" applyAlignment="0" applyProtection="0"/>
    <xf numFmtId="0" fontId="35" fillId="35" borderId="71">
      <alignment horizontal="right" vertical="center"/>
    </xf>
    <xf numFmtId="0" fontId="46" fillId="57" borderId="65" applyNumberFormat="0" applyAlignment="0" applyProtection="0"/>
    <xf numFmtId="0" fontId="52" fillId="44" borderId="58" applyNumberFormat="0" applyAlignment="0" applyProtection="0"/>
    <xf numFmtId="0" fontId="65" fillId="57" borderId="65" applyNumberFormat="0" applyAlignment="0" applyProtection="0"/>
    <xf numFmtId="0" fontId="37" fillId="35" borderId="72">
      <alignment horizontal="left" vertical="center" wrapText="1" indent="2"/>
    </xf>
    <xf numFmtId="0" fontId="33" fillId="0" borderId="0" applyNumberFormat="0" applyFill="0" applyBorder="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29" fillId="19" borderId="0" applyNumberFormat="0" applyBorder="0" applyAlignment="0" applyProtection="0"/>
    <xf numFmtId="0" fontId="13" fillId="20" borderId="0" applyNumberFormat="0" applyBorder="0" applyAlignment="0" applyProtection="0"/>
    <xf numFmtId="0" fontId="13" fillId="32" borderId="0" applyNumberFormat="0" applyBorder="0" applyAlignment="0" applyProtection="0"/>
    <xf numFmtId="0" fontId="37" fillId="34" borderId="61"/>
    <xf numFmtId="0" fontId="46" fillId="57" borderId="65" applyNumberFormat="0" applyAlignment="0" applyProtection="0"/>
    <xf numFmtId="0" fontId="43" fillId="60" borderId="68" applyNumberFormat="0" applyFont="0" applyAlignment="0" applyProtection="0"/>
    <xf numFmtId="0" fontId="65" fillId="57" borderId="65" applyNumberFormat="0" applyAlignment="0" applyProtection="0"/>
    <xf numFmtId="0" fontId="53" fillId="0" borderId="67" applyNumberFormat="0" applyFill="0" applyAlignment="0" applyProtection="0"/>
    <xf numFmtId="0" fontId="1" fillId="0" borderId="0" applyNumberFormat="0" applyFill="0" applyBorder="0" applyAlignment="0" applyProtection="0"/>
    <xf numFmtId="0" fontId="48" fillId="57" borderId="66"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48" fillId="57" borderId="87" applyNumberFormat="0" applyAlignment="0" applyProtection="0"/>
    <xf numFmtId="0" fontId="29" fillId="21" borderId="0" applyNumberFormat="0" applyBorder="0" applyAlignment="0" applyProtection="0"/>
    <xf numFmtId="0" fontId="29" fillId="15" borderId="0" applyNumberFormat="0" applyBorder="0" applyAlignment="0" applyProtection="0"/>
    <xf numFmtId="0" fontId="37" fillId="34" borderId="77"/>
    <xf numFmtId="4" fontId="35" fillId="35" borderId="61">
      <alignment horizontal="right" vertical="center"/>
    </xf>
    <xf numFmtId="4" fontId="37" fillId="0" borderId="61" applyFill="0" applyBorder="0" applyProtection="0">
      <alignment horizontal="right" vertical="center"/>
    </xf>
    <xf numFmtId="0" fontId="35" fillId="33" borderId="61">
      <alignment horizontal="right" vertical="center"/>
    </xf>
    <xf numFmtId="4" fontId="35" fillId="35" borderId="82">
      <alignment horizontal="right" vertical="center"/>
    </xf>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46" fillId="57" borderId="57" applyNumberFormat="0" applyAlignment="0" applyProtection="0"/>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0" fontId="46" fillId="57" borderId="49" applyNumberFormat="0" applyAlignment="0" applyProtection="0"/>
    <xf numFmtId="0" fontId="48" fillId="57" borderId="50" applyNumberFormat="0" applyAlignment="0" applyProtection="0"/>
    <xf numFmtId="0" fontId="49" fillId="57" borderId="50" applyNumberFormat="0" applyAlignment="0" applyProtection="0"/>
    <xf numFmtId="0" fontId="52" fillId="44" borderId="50" applyNumberFormat="0" applyAlignment="0" applyProtection="0"/>
    <xf numFmtId="0" fontId="53" fillId="0" borderId="51" applyNumberFormat="0" applyFill="0" applyAlignment="0" applyProtection="0"/>
    <xf numFmtId="0" fontId="61" fillId="44" borderId="50" applyNumberFormat="0" applyAlignment="0" applyProtection="0"/>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49" fillId="57"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53" fillId="0" borderId="67" applyNumberFormat="0" applyFill="0" applyAlignment="0" applyProtection="0"/>
    <xf numFmtId="4" fontId="39" fillId="33" borderId="69">
      <alignment horizontal="right" vertical="center"/>
    </xf>
    <xf numFmtId="0" fontId="61" fillId="44" borderId="58" applyNumberFormat="0" applyAlignment="0" applyProtection="0"/>
    <xf numFmtId="0" fontId="35" fillId="35" borderId="82">
      <alignment horizontal="right" vertical="center"/>
    </xf>
    <xf numFmtId="0" fontId="49" fillId="57" borderId="50" applyNumberFormat="0" applyAlignment="0" applyProtection="0"/>
    <xf numFmtId="0" fontId="35" fillId="35" borderId="70">
      <alignment horizontal="right" vertical="center"/>
    </xf>
    <xf numFmtId="0" fontId="52" fillId="44" borderId="74" applyNumberFormat="0" applyAlignment="0" applyProtection="0"/>
    <xf numFmtId="0" fontId="61" fillId="44" borderId="50" applyNumberFormat="0" applyAlignment="0" applyProtection="0"/>
    <xf numFmtId="0" fontId="65" fillId="57" borderId="49" applyNumberFormat="0" applyAlignment="0" applyProtection="0"/>
    <xf numFmtId="0" fontId="68" fillId="0" borderId="51" applyNumberFormat="0" applyFill="0" applyAlignment="0" applyProtection="0"/>
    <xf numFmtId="0" fontId="68" fillId="0" borderId="59" applyNumberFormat="0" applyFill="0" applyAlignment="0" applyProtection="0"/>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52" fillId="44" borderId="50" applyNumberFormat="0" applyAlignment="0" applyProtection="0"/>
    <xf numFmtId="0" fontId="37" fillId="0" borderId="53">
      <alignment horizontal="right" vertical="center"/>
    </xf>
    <xf numFmtId="4" fontId="37" fillId="0" borderId="53">
      <alignment horizontal="right" vertical="center"/>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3" applyNumberFormat="0" applyFill="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4" fontId="35" fillId="35" borderId="53">
      <alignment horizontal="right" vertical="center"/>
    </xf>
    <xf numFmtId="0" fontId="37" fillId="34" borderId="53"/>
    <xf numFmtId="0" fontId="48" fillId="57" borderId="50" applyNumberFormat="0" applyAlignment="0" applyProtection="0"/>
    <xf numFmtId="0" fontId="35" fillId="33" borderId="53">
      <alignment horizontal="right" vertical="center"/>
    </xf>
    <xf numFmtId="0" fontId="37" fillId="0" borderId="53">
      <alignment horizontal="right" vertical="center"/>
    </xf>
    <xf numFmtId="0" fontId="68" fillId="0" borderId="51" applyNumberFormat="0" applyFill="0" applyAlignment="0" applyProtection="0"/>
    <xf numFmtId="0" fontId="37" fillId="33" borderId="54">
      <alignment horizontal="left" vertical="center"/>
    </xf>
    <xf numFmtId="0" fontId="61" fillId="44" borderId="50" applyNumberFormat="0" applyAlignment="0" applyProtection="0"/>
    <xf numFmtId="174" fontId="37" fillId="61" borderId="53" applyNumberFormat="0" applyFont="0" applyBorder="0" applyAlignment="0" applyProtection="0">
      <alignment horizontal="right" vertical="center"/>
    </xf>
    <xf numFmtId="0" fontId="43" fillId="60" borderId="52" applyNumberFormat="0" applyFont="0" applyAlignment="0" applyProtection="0"/>
    <xf numFmtId="0" fontId="37" fillId="0" borderId="56">
      <alignment horizontal="left" vertical="center" wrapText="1" indent="2"/>
    </xf>
    <xf numFmtId="4" fontId="37" fillId="34" borderId="53"/>
    <xf numFmtId="49" fontId="36" fillId="0" borderId="53" applyNumberFormat="0" applyFill="0" applyBorder="0" applyProtection="0">
      <alignment horizontal="left" vertical="center"/>
    </xf>
    <xf numFmtId="0" fontId="37" fillId="0" borderId="53">
      <alignment horizontal="right" vertical="center"/>
    </xf>
    <xf numFmtId="4" fontId="35" fillId="35" borderId="55">
      <alignment horizontal="right" vertical="center"/>
    </xf>
    <xf numFmtId="4" fontId="35" fillId="35" borderId="53">
      <alignment horizontal="right" vertical="center"/>
    </xf>
    <xf numFmtId="4" fontId="35" fillId="35" borderId="53">
      <alignment horizontal="right" vertical="center"/>
    </xf>
    <xf numFmtId="0" fontId="39" fillId="33" borderId="53">
      <alignment horizontal="right" vertical="center"/>
    </xf>
    <xf numFmtId="0" fontId="35" fillId="33" borderId="53">
      <alignment horizontal="right" vertical="center"/>
    </xf>
    <xf numFmtId="49" fontId="37" fillId="0" borderId="53" applyNumberFormat="0" applyFont="0" applyFill="0" applyBorder="0" applyProtection="0">
      <alignment horizontal="left" vertical="center" indent="2"/>
    </xf>
    <xf numFmtId="0" fontId="61" fillId="44" borderId="50" applyNumberFormat="0" applyAlignment="0" applyProtection="0"/>
    <xf numFmtId="0" fontId="46" fillId="57" borderId="49" applyNumberFormat="0" applyAlignment="0" applyProtection="0"/>
    <xf numFmtId="49" fontId="37" fillId="0" borderId="53" applyNumberFormat="0" applyFont="0" applyFill="0" applyBorder="0" applyProtection="0">
      <alignment horizontal="left" vertical="center" indent="2"/>
    </xf>
    <xf numFmtId="0" fontId="52" fillId="44" borderId="50" applyNumberFormat="0" applyAlignment="0" applyProtection="0"/>
    <xf numFmtId="4" fontId="37" fillId="0" borderId="53" applyFill="0" applyBorder="0" applyProtection="0">
      <alignment horizontal="right" vertical="center"/>
    </xf>
    <xf numFmtId="0" fontId="49" fillId="57" borderId="50" applyNumberFormat="0" applyAlignment="0" applyProtection="0"/>
    <xf numFmtId="0" fontId="68" fillId="0" borderId="51" applyNumberFormat="0" applyFill="0" applyAlignment="0" applyProtection="0"/>
    <xf numFmtId="0" fontId="65" fillId="57" borderId="49" applyNumberFormat="0" applyAlignment="0" applyProtection="0"/>
    <xf numFmtId="0" fontId="37" fillId="0" borderId="53" applyNumberFormat="0" applyFill="0" applyAlignment="0" applyProtection="0"/>
    <xf numFmtId="4" fontId="37" fillId="0" borderId="53">
      <alignment horizontal="right" vertical="center"/>
    </xf>
    <xf numFmtId="0" fontId="37" fillId="0" borderId="53">
      <alignment horizontal="right" vertical="center"/>
    </xf>
    <xf numFmtId="0" fontId="61" fillId="44" borderId="50" applyNumberFormat="0" applyAlignment="0" applyProtection="0"/>
    <xf numFmtId="0" fontId="46" fillId="57" borderId="49" applyNumberFormat="0" applyAlignment="0" applyProtection="0"/>
    <xf numFmtId="0" fontId="48" fillId="57" borderId="50" applyNumberFormat="0" applyAlignment="0" applyProtection="0"/>
    <xf numFmtId="0" fontId="37" fillId="35" borderId="56">
      <alignment horizontal="left" vertical="center" wrapText="1" indent="2"/>
    </xf>
    <xf numFmtId="0" fontId="49" fillId="57" borderId="50" applyNumberFormat="0" applyAlignment="0" applyProtection="0"/>
    <xf numFmtId="0" fontId="49" fillId="57" borderId="50" applyNumberFormat="0" applyAlignment="0" applyProtection="0"/>
    <xf numFmtId="4" fontId="35" fillId="35" borderId="54">
      <alignment horizontal="right" vertical="center"/>
    </xf>
    <xf numFmtId="0" fontId="35" fillId="35" borderId="54">
      <alignment horizontal="right" vertical="center"/>
    </xf>
    <xf numFmtId="0" fontId="35" fillId="35" borderId="53">
      <alignment horizontal="right" vertical="center"/>
    </xf>
    <xf numFmtId="4" fontId="39" fillId="33" borderId="53">
      <alignment horizontal="right" vertical="center"/>
    </xf>
    <xf numFmtId="0" fontId="52" fillId="44" borderId="50" applyNumberFormat="0" applyAlignment="0" applyProtection="0"/>
    <xf numFmtId="0" fontId="53" fillId="0" borderId="51" applyNumberFormat="0" applyFill="0" applyAlignment="0" applyProtection="0"/>
    <xf numFmtId="0" fontId="68" fillId="0" borderId="51" applyNumberFormat="0" applyFill="0" applyAlignment="0" applyProtection="0"/>
    <xf numFmtId="0" fontId="43" fillId="60" borderId="52" applyNumberFormat="0" applyFont="0" applyAlignment="0" applyProtection="0"/>
    <xf numFmtId="0" fontId="61" fillId="44" borderId="50" applyNumberFormat="0" applyAlignment="0" applyProtection="0"/>
    <xf numFmtId="49" fontId="36" fillId="0" borderId="53" applyNumberFormat="0" applyFill="0" applyBorder="0" applyProtection="0">
      <alignment horizontal="left" vertical="center"/>
    </xf>
    <xf numFmtId="0" fontId="37" fillId="35" borderId="56">
      <alignment horizontal="left" vertical="center" wrapText="1" indent="2"/>
    </xf>
    <xf numFmtId="0" fontId="49" fillId="57" borderId="50" applyNumberFormat="0" applyAlignment="0" applyProtection="0"/>
    <xf numFmtId="0" fontId="37" fillId="0" borderId="56">
      <alignment horizontal="left" vertical="center" wrapText="1" indent="2"/>
    </xf>
    <xf numFmtId="0" fontId="43" fillId="60" borderId="52" applyNumberFormat="0" applyFont="0" applyAlignment="0" applyProtection="0"/>
    <xf numFmtId="0" fontId="5"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4" fontId="37" fillId="34" borderId="53"/>
    <xf numFmtId="0" fontId="35" fillId="35" borderId="53">
      <alignment horizontal="right" vertical="center"/>
    </xf>
    <xf numFmtId="0" fontId="68" fillId="0" borderId="51" applyNumberFormat="0" applyFill="0" applyAlignment="0" applyProtection="0"/>
    <xf numFmtId="4" fontId="35" fillId="35" borderId="55">
      <alignment horizontal="right" vertical="center"/>
    </xf>
    <xf numFmtId="0" fontId="48" fillId="57" borderId="50" applyNumberFormat="0" applyAlignment="0" applyProtection="0"/>
    <xf numFmtId="0" fontId="35" fillId="35" borderId="54">
      <alignment horizontal="right" vertical="center"/>
    </xf>
    <xf numFmtId="0" fontId="49" fillId="57" borderId="50" applyNumberFormat="0" applyAlignment="0" applyProtection="0"/>
    <xf numFmtId="0" fontId="53" fillId="0" borderId="51" applyNumberFormat="0" applyFill="0" applyAlignment="0" applyProtection="0"/>
    <xf numFmtId="0" fontId="43" fillId="60" borderId="52" applyNumberFormat="0" applyFont="0" applyAlignment="0" applyProtection="0"/>
    <xf numFmtId="4" fontId="35" fillId="35" borderId="54">
      <alignment horizontal="right" vertical="center"/>
    </xf>
    <xf numFmtId="0" fontId="37" fillId="35" borderId="56">
      <alignment horizontal="left" vertical="center" wrapText="1" indent="2"/>
    </xf>
    <xf numFmtId="0" fontId="37" fillId="34" borderId="53"/>
    <xf numFmtId="174" fontId="37" fillId="61" borderId="53" applyNumberFormat="0" applyFont="0" applyBorder="0" applyAlignment="0" applyProtection="0">
      <alignment horizontal="right" vertical="center"/>
    </xf>
    <xf numFmtId="0" fontId="37" fillId="0" borderId="53" applyNumberFormat="0" applyFill="0" applyAlignment="0" applyProtection="0"/>
    <xf numFmtId="4" fontId="37" fillId="0" borderId="53" applyFill="0" applyBorder="0" applyProtection="0">
      <alignment horizontal="right" vertical="center"/>
    </xf>
    <xf numFmtId="4" fontId="35" fillId="33" borderId="53">
      <alignment horizontal="right" vertical="center"/>
    </xf>
    <xf numFmtId="0" fontId="53" fillId="0" borderId="51" applyNumberFormat="0" applyFill="0" applyAlignment="0" applyProtection="0"/>
    <xf numFmtId="49" fontId="36" fillId="0" borderId="53" applyNumberFormat="0" applyFill="0" applyBorder="0" applyProtection="0">
      <alignment horizontal="left" vertical="center"/>
    </xf>
    <xf numFmtId="49" fontId="37" fillId="0" borderId="54" applyNumberFormat="0" applyFont="0" applyFill="0" applyBorder="0" applyProtection="0">
      <alignment horizontal="left" vertical="center" indent="5"/>
    </xf>
    <xf numFmtId="0" fontId="37" fillId="33" borderId="54">
      <alignment horizontal="left" vertical="center"/>
    </xf>
    <xf numFmtId="0" fontId="49" fillId="57" borderId="50" applyNumberFormat="0" applyAlignment="0" applyProtection="0"/>
    <xf numFmtId="4" fontId="35" fillId="35" borderId="55">
      <alignment horizontal="right" vertical="center"/>
    </xf>
    <xf numFmtId="0" fontId="61" fillId="44" borderId="50" applyNumberFormat="0" applyAlignment="0" applyProtection="0"/>
    <xf numFmtId="0" fontId="61" fillId="44" borderId="50" applyNumberFormat="0" applyAlignment="0" applyProtection="0"/>
    <xf numFmtId="0" fontId="43" fillId="60" borderId="52" applyNumberFormat="0" applyFont="0" applyAlignment="0" applyProtection="0"/>
    <xf numFmtId="0" fontId="65" fillId="57" borderId="49" applyNumberFormat="0" applyAlignment="0" applyProtection="0"/>
    <xf numFmtId="0" fontId="68" fillId="0" borderId="51" applyNumberFormat="0" applyFill="0" applyAlignment="0" applyProtection="0"/>
    <xf numFmtId="0" fontId="35" fillId="35" borderId="53">
      <alignment horizontal="right" vertical="center"/>
    </xf>
    <xf numFmtId="0" fontId="5" fillId="60" borderId="52" applyNumberFormat="0" applyFont="0" applyAlignment="0" applyProtection="0"/>
    <xf numFmtId="4" fontId="37" fillId="0" borderId="53">
      <alignment horizontal="right" vertical="center"/>
    </xf>
    <xf numFmtId="0" fontId="68" fillId="0" borderId="51" applyNumberFormat="0" applyFill="0" applyAlignment="0" applyProtection="0"/>
    <xf numFmtId="0" fontId="35" fillId="35" borderId="53">
      <alignment horizontal="right" vertical="center"/>
    </xf>
    <xf numFmtId="0" fontId="35" fillId="35" borderId="53">
      <alignment horizontal="right" vertical="center"/>
    </xf>
    <xf numFmtId="4" fontId="39" fillId="33" borderId="53">
      <alignment horizontal="right" vertical="center"/>
    </xf>
    <xf numFmtId="0" fontId="35" fillId="33" borderId="53">
      <alignment horizontal="right" vertical="center"/>
    </xf>
    <xf numFmtId="4" fontId="35" fillId="33" borderId="53">
      <alignment horizontal="right" vertical="center"/>
    </xf>
    <xf numFmtId="0" fontId="39" fillId="33" borderId="53">
      <alignment horizontal="right" vertical="center"/>
    </xf>
    <xf numFmtId="4" fontId="39" fillId="33" borderId="53">
      <alignment horizontal="right" vertical="center"/>
    </xf>
    <xf numFmtId="0" fontId="35" fillId="35" borderId="53">
      <alignment horizontal="right" vertical="center"/>
    </xf>
    <xf numFmtId="4" fontId="35" fillId="35" borderId="53">
      <alignment horizontal="right" vertical="center"/>
    </xf>
    <xf numFmtId="0" fontId="35" fillId="35" borderId="53">
      <alignment horizontal="right" vertical="center"/>
    </xf>
    <xf numFmtId="4" fontId="35" fillId="35" borderId="53">
      <alignment horizontal="right" vertical="center"/>
    </xf>
    <xf numFmtId="0" fontId="35" fillId="35" borderId="54">
      <alignment horizontal="right" vertical="center"/>
    </xf>
    <xf numFmtId="4" fontId="35" fillId="35" borderId="54">
      <alignment horizontal="right" vertical="center"/>
    </xf>
    <xf numFmtId="0" fontId="35" fillId="35" borderId="55">
      <alignment horizontal="right" vertical="center"/>
    </xf>
    <xf numFmtId="4" fontId="35" fillId="35" borderId="55">
      <alignment horizontal="right" vertical="center"/>
    </xf>
    <xf numFmtId="0" fontId="49"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3" borderId="54">
      <alignment horizontal="left" vertical="center"/>
    </xf>
    <xf numFmtId="0" fontId="61" fillId="44" borderId="50" applyNumberFormat="0" applyAlignment="0" applyProtection="0"/>
    <xf numFmtId="0" fontId="37" fillId="0" borderId="53">
      <alignment horizontal="right" vertical="center"/>
    </xf>
    <xf numFmtId="4" fontId="37" fillId="0" borderId="53">
      <alignment horizontal="right" vertical="center"/>
    </xf>
    <xf numFmtId="0" fontId="37" fillId="0" borderId="53" applyNumberFormat="0" applyFill="0" applyAlignment="0" applyProtection="0"/>
    <xf numFmtId="0" fontId="65" fillId="57" borderId="49" applyNumberFormat="0" applyAlignment="0" applyProtection="0"/>
    <xf numFmtId="174" fontId="37" fillId="61" borderId="53" applyNumberFormat="0" applyFont="0" applyBorder="0" applyAlignment="0" applyProtection="0">
      <alignment horizontal="right" vertical="center"/>
    </xf>
    <xf numFmtId="0" fontId="37" fillId="34" borderId="53"/>
    <xf numFmtId="4" fontId="37" fillId="34" borderId="53"/>
    <xf numFmtId="0" fontId="68" fillId="0" borderId="51" applyNumberFormat="0" applyFill="0" applyAlignment="0" applyProtection="0"/>
    <xf numFmtId="0" fontId="5" fillId="60" borderId="52" applyNumberFormat="0" applyFont="0" applyAlignment="0" applyProtection="0"/>
    <xf numFmtId="0" fontId="43" fillId="60" borderId="52" applyNumberFormat="0" applyFont="0" applyAlignment="0" applyProtection="0"/>
    <xf numFmtId="0" fontId="37" fillId="0" borderId="53" applyNumberFormat="0" applyFill="0" applyAlignment="0" applyProtection="0"/>
    <xf numFmtId="0" fontId="53" fillId="0" borderId="51" applyNumberFormat="0" applyFill="0" applyAlignment="0" applyProtection="0"/>
    <xf numFmtId="0" fontId="68" fillId="0" borderId="51" applyNumberFormat="0" applyFill="0" applyAlignment="0" applyProtection="0"/>
    <xf numFmtId="0" fontId="52" fillId="44" borderId="50" applyNumberFormat="0" applyAlignment="0" applyProtection="0"/>
    <xf numFmtId="0" fontId="49" fillId="57" borderId="50" applyNumberFormat="0" applyAlignment="0" applyProtection="0"/>
    <xf numFmtId="4" fontId="39" fillId="33" borderId="53">
      <alignment horizontal="right" vertical="center"/>
    </xf>
    <xf numFmtId="0" fontId="35" fillId="33" borderId="53">
      <alignment horizontal="right" vertical="center"/>
    </xf>
    <xf numFmtId="174" fontId="37" fillId="61" borderId="53" applyNumberFormat="0" applyFont="0" applyBorder="0" applyAlignment="0" applyProtection="0">
      <alignment horizontal="right" vertical="center"/>
    </xf>
    <xf numFmtId="0" fontId="53" fillId="0" borderId="51" applyNumberFormat="0" applyFill="0" applyAlignment="0" applyProtection="0"/>
    <xf numFmtId="49" fontId="37" fillId="0" borderId="53" applyNumberFormat="0" applyFont="0" applyFill="0" applyBorder="0" applyProtection="0">
      <alignment horizontal="left" vertical="center" indent="2"/>
    </xf>
    <xf numFmtId="49" fontId="37" fillId="0" borderId="54" applyNumberFormat="0" applyFont="0" applyFill="0" applyBorder="0" applyProtection="0">
      <alignment horizontal="left" vertical="center" indent="5"/>
    </xf>
    <xf numFmtId="49" fontId="37" fillId="0" borderId="53" applyNumberFormat="0" applyFont="0" applyFill="0" applyBorder="0" applyProtection="0">
      <alignment horizontal="left" vertical="center" indent="2"/>
    </xf>
    <xf numFmtId="4" fontId="37" fillId="0" borderId="53" applyFill="0" applyBorder="0" applyProtection="0">
      <alignment horizontal="right" vertical="center"/>
    </xf>
    <xf numFmtId="49" fontId="36" fillId="0" borderId="53" applyNumberFormat="0" applyFill="0" applyBorder="0" applyProtection="0">
      <alignment horizontal="left" vertical="center"/>
    </xf>
    <xf numFmtId="0" fontId="37" fillId="0" borderId="56">
      <alignment horizontal="left" vertical="center" wrapText="1" indent="2"/>
    </xf>
    <xf numFmtId="0" fontId="65" fillId="57" borderId="49" applyNumberFormat="0" applyAlignment="0" applyProtection="0"/>
    <xf numFmtId="0" fontId="35" fillId="35" borderId="55">
      <alignment horizontal="right" vertical="center"/>
    </xf>
    <xf numFmtId="0" fontId="52" fillId="44" borderId="50" applyNumberFormat="0" applyAlignment="0" applyProtection="0"/>
    <xf numFmtId="0" fontId="35" fillId="35" borderId="55">
      <alignment horizontal="right" vertical="center"/>
    </xf>
    <xf numFmtId="4" fontId="35" fillId="35" borderId="53">
      <alignment horizontal="right" vertical="center"/>
    </xf>
    <xf numFmtId="0" fontId="35" fillId="35" borderId="53">
      <alignment horizontal="right" vertical="center"/>
    </xf>
    <xf numFmtId="0" fontId="46" fillId="57" borderId="49" applyNumberFormat="0" applyAlignment="0" applyProtection="0"/>
    <xf numFmtId="0" fontId="48" fillId="57" borderId="50" applyNumberFormat="0" applyAlignment="0" applyProtection="0"/>
    <xf numFmtId="0" fontId="53" fillId="0" borderId="51" applyNumberFormat="0" applyFill="0" applyAlignment="0" applyProtection="0"/>
    <xf numFmtId="0" fontId="37" fillId="34" borderId="53"/>
    <xf numFmtId="4" fontId="37" fillId="34" borderId="53"/>
    <xf numFmtId="4" fontId="35" fillId="35" borderId="53">
      <alignment horizontal="right" vertical="center"/>
    </xf>
    <xf numFmtId="0" fontId="39" fillId="33" borderId="53">
      <alignment horizontal="right" vertical="center"/>
    </xf>
    <xf numFmtId="0" fontId="52" fillId="44" borderId="50" applyNumberFormat="0" applyAlignment="0" applyProtection="0"/>
    <xf numFmtId="0" fontId="49" fillId="57" borderId="50" applyNumberFormat="0" applyAlignment="0" applyProtection="0"/>
    <xf numFmtId="4" fontId="37" fillId="0" borderId="53">
      <alignment horizontal="right" vertical="center"/>
    </xf>
    <xf numFmtId="0" fontId="37" fillId="35" borderId="56">
      <alignment horizontal="left" vertical="center" wrapText="1" indent="2"/>
    </xf>
    <xf numFmtId="0" fontId="37" fillId="0" borderId="56">
      <alignment horizontal="left" vertical="center" wrapText="1" indent="2"/>
    </xf>
    <xf numFmtId="0" fontId="65" fillId="57" borderId="49" applyNumberFormat="0" applyAlignment="0" applyProtection="0"/>
    <xf numFmtId="0" fontId="61" fillId="44" borderId="50" applyNumberFormat="0" applyAlignment="0" applyProtection="0"/>
    <xf numFmtId="0" fontId="48" fillId="57" borderId="50" applyNumberFormat="0" applyAlignment="0" applyProtection="0"/>
    <xf numFmtId="0" fontId="46" fillId="57" borderId="49" applyNumberFormat="0" applyAlignment="0" applyProtection="0"/>
    <xf numFmtId="0" fontId="35" fillId="35" borderId="55">
      <alignment horizontal="right" vertical="center"/>
    </xf>
    <xf numFmtId="0" fontId="39" fillId="33" borderId="53">
      <alignment horizontal="right" vertical="center"/>
    </xf>
    <xf numFmtId="4" fontId="35" fillId="33" borderId="53">
      <alignment horizontal="right" vertical="center"/>
    </xf>
    <xf numFmtId="4" fontId="35" fillId="35" borderId="53">
      <alignment horizontal="right" vertical="center"/>
    </xf>
    <xf numFmtId="49" fontId="37" fillId="0" borderId="54" applyNumberFormat="0" applyFont="0" applyFill="0" applyBorder="0" applyProtection="0">
      <alignment horizontal="left" vertical="center" indent="5"/>
    </xf>
    <xf numFmtId="4" fontId="37" fillId="0" borderId="53" applyFill="0" applyBorder="0" applyProtection="0">
      <alignment horizontal="right" vertical="center"/>
    </xf>
    <xf numFmtId="4" fontId="35" fillId="33" borderId="53">
      <alignment horizontal="right" vertical="center"/>
    </xf>
    <xf numFmtId="0" fontId="61" fillId="44" borderId="50" applyNumberFormat="0" applyAlignment="0" applyProtection="0"/>
    <xf numFmtId="0" fontId="52" fillId="44" borderId="50" applyNumberFormat="0" applyAlignment="0" applyProtection="0"/>
    <xf numFmtId="0" fontId="48" fillId="57" borderId="50" applyNumberFormat="0" applyAlignment="0" applyProtection="0"/>
    <xf numFmtId="0" fontId="37" fillId="35" borderId="56">
      <alignment horizontal="left" vertical="center" wrapText="1" indent="2"/>
    </xf>
    <xf numFmtId="0" fontId="37" fillId="0" borderId="56">
      <alignment horizontal="left" vertical="center" wrapText="1" indent="2"/>
    </xf>
    <xf numFmtId="0" fontId="37" fillId="35" borderId="56">
      <alignment horizontal="left" vertical="center" wrapText="1" indent="2"/>
    </xf>
    <xf numFmtId="0" fontId="37" fillId="0" borderId="56">
      <alignment horizontal="left" vertical="center" wrapText="1" indent="2"/>
    </xf>
    <xf numFmtId="49" fontId="37" fillId="0" borderId="69" applyNumberFormat="0" applyFont="0" applyFill="0" applyBorder="0" applyProtection="0">
      <alignment horizontal="left" vertical="center" indent="2"/>
    </xf>
    <xf numFmtId="0" fontId="37" fillId="35" borderId="64">
      <alignment horizontal="left" vertical="center" wrapText="1" indent="2"/>
    </xf>
    <xf numFmtId="4" fontId="35" fillId="35" borderId="63">
      <alignment horizontal="right" vertical="center"/>
    </xf>
    <xf numFmtId="0" fontId="65" fillId="57" borderId="57" applyNumberFormat="0" applyAlignment="0" applyProtection="0"/>
    <xf numFmtId="4" fontId="39" fillId="33" borderId="61">
      <alignment horizontal="right" vertical="center"/>
    </xf>
    <xf numFmtId="4" fontId="35" fillId="35" borderId="61">
      <alignment horizontal="right" vertical="center"/>
    </xf>
    <xf numFmtId="0" fontId="49" fillId="57" borderId="58" applyNumberFormat="0" applyAlignment="0" applyProtection="0"/>
    <xf numFmtId="0" fontId="68" fillId="0" borderId="59" applyNumberFormat="0" applyFill="0" applyAlignment="0" applyProtection="0"/>
    <xf numFmtId="4" fontId="35" fillId="35" borderId="61">
      <alignment horizontal="right" vertical="center"/>
    </xf>
    <xf numFmtId="4" fontId="39" fillId="33" borderId="61">
      <alignment horizontal="right" vertical="center"/>
    </xf>
    <xf numFmtId="49" fontId="37" fillId="0" borderId="83" applyNumberFormat="0" applyFont="0" applyFill="0" applyBorder="0" applyProtection="0">
      <alignment horizontal="left" vertical="center" indent="5"/>
    </xf>
    <xf numFmtId="0" fontId="53" fillId="0" borderId="59" applyNumberFormat="0" applyFill="0" applyAlignment="0" applyProtection="0"/>
    <xf numFmtId="0" fontId="52" fillId="44" borderId="58" applyNumberFormat="0" applyAlignment="0" applyProtection="0"/>
    <xf numFmtId="0" fontId="65" fillId="57" borderId="57" applyNumberFormat="0" applyAlignment="0" applyProtection="0"/>
    <xf numFmtId="0" fontId="46" fillId="57" borderId="57" applyNumberFormat="0" applyAlignment="0" applyProtection="0"/>
    <xf numFmtId="0" fontId="37" fillId="33" borderId="70">
      <alignment horizontal="left" vertical="center"/>
    </xf>
    <xf numFmtId="4" fontId="35" fillId="35" borderId="69">
      <alignment horizontal="right" vertical="center"/>
    </xf>
    <xf numFmtId="0" fontId="35" fillId="35" borderId="82">
      <alignment horizontal="right" vertical="center"/>
    </xf>
    <xf numFmtId="0" fontId="49" fillId="57" borderId="58" applyNumberFormat="0" applyAlignment="0" applyProtection="0"/>
    <xf numFmtId="0" fontId="49" fillId="57" borderId="87" applyNumberFormat="0" applyAlignment="0" applyProtection="0"/>
    <xf numFmtId="0" fontId="29" fillId="30" borderId="0" applyNumberFormat="0" applyBorder="0" applyAlignment="0" applyProtection="0"/>
    <xf numFmtId="0" fontId="53" fillId="0" borderId="59" applyNumberFormat="0" applyFill="0" applyAlignment="0" applyProtection="0"/>
    <xf numFmtId="0" fontId="65" fillId="57" borderId="57" applyNumberFormat="0" applyAlignment="0" applyProtection="0"/>
    <xf numFmtId="4" fontId="37" fillId="0" borderId="61" applyFill="0" applyBorder="0" applyProtection="0">
      <alignment horizontal="right" vertical="center"/>
    </xf>
    <xf numFmtId="0" fontId="48" fillId="57" borderId="58" applyNumberFormat="0" applyAlignment="0" applyProtection="0"/>
    <xf numFmtId="0" fontId="65" fillId="57" borderId="57" applyNumberFormat="0" applyAlignment="0" applyProtection="0"/>
    <xf numFmtId="0" fontId="37" fillId="35" borderId="64">
      <alignment horizontal="left" vertical="center" wrapText="1" indent="2"/>
    </xf>
    <xf numFmtId="0" fontId="61" fillId="44" borderId="58" applyNumberFormat="0" applyAlignment="0" applyProtection="0"/>
    <xf numFmtId="0" fontId="5" fillId="60" borderId="60" applyNumberFormat="0" applyFont="0" applyAlignment="0" applyProtection="0"/>
    <xf numFmtId="4" fontId="39" fillId="33" borderId="61">
      <alignment horizontal="right" vertical="center"/>
    </xf>
    <xf numFmtId="0" fontId="35" fillId="35" borderId="61">
      <alignment horizontal="right" vertical="center"/>
    </xf>
    <xf numFmtId="0" fontId="52" fillId="44" borderId="58" applyNumberFormat="0" applyAlignment="0" applyProtection="0"/>
    <xf numFmtId="174" fontId="37" fillId="61" borderId="61" applyNumberFormat="0" applyFont="0" applyBorder="0" applyAlignment="0" applyProtection="0">
      <alignment horizontal="right" vertical="center"/>
    </xf>
    <xf numFmtId="49" fontId="37" fillId="0" borderId="61" applyNumberFormat="0" applyFont="0" applyFill="0" applyBorder="0" applyProtection="0">
      <alignment horizontal="left" vertical="center" indent="2"/>
    </xf>
    <xf numFmtId="4" fontId="39" fillId="33" borderId="69">
      <alignment horizontal="right" vertical="center"/>
    </xf>
    <xf numFmtId="0" fontId="35" fillId="35" borderId="69">
      <alignment horizontal="right" vertical="center"/>
    </xf>
    <xf numFmtId="0" fontId="35" fillId="35" borderId="78">
      <alignment horizontal="right" vertical="center"/>
    </xf>
    <xf numFmtId="0" fontId="37" fillId="34" borderId="61"/>
    <xf numFmtId="0" fontId="37" fillId="0" borderId="61">
      <alignment horizontal="right" vertical="center"/>
    </xf>
    <xf numFmtId="0" fontId="61" fillId="44" borderId="66" applyNumberFormat="0" applyAlignment="0" applyProtection="0"/>
    <xf numFmtId="4" fontId="37" fillId="34" borderId="69"/>
    <xf numFmtId="0" fontId="35" fillId="35" borderId="83">
      <alignment horizontal="right" vertical="center"/>
    </xf>
    <xf numFmtId="0" fontId="29" fillId="28" borderId="0" applyNumberFormat="0" applyBorder="0" applyAlignment="0" applyProtection="0"/>
    <xf numFmtId="0" fontId="29" fillId="19" borderId="0" applyNumberFormat="0" applyBorder="0" applyAlignment="0" applyProtection="0"/>
    <xf numFmtId="0" fontId="13" fillId="26" borderId="0" applyNumberFormat="0" applyBorder="0" applyAlignment="0" applyProtection="0"/>
    <xf numFmtId="174" fontId="37" fillId="61" borderId="82" applyNumberFormat="0" applyFont="0" applyBorder="0" applyAlignment="0" applyProtection="0">
      <alignment horizontal="right" vertical="center"/>
    </xf>
    <xf numFmtId="4" fontId="39" fillId="33" borderId="82">
      <alignment horizontal="right" vertical="center"/>
    </xf>
    <xf numFmtId="4" fontId="35" fillId="35" borderId="69">
      <alignment horizontal="right" vertical="center"/>
    </xf>
    <xf numFmtId="0" fontId="29" fillId="18" borderId="0" applyNumberFormat="0" applyBorder="0" applyAlignment="0" applyProtection="0"/>
    <xf numFmtId="4" fontId="35" fillId="35" borderId="61">
      <alignment horizontal="right" vertical="center"/>
    </xf>
    <xf numFmtId="0" fontId="29" fillId="31" borderId="0" applyNumberFormat="0" applyBorder="0" applyAlignment="0" applyProtection="0"/>
    <xf numFmtId="0" fontId="48" fillId="57" borderId="66" applyNumberFormat="0" applyAlignment="0" applyProtection="0"/>
    <xf numFmtId="4" fontId="35" fillId="35" borderId="83">
      <alignment horizontal="right" vertical="center"/>
    </xf>
    <xf numFmtId="0" fontId="39" fillId="33" borderId="69">
      <alignment horizontal="right" vertical="center"/>
    </xf>
    <xf numFmtId="4" fontId="35" fillId="35" borderId="71">
      <alignment horizontal="right" vertical="center"/>
    </xf>
    <xf numFmtId="4" fontId="37" fillId="0" borderId="82">
      <alignment horizontal="right" vertical="center"/>
    </xf>
    <xf numFmtId="0" fontId="49" fillId="57" borderId="87" applyNumberFormat="0" applyAlignment="0" applyProtection="0"/>
    <xf numFmtId="0" fontId="46" fillId="57" borderId="86" applyNumberFormat="0" applyAlignment="0" applyProtection="0"/>
    <xf numFmtId="0" fontId="49" fillId="57" borderId="66" applyNumberFormat="0" applyAlignment="0" applyProtection="0"/>
    <xf numFmtId="0" fontId="53" fillId="0" borderId="59" applyNumberFormat="0" applyFill="0" applyAlignment="0" applyProtection="0"/>
    <xf numFmtId="0" fontId="37" fillId="0" borderId="64">
      <alignment horizontal="left" vertical="center" wrapText="1" indent="2"/>
    </xf>
    <xf numFmtId="0" fontId="29" fillId="22" borderId="0" applyNumberFormat="0" applyBorder="0" applyAlignment="0" applyProtection="0"/>
    <xf numFmtId="0" fontId="68" fillId="0" borderId="59" applyNumberFormat="0" applyFill="0" applyAlignment="0" applyProtection="0"/>
    <xf numFmtId="0" fontId="35" fillId="35" borderId="69">
      <alignment horizontal="right" vertical="center"/>
    </xf>
    <xf numFmtId="0" fontId="2" fillId="0" borderId="9" applyNumberFormat="0" applyFill="0" applyAlignment="0" applyProtection="0"/>
    <xf numFmtId="49" fontId="37" fillId="0" borderId="83" applyNumberFormat="0" applyFont="0" applyFill="0" applyBorder="0" applyProtection="0">
      <alignment horizontal="left" vertical="center" indent="5"/>
    </xf>
    <xf numFmtId="0" fontId="49" fillId="57" borderId="87" applyNumberFormat="0" applyAlignment="0" applyProtection="0"/>
    <xf numFmtId="0" fontId="65" fillId="57" borderId="57" applyNumberFormat="0" applyAlignment="0" applyProtection="0"/>
    <xf numFmtId="174" fontId="37" fillId="61" borderId="61" applyNumberFormat="0" applyFont="0" applyBorder="0" applyAlignment="0" applyProtection="0">
      <alignment horizontal="right" vertical="center"/>
    </xf>
    <xf numFmtId="0" fontId="61" fillId="44" borderId="66" applyNumberFormat="0" applyAlignment="0" applyProtection="0"/>
    <xf numFmtId="0" fontId="13" fillId="29" borderId="0" applyNumberFormat="0" applyBorder="0" applyAlignment="0" applyProtection="0"/>
    <xf numFmtId="0" fontId="29" fillId="27" borderId="0" applyNumberFormat="0" applyBorder="0" applyAlignment="0" applyProtection="0"/>
    <xf numFmtId="4" fontId="35" fillId="33" borderId="69">
      <alignment horizontal="right" vertical="center"/>
    </xf>
    <xf numFmtId="0" fontId="29" fillId="22" borderId="0" applyNumberFormat="0" applyBorder="0" applyAlignment="0" applyProtection="0"/>
    <xf numFmtId="49" fontId="37" fillId="0" borderId="61" applyNumberFormat="0" applyFont="0" applyFill="0" applyBorder="0" applyProtection="0">
      <alignment horizontal="left" vertical="center" indent="2"/>
    </xf>
    <xf numFmtId="4" fontId="37" fillId="0" borderId="61" applyFill="0" applyBorder="0" applyProtection="0">
      <alignment horizontal="right" vertical="center"/>
    </xf>
    <xf numFmtId="4" fontId="35" fillId="33" borderId="61">
      <alignment horizontal="right" vertical="center"/>
    </xf>
    <xf numFmtId="4" fontId="35" fillId="35" borderId="77">
      <alignment horizontal="right" vertical="center"/>
    </xf>
    <xf numFmtId="0" fontId="46" fillId="57" borderId="65" applyNumberFormat="0" applyAlignment="0" applyProtection="0"/>
    <xf numFmtId="0" fontId="29" fillId="27" borderId="0" applyNumberFormat="0" applyBorder="0" applyAlignment="0" applyProtection="0"/>
    <xf numFmtId="4" fontId="37" fillId="0" borderId="77" applyFill="0" applyBorder="0" applyProtection="0">
      <alignment horizontal="right" vertical="center"/>
    </xf>
    <xf numFmtId="4" fontId="37" fillId="34" borderId="61"/>
    <xf numFmtId="0" fontId="49" fillId="57" borderId="66" applyNumberFormat="0" applyAlignment="0" applyProtection="0"/>
    <xf numFmtId="0" fontId="68" fillId="0" borderId="67" applyNumberFormat="0" applyFill="0" applyAlignment="0" applyProtection="0"/>
    <xf numFmtId="0" fontId="1" fillId="0" borderId="0" applyNumberFormat="0" applyFill="0" applyBorder="0" applyAlignment="0" applyProtection="0"/>
    <xf numFmtId="0" fontId="32" fillId="14" borderId="7" applyNumberFormat="0" applyAlignment="0" applyProtection="0"/>
    <xf numFmtId="0" fontId="35" fillId="35" borderId="63">
      <alignment horizontal="right" vertical="center"/>
    </xf>
    <xf numFmtId="0" fontId="37" fillId="33" borderId="70">
      <alignment horizontal="left" vertical="center"/>
    </xf>
    <xf numFmtId="0" fontId="43" fillId="60" borderId="60" applyNumberFormat="0" applyFont="0" applyAlignment="0" applyProtection="0"/>
    <xf numFmtId="0" fontId="61" fillId="44" borderId="66" applyNumberFormat="0" applyAlignment="0" applyProtection="0"/>
    <xf numFmtId="0" fontId="37" fillId="0" borderId="61">
      <alignment horizontal="right" vertical="center"/>
    </xf>
    <xf numFmtId="4" fontId="37" fillId="34" borderId="61"/>
    <xf numFmtId="0" fontId="43" fillId="60" borderId="60" applyNumberFormat="0" applyFont="0" applyAlignment="0" applyProtection="0"/>
    <xf numFmtId="4" fontId="35" fillId="35" borderId="61">
      <alignment horizontal="right" vertical="center"/>
    </xf>
    <xf numFmtId="0" fontId="37" fillId="35" borderId="72">
      <alignment horizontal="left" vertical="center" wrapText="1" indent="2"/>
    </xf>
    <xf numFmtId="0" fontId="68" fillId="0" borderId="67" applyNumberFormat="0" applyFill="0" applyAlignment="0" applyProtection="0"/>
    <xf numFmtId="0" fontId="65" fillId="57" borderId="57" applyNumberFormat="0" applyAlignment="0" applyProtection="0"/>
    <xf numFmtId="49" fontId="37" fillId="0" borderId="62" applyNumberFormat="0" applyFont="0" applyFill="0" applyBorder="0" applyProtection="0">
      <alignment horizontal="left" vertical="center" indent="5"/>
    </xf>
    <xf numFmtId="0" fontId="43" fillId="60" borderId="68" applyNumberFormat="0" applyFont="0" applyAlignment="0" applyProtection="0"/>
    <xf numFmtId="49" fontId="37" fillId="0" borderId="62" applyNumberFormat="0" applyFont="0" applyFill="0" applyBorder="0" applyProtection="0">
      <alignment horizontal="left" vertical="center" indent="5"/>
    </xf>
    <xf numFmtId="4" fontId="37" fillId="0" borderId="69">
      <alignment horizontal="right" vertical="center"/>
    </xf>
    <xf numFmtId="49" fontId="36" fillId="0" borderId="69" applyNumberFormat="0" applyFill="0" applyBorder="0" applyProtection="0">
      <alignment horizontal="left" vertical="center"/>
    </xf>
    <xf numFmtId="0" fontId="35" fillId="33" borderId="61">
      <alignment horizontal="right" vertical="center"/>
    </xf>
    <xf numFmtId="0" fontId="49" fillId="57" borderId="66" applyNumberFormat="0" applyAlignment="0" applyProtection="0"/>
    <xf numFmtId="0" fontId="61" fillId="44" borderId="58" applyNumberFormat="0" applyAlignment="0" applyProtection="0"/>
    <xf numFmtId="0" fontId="49" fillId="57" borderId="58" applyNumberFormat="0" applyAlignment="0" applyProtection="0"/>
    <xf numFmtId="0" fontId="37" fillId="35" borderId="64">
      <alignment horizontal="left" vertical="center" wrapText="1" indent="2"/>
    </xf>
    <xf numFmtId="0" fontId="53" fillId="0" borderId="59" applyNumberFormat="0" applyFill="0" applyAlignment="0" applyProtection="0"/>
    <xf numFmtId="0" fontId="37" fillId="34" borderId="69"/>
    <xf numFmtId="0" fontId="35" fillId="35" borderId="71">
      <alignment horizontal="right" vertical="center"/>
    </xf>
    <xf numFmtId="0" fontId="35" fillId="35" borderId="69">
      <alignment horizontal="right" vertical="center"/>
    </xf>
    <xf numFmtId="0" fontId="48" fillId="57" borderId="58" applyNumberFormat="0" applyAlignment="0" applyProtection="0"/>
    <xf numFmtId="4" fontId="35" fillId="35" borderId="70">
      <alignment horizontal="right" vertical="center"/>
    </xf>
    <xf numFmtId="0" fontId="39" fillId="33" borderId="61">
      <alignment horizontal="right" vertical="center"/>
    </xf>
    <xf numFmtId="49" fontId="37" fillId="0" borderId="70" applyNumberFormat="0" applyFont="0" applyFill="0" applyBorder="0" applyProtection="0">
      <alignment horizontal="left" vertical="center" indent="5"/>
    </xf>
    <xf numFmtId="0" fontId="31" fillId="14" borderId="8" applyNumberFormat="0" applyAlignment="0" applyProtection="0"/>
    <xf numFmtId="4" fontId="35" fillId="35" borderId="71">
      <alignment horizontal="right" vertical="center"/>
    </xf>
    <xf numFmtId="0" fontId="35" fillId="35" borderId="62">
      <alignment horizontal="right" vertical="center"/>
    </xf>
    <xf numFmtId="0" fontId="61" fillId="44" borderId="66" applyNumberFormat="0" applyAlignment="0" applyProtection="0"/>
    <xf numFmtId="0" fontId="35" fillId="35" borderId="62">
      <alignment horizontal="right" vertical="center"/>
    </xf>
    <xf numFmtId="0" fontId="29" fillId="22" borderId="0" applyNumberFormat="0" applyBorder="0" applyAlignment="0" applyProtection="0"/>
    <xf numFmtId="0" fontId="35" fillId="33" borderId="61">
      <alignment horizontal="right" vertical="center"/>
    </xf>
    <xf numFmtId="0" fontId="13" fillId="32" borderId="0" applyNumberFormat="0" applyBorder="0" applyAlignment="0" applyProtection="0"/>
    <xf numFmtId="0" fontId="37" fillId="34" borderId="61"/>
    <xf numFmtId="4" fontId="39" fillId="33" borderId="61">
      <alignment horizontal="right" vertical="center"/>
    </xf>
    <xf numFmtId="0" fontId="37" fillId="33" borderId="62">
      <alignment horizontal="left" vertical="center"/>
    </xf>
    <xf numFmtId="0" fontId="68" fillId="0" borderId="59" applyNumberFormat="0" applyFill="0" applyAlignment="0" applyProtection="0"/>
    <xf numFmtId="49" fontId="36" fillId="0" borderId="61" applyNumberFormat="0" applyFill="0" applyBorder="0" applyProtection="0">
      <alignment horizontal="left" vertical="center"/>
    </xf>
    <xf numFmtId="0" fontId="37" fillId="0" borderId="64">
      <alignment horizontal="left" vertical="center" wrapText="1" indent="2"/>
    </xf>
    <xf numFmtId="4" fontId="37" fillId="34" borderId="69"/>
    <xf numFmtId="0" fontId="53" fillId="0" borderId="67" applyNumberFormat="0" applyFill="0" applyAlignment="0" applyProtection="0"/>
    <xf numFmtId="0" fontId="68" fillId="0" borderId="59" applyNumberFormat="0" applyFill="0" applyAlignment="0" applyProtection="0"/>
    <xf numFmtId="0" fontId="39" fillId="33" borderId="61">
      <alignment horizontal="right" vertical="center"/>
    </xf>
    <xf numFmtId="0" fontId="37" fillId="0" borderId="64">
      <alignment horizontal="left" vertical="center" wrapText="1" indent="2"/>
    </xf>
    <xf numFmtId="0" fontId="29" fillId="30" borderId="0" applyNumberFormat="0" applyBorder="0" applyAlignment="0" applyProtection="0"/>
    <xf numFmtId="49" fontId="37" fillId="0" borderId="62" applyNumberFormat="0" applyFont="0" applyFill="0" applyBorder="0" applyProtection="0">
      <alignment horizontal="left" vertical="center" indent="5"/>
    </xf>
    <xf numFmtId="4" fontId="35" fillId="35" borderId="71">
      <alignment horizontal="right" vertical="center"/>
    </xf>
    <xf numFmtId="0" fontId="53" fillId="0" borderId="59" applyNumberFormat="0" applyFill="0" applyAlignment="0" applyProtection="0"/>
    <xf numFmtId="0" fontId="52" fillId="44" borderId="87" applyNumberFormat="0" applyAlignment="0" applyProtection="0"/>
    <xf numFmtId="0" fontId="65" fillId="57" borderId="73" applyNumberFormat="0" applyAlignment="0" applyProtection="0"/>
    <xf numFmtId="0" fontId="68" fillId="0" borderId="59" applyNumberFormat="0" applyFill="0" applyAlignment="0" applyProtection="0"/>
    <xf numFmtId="0" fontId="35" fillId="35" borderId="61">
      <alignment horizontal="right" vertical="center"/>
    </xf>
    <xf numFmtId="0" fontId="61" fillId="44" borderId="66" applyNumberFormat="0" applyAlignment="0" applyProtection="0"/>
    <xf numFmtId="174" fontId="37" fillId="61" borderId="61" applyNumberFormat="0" applyFont="0" applyBorder="0" applyAlignment="0" applyProtection="0">
      <alignment horizontal="right" vertical="center"/>
    </xf>
    <xf numFmtId="0" fontId="43" fillId="60" borderId="60" applyNumberFormat="0" applyFont="0" applyAlignment="0" applyProtection="0"/>
    <xf numFmtId="0" fontId="29" fillId="15" borderId="0" applyNumberFormat="0" applyBorder="0" applyAlignment="0" applyProtection="0"/>
    <xf numFmtId="0" fontId="61" fillId="44" borderId="58" applyNumberFormat="0" applyAlignment="0" applyProtection="0"/>
    <xf numFmtId="0" fontId="37" fillId="34" borderId="69"/>
    <xf numFmtId="0" fontId="49" fillId="57" borderId="58" applyNumberFormat="0" applyAlignment="0" applyProtection="0"/>
    <xf numFmtId="0" fontId="37" fillId="0" borderId="64">
      <alignment horizontal="left" vertical="center" wrapText="1" indent="2"/>
    </xf>
    <xf numFmtId="0" fontId="61" fillId="44" borderId="58" applyNumberFormat="0" applyAlignment="0" applyProtection="0"/>
    <xf numFmtId="0" fontId="46" fillId="57" borderId="57" applyNumberFormat="0" applyAlignment="0" applyProtection="0"/>
    <xf numFmtId="0" fontId="49" fillId="57" borderId="58" applyNumberFormat="0" applyAlignment="0" applyProtection="0"/>
    <xf numFmtId="0" fontId="37" fillId="35" borderId="64">
      <alignment horizontal="left" vertical="center" wrapText="1" indent="2"/>
    </xf>
    <xf numFmtId="0" fontId="49" fillId="57" borderId="66" applyNumberFormat="0" applyAlignment="0" applyProtection="0"/>
    <xf numFmtId="4" fontId="35" fillId="35" borderId="71">
      <alignment horizontal="right" vertical="center"/>
    </xf>
    <xf numFmtId="0" fontId="37" fillId="35" borderId="64">
      <alignment horizontal="left" vertical="center" wrapText="1" indent="2"/>
    </xf>
    <xf numFmtId="0" fontId="37" fillId="34" borderId="61"/>
    <xf numFmtId="0" fontId="29" fillId="30" borderId="0" applyNumberFormat="0" applyBorder="0" applyAlignment="0" applyProtection="0"/>
    <xf numFmtId="0" fontId="37" fillId="0" borderId="64">
      <alignment horizontal="left" vertical="center" wrapText="1" indent="2"/>
    </xf>
    <xf numFmtId="4" fontId="35" fillId="33" borderId="61">
      <alignment horizontal="right" vertical="center"/>
    </xf>
    <xf numFmtId="4" fontId="39" fillId="33" borderId="69">
      <alignment horizontal="right" vertical="center"/>
    </xf>
    <xf numFmtId="0" fontId="29" fillId="15" borderId="0" applyNumberFormat="0" applyBorder="0" applyAlignment="0" applyProtection="0"/>
    <xf numFmtId="0" fontId="35" fillId="35" borderId="83">
      <alignment horizontal="right" vertical="center"/>
    </xf>
    <xf numFmtId="0" fontId="29" fillId="30" borderId="0" applyNumberFormat="0" applyBorder="0" applyAlignment="0" applyProtection="0"/>
    <xf numFmtId="4" fontId="35" fillId="35" borderId="69">
      <alignment horizontal="right" vertical="center"/>
    </xf>
    <xf numFmtId="0" fontId="5" fillId="60" borderId="60" applyNumberFormat="0" applyFont="0" applyAlignment="0" applyProtection="0"/>
    <xf numFmtId="4" fontId="35" fillId="35" borderId="61">
      <alignment horizontal="right" vertical="center"/>
    </xf>
    <xf numFmtId="49" fontId="37" fillId="0" borderId="61" applyNumberFormat="0" applyFont="0" applyFill="0" applyBorder="0" applyProtection="0">
      <alignment horizontal="left" vertical="center" indent="2"/>
    </xf>
    <xf numFmtId="0" fontId="68" fillId="0" borderId="59" applyNumberFormat="0" applyFill="0" applyAlignment="0" applyProtection="0"/>
    <xf numFmtId="0" fontId="32" fillId="14" borderId="7" applyNumberFormat="0" applyAlignment="0" applyProtection="0"/>
    <xf numFmtId="4" fontId="35" fillId="35" borderId="70">
      <alignment horizontal="right" vertical="center"/>
    </xf>
    <xf numFmtId="0" fontId="29" fillId="16" borderId="0" applyNumberFormat="0" applyBorder="0" applyAlignment="0" applyProtection="0"/>
    <xf numFmtId="0" fontId="65" fillId="57" borderId="57" applyNumberFormat="0" applyAlignment="0" applyProtection="0"/>
    <xf numFmtId="0" fontId="61" fillId="44" borderId="58" applyNumberFormat="0" applyAlignment="0" applyProtection="0"/>
    <xf numFmtId="0" fontId="53" fillId="0" borderId="67" applyNumberFormat="0" applyFill="0" applyAlignment="0" applyProtection="0"/>
    <xf numFmtId="0" fontId="61" fillId="44" borderId="87" applyNumberFormat="0" applyAlignment="0" applyProtection="0"/>
    <xf numFmtId="0" fontId="48" fillId="57" borderId="66" applyNumberFormat="0" applyAlignment="0" applyProtection="0"/>
    <xf numFmtId="0" fontId="49" fillId="57" borderId="66" applyNumberFormat="0" applyAlignment="0" applyProtection="0"/>
    <xf numFmtId="0" fontId="29" fillId="21" borderId="0" applyNumberFormat="0" applyBorder="0" applyAlignment="0" applyProtection="0"/>
    <xf numFmtId="0" fontId="68" fillId="0" borderId="59" applyNumberFormat="0" applyFill="0" applyAlignment="0" applyProtection="0"/>
    <xf numFmtId="0" fontId="1" fillId="0" borderId="0" applyNumberFormat="0" applyFill="0" applyBorder="0" applyAlignment="0" applyProtection="0"/>
    <xf numFmtId="0" fontId="29" fillId="15" borderId="0" applyNumberFormat="0" applyBorder="0" applyAlignment="0" applyProtection="0"/>
    <xf numFmtId="0" fontId="37" fillId="0" borderId="72">
      <alignment horizontal="left" vertical="center" wrapText="1" indent="2"/>
    </xf>
    <xf numFmtId="0" fontId="37" fillId="0" borderId="85">
      <alignment horizontal="left" vertical="center" wrapText="1" indent="2"/>
    </xf>
    <xf numFmtId="4" fontId="37" fillId="0" borderId="61">
      <alignment horizontal="right" vertical="center"/>
    </xf>
    <xf numFmtId="0" fontId="33" fillId="0" borderId="0" applyNumberFormat="0" applyFill="0" applyBorder="0" applyAlignment="0" applyProtection="0"/>
    <xf numFmtId="0" fontId="13" fillId="32" borderId="0" applyNumberFormat="0" applyBorder="0" applyAlignment="0" applyProtection="0"/>
    <xf numFmtId="0" fontId="29" fillId="25" borderId="0" applyNumberFormat="0" applyBorder="0" applyAlignment="0" applyProtection="0"/>
    <xf numFmtId="0" fontId="35" fillId="35" borderId="70">
      <alignment horizontal="right" vertical="center"/>
    </xf>
    <xf numFmtId="0" fontId="52" fillId="44" borderId="66" applyNumberFormat="0" applyAlignment="0" applyProtection="0"/>
    <xf numFmtId="0" fontId="65" fillId="57" borderId="57" applyNumberFormat="0" applyAlignment="0" applyProtection="0"/>
    <xf numFmtId="0" fontId="43" fillId="60" borderId="68" applyNumberFormat="0" applyFont="0" applyAlignment="0" applyProtection="0"/>
    <xf numFmtId="0" fontId="39" fillId="33" borderId="69">
      <alignment horizontal="right" vertical="center"/>
    </xf>
    <xf numFmtId="0" fontId="29" fillId="24" borderId="0" applyNumberFormat="0" applyBorder="0" applyAlignment="0" applyProtection="0"/>
    <xf numFmtId="4" fontId="35" fillId="33" borderId="61">
      <alignment horizontal="right" vertical="center"/>
    </xf>
    <xf numFmtId="49" fontId="36" fillId="0" borderId="77" applyNumberFormat="0" applyFill="0" applyBorder="0" applyProtection="0">
      <alignment horizontal="left" vertical="center"/>
    </xf>
    <xf numFmtId="4" fontId="35" fillId="35" borderId="70">
      <alignment horizontal="right" vertical="center"/>
    </xf>
    <xf numFmtId="0" fontId="68" fillId="0" borderId="59" applyNumberFormat="0" applyFill="0" applyAlignment="0" applyProtection="0"/>
    <xf numFmtId="0" fontId="29" fillId="27" borderId="0" applyNumberFormat="0" applyBorder="0" applyAlignment="0" applyProtection="0"/>
    <xf numFmtId="0" fontId="5" fillId="60" borderId="60" applyNumberFormat="0" applyFont="0" applyAlignment="0" applyProtection="0"/>
    <xf numFmtId="0" fontId="68" fillId="0" borderId="67" applyNumberFormat="0" applyFill="0" applyAlignment="0" applyProtection="0"/>
    <xf numFmtId="0" fontId="61" fillId="44" borderId="66" applyNumberFormat="0" applyAlignment="0" applyProtection="0"/>
    <xf numFmtId="0" fontId="35" fillId="33" borderId="61">
      <alignment horizontal="right" vertical="center"/>
    </xf>
    <xf numFmtId="0" fontId="13" fillId="29" borderId="0" applyNumberFormat="0" applyBorder="0" applyAlignment="0" applyProtection="0"/>
    <xf numFmtId="49" fontId="37" fillId="0" borderId="69" applyNumberFormat="0" applyFont="0" applyFill="0" applyBorder="0" applyProtection="0">
      <alignment horizontal="left" vertical="center" indent="2"/>
    </xf>
    <xf numFmtId="0" fontId="46" fillId="57" borderId="57" applyNumberFormat="0" applyAlignment="0" applyProtection="0"/>
    <xf numFmtId="0" fontId="68" fillId="0" borderId="88" applyNumberFormat="0" applyFill="0" applyAlignment="0" applyProtection="0"/>
    <xf numFmtId="4" fontId="37" fillId="34" borderId="69"/>
    <xf numFmtId="0" fontId="61" fillId="44" borderId="58" applyNumberFormat="0" applyAlignment="0" applyProtection="0"/>
    <xf numFmtId="0" fontId="68" fillId="0" borderId="67" applyNumberFormat="0" applyFill="0" applyAlignment="0" applyProtection="0"/>
    <xf numFmtId="4" fontId="37" fillId="0" borderId="61">
      <alignment horizontal="right" vertical="center"/>
    </xf>
    <xf numFmtId="0" fontId="13" fillId="17" borderId="0" applyNumberFormat="0" applyBorder="0" applyAlignment="0" applyProtection="0"/>
    <xf numFmtId="0" fontId="68" fillId="0" borderId="67" applyNumberFormat="0" applyFill="0" applyAlignment="0" applyProtection="0"/>
    <xf numFmtId="0" fontId="68" fillId="0" borderId="59" applyNumberFormat="0" applyFill="0" applyAlignment="0" applyProtection="0"/>
    <xf numFmtId="0" fontId="13" fillId="26" borderId="0" applyNumberFormat="0" applyBorder="0" applyAlignment="0" applyProtection="0"/>
    <xf numFmtId="49" fontId="36" fillId="0" borderId="69" applyNumberFormat="0" applyFill="0" applyBorder="0" applyProtection="0">
      <alignment horizontal="left" vertical="center"/>
    </xf>
    <xf numFmtId="0" fontId="37" fillId="0" borderId="69" applyNumberFormat="0" applyFill="0" applyAlignment="0" applyProtection="0"/>
    <xf numFmtId="0" fontId="61" fillId="44" borderId="58" applyNumberFormat="0" applyAlignment="0" applyProtection="0"/>
    <xf numFmtId="0" fontId="52" fillId="44" borderId="58" applyNumberFormat="0" applyAlignment="0" applyProtection="0"/>
    <xf numFmtId="0" fontId="29" fillId="28" borderId="0" applyNumberFormat="0" applyBorder="0" applyAlignment="0" applyProtection="0"/>
    <xf numFmtId="0" fontId="52" fillId="44" borderId="66" applyNumberFormat="0" applyAlignment="0" applyProtection="0"/>
    <xf numFmtId="0" fontId="5" fillId="60" borderId="76" applyNumberFormat="0" applyFont="0" applyAlignment="0" applyProtection="0"/>
    <xf numFmtId="0" fontId="61" fillId="44" borderId="58" applyNumberFormat="0" applyAlignment="0" applyProtection="0"/>
    <xf numFmtId="0" fontId="5" fillId="60" borderId="68" applyNumberFormat="0" applyFont="0" applyAlignment="0" applyProtection="0"/>
    <xf numFmtId="4" fontId="35" fillId="33" borderId="61">
      <alignment horizontal="right" vertical="center"/>
    </xf>
    <xf numFmtId="0" fontId="37" fillId="0" borderId="69">
      <alignment horizontal="right" vertical="center"/>
    </xf>
    <xf numFmtId="0" fontId="13" fillId="20" borderId="0" applyNumberFormat="0" applyBorder="0" applyAlignment="0" applyProtection="0"/>
    <xf numFmtId="0" fontId="61" fillId="44" borderId="66" applyNumberFormat="0" applyAlignment="0" applyProtection="0"/>
    <xf numFmtId="0" fontId="49" fillId="57" borderId="87" applyNumberFormat="0" applyAlignment="0" applyProtection="0"/>
    <xf numFmtId="0" fontId="49" fillId="57" borderId="58" applyNumberFormat="0" applyAlignment="0" applyProtection="0"/>
    <xf numFmtId="0" fontId="29" fillId="25" borderId="0" applyNumberFormat="0" applyBorder="0" applyAlignment="0" applyProtection="0"/>
    <xf numFmtId="0" fontId="37" fillId="35" borderId="85">
      <alignment horizontal="left" vertical="center" wrapText="1" indent="2"/>
    </xf>
    <xf numFmtId="0" fontId="43" fillId="60" borderId="68" applyNumberFormat="0" applyFont="0" applyAlignment="0" applyProtection="0"/>
    <xf numFmtId="0" fontId="46" fillId="57" borderId="57" applyNumberFormat="0" applyAlignment="0" applyProtection="0"/>
    <xf numFmtId="0" fontId="61" fillId="44" borderId="58" applyNumberFormat="0" applyAlignment="0" applyProtection="0"/>
    <xf numFmtId="0" fontId="52" fillId="44" borderId="66" applyNumberFormat="0" applyAlignment="0" applyProtection="0"/>
    <xf numFmtId="0" fontId="39" fillId="33" borderId="61">
      <alignment horizontal="right" vertical="center"/>
    </xf>
    <xf numFmtId="0" fontId="29" fillId="27" borderId="0" applyNumberFormat="0" applyBorder="0" applyAlignment="0" applyProtection="0"/>
    <xf numFmtId="0" fontId="35" fillId="35" borderId="69">
      <alignment horizontal="right" vertical="center"/>
    </xf>
    <xf numFmtId="0" fontId="29" fillId="21" borderId="0" applyNumberFormat="0" applyBorder="0" applyAlignment="0" applyProtection="0"/>
    <xf numFmtId="0" fontId="5" fillId="60" borderId="60" applyNumberFormat="0" applyFont="0" applyAlignment="0" applyProtection="0"/>
    <xf numFmtId="174" fontId="37" fillId="61" borderId="69" applyNumberFormat="0" applyFont="0" applyBorder="0" applyAlignment="0" applyProtection="0">
      <alignment horizontal="right" vertical="center"/>
    </xf>
    <xf numFmtId="0" fontId="33" fillId="0" borderId="0" applyNumberFormat="0" applyFill="0" applyBorder="0" applyAlignment="0" applyProtection="0"/>
    <xf numFmtId="0" fontId="48" fillId="57" borderId="58" applyNumberFormat="0" applyAlignment="0" applyProtection="0"/>
    <xf numFmtId="0" fontId="53" fillId="0" borderId="59" applyNumberFormat="0" applyFill="0" applyAlignment="0" applyProtection="0"/>
    <xf numFmtId="0" fontId="52" fillId="44" borderId="66" applyNumberFormat="0" applyAlignment="0" applyProtection="0"/>
    <xf numFmtId="0" fontId="29" fillId="19" borderId="0" applyNumberFormat="0" applyBorder="0" applyAlignment="0" applyProtection="0"/>
    <xf numFmtId="0" fontId="35" fillId="33" borderId="69">
      <alignment horizontal="right" vertical="center"/>
    </xf>
    <xf numFmtId="0" fontId="37" fillId="35" borderId="64">
      <alignment horizontal="left" vertical="center" wrapText="1" indent="2"/>
    </xf>
    <xf numFmtId="0" fontId="65" fillId="57" borderId="86" applyNumberFormat="0" applyAlignment="0" applyProtection="0"/>
    <xf numFmtId="0" fontId="35" fillId="35" borderId="69">
      <alignment horizontal="right" vertical="center"/>
    </xf>
    <xf numFmtId="0" fontId="5" fillId="60" borderId="81" applyNumberFormat="0" applyFont="0" applyAlignment="0" applyProtection="0"/>
    <xf numFmtId="0" fontId="35" fillId="35" borderId="69">
      <alignment horizontal="right" vertical="center"/>
    </xf>
    <xf numFmtId="49" fontId="36" fillId="0" borderId="69" applyNumberFormat="0" applyFill="0" applyBorder="0" applyProtection="0">
      <alignment horizontal="left" vertical="center"/>
    </xf>
    <xf numFmtId="0" fontId="46" fillId="57" borderId="57" applyNumberFormat="0" applyAlignment="0" applyProtection="0"/>
    <xf numFmtId="4" fontId="39" fillId="33" borderId="69">
      <alignment horizontal="right" vertical="center"/>
    </xf>
    <xf numFmtId="0" fontId="37" fillId="34" borderId="61"/>
    <xf numFmtId="0" fontId="61" fillId="44" borderId="66" applyNumberFormat="0" applyAlignment="0" applyProtection="0"/>
    <xf numFmtId="0" fontId="35" fillId="35" borderId="84">
      <alignment horizontal="right" vertical="center"/>
    </xf>
    <xf numFmtId="0" fontId="68" fillId="0" borderId="88" applyNumberFormat="0" applyFill="0" applyAlignment="0" applyProtection="0"/>
    <xf numFmtId="49" fontId="37" fillId="0" borderId="70" applyNumberFormat="0" applyFont="0" applyFill="0" applyBorder="0" applyProtection="0">
      <alignment horizontal="left" vertical="center" indent="5"/>
    </xf>
    <xf numFmtId="49" fontId="36" fillId="0" borderId="61" applyNumberFormat="0" applyFill="0" applyBorder="0" applyProtection="0">
      <alignment horizontal="left" vertical="center"/>
    </xf>
    <xf numFmtId="0" fontId="49" fillId="57" borderId="66" applyNumberFormat="0" applyAlignment="0" applyProtection="0"/>
    <xf numFmtId="0" fontId="2" fillId="0" borderId="9" applyNumberFormat="0" applyFill="0" applyAlignment="0" applyProtection="0"/>
    <xf numFmtId="174" fontId="37" fillId="61" borderId="61" applyNumberFormat="0" applyFont="0" applyBorder="0" applyAlignment="0" applyProtection="0">
      <alignment horizontal="right" vertical="center"/>
    </xf>
    <xf numFmtId="0" fontId="65" fillId="57" borderId="57" applyNumberFormat="0" applyAlignment="0" applyProtection="0"/>
    <xf numFmtId="0" fontId="35" fillId="35" borderId="69">
      <alignment horizontal="right" vertical="center"/>
    </xf>
    <xf numFmtId="174" fontId="37" fillId="61" borderId="61" applyNumberFormat="0" applyFont="0" applyBorder="0" applyAlignment="0" applyProtection="0">
      <alignment horizontal="right" vertical="center"/>
    </xf>
    <xf numFmtId="4" fontId="39" fillId="33" borderId="69">
      <alignment horizontal="right" vertical="center"/>
    </xf>
    <xf numFmtId="4" fontId="37" fillId="0" borderId="61">
      <alignment horizontal="right" vertical="center"/>
    </xf>
    <xf numFmtId="0" fontId="49" fillId="57" borderId="58" applyNumberFormat="0" applyAlignment="0" applyProtection="0"/>
    <xf numFmtId="0" fontId="37" fillId="0" borderId="61" applyNumberFormat="0" applyFill="0" applyAlignment="0" applyProtection="0"/>
    <xf numFmtId="0" fontId="29" fillId="31" borderId="0" applyNumberFormat="0" applyBorder="0" applyAlignment="0" applyProtection="0"/>
    <xf numFmtId="0" fontId="37" fillId="0" borderId="61">
      <alignment horizontal="right" vertical="center"/>
    </xf>
    <xf numFmtId="0" fontId="35" fillId="35" borderId="82">
      <alignment horizontal="right" vertical="center"/>
    </xf>
    <xf numFmtId="4" fontId="35" fillId="35" borderId="63">
      <alignment horizontal="right" vertical="center"/>
    </xf>
    <xf numFmtId="4" fontId="37" fillId="0" borderId="61" applyFill="0" applyBorder="0" applyProtection="0">
      <alignment horizontal="right" vertical="center"/>
    </xf>
    <xf numFmtId="0" fontId="37" fillId="34" borderId="61"/>
    <xf numFmtId="0" fontId="68" fillId="0" borderId="59" applyNumberFormat="0" applyFill="0" applyAlignment="0" applyProtection="0"/>
    <xf numFmtId="4" fontId="35" fillId="35" borderId="69">
      <alignment horizontal="right" vertical="center"/>
    </xf>
    <xf numFmtId="4" fontId="39" fillId="33" borderId="82">
      <alignment horizontal="right" vertical="center"/>
    </xf>
    <xf numFmtId="0" fontId="37" fillId="0" borderId="85">
      <alignment horizontal="left" vertical="center" wrapText="1" indent="2"/>
    </xf>
    <xf numFmtId="0" fontId="13" fillId="32" borderId="0" applyNumberFormat="0" applyBorder="0" applyAlignment="0" applyProtection="0"/>
    <xf numFmtId="0" fontId="48" fillId="57" borderId="87" applyNumberFormat="0" applyAlignment="0" applyProtection="0"/>
    <xf numFmtId="0" fontId="48" fillId="57" borderId="58" applyNumberFormat="0" applyAlignment="0" applyProtection="0"/>
    <xf numFmtId="0" fontId="35" fillId="33" borderId="61">
      <alignment horizontal="right" vertical="center"/>
    </xf>
    <xf numFmtId="0" fontId="49" fillId="57" borderId="58" applyNumberFormat="0" applyAlignment="0" applyProtection="0"/>
    <xf numFmtId="0" fontId="46" fillId="57" borderId="65" applyNumberFormat="0" applyAlignment="0" applyProtection="0"/>
    <xf numFmtId="0" fontId="68" fillId="0" borderId="67" applyNumberFormat="0" applyFill="0" applyAlignment="0" applyProtection="0"/>
    <xf numFmtId="0" fontId="5" fillId="60" borderId="68" applyNumberFormat="0" applyFont="0" applyAlignment="0" applyProtection="0"/>
    <xf numFmtId="0" fontId="13" fillId="26" borderId="0" applyNumberFormat="0" applyBorder="0" applyAlignment="0" applyProtection="0"/>
    <xf numFmtId="0" fontId="35" fillId="35" borderId="62">
      <alignment horizontal="right" vertical="center"/>
    </xf>
    <xf numFmtId="0" fontId="61" fillId="44" borderId="66" applyNumberFormat="0" applyAlignment="0" applyProtection="0"/>
    <xf numFmtId="0" fontId="48" fillId="57" borderId="58" applyNumberFormat="0" applyAlignment="0" applyProtection="0"/>
    <xf numFmtId="0" fontId="33" fillId="0" borderId="0" applyNumberFormat="0" applyFill="0" applyBorder="0" applyAlignment="0" applyProtection="0"/>
    <xf numFmtId="0" fontId="48" fillId="57" borderId="58" applyNumberFormat="0" applyAlignment="0" applyProtection="0"/>
    <xf numFmtId="4" fontId="35" fillId="35" borderId="61">
      <alignment horizontal="right" vertical="center"/>
    </xf>
    <xf numFmtId="4" fontId="39" fillId="33" borderId="61">
      <alignment horizontal="right" vertical="center"/>
    </xf>
    <xf numFmtId="0" fontId="61" fillId="44" borderId="58" applyNumberFormat="0" applyAlignment="0" applyProtection="0"/>
    <xf numFmtId="0" fontId="39" fillId="33" borderId="61">
      <alignment horizontal="right" vertical="center"/>
    </xf>
    <xf numFmtId="0" fontId="29" fillId="31" borderId="0" applyNumberFormat="0" applyBorder="0" applyAlignment="0" applyProtection="0"/>
    <xf numFmtId="0" fontId="37" fillId="33" borderId="70">
      <alignment horizontal="left" vertical="center"/>
    </xf>
    <xf numFmtId="0" fontId="13" fillId="29" borderId="0" applyNumberFormat="0" applyBorder="0" applyAlignment="0" applyProtection="0"/>
    <xf numFmtId="49" fontId="37" fillId="0" borderId="61" applyNumberFormat="0" applyFont="0" applyFill="0" applyBorder="0" applyProtection="0">
      <alignment horizontal="left" vertical="center" indent="2"/>
    </xf>
    <xf numFmtId="174" fontId="37" fillId="61" borderId="61" applyNumberFormat="0" applyFont="0" applyBorder="0" applyAlignment="0" applyProtection="0">
      <alignment horizontal="right" vertical="center"/>
    </xf>
    <xf numFmtId="0" fontId="37" fillId="34" borderId="82"/>
    <xf numFmtId="0" fontId="35" fillId="35" borderId="71">
      <alignment horizontal="right" vertical="center"/>
    </xf>
    <xf numFmtId="0" fontId="52" fillId="44" borderId="87" applyNumberFormat="0" applyAlignment="0" applyProtection="0"/>
    <xf numFmtId="0" fontId="39" fillId="33" borderId="61">
      <alignment horizontal="right" vertical="center"/>
    </xf>
    <xf numFmtId="4" fontId="37" fillId="34" borderId="82"/>
    <xf numFmtId="49" fontId="37" fillId="0" borderId="61"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2"/>
    </xf>
    <xf numFmtId="0" fontId="48" fillId="57" borderId="66" applyNumberFormat="0" applyAlignment="0" applyProtection="0"/>
    <xf numFmtId="4" fontId="35" fillId="35" borderId="78">
      <alignment horizontal="right" vertical="center"/>
    </xf>
    <xf numFmtId="0" fontId="37" fillId="34" borderId="69"/>
    <xf numFmtId="0" fontId="37" fillId="0" borderId="61" applyNumberFormat="0" applyFill="0" applyAlignment="0" applyProtection="0"/>
    <xf numFmtId="0" fontId="37" fillId="0" borderId="82">
      <alignment horizontal="right" vertical="center"/>
    </xf>
    <xf numFmtId="0" fontId="53" fillId="0" borderId="67" applyNumberFormat="0" applyFill="0" applyAlignment="0" applyProtection="0"/>
    <xf numFmtId="49" fontId="37" fillId="0" borderId="62" applyNumberFormat="0" applyFont="0" applyFill="0" applyBorder="0" applyProtection="0">
      <alignment horizontal="left" vertical="center" indent="5"/>
    </xf>
    <xf numFmtId="0" fontId="49" fillId="57" borderId="58" applyNumberFormat="0" applyAlignment="0" applyProtection="0"/>
    <xf numFmtId="4" fontId="35" fillId="33" borderId="82">
      <alignment horizontal="right" vertical="center"/>
    </xf>
    <xf numFmtId="4" fontId="35" fillId="35" borderId="62">
      <alignment horizontal="right" vertical="center"/>
    </xf>
    <xf numFmtId="0" fontId="29" fillId="18" borderId="0" applyNumberFormat="0" applyBorder="0" applyAlignment="0" applyProtection="0"/>
    <xf numFmtId="0" fontId="37" fillId="35" borderId="72">
      <alignment horizontal="left" vertical="center" wrapText="1" indent="2"/>
    </xf>
    <xf numFmtId="49" fontId="36" fillId="0" borderId="61" applyNumberFormat="0" applyFill="0" applyBorder="0" applyProtection="0">
      <alignment horizontal="left" vertical="center"/>
    </xf>
    <xf numFmtId="4" fontId="35" fillId="35" borderId="62">
      <alignment horizontal="right" vertical="center"/>
    </xf>
    <xf numFmtId="0" fontId="68" fillId="0" borderId="67" applyNumberFormat="0" applyFill="0" applyAlignment="0" applyProtection="0"/>
    <xf numFmtId="0" fontId="13" fillId="23" borderId="0" applyNumberFormat="0" applyBorder="0" applyAlignment="0" applyProtection="0"/>
    <xf numFmtId="0" fontId="35" fillId="35" borderId="61">
      <alignment horizontal="right" vertical="center"/>
    </xf>
    <xf numFmtId="0" fontId="61" fillId="44" borderId="58" applyNumberFormat="0" applyAlignment="0" applyProtection="0"/>
    <xf numFmtId="0" fontId="48" fillId="57" borderId="58" applyNumberFormat="0" applyAlignment="0" applyProtection="0"/>
    <xf numFmtId="0" fontId="5" fillId="60" borderId="60" applyNumberFormat="0" applyFont="0" applyAlignment="0" applyProtection="0"/>
    <xf numFmtId="0" fontId="49" fillId="57" borderId="66" applyNumberFormat="0" applyAlignment="0" applyProtection="0"/>
    <xf numFmtId="0" fontId="43" fillId="60" borderId="60" applyNumberFormat="0" applyFont="0" applyAlignment="0" applyProtection="0"/>
    <xf numFmtId="0" fontId="35" fillId="35" borderId="70">
      <alignment horizontal="right" vertical="center"/>
    </xf>
    <xf numFmtId="0" fontId="35" fillId="35" borderId="61">
      <alignment horizontal="right" vertical="center"/>
    </xf>
    <xf numFmtId="4" fontId="35" fillId="35" borderId="61">
      <alignment horizontal="right" vertical="center"/>
    </xf>
    <xf numFmtId="0" fontId="13" fillId="20" borderId="0" applyNumberFormat="0" applyBorder="0" applyAlignment="0" applyProtection="0"/>
    <xf numFmtId="0" fontId="37" fillId="33" borderId="83">
      <alignment horizontal="left" vertical="center"/>
    </xf>
    <xf numFmtId="0" fontId="65" fillId="57" borderId="65" applyNumberFormat="0" applyAlignment="0" applyProtection="0"/>
    <xf numFmtId="0" fontId="35" fillId="35" borderId="70">
      <alignment horizontal="right" vertical="center"/>
    </xf>
    <xf numFmtId="0" fontId="37" fillId="0" borderId="72">
      <alignment horizontal="left" vertical="center" wrapText="1" indent="2"/>
    </xf>
    <xf numFmtId="49" fontId="37" fillId="0" borderId="69" applyNumberFormat="0" applyFont="0" applyFill="0" applyBorder="0" applyProtection="0">
      <alignment horizontal="left" vertical="center" indent="2"/>
    </xf>
    <xf numFmtId="0" fontId="37" fillId="33" borderId="70">
      <alignment horizontal="left" vertical="center"/>
    </xf>
    <xf numFmtId="0" fontId="35" fillId="33" borderId="61">
      <alignment horizontal="right" vertical="center"/>
    </xf>
    <xf numFmtId="0" fontId="29" fillId="25" borderId="0" applyNumberFormat="0" applyBorder="0" applyAlignment="0" applyProtection="0"/>
    <xf numFmtId="0" fontId="37" fillId="0" borderId="61">
      <alignment horizontal="right" vertical="center"/>
    </xf>
    <xf numFmtId="4" fontId="35" fillId="35" borderId="63">
      <alignment horizontal="right" vertical="center"/>
    </xf>
    <xf numFmtId="49" fontId="36" fillId="0" borderId="61" applyNumberFormat="0" applyFill="0" applyBorder="0" applyProtection="0">
      <alignment horizontal="left" vertical="center"/>
    </xf>
    <xf numFmtId="0" fontId="37" fillId="0" borderId="64">
      <alignment horizontal="left" vertical="center" wrapText="1" indent="2"/>
    </xf>
    <xf numFmtId="49" fontId="36" fillId="0" borderId="61" applyNumberFormat="0" applyFill="0" applyBorder="0" applyProtection="0">
      <alignment horizontal="left" vertical="center"/>
    </xf>
    <xf numFmtId="0" fontId="29" fillId="28" borderId="0" applyNumberFormat="0" applyBorder="0" applyAlignment="0" applyProtection="0"/>
    <xf numFmtId="0" fontId="37" fillId="33" borderId="83">
      <alignment horizontal="left" vertical="center"/>
    </xf>
    <xf numFmtId="0" fontId="31" fillId="14" borderId="8" applyNumberFormat="0" applyAlignment="0" applyProtection="0"/>
    <xf numFmtId="0" fontId="43" fillId="60" borderId="68" applyNumberFormat="0" applyFont="0" applyAlignment="0" applyProtection="0"/>
    <xf numFmtId="0" fontId="37" fillId="35" borderId="64">
      <alignment horizontal="left" vertical="center" wrapText="1" indent="2"/>
    </xf>
    <xf numFmtId="0" fontId="37" fillId="0" borderId="82" applyNumberFormat="0" applyFill="0" applyAlignment="0" applyProtection="0"/>
    <xf numFmtId="0" fontId="53" fillId="0" borderId="67" applyNumberFormat="0" applyFill="0" applyAlignment="0" applyProtection="0"/>
    <xf numFmtId="0" fontId="61" fillId="44" borderId="87" applyNumberFormat="0" applyAlignment="0" applyProtection="0"/>
    <xf numFmtId="4" fontId="37" fillId="0" borderId="69" applyFill="0" applyBorder="0" applyProtection="0">
      <alignment horizontal="right" vertical="center"/>
    </xf>
    <xf numFmtId="4" fontId="37" fillId="0" borderId="61">
      <alignment horizontal="right" vertical="center"/>
    </xf>
    <xf numFmtId="0" fontId="35" fillId="35" borderId="82">
      <alignment horizontal="right" vertical="center"/>
    </xf>
    <xf numFmtId="0" fontId="37" fillId="0" borderId="61">
      <alignment horizontal="right" vertical="center"/>
    </xf>
    <xf numFmtId="0" fontId="35" fillId="35" borderId="71">
      <alignment horizontal="right" vertical="center"/>
    </xf>
    <xf numFmtId="0" fontId="37" fillId="0" borderId="85">
      <alignment horizontal="left" vertical="center" wrapText="1" indent="2"/>
    </xf>
    <xf numFmtId="49" fontId="37" fillId="0" borderId="62" applyNumberFormat="0" applyFont="0" applyFill="0" applyBorder="0" applyProtection="0">
      <alignment horizontal="left" vertical="center" indent="5"/>
    </xf>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37" fillId="33" borderId="62">
      <alignment horizontal="left" vertical="center"/>
    </xf>
    <xf numFmtId="0" fontId="37" fillId="0" borderId="64">
      <alignment horizontal="left" vertical="center" wrapText="1" indent="2"/>
    </xf>
    <xf numFmtId="0" fontId="61" fillId="44" borderId="74" applyNumberFormat="0" applyAlignment="0" applyProtection="0"/>
    <xf numFmtId="0" fontId="39" fillId="33" borderId="69">
      <alignment horizontal="right" vertical="center"/>
    </xf>
    <xf numFmtId="0" fontId="65" fillId="57" borderId="57" applyNumberFormat="0" applyAlignment="0" applyProtection="0"/>
    <xf numFmtId="0" fontId="13" fillId="17" borderId="0" applyNumberFormat="0" applyBorder="0" applyAlignment="0" applyProtection="0"/>
    <xf numFmtId="0" fontId="13" fillId="29" borderId="0" applyNumberFormat="0" applyBorder="0" applyAlignment="0" applyProtection="0"/>
    <xf numFmtId="0" fontId="49" fillId="57" borderId="66" applyNumberFormat="0" applyAlignment="0" applyProtection="0"/>
    <xf numFmtId="0" fontId="61" fillId="44" borderId="66" applyNumberFormat="0" applyAlignment="0" applyProtection="0"/>
    <xf numFmtId="0" fontId="35" fillId="33" borderId="61">
      <alignment horizontal="right" vertical="center"/>
    </xf>
    <xf numFmtId="0" fontId="53" fillId="0" borderId="59" applyNumberFormat="0" applyFill="0" applyAlignment="0" applyProtection="0"/>
    <xf numFmtId="0" fontId="37" fillId="0" borderId="61" applyNumberFormat="0" applyFill="0" applyAlignment="0" applyProtection="0"/>
    <xf numFmtId="0" fontId="53" fillId="0" borderId="59" applyNumberFormat="0" applyFill="0" applyAlignment="0" applyProtection="0"/>
    <xf numFmtId="4" fontId="37" fillId="0" borderId="61" applyFill="0" applyBorder="0" applyProtection="0">
      <alignment horizontal="right" vertical="center"/>
    </xf>
    <xf numFmtId="49" fontId="37" fillId="0" borderId="62" applyNumberFormat="0" applyFont="0" applyFill="0" applyBorder="0" applyProtection="0">
      <alignment horizontal="left" vertical="center" indent="5"/>
    </xf>
    <xf numFmtId="0" fontId="37" fillId="0" borderId="61" applyNumberFormat="0" applyFill="0" applyAlignment="0" applyProtection="0"/>
    <xf numFmtId="0" fontId="35" fillId="35" borderId="69">
      <alignment horizontal="right" vertical="center"/>
    </xf>
    <xf numFmtId="0" fontId="37" fillId="0" borderId="61" applyNumberFormat="0" applyFill="0" applyAlignment="0" applyProtection="0"/>
    <xf numFmtId="0" fontId="37" fillId="34" borderId="69"/>
    <xf numFmtId="4" fontId="35" fillId="35" borderId="61">
      <alignment horizontal="right" vertical="center"/>
    </xf>
    <xf numFmtId="0" fontId="13" fillId="23" borderId="0" applyNumberFormat="0" applyBorder="0" applyAlignment="0" applyProtection="0"/>
    <xf numFmtId="0" fontId="65" fillId="57" borderId="65" applyNumberFormat="0" applyAlignment="0" applyProtection="0"/>
    <xf numFmtId="0" fontId="49" fillId="57" borderId="66" applyNumberFormat="0" applyAlignment="0" applyProtection="0"/>
    <xf numFmtId="0" fontId="52" fillId="44" borderId="58" applyNumberFormat="0" applyAlignment="0" applyProtection="0"/>
    <xf numFmtId="0" fontId="49" fillId="57" borderId="58" applyNumberFormat="0" applyAlignment="0" applyProtection="0"/>
    <xf numFmtId="4" fontId="37" fillId="0" borderId="61">
      <alignment horizontal="right" vertical="center"/>
    </xf>
    <xf numFmtId="0" fontId="37" fillId="35" borderId="64">
      <alignment horizontal="left" vertical="center" wrapText="1" indent="2"/>
    </xf>
    <xf numFmtId="0" fontId="37" fillId="0" borderId="64">
      <alignment horizontal="left" vertical="center" wrapText="1" indent="2"/>
    </xf>
    <xf numFmtId="0" fontId="65" fillId="57" borderId="57" applyNumberFormat="0" applyAlignment="0" applyProtection="0"/>
    <xf numFmtId="0" fontId="61" fillId="44" borderId="58" applyNumberFormat="0" applyAlignment="0" applyProtection="0"/>
    <xf numFmtId="0" fontId="48" fillId="57" borderId="58" applyNumberFormat="0" applyAlignment="0" applyProtection="0"/>
    <xf numFmtId="0" fontId="46" fillId="57" borderId="57" applyNumberFormat="0" applyAlignment="0" applyProtection="0"/>
    <xf numFmtId="0" fontId="35" fillId="35" borderId="63">
      <alignment horizontal="right" vertical="center"/>
    </xf>
    <xf numFmtId="0" fontId="39" fillId="33" borderId="61">
      <alignment horizontal="right" vertical="center"/>
    </xf>
    <xf numFmtId="4" fontId="35" fillId="33" borderId="61">
      <alignment horizontal="right" vertical="center"/>
    </xf>
    <xf numFmtId="4" fontId="35" fillId="35" borderId="61">
      <alignment horizontal="right" vertical="center"/>
    </xf>
    <xf numFmtId="49" fontId="37" fillId="0" borderId="62" applyNumberFormat="0" applyFont="0" applyFill="0" applyBorder="0" applyProtection="0">
      <alignment horizontal="left" vertical="center" indent="5"/>
    </xf>
    <xf numFmtId="4" fontId="37" fillId="0" borderId="61" applyFill="0" applyBorder="0" applyProtection="0">
      <alignment horizontal="right" vertical="center"/>
    </xf>
    <xf numFmtId="4" fontId="35" fillId="33" borderId="61">
      <alignment horizontal="right" vertical="center"/>
    </xf>
    <xf numFmtId="0" fontId="61" fillId="44" borderId="58" applyNumberFormat="0" applyAlignment="0" applyProtection="0"/>
    <xf numFmtId="0" fontId="52" fillId="44" borderId="58" applyNumberFormat="0" applyAlignment="0" applyProtection="0"/>
    <xf numFmtId="0" fontId="48" fillId="57" borderId="58" applyNumberFormat="0" applyAlignment="0" applyProtection="0"/>
    <xf numFmtId="0" fontId="37" fillId="35" borderId="64">
      <alignment horizontal="left" vertical="center" wrapText="1" indent="2"/>
    </xf>
    <xf numFmtId="0" fontId="37" fillId="0" borderId="64">
      <alignment horizontal="left" vertical="center" wrapText="1" indent="2"/>
    </xf>
    <xf numFmtId="0" fontId="37" fillId="35" borderId="64">
      <alignment horizontal="left" vertical="center" wrapText="1" indent="2"/>
    </xf>
    <xf numFmtId="0" fontId="53" fillId="0" borderId="67" applyNumberFormat="0" applyFill="0" applyAlignment="0" applyProtection="0"/>
    <xf numFmtId="0" fontId="29" fillId="18" borderId="0" applyNumberFormat="0" applyBorder="0" applyAlignment="0" applyProtection="0"/>
    <xf numFmtId="0" fontId="37" fillId="0" borderId="82">
      <alignment horizontal="right" vertical="center"/>
    </xf>
    <xf numFmtId="0" fontId="29" fillId="30" borderId="0" applyNumberFormat="0" applyBorder="0" applyAlignment="0" applyProtection="0"/>
    <xf numFmtId="0" fontId="37" fillId="0" borderId="85">
      <alignment horizontal="left" vertical="center" wrapText="1" indent="2"/>
    </xf>
    <xf numFmtId="0" fontId="37" fillId="35" borderId="72">
      <alignment horizontal="left" vertical="center" wrapText="1" indent="2"/>
    </xf>
    <xf numFmtId="0" fontId="65" fillId="57" borderId="65" applyNumberFormat="0" applyAlignment="0" applyProtection="0"/>
    <xf numFmtId="4" fontId="37" fillId="34" borderId="69"/>
    <xf numFmtId="0" fontId="68" fillId="0" borderId="67" applyNumberFormat="0" applyFill="0" applyAlignment="0" applyProtection="0"/>
    <xf numFmtId="174" fontId="37" fillId="61" borderId="69" applyNumberFormat="0" applyFont="0" applyBorder="0" applyAlignment="0" applyProtection="0">
      <alignment horizontal="right" vertical="center"/>
    </xf>
    <xf numFmtId="0" fontId="37" fillId="0" borderId="69">
      <alignment horizontal="right" vertical="center"/>
    </xf>
    <xf numFmtId="4" fontId="37" fillId="0" borderId="69">
      <alignment horizontal="right" vertical="center"/>
    </xf>
    <xf numFmtId="0" fontId="37" fillId="0" borderId="72">
      <alignment horizontal="left" vertical="center" wrapText="1" indent="2"/>
    </xf>
    <xf numFmtId="4" fontId="35" fillId="35" borderId="69">
      <alignment horizontal="right" vertical="center"/>
    </xf>
    <xf numFmtId="0" fontId="35" fillId="35" borderId="70">
      <alignment horizontal="right" vertical="center"/>
    </xf>
    <xf numFmtId="4" fontId="35" fillId="35" borderId="70">
      <alignment horizontal="right" vertical="center"/>
    </xf>
    <xf numFmtId="0" fontId="35" fillId="35" borderId="69">
      <alignment horizontal="right" vertical="center"/>
    </xf>
    <xf numFmtId="4" fontId="35" fillId="33" borderId="69">
      <alignment horizontal="right" vertical="center"/>
    </xf>
    <xf numFmtId="0" fontId="39" fillId="33" borderId="69">
      <alignment horizontal="right" vertical="center"/>
    </xf>
    <xf numFmtId="0" fontId="37" fillId="0" borderId="80">
      <alignment horizontal="left" vertical="center" wrapText="1" indent="2"/>
    </xf>
    <xf numFmtId="4" fontId="35" fillId="35" borderId="82">
      <alignment horizontal="right" vertical="center"/>
    </xf>
    <xf numFmtId="0" fontId="68" fillId="0" borderId="67" applyNumberFormat="0" applyFill="0" applyAlignment="0" applyProtection="0"/>
    <xf numFmtId="0" fontId="65" fillId="57" borderId="65" applyNumberFormat="0" applyAlignment="0" applyProtection="0"/>
    <xf numFmtId="0" fontId="29" fillId="18" borderId="0" applyNumberFormat="0" applyBorder="0" applyAlignment="0" applyProtection="0"/>
    <xf numFmtId="0" fontId="48" fillId="57" borderId="87" applyNumberFormat="0" applyAlignment="0" applyProtection="0"/>
    <xf numFmtId="0" fontId="37" fillId="33" borderId="78">
      <alignment horizontal="left" vertical="center"/>
    </xf>
    <xf numFmtId="0" fontId="68" fillId="0" borderId="75" applyNumberFormat="0" applyFill="0" applyAlignment="0" applyProtection="0"/>
    <xf numFmtId="0" fontId="43" fillId="60" borderId="76" applyNumberFormat="0" applyFont="0" applyAlignment="0" applyProtection="0"/>
    <xf numFmtId="0" fontId="37" fillId="0" borderId="85">
      <alignment horizontal="left" vertical="center" wrapText="1" indent="2"/>
    </xf>
    <xf numFmtId="4" fontId="37" fillId="34" borderId="82"/>
    <xf numFmtId="0" fontId="65" fillId="57" borderId="86" applyNumberFormat="0" applyAlignment="0" applyProtection="0"/>
    <xf numFmtId="0" fontId="13" fillId="23" borderId="0" applyNumberFormat="0" applyBorder="0" applyAlignment="0" applyProtection="0"/>
    <xf numFmtId="0" fontId="31" fillId="14" borderId="8" applyNumberFormat="0" applyAlignment="0" applyProtection="0"/>
    <xf numFmtId="49" fontId="37" fillId="0" borderId="83" applyNumberFormat="0" applyFont="0" applyFill="0" applyBorder="0" applyProtection="0">
      <alignment horizontal="left" vertical="center" indent="5"/>
    </xf>
    <xf numFmtId="0" fontId="37" fillId="34" borderId="82"/>
    <xf numFmtId="0" fontId="29" fillId="21" borderId="0" applyNumberFormat="0" applyBorder="0" applyAlignment="0" applyProtection="0"/>
    <xf numFmtId="4" fontId="35" fillId="33" borderId="82">
      <alignment horizontal="right" vertical="center"/>
    </xf>
    <xf numFmtId="0" fontId="46" fillId="57" borderId="73" applyNumberFormat="0" applyAlignment="0" applyProtection="0"/>
    <xf numFmtId="0" fontId="29" fillId="27" borderId="0" applyNumberFormat="0" applyBorder="0" applyAlignment="0" applyProtection="0"/>
    <xf numFmtId="0" fontId="43" fillId="60" borderId="81" applyNumberFormat="0" applyFont="0" applyAlignment="0" applyProtection="0"/>
    <xf numFmtId="0" fontId="68" fillId="0" borderId="67" applyNumberFormat="0" applyFill="0" applyAlignment="0" applyProtection="0"/>
    <xf numFmtId="0" fontId="43" fillId="60" borderId="68" applyNumberFormat="0" applyFont="0" applyAlignment="0" applyProtection="0"/>
    <xf numFmtId="0" fontId="35" fillId="35" borderId="82">
      <alignment horizontal="right" vertical="center"/>
    </xf>
    <xf numFmtId="0" fontId="5" fillId="60" borderId="68" applyNumberFormat="0" applyFont="0" applyAlignment="0" applyProtection="0"/>
    <xf numFmtId="0" fontId="31" fillId="14" borderId="8" applyNumberFormat="0" applyAlignment="0" applyProtection="0"/>
    <xf numFmtId="0" fontId="48" fillId="57" borderId="87" applyNumberFormat="0" applyAlignment="0" applyProtection="0"/>
    <xf numFmtId="0" fontId="32" fillId="14" borderId="7" applyNumberFormat="0" applyAlignment="0" applyProtection="0"/>
    <xf numFmtId="0" fontId="29" fillId="16" borderId="0" applyNumberFormat="0" applyBorder="0" applyAlignment="0" applyProtection="0"/>
    <xf numFmtId="4" fontId="35" fillId="35" borderId="83">
      <alignment horizontal="right" vertical="center"/>
    </xf>
    <xf numFmtId="0" fontId="53" fillId="0" borderId="88" applyNumberFormat="0" applyFill="0" applyAlignment="0" applyProtection="0"/>
    <xf numFmtId="0" fontId="29" fillId="25" borderId="0" applyNumberFormat="0" applyBorder="0" applyAlignment="0" applyProtection="0"/>
    <xf numFmtId="0" fontId="61" fillId="44" borderId="66" applyNumberFormat="0" applyAlignment="0" applyProtection="0"/>
    <xf numFmtId="0" fontId="37" fillId="35" borderId="72">
      <alignment horizontal="left" vertical="center" wrapText="1" indent="2"/>
    </xf>
    <xf numFmtId="4" fontId="39" fillId="33" borderId="69">
      <alignment horizontal="right" vertical="center"/>
    </xf>
    <xf numFmtId="0" fontId="68" fillId="0" borderId="88" applyNumberFormat="0" applyFill="0" applyAlignment="0" applyProtection="0"/>
    <xf numFmtId="0" fontId="1" fillId="0" borderId="0" applyNumberFormat="0" applyFill="0" applyBorder="0" applyAlignment="0" applyProtection="0"/>
    <xf numFmtId="4" fontId="37" fillId="0" borderId="82">
      <alignment horizontal="right" vertical="center"/>
    </xf>
    <xf numFmtId="0" fontId="29" fillId="22" borderId="0" applyNumberFormat="0" applyBorder="0" applyAlignment="0" applyProtection="0"/>
    <xf numFmtId="0" fontId="29" fillId="19" borderId="0" applyNumberFormat="0" applyBorder="0" applyAlignment="0" applyProtection="0"/>
    <xf numFmtId="4" fontId="35" fillId="35" borderId="82">
      <alignment horizontal="right" vertical="center"/>
    </xf>
    <xf numFmtId="0" fontId="2" fillId="0" borderId="9" applyNumberFormat="0" applyFill="0" applyAlignment="0" applyProtection="0"/>
    <xf numFmtId="4" fontId="39" fillId="33" borderId="69">
      <alignment horizontal="right" vertical="center"/>
    </xf>
    <xf numFmtId="4" fontId="35" fillId="33" borderId="69">
      <alignment horizontal="right" vertical="center"/>
    </xf>
    <xf numFmtId="0" fontId="37" fillId="0" borderId="72">
      <alignment horizontal="left" vertical="center" wrapText="1" indent="2"/>
    </xf>
    <xf numFmtId="0" fontId="65" fillId="57" borderId="65" applyNumberFormat="0" applyAlignment="0" applyProtection="0"/>
    <xf numFmtId="0" fontId="37" fillId="0" borderId="69">
      <alignment horizontal="right" vertical="center"/>
    </xf>
    <xf numFmtId="0" fontId="68" fillId="0" borderId="67" applyNumberFormat="0" applyFill="0" applyAlignment="0" applyProtection="0"/>
    <xf numFmtId="49" fontId="36" fillId="0" borderId="69" applyNumberFormat="0" applyFill="0" applyBorder="0" applyProtection="0">
      <alignment horizontal="left" vertical="center"/>
    </xf>
    <xf numFmtId="4" fontId="37" fillId="34" borderId="69"/>
    <xf numFmtId="0" fontId="61" fillId="44" borderId="66" applyNumberFormat="0" applyAlignment="0" applyProtection="0"/>
    <xf numFmtId="174" fontId="37" fillId="61" borderId="69" applyNumberFormat="0" applyFont="0" applyBorder="0" applyAlignment="0" applyProtection="0">
      <alignment horizontal="right" vertical="center"/>
    </xf>
    <xf numFmtId="0" fontId="49" fillId="57" borderId="66" applyNumberFormat="0" applyAlignment="0" applyProtection="0"/>
    <xf numFmtId="0" fontId="13" fillId="29" borderId="0" applyNumberFormat="0" applyBorder="0" applyAlignment="0" applyProtection="0"/>
    <xf numFmtId="0" fontId="35" fillId="35" borderId="84">
      <alignment horizontal="right" vertical="center"/>
    </xf>
    <xf numFmtId="0" fontId="61" fillId="44" borderId="87" applyNumberFormat="0" applyAlignment="0" applyProtection="0"/>
    <xf numFmtId="0" fontId="61" fillId="44" borderId="66" applyNumberFormat="0" applyAlignment="0" applyProtection="0"/>
    <xf numFmtId="0" fontId="46" fillId="57" borderId="65" applyNumberFormat="0" applyAlignment="0" applyProtection="0"/>
    <xf numFmtId="49" fontId="36" fillId="0" borderId="69" applyNumberFormat="0" applyFill="0" applyBorder="0" applyProtection="0">
      <alignment horizontal="left" vertical="center"/>
    </xf>
    <xf numFmtId="0" fontId="68" fillId="0" borderId="67" applyNumberFormat="0" applyFill="0" applyAlignment="0" applyProtection="0"/>
    <xf numFmtId="0" fontId="37" fillId="0" borderId="69">
      <alignment horizontal="right" vertical="center"/>
    </xf>
    <xf numFmtId="0" fontId="35" fillId="35" borderId="70">
      <alignment horizontal="right" vertical="center"/>
    </xf>
    <xf numFmtId="0" fontId="68" fillId="0" borderId="67" applyNumberFormat="0" applyFill="0" applyAlignment="0" applyProtection="0"/>
    <xf numFmtId="4" fontId="37" fillId="0" borderId="82" applyFill="0" applyBorder="0" applyProtection="0">
      <alignment horizontal="right" vertical="center"/>
    </xf>
    <xf numFmtId="0" fontId="2" fillId="0" borderId="9" applyNumberFormat="0" applyFill="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4" fontId="37" fillId="0" borderId="69" applyFill="0" applyBorder="0" applyProtection="0">
      <alignment horizontal="right" vertical="center"/>
    </xf>
    <xf numFmtId="0" fontId="68" fillId="0" borderId="88" applyNumberFormat="0" applyFill="0" applyAlignment="0" applyProtection="0"/>
    <xf numFmtId="0" fontId="31" fillId="14" borderId="8" applyNumberFormat="0" applyAlignment="0" applyProtection="0"/>
    <xf numFmtId="0" fontId="29" fillId="16" borderId="0" applyNumberFormat="0" applyBorder="0" applyAlignment="0" applyProtection="0"/>
    <xf numFmtId="0" fontId="37" fillId="0" borderId="72">
      <alignment horizontal="left" vertical="center" wrapText="1" indent="2"/>
    </xf>
    <xf numFmtId="0" fontId="68" fillId="0" borderId="67" applyNumberFormat="0" applyFill="0" applyAlignment="0" applyProtection="0"/>
    <xf numFmtId="0" fontId="46" fillId="57" borderId="65" applyNumberFormat="0" applyAlignment="0" applyProtection="0"/>
    <xf numFmtId="0" fontId="35" fillId="35" borderId="69">
      <alignment horizontal="right" vertical="center"/>
    </xf>
    <xf numFmtId="0" fontId="48" fillId="57" borderId="66" applyNumberFormat="0" applyAlignment="0" applyProtection="0"/>
    <xf numFmtId="4" fontId="35" fillId="35" borderId="79">
      <alignment horizontal="right" vertical="center"/>
    </xf>
    <xf numFmtId="0" fontId="39" fillId="33" borderId="82">
      <alignment horizontal="right" vertical="center"/>
    </xf>
    <xf numFmtId="0" fontId="37" fillId="33" borderId="70">
      <alignment horizontal="left" vertical="center"/>
    </xf>
    <xf numFmtId="0" fontId="37" fillId="0" borderId="77" applyNumberFormat="0" applyFill="0" applyAlignment="0" applyProtection="0"/>
    <xf numFmtId="0" fontId="2" fillId="0" borderId="9" applyNumberFormat="0" applyFill="0" applyAlignment="0" applyProtection="0"/>
    <xf numFmtId="0" fontId="35" fillId="33" borderId="69">
      <alignment horizontal="right" vertical="center"/>
    </xf>
    <xf numFmtId="0" fontId="39" fillId="33" borderId="77">
      <alignment horizontal="right" vertical="center"/>
    </xf>
    <xf numFmtId="0" fontId="49" fillId="57" borderId="74" applyNumberFormat="0" applyAlignment="0" applyProtection="0"/>
    <xf numFmtId="0" fontId="53" fillId="0" borderId="67" applyNumberFormat="0" applyFill="0" applyAlignment="0" applyProtection="0"/>
    <xf numFmtId="0" fontId="37" fillId="0" borderId="69">
      <alignment horizontal="right" vertical="center"/>
    </xf>
    <xf numFmtId="0" fontId="5" fillId="60" borderId="68" applyNumberFormat="0" applyFont="0" applyAlignment="0" applyProtection="0"/>
    <xf numFmtId="0" fontId="37" fillId="0" borderId="77">
      <alignment horizontal="right" vertical="center"/>
    </xf>
    <xf numFmtId="0" fontId="29" fillId="18" borderId="0" applyNumberFormat="0" applyBorder="0" applyAlignment="0" applyProtection="0"/>
    <xf numFmtId="0" fontId="13" fillId="32" borderId="0" applyNumberFormat="0" applyBorder="0" applyAlignment="0" applyProtection="0"/>
    <xf numFmtId="0" fontId="29" fillId="25" borderId="0" applyNumberFormat="0" applyBorder="0" applyAlignment="0" applyProtection="0"/>
    <xf numFmtId="0" fontId="61" fillId="44" borderId="66" applyNumberFormat="0" applyAlignment="0" applyProtection="0"/>
    <xf numFmtId="49" fontId="37" fillId="0" borderId="70" applyNumberFormat="0" applyFont="0" applyFill="0" applyBorder="0" applyProtection="0">
      <alignment horizontal="left" vertical="center" indent="5"/>
    </xf>
    <xf numFmtId="0" fontId="52" fillId="44" borderId="87" applyNumberFormat="0" applyAlignment="0" applyProtection="0"/>
    <xf numFmtId="0" fontId="37" fillId="0" borderId="69" applyNumberFormat="0" applyFill="0" applyAlignment="0" applyProtection="0"/>
    <xf numFmtId="0" fontId="53" fillId="0" borderId="67" applyNumberFormat="0" applyFill="0" applyAlignment="0" applyProtection="0"/>
    <xf numFmtId="0" fontId="65" fillId="57" borderId="65" applyNumberFormat="0" applyAlignment="0" applyProtection="0"/>
    <xf numFmtId="4" fontId="35" fillId="35" borderId="69">
      <alignment horizontal="right" vertical="center"/>
    </xf>
    <xf numFmtId="4" fontId="37" fillId="34" borderId="69"/>
    <xf numFmtId="0" fontId="68" fillId="0" borderId="67" applyNumberFormat="0" applyFill="0" applyAlignment="0" applyProtection="0"/>
    <xf numFmtId="0" fontId="35" fillId="35" borderId="77">
      <alignment horizontal="right" vertical="center"/>
    </xf>
    <xf numFmtId="0" fontId="46" fillId="57" borderId="65" applyNumberFormat="0" applyAlignment="0" applyProtection="0"/>
    <xf numFmtId="0" fontId="48" fillId="57" borderId="66" applyNumberFormat="0" applyAlignment="0" applyProtection="0"/>
    <xf numFmtId="0" fontId="49" fillId="57" borderId="66" applyNumberFormat="0" applyAlignment="0" applyProtection="0"/>
    <xf numFmtId="0" fontId="65" fillId="57" borderId="65" applyNumberFormat="0" applyAlignment="0" applyProtection="0"/>
    <xf numFmtId="0" fontId="35" fillId="35" borderId="71">
      <alignment horizontal="right" vertical="center"/>
    </xf>
    <xf numFmtId="0" fontId="37" fillId="0" borderId="69" applyNumberFormat="0" applyFill="0" applyAlignment="0" applyProtection="0"/>
    <xf numFmtId="49" fontId="37" fillId="0" borderId="70" applyNumberFormat="0" applyFont="0" applyFill="0" applyBorder="0" applyProtection="0">
      <alignment horizontal="left" vertical="center" indent="5"/>
    </xf>
    <xf numFmtId="0" fontId="68" fillId="0" borderId="67" applyNumberFormat="0" applyFill="0" applyAlignment="0" applyProtection="0"/>
    <xf numFmtId="0" fontId="37" fillId="0" borderId="69" applyNumberFormat="0" applyFill="0" applyAlignment="0" applyProtection="0"/>
    <xf numFmtId="0" fontId="35" fillId="33" borderId="82">
      <alignment horizontal="right" vertical="center"/>
    </xf>
    <xf numFmtId="4" fontId="35" fillId="35" borderId="83">
      <alignment horizontal="right" vertical="center"/>
    </xf>
    <xf numFmtId="4" fontId="37" fillId="34" borderId="82"/>
    <xf numFmtId="0" fontId="29" fillId="22" borderId="0" applyNumberFormat="0" applyBorder="0" applyAlignment="0" applyProtection="0"/>
    <xf numFmtId="0" fontId="29" fillId="22" borderId="0" applyNumberFormat="0" applyBorder="0" applyAlignment="0" applyProtection="0"/>
    <xf numFmtId="4" fontId="37" fillId="34" borderId="77"/>
    <xf numFmtId="0" fontId="43" fillId="60" borderId="68" applyNumberFormat="0" applyFont="0" applyAlignment="0" applyProtection="0"/>
    <xf numFmtId="4" fontId="37" fillId="0" borderId="82">
      <alignment horizontal="right" vertical="center"/>
    </xf>
    <xf numFmtId="0" fontId="53" fillId="0" borderId="88" applyNumberFormat="0" applyFill="0" applyAlignment="0" applyProtection="0"/>
    <xf numFmtId="0" fontId="37" fillId="35" borderId="80">
      <alignment horizontal="left" vertical="center" wrapText="1" indent="2"/>
    </xf>
    <xf numFmtId="0" fontId="29" fillId="21" borderId="0" applyNumberFormat="0" applyBorder="0" applyAlignment="0" applyProtection="0"/>
    <xf numFmtId="0" fontId="53" fillId="0" borderId="75" applyNumberFormat="0" applyFill="0" applyAlignment="0" applyProtection="0"/>
    <xf numFmtId="0" fontId="37" fillId="0" borderId="85">
      <alignment horizontal="left" vertical="center" wrapText="1" indent="2"/>
    </xf>
    <xf numFmtId="0" fontId="35" fillId="35" borderId="82">
      <alignment horizontal="right" vertical="center"/>
    </xf>
    <xf numFmtId="0" fontId="37" fillId="0" borderId="72">
      <alignment horizontal="left" vertical="center" wrapText="1" indent="2"/>
    </xf>
    <xf numFmtId="0" fontId="48" fillId="57" borderId="87" applyNumberFormat="0" applyAlignment="0" applyProtection="0"/>
    <xf numFmtId="4" fontId="35" fillId="33" borderId="69">
      <alignment horizontal="right" vertical="center"/>
    </xf>
    <xf numFmtId="4" fontId="35" fillId="35" borderId="84">
      <alignment horizontal="right" vertical="center"/>
    </xf>
    <xf numFmtId="0" fontId="29" fillId="15" borderId="0" applyNumberFormat="0" applyBorder="0" applyAlignment="0" applyProtection="0"/>
    <xf numFmtId="0" fontId="65" fillId="57" borderId="65" applyNumberFormat="0" applyAlignment="0" applyProtection="0"/>
    <xf numFmtId="49" fontId="37" fillId="0" borderId="70" applyNumberFormat="0" applyFont="0" applyFill="0" applyBorder="0" applyProtection="0">
      <alignment horizontal="left" vertical="center" indent="5"/>
    </xf>
    <xf numFmtId="4" fontId="37" fillId="0" borderId="69">
      <alignment horizontal="right" vertical="center"/>
    </xf>
    <xf numFmtId="4" fontId="35" fillId="35" borderId="77">
      <alignment horizontal="right" vertical="center"/>
    </xf>
    <xf numFmtId="0" fontId="29" fillId="24" borderId="0" applyNumberFormat="0" applyBorder="0" applyAlignment="0" applyProtection="0"/>
    <xf numFmtId="0" fontId="29" fillId="30" borderId="0" applyNumberFormat="0" applyBorder="0" applyAlignment="0" applyProtection="0"/>
    <xf numFmtId="0" fontId="53" fillId="0" borderId="67" applyNumberFormat="0" applyFill="0" applyAlignment="0" applyProtection="0"/>
    <xf numFmtId="4" fontId="35" fillId="35" borderId="71">
      <alignment horizontal="right" vertical="center"/>
    </xf>
    <xf numFmtId="4" fontId="35" fillId="35" borderId="69">
      <alignment horizontal="right" vertical="center"/>
    </xf>
    <xf numFmtId="4" fontId="35" fillId="35" borderId="69">
      <alignment horizontal="right" vertical="center"/>
    </xf>
    <xf numFmtId="0" fontId="68" fillId="0" borderId="67" applyNumberFormat="0" applyFill="0" applyAlignment="0" applyProtection="0"/>
    <xf numFmtId="0" fontId="49" fillId="57" borderId="66" applyNumberFormat="0" applyAlignment="0" applyProtection="0"/>
    <xf numFmtId="0" fontId="52" fillId="44" borderId="66" applyNumberFormat="0" applyAlignment="0" applyProtection="0"/>
    <xf numFmtId="0" fontId="32" fillId="14" borderId="7" applyNumberFormat="0" applyAlignment="0" applyProtection="0"/>
    <xf numFmtId="49" fontId="36" fillId="0" borderId="69" applyNumberFormat="0" applyFill="0" applyBorder="0" applyProtection="0">
      <alignment horizontal="left" vertical="center"/>
    </xf>
    <xf numFmtId="0" fontId="5" fillId="60" borderId="68" applyNumberFormat="0" applyFont="0" applyAlignment="0" applyProtection="0"/>
    <xf numFmtId="0" fontId="37" fillId="35" borderId="85">
      <alignment horizontal="left" vertical="center" wrapText="1" indent="2"/>
    </xf>
    <xf numFmtId="4" fontId="35" fillId="35" borderId="69">
      <alignment horizontal="right" vertical="center"/>
    </xf>
    <xf numFmtId="0" fontId="29" fillId="24" borderId="0" applyNumberFormat="0" applyBorder="0" applyAlignment="0" applyProtection="0"/>
    <xf numFmtId="0" fontId="29" fillId="19" borderId="0" applyNumberFormat="0" applyBorder="0" applyAlignment="0" applyProtection="0"/>
    <xf numFmtId="0" fontId="39" fillId="33" borderId="82">
      <alignment horizontal="right" vertical="center"/>
    </xf>
    <xf numFmtId="49" fontId="37" fillId="0" borderId="69" applyNumberFormat="0" applyFont="0" applyFill="0" applyBorder="0" applyProtection="0">
      <alignment horizontal="left" vertical="center" indent="2"/>
    </xf>
    <xf numFmtId="0" fontId="68" fillId="0" borderId="67" applyNumberFormat="0" applyFill="0" applyAlignment="0" applyProtection="0"/>
    <xf numFmtId="4" fontId="37" fillId="0" borderId="69" applyFill="0" applyBorder="0" applyProtection="0">
      <alignment horizontal="right" vertical="center"/>
    </xf>
    <xf numFmtId="0" fontId="61" fillId="44" borderId="66" applyNumberFormat="0" applyAlignment="0" applyProtection="0"/>
    <xf numFmtId="49" fontId="36" fillId="0" borderId="69" applyNumberFormat="0" applyFill="0" applyBorder="0" applyProtection="0">
      <alignment horizontal="left" vertical="center"/>
    </xf>
    <xf numFmtId="49" fontId="37" fillId="0" borderId="69" applyNumberFormat="0" applyFont="0" applyFill="0" applyBorder="0" applyProtection="0">
      <alignment horizontal="left" vertical="center" indent="2"/>
    </xf>
    <xf numFmtId="4" fontId="37" fillId="0" borderId="69" applyFill="0" applyBorder="0" applyProtection="0">
      <alignment horizontal="right" vertical="center"/>
    </xf>
    <xf numFmtId="174" fontId="37" fillId="61" borderId="69" applyNumberFormat="0" applyFont="0" applyBorder="0" applyAlignment="0" applyProtection="0">
      <alignment horizontal="right" vertical="center"/>
    </xf>
    <xf numFmtId="0" fontId="37" fillId="0" borderId="80">
      <alignment horizontal="left" vertical="center" wrapText="1" indent="2"/>
    </xf>
    <xf numFmtId="0" fontId="61" fillId="44" borderId="74" applyNumberFormat="0" applyAlignment="0" applyProtection="0"/>
    <xf numFmtId="0" fontId="39" fillId="33" borderId="69">
      <alignment horizontal="right" vertical="center"/>
    </xf>
    <xf numFmtId="0" fontId="13" fillId="32" borderId="0" applyNumberFormat="0" applyBorder="0" applyAlignment="0" applyProtection="0"/>
    <xf numFmtId="0" fontId="29" fillId="21" borderId="0" applyNumberFormat="0" applyBorder="0" applyAlignment="0" applyProtection="0"/>
    <xf numFmtId="0" fontId="52" fillId="44" borderId="66" applyNumberFormat="0" applyAlignment="0" applyProtection="0"/>
    <xf numFmtId="4" fontId="35" fillId="35" borderId="69">
      <alignment horizontal="right" vertical="center"/>
    </xf>
    <xf numFmtId="0" fontId="37" fillId="33" borderId="70">
      <alignment horizontal="left" vertical="center"/>
    </xf>
    <xf numFmtId="0" fontId="68" fillId="0" borderId="75" applyNumberFormat="0" applyFill="0" applyAlignment="0" applyProtection="0"/>
    <xf numFmtId="0" fontId="43" fillId="60" borderId="81" applyNumberFormat="0" applyFont="0" applyAlignment="0" applyProtection="0"/>
    <xf numFmtId="0" fontId="53" fillId="0" borderId="88" applyNumberFormat="0" applyFill="0" applyAlignment="0" applyProtection="0"/>
    <xf numFmtId="0" fontId="61" fillId="44" borderId="87" applyNumberFormat="0" applyAlignment="0" applyProtection="0"/>
    <xf numFmtId="0" fontId="61" fillId="44" borderId="87" applyNumberFormat="0" applyAlignment="0" applyProtection="0"/>
    <xf numFmtId="4" fontId="35" fillId="33" borderId="77">
      <alignment horizontal="right" vertical="center"/>
    </xf>
    <xf numFmtId="174" fontId="37" fillId="61" borderId="82" applyNumberFormat="0" applyFont="0" applyBorder="0" applyAlignment="0" applyProtection="0">
      <alignment horizontal="right" vertical="center"/>
    </xf>
    <xf numFmtId="0" fontId="48" fillId="57" borderId="87" applyNumberFormat="0" applyAlignment="0" applyProtection="0"/>
    <xf numFmtId="0" fontId="13" fillId="29" borderId="0" applyNumberFormat="0" applyBorder="0" applyAlignment="0" applyProtection="0"/>
    <xf numFmtId="0" fontId="35" fillId="35" borderId="69">
      <alignment horizontal="right" vertical="center"/>
    </xf>
    <xf numFmtId="0" fontId="37" fillId="35" borderId="72">
      <alignment horizontal="left" vertical="center" wrapText="1" indent="2"/>
    </xf>
    <xf numFmtId="174" fontId="37" fillId="61" borderId="69" applyNumberFormat="0" applyFont="0" applyBorder="0" applyAlignment="0" applyProtection="0">
      <alignment horizontal="right" vertical="center"/>
    </xf>
    <xf numFmtId="0" fontId="43" fillId="60" borderId="68" applyNumberFormat="0" applyFont="0" applyAlignment="0" applyProtection="0"/>
    <xf numFmtId="49" fontId="37" fillId="0" borderId="69" applyNumberFormat="0" applyFont="0" applyFill="0" applyBorder="0" applyProtection="0">
      <alignment horizontal="left" vertical="center" indent="2"/>
    </xf>
    <xf numFmtId="0" fontId="29" fillId="24" borderId="0" applyNumberFormat="0" applyBorder="0" applyAlignment="0" applyProtection="0"/>
    <xf numFmtId="4" fontId="37" fillId="34" borderId="82"/>
    <xf numFmtId="49" fontId="36" fillId="0" borderId="69" applyNumberFormat="0" applyFill="0" applyBorder="0" applyProtection="0">
      <alignment horizontal="left" vertical="center"/>
    </xf>
    <xf numFmtId="174" fontId="37" fillId="61" borderId="69" applyNumberFormat="0" applyFont="0" applyBorder="0" applyAlignment="0" applyProtection="0">
      <alignment horizontal="right" vertical="center"/>
    </xf>
    <xf numFmtId="0" fontId="65" fillId="57" borderId="65" applyNumberFormat="0" applyAlignment="0" applyProtection="0"/>
    <xf numFmtId="0" fontId="37" fillId="0" borderId="69">
      <alignment horizontal="right" vertical="center"/>
    </xf>
    <xf numFmtId="0" fontId="37" fillId="34" borderId="69"/>
    <xf numFmtId="4" fontId="35" fillId="35" borderId="69">
      <alignment horizontal="right" vertical="center"/>
    </xf>
    <xf numFmtId="0" fontId="37" fillId="34" borderId="69"/>
    <xf numFmtId="0" fontId="61" fillId="44" borderId="66" applyNumberFormat="0" applyAlignment="0" applyProtection="0"/>
    <xf numFmtId="0" fontId="37" fillId="35" borderId="85">
      <alignment horizontal="left" vertical="center" wrapText="1" indent="2"/>
    </xf>
    <xf numFmtId="0" fontId="39" fillId="33" borderId="69">
      <alignment horizontal="right" vertical="center"/>
    </xf>
    <xf numFmtId="0" fontId="37" fillId="0" borderId="72">
      <alignment horizontal="left" vertical="center" wrapText="1" indent="2"/>
    </xf>
    <xf numFmtId="0" fontId="35" fillId="33" borderId="69">
      <alignment horizontal="right" vertical="center"/>
    </xf>
    <xf numFmtId="0" fontId="52" fillId="44" borderId="66" applyNumberFormat="0" applyAlignment="0" applyProtection="0"/>
    <xf numFmtId="0" fontId="37" fillId="35" borderId="72">
      <alignment horizontal="left" vertical="center" wrapText="1" indent="2"/>
    </xf>
    <xf numFmtId="0" fontId="37" fillId="0" borderId="82" applyNumberFormat="0" applyFill="0" applyAlignment="0" applyProtection="0"/>
    <xf numFmtId="4" fontId="37" fillId="0" borderId="82">
      <alignment horizontal="right" vertical="center"/>
    </xf>
    <xf numFmtId="0" fontId="35" fillId="35" borderId="82">
      <alignment horizontal="right" vertical="center"/>
    </xf>
    <xf numFmtId="174" fontId="37" fillId="61" borderId="77" applyNumberFormat="0" applyFont="0" applyBorder="0" applyAlignment="0" applyProtection="0">
      <alignment horizontal="right" vertical="center"/>
    </xf>
    <xf numFmtId="0" fontId="29" fillId="25" borderId="0" applyNumberFormat="0" applyBorder="0" applyAlignment="0" applyProtection="0"/>
    <xf numFmtId="0" fontId="35" fillId="33" borderId="82">
      <alignment horizontal="right" vertical="center"/>
    </xf>
    <xf numFmtId="0" fontId="68" fillId="0" borderId="88" applyNumberFormat="0" applyFill="0" applyAlignment="0" applyProtection="0"/>
    <xf numFmtId="0" fontId="48" fillId="57" borderId="66" applyNumberFormat="0" applyAlignment="0" applyProtection="0"/>
    <xf numFmtId="0" fontId="39" fillId="33" borderId="69">
      <alignment horizontal="right" vertical="center"/>
    </xf>
    <xf numFmtId="0" fontId="29" fillId="30" borderId="0" applyNumberFormat="0" applyBorder="0" applyAlignment="0" applyProtection="0"/>
    <xf numFmtId="0" fontId="32" fillId="14" borderId="7" applyNumberFormat="0" applyAlignment="0" applyProtection="0"/>
    <xf numFmtId="0" fontId="31" fillId="14" borderId="8" applyNumberFormat="0" applyAlignment="0" applyProtection="0"/>
    <xf numFmtId="0" fontId="29" fillId="21" borderId="0" applyNumberFormat="0" applyBorder="0" applyAlignment="0" applyProtection="0"/>
    <xf numFmtId="0" fontId="52" fillId="44" borderId="87" applyNumberFormat="0" applyAlignment="0" applyProtection="0"/>
    <xf numFmtId="0" fontId="33" fillId="0" borderId="0" applyNumberFormat="0" applyFill="0" applyBorder="0" applyAlignment="0" applyProtection="0"/>
    <xf numFmtId="0" fontId="43" fillId="60" borderId="81" applyNumberFormat="0" applyFont="0" applyAlignment="0" applyProtection="0"/>
    <xf numFmtId="0" fontId="29" fillId="24" borderId="0" applyNumberFormat="0" applyBorder="0" applyAlignment="0" applyProtection="0"/>
    <xf numFmtId="0" fontId="35" fillId="35" borderId="69">
      <alignment horizontal="right" vertical="center"/>
    </xf>
    <xf numFmtId="4" fontId="37" fillId="0" borderId="69" applyFill="0" applyBorder="0" applyProtection="0">
      <alignment horizontal="right" vertical="center"/>
    </xf>
    <xf numFmtId="0" fontId="37" fillId="35" borderId="72">
      <alignment horizontal="left" vertical="center" wrapText="1" indent="2"/>
    </xf>
    <xf numFmtId="0" fontId="43" fillId="60" borderId="68" applyNumberFormat="0" applyFont="0" applyAlignment="0" applyProtection="0"/>
    <xf numFmtId="0" fontId="52" fillId="44" borderId="66" applyNumberFormat="0" applyAlignment="0" applyProtection="0"/>
    <xf numFmtId="4" fontId="37" fillId="34" borderId="69"/>
    <xf numFmtId="4" fontId="37" fillId="0" borderId="69" applyFill="0" applyBorder="0" applyProtection="0">
      <alignment horizontal="right" vertical="center"/>
    </xf>
    <xf numFmtId="0" fontId="68" fillId="0" borderId="67" applyNumberFormat="0" applyFill="0" applyAlignment="0" applyProtection="0"/>
    <xf numFmtId="0" fontId="37" fillId="33" borderId="70">
      <alignment horizontal="left" vertical="center"/>
    </xf>
    <xf numFmtId="0" fontId="37" fillId="0" borderId="72">
      <alignment horizontal="left" vertical="center" wrapText="1" indent="2"/>
    </xf>
    <xf numFmtId="0" fontId="61" fillId="44" borderId="66" applyNumberFormat="0" applyAlignment="0" applyProtection="0"/>
    <xf numFmtId="0" fontId="49" fillId="57" borderId="87" applyNumberFormat="0" applyAlignment="0" applyProtection="0"/>
    <xf numFmtId="0" fontId="37" fillId="35" borderId="72">
      <alignment horizontal="left" vertical="center" wrapText="1" indent="2"/>
    </xf>
    <xf numFmtId="0" fontId="53" fillId="0" borderId="88" applyNumberFormat="0" applyFill="0" applyAlignment="0" applyProtection="0"/>
    <xf numFmtId="0" fontId="29" fillId="16" borderId="0" applyNumberFormat="0" applyBorder="0" applyAlignment="0" applyProtection="0"/>
    <xf numFmtId="0" fontId="35" fillId="35" borderId="83">
      <alignment horizontal="right" vertical="center"/>
    </xf>
    <xf numFmtId="0" fontId="5" fillId="60" borderId="81" applyNumberFormat="0" applyFont="0" applyAlignment="0" applyProtection="0"/>
    <xf numFmtId="0" fontId="43" fillId="60" borderId="68" applyNumberFormat="0" applyFont="0" applyAlignment="0" applyProtection="0"/>
    <xf numFmtId="0" fontId="61" fillId="44" borderId="66" applyNumberFormat="0" applyAlignment="0" applyProtection="0"/>
    <xf numFmtId="49" fontId="37" fillId="0" borderId="82" applyNumberFormat="0" applyFont="0" applyFill="0" applyBorder="0" applyProtection="0">
      <alignment horizontal="left" vertical="center" indent="2"/>
    </xf>
    <xf numFmtId="4" fontId="37" fillId="34" borderId="69"/>
    <xf numFmtId="0" fontId="49" fillId="57" borderId="66" applyNumberFormat="0" applyAlignment="0" applyProtection="0"/>
    <xf numFmtId="0" fontId="61" fillId="44" borderId="66" applyNumberFormat="0" applyAlignment="0" applyProtection="0"/>
    <xf numFmtId="4" fontId="35" fillId="35" borderId="69">
      <alignment horizontal="right" vertical="center"/>
    </xf>
    <xf numFmtId="0" fontId="53" fillId="0" borderId="67" applyNumberFormat="0" applyFill="0" applyAlignment="0" applyProtection="0"/>
    <xf numFmtId="4" fontId="37" fillId="0" borderId="82" applyFill="0" applyBorder="0" applyProtection="0">
      <alignment horizontal="right" vertical="center"/>
    </xf>
    <xf numFmtId="0" fontId="13" fillId="17" borderId="0" applyNumberFormat="0" applyBorder="0" applyAlignment="0" applyProtection="0"/>
    <xf numFmtId="49" fontId="36" fillId="0" borderId="82" applyNumberFormat="0" applyFill="0" applyBorder="0" applyProtection="0">
      <alignment horizontal="left" vertical="center"/>
    </xf>
    <xf numFmtId="0" fontId="68" fillId="0" borderId="88" applyNumberFormat="0" applyFill="0" applyAlignment="0" applyProtection="0"/>
    <xf numFmtId="4" fontId="35" fillId="35" borderId="84">
      <alignment horizontal="right" vertical="center"/>
    </xf>
    <xf numFmtId="4" fontId="35" fillId="35" borderId="82">
      <alignment horizontal="right" vertical="center"/>
    </xf>
    <xf numFmtId="0" fontId="49" fillId="57" borderId="66" applyNumberFormat="0" applyAlignment="0" applyProtection="0"/>
    <xf numFmtId="0" fontId="61" fillId="44" borderId="87" applyNumberFormat="0" applyAlignment="0" applyProtection="0"/>
    <xf numFmtId="0" fontId="52" fillId="44" borderId="66" applyNumberFormat="0" applyAlignment="0" applyProtection="0"/>
    <xf numFmtId="0" fontId="37" fillId="34" borderId="82"/>
    <xf numFmtId="0" fontId="29" fillId="25" borderId="0" applyNumberFormat="0" applyBorder="0" applyAlignment="0" applyProtection="0"/>
    <xf numFmtId="0" fontId="29" fillId="19" borderId="0" applyNumberFormat="0" applyBorder="0" applyAlignment="0" applyProtection="0"/>
    <xf numFmtId="174" fontId="37" fillId="61" borderId="82" applyNumberFormat="0" applyFont="0" applyBorder="0" applyAlignment="0" applyProtection="0">
      <alignment horizontal="right" vertical="center"/>
    </xf>
    <xf numFmtId="0" fontId="29" fillId="18" borderId="0" applyNumberFormat="0" applyBorder="0" applyAlignment="0" applyProtection="0"/>
    <xf numFmtId="0" fontId="37" fillId="35" borderId="72">
      <alignment horizontal="left" vertical="center" wrapText="1" indent="2"/>
    </xf>
    <xf numFmtId="0" fontId="29" fillId="27" borderId="0" applyNumberFormat="0" applyBorder="0" applyAlignment="0" applyProtection="0"/>
    <xf numFmtId="0" fontId="65" fillId="57" borderId="65" applyNumberFormat="0" applyAlignment="0" applyProtection="0"/>
    <xf numFmtId="0" fontId="61" fillId="44" borderId="66" applyNumberFormat="0" applyAlignment="0" applyProtection="0"/>
    <xf numFmtId="4" fontId="35" fillId="35" borderId="69">
      <alignment horizontal="right" vertical="center"/>
    </xf>
    <xf numFmtId="0" fontId="37" fillId="34" borderId="69"/>
    <xf numFmtId="0" fontId="13" fillId="17" borderId="0" applyNumberFormat="0" applyBorder="0" applyAlignment="0" applyProtection="0"/>
    <xf numFmtId="0" fontId="37" fillId="0" borderId="72">
      <alignment horizontal="left" vertical="center" wrapText="1" indent="2"/>
    </xf>
    <xf numFmtId="0" fontId="35" fillId="35" borderId="83">
      <alignment horizontal="right" vertical="center"/>
    </xf>
    <xf numFmtId="0" fontId="52" fillId="44" borderId="87" applyNumberFormat="0" applyAlignment="0" applyProtection="0"/>
    <xf numFmtId="0" fontId="13" fillId="26" borderId="0" applyNumberFormat="0" applyBorder="0" applyAlignment="0" applyProtection="0"/>
    <xf numFmtId="0" fontId="65" fillId="57" borderId="73" applyNumberFormat="0" applyAlignment="0" applyProtection="0"/>
    <xf numFmtId="0" fontId="48" fillId="57" borderId="66" applyNumberFormat="0" applyAlignment="0" applyProtection="0"/>
    <xf numFmtId="0" fontId="35" fillId="35" borderId="77">
      <alignment horizontal="right" vertical="center"/>
    </xf>
    <xf numFmtId="0" fontId="37" fillId="35" borderId="80">
      <alignment horizontal="left" vertical="center" wrapText="1" indent="2"/>
    </xf>
    <xf numFmtId="4" fontId="35" fillId="33" borderId="69">
      <alignment horizontal="right" vertical="center"/>
    </xf>
    <xf numFmtId="0" fontId="35" fillId="33" borderId="69">
      <alignment horizontal="right" vertical="center"/>
    </xf>
    <xf numFmtId="0" fontId="35" fillId="35" borderId="69">
      <alignment horizontal="right" vertical="center"/>
    </xf>
    <xf numFmtId="4" fontId="39" fillId="33" borderId="82">
      <alignment horizontal="right" vertical="center"/>
    </xf>
    <xf numFmtId="0" fontId="49" fillId="57" borderId="87" applyNumberFormat="0" applyAlignment="0" applyProtection="0"/>
    <xf numFmtId="0" fontId="29" fillId="31" borderId="0" applyNumberFormat="0" applyBorder="0" applyAlignment="0" applyProtection="0"/>
    <xf numFmtId="0" fontId="53" fillId="0" borderId="88" applyNumberFormat="0" applyFill="0" applyAlignment="0" applyProtection="0"/>
    <xf numFmtId="0" fontId="65" fillId="57" borderId="65" applyNumberFormat="0" applyAlignment="0" applyProtection="0"/>
    <xf numFmtId="0" fontId="37" fillId="0" borderId="82">
      <alignment horizontal="right" vertical="center"/>
    </xf>
    <xf numFmtId="49" fontId="37" fillId="0" borderId="69"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0" fontId="43" fillId="60" borderId="68" applyNumberFormat="0" applyFont="0" applyAlignment="0" applyProtection="0"/>
    <xf numFmtId="174" fontId="37" fillId="61" borderId="69" applyNumberFormat="0" applyFont="0" applyBorder="0" applyAlignment="0" applyProtection="0">
      <alignment horizontal="right" vertical="center"/>
    </xf>
    <xf numFmtId="0" fontId="61" fillId="44" borderId="66" applyNumberFormat="0" applyAlignment="0" applyProtection="0"/>
    <xf numFmtId="0" fontId="35" fillId="35" borderId="69">
      <alignment horizontal="right" vertical="center"/>
    </xf>
    <xf numFmtId="0" fontId="37" fillId="34" borderId="69"/>
    <xf numFmtId="0" fontId="65" fillId="57" borderId="65" applyNumberFormat="0" applyAlignment="0" applyProtection="0"/>
    <xf numFmtId="0" fontId="49" fillId="57" borderId="66" applyNumberFormat="0" applyAlignment="0" applyProtection="0"/>
    <xf numFmtId="0" fontId="48" fillId="57" borderId="66" applyNumberFormat="0" applyAlignment="0" applyProtection="0"/>
    <xf numFmtId="0" fontId="52" fillId="44" borderId="66" applyNumberFormat="0" applyAlignment="0" applyProtection="0"/>
    <xf numFmtId="0" fontId="52" fillId="44" borderId="66" applyNumberFormat="0" applyAlignment="0" applyProtection="0"/>
    <xf numFmtId="0" fontId="37" fillId="0" borderId="72">
      <alignment horizontal="left" vertical="center" wrapText="1" indent="2"/>
    </xf>
    <xf numFmtId="4" fontId="35" fillId="35" borderId="70">
      <alignment horizontal="right" vertical="center"/>
    </xf>
    <xf numFmtId="4" fontId="37" fillId="0" borderId="69">
      <alignment horizontal="right" vertical="center"/>
    </xf>
    <xf numFmtId="49" fontId="36" fillId="0" borderId="69" applyNumberFormat="0" applyFill="0" applyBorder="0" applyProtection="0">
      <alignment horizontal="left" vertical="center"/>
    </xf>
    <xf numFmtId="4" fontId="37" fillId="0" borderId="69">
      <alignment horizontal="right" vertical="center"/>
    </xf>
    <xf numFmtId="0" fontId="65" fillId="57" borderId="65" applyNumberFormat="0" applyAlignment="0" applyProtection="0"/>
    <xf numFmtId="0" fontId="48" fillId="57" borderId="87" applyNumberFormat="0" applyAlignment="0" applyProtection="0"/>
    <xf numFmtId="0" fontId="32" fillId="14" borderId="7" applyNumberFormat="0" applyAlignment="0" applyProtection="0"/>
    <xf numFmtId="0" fontId="61" fillId="44" borderId="87" applyNumberFormat="0" applyAlignment="0" applyProtection="0"/>
    <xf numFmtId="0" fontId="68" fillId="0" borderId="88" applyNumberFormat="0" applyFill="0" applyAlignment="0" applyProtection="0"/>
    <xf numFmtId="0" fontId="68" fillId="0" borderId="75" applyNumberFormat="0" applyFill="0" applyAlignment="0" applyProtection="0"/>
    <xf numFmtId="0" fontId="37" fillId="0" borderId="72">
      <alignment horizontal="left" vertical="center" wrapText="1" indent="2"/>
    </xf>
    <xf numFmtId="0" fontId="13" fillId="23" borderId="0" applyNumberFormat="0" applyBorder="0" applyAlignment="0" applyProtection="0"/>
    <xf numFmtId="0" fontId="37" fillId="0" borderId="85">
      <alignment horizontal="left" vertical="center" wrapText="1" indent="2"/>
    </xf>
    <xf numFmtId="49" fontId="36" fillId="0" borderId="82" applyNumberFormat="0" applyFill="0" applyBorder="0" applyProtection="0">
      <alignment horizontal="left" vertical="center"/>
    </xf>
    <xf numFmtId="0" fontId="35" fillId="35" borderId="82">
      <alignment horizontal="right" vertical="center"/>
    </xf>
    <xf numFmtId="0" fontId="65" fillId="57" borderId="86" applyNumberFormat="0" applyAlignment="0" applyProtection="0"/>
    <xf numFmtId="0" fontId="33" fillId="0" borderId="0" applyNumberFormat="0" applyFill="0" applyBorder="0" applyAlignment="0" applyProtection="0"/>
    <xf numFmtId="0" fontId="43" fillId="60" borderId="68" applyNumberFormat="0" applyFont="0" applyAlignment="0" applyProtection="0"/>
    <xf numFmtId="0" fontId="49" fillId="57" borderId="87" applyNumberFormat="0" applyAlignment="0" applyProtection="0"/>
    <xf numFmtId="0" fontId="35" fillId="33" borderId="69">
      <alignment horizontal="right" vertical="center"/>
    </xf>
    <xf numFmtId="0" fontId="13" fillId="20" borderId="0" applyNumberFormat="0" applyBorder="0" applyAlignment="0" applyProtection="0"/>
    <xf numFmtId="0" fontId="37" fillId="0" borderId="69" applyNumberFormat="0" applyFill="0" applyAlignment="0" applyProtection="0"/>
    <xf numFmtId="49" fontId="36" fillId="0" borderId="69" applyNumberFormat="0" applyFill="0" applyBorder="0" applyProtection="0">
      <alignment horizontal="left" vertical="center"/>
    </xf>
    <xf numFmtId="0" fontId="37" fillId="0" borderId="69">
      <alignment horizontal="right" vertical="center"/>
    </xf>
    <xf numFmtId="0" fontId="35" fillId="35" borderId="79">
      <alignment horizontal="right" vertical="center"/>
    </xf>
    <xf numFmtId="0" fontId="68" fillId="0" borderId="88" applyNumberFormat="0" applyFill="0" applyAlignment="0" applyProtection="0"/>
    <xf numFmtId="4" fontId="35" fillId="33" borderId="69">
      <alignment horizontal="right" vertical="center"/>
    </xf>
    <xf numFmtId="0" fontId="1" fillId="0" borderId="0" applyNumberFormat="0" applyFill="0" applyBorder="0" applyAlignment="0" applyProtection="0"/>
    <xf numFmtId="0" fontId="49" fillId="57" borderId="66" applyNumberFormat="0" applyAlignment="0" applyProtection="0"/>
    <xf numFmtId="0" fontId="35" fillId="35" borderId="71">
      <alignment horizontal="right" vertical="center"/>
    </xf>
    <xf numFmtId="4" fontId="35" fillId="33" borderId="69">
      <alignment horizontal="right" vertical="center"/>
    </xf>
    <xf numFmtId="0" fontId="35" fillId="35" borderId="69">
      <alignment horizontal="right" vertical="center"/>
    </xf>
    <xf numFmtId="0" fontId="49" fillId="57" borderId="66" applyNumberFormat="0" applyAlignment="0" applyProtection="0"/>
    <xf numFmtId="0" fontId="61" fillId="44" borderId="87" applyNumberFormat="0" applyAlignment="0" applyProtection="0"/>
    <xf numFmtId="0" fontId="31" fillId="14" borderId="8" applyNumberFormat="0" applyAlignment="0" applyProtection="0"/>
    <xf numFmtId="4" fontId="37" fillId="0" borderId="69" applyFill="0" applyBorder="0" applyProtection="0">
      <alignment horizontal="right" vertical="center"/>
    </xf>
    <xf numFmtId="0" fontId="43" fillId="60" borderId="68" applyNumberFormat="0" applyFont="0" applyAlignment="0" applyProtection="0"/>
    <xf numFmtId="0" fontId="2" fillId="0" borderId="9" applyNumberFormat="0" applyFill="0" applyAlignment="0" applyProtection="0"/>
    <xf numFmtId="0" fontId="37" fillId="0" borderId="85">
      <alignment horizontal="left" vertical="center" wrapText="1" indent="2"/>
    </xf>
    <xf numFmtId="0" fontId="13" fillId="17" borderId="0" applyNumberFormat="0" applyBorder="0" applyAlignment="0" applyProtection="0"/>
    <xf numFmtId="0" fontId="61" fillId="44" borderId="87" applyNumberFormat="0" applyAlignment="0" applyProtection="0"/>
    <xf numFmtId="0" fontId="35" fillId="33" borderId="69">
      <alignment horizontal="right" vertical="center"/>
    </xf>
    <xf numFmtId="0" fontId="53" fillId="0" borderId="67" applyNumberFormat="0" applyFill="0" applyAlignment="0" applyProtection="0"/>
    <xf numFmtId="0" fontId="37" fillId="0" borderId="69" applyNumberFormat="0" applyFill="0" applyAlignment="0" applyProtection="0"/>
    <xf numFmtId="0" fontId="53" fillId="0" borderId="67" applyNumberFormat="0" applyFill="0" applyAlignment="0" applyProtection="0"/>
    <xf numFmtId="4" fontId="37" fillId="0" borderId="69" applyFill="0" applyBorder="0" applyProtection="0">
      <alignment horizontal="right" vertical="center"/>
    </xf>
    <xf numFmtId="49" fontId="37" fillId="0" borderId="70" applyNumberFormat="0" applyFont="0" applyFill="0" applyBorder="0" applyProtection="0">
      <alignment horizontal="left" vertical="center" indent="5"/>
    </xf>
    <xf numFmtId="0" fontId="37" fillId="0" borderId="69" applyNumberFormat="0" applyFill="0" applyAlignment="0" applyProtection="0"/>
    <xf numFmtId="0" fontId="49" fillId="57" borderId="74" applyNumberFormat="0" applyAlignment="0" applyProtection="0"/>
    <xf numFmtId="0" fontId="37" fillId="0" borderId="69" applyNumberFormat="0" applyFill="0" applyAlignment="0" applyProtection="0"/>
    <xf numFmtId="4" fontId="35" fillId="35" borderId="69">
      <alignment horizontal="right" vertical="center"/>
    </xf>
    <xf numFmtId="0" fontId="13" fillId="20" borderId="0" applyNumberFormat="0" applyBorder="0" applyAlignment="0" applyProtection="0"/>
    <xf numFmtId="0" fontId="52" fillId="44" borderId="66" applyNumberFormat="0" applyAlignment="0" applyProtection="0"/>
    <xf numFmtId="0" fontId="49" fillId="57" borderId="66" applyNumberFormat="0" applyAlignment="0" applyProtection="0"/>
    <xf numFmtId="4" fontId="37" fillId="0" borderId="69">
      <alignment horizontal="right" vertical="center"/>
    </xf>
    <xf numFmtId="0" fontId="37" fillId="35" borderId="72">
      <alignment horizontal="left" vertical="center" wrapText="1" indent="2"/>
    </xf>
    <xf numFmtId="0" fontId="37" fillId="0" borderId="72">
      <alignment horizontal="left" vertical="center" wrapText="1" indent="2"/>
    </xf>
    <xf numFmtId="0" fontId="65" fillId="57" borderId="65" applyNumberFormat="0" applyAlignment="0" applyProtection="0"/>
    <xf numFmtId="0" fontId="61" fillId="44" borderId="66" applyNumberFormat="0" applyAlignment="0" applyProtection="0"/>
    <xf numFmtId="0" fontId="48" fillId="57" borderId="66" applyNumberFormat="0" applyAlignment="0" applyProtection="0"/>
    <xf numFmtId="0" fontId="46" fillId="57" borderId="65" applyNumberFormat="0" applyAlignment="0" applyProtection="0"/>
    <xf numFmtId="0" fontId="35" fillId="35" borderId="71">
      <alignment horizontal="right" vertical="center"/>
    </xf>
    <xf numFmtId="0" fontId="39" fillId="33" borderId="69">
      <alignment horizontal="right" vertical="center"/>
    </xf>
    <xf numFmtId="4" fontId="35" fillId="33" borderId="69">
      <alignment horizontal="right" vertical="center"/>
    </xf>
    <xf numFmtId="4" fontId="35" fillId="35" borderId="69">
      <alignment horizontal="right" vertical="center"/>
    </xf>
    <xf numFmtId="49" fontId="37" fillId="0" borderId="70" applyNumberFormat="0" applyFont="0" applyFill="0" applyBorder="0" applyProtection="0">
      <alignment horizontal="left" vertical="center" indent="5"/>
    </xf>
    <xf numFmtId="4" fontId="37" fillId="0" borderId="69" applyFill="0" applyBorder="0" applyProtection="0">
      <alignment horizontal="right" vertical="center"/>
    </xf>
    <xf numFmtId="4" fontId="35" fillId="33" borderId="69">
      <alignment horizontal="right" vertical="center"/>
    </xf>
    <xf numFmtId="0" fontId="61" fillId="44" borderId="66" applyNumberFormat="0" applyAlignment="0" applyProtection="0"/>
    <xf numFmtId="0" fontId="52" fillId="44" borderId="66" applyNumberFormat="0" applyAlignment="0" applyProtection="0"/>
    <xf numFmtId="0" fontId="48" fillId="57" borderId="66" applyNumberFormat="0" applyAlignment="0" applyProtection="0"/>
    <xf numFmtId="0" fontId="37" fillId="35" borderId="72">
      <alignment horizontal="left" vertical="center" wrapText="1" indent="2"/>
    </xf>
    <xf numFmtId="0" fontId="37" fillId="0" borderId="72">
      <alignment horizontal="left" vertical="center" wrapText="1" indent="2"/>
    </xf>
    <xf numFmtId="0" fontId="37" fillId="35" borderId="72">
      <alignment horizontal="left" vertical="center" wrapText="1" indent="2"/>
    </xf>
    <xf numFmtId="0" fontId="35" fillId="33" borderId="77">
      <alignment horizontal="right" vertical="center"/>
    </xf>
    <xf numFmtId="4" fontId="35" fillId="35" borderId="84">
      <alignment horizontal="right" vertical="center"/>
    </xf>
    <xf numFmtId="0" fontId="13" fillId="17" borderId="0" applyNumberFormat="0" applyBorder="0" applyAlignment="0" applyProtection="0"/>
    <xf numFmtId="0" fontId="43" fillId="60" borderId="81" applyNumberFormat="0" applyFont="0" applyAlignment="0" applyProtection="0"/>
    <xf numFmtId="0" fontId="35" fillId="35" borderId="82">
      <alignment horizontal="right" vertical="center"/>
    </xf>
    <xf numFmtId="0" fontId="13" fillId="32" borderId="0" applyNumberFormat="0" applyBorder="0" applyAlignment="0" applyProtection="0"/>
    <xf numFmtId="0" fontId="29" fillId="28" borderId="0" applyNumberFormat="0" applyBorder="0" applyAlignment="0" applyProtection="0"/>
    <xf numFmtId="4" fontId="35" fillId="35" borderId="84">
      <alignment horizontal="right" vertical="center"/>
    </xf>
    <xf numFmtId="0" fontId="5" fillId="60" borderId="81" applyNumberFormat="0" applyFont="0" applyAlignment="0" applyProtection="0"/>
    <xf numFmtId="4" fontId="37" fillId="0" borderId="82">
      <alignment horizontal="right" vertical="center"/>
    </xf>
    <xf numFmtId="0" fontId="39" fillId="33" borderId="82">
      <alignment horizontal="right" vertical="center"/>
    </xf>
    <xf numFmtId="0" fontId="52" fillId="44" borderId="87" applyNumberFormat="0" applyAlignment="0" applyProtection="0"/>
    <xf numFmtId="4" fontId="35" fillId="35" borderId="84">
      <alignment horizontal="right" vertical="center"/>
    </xf>
    <xf numFmtId="0" fontId="37" fillId="35" borderId="85">
      <alignment horizontal="left" vertical="center" wrapText="1" indent="2"/>
    </xf>
    <xf numFmtId="0" fontId="49" fillId="57" borderId="87" applyNumberFormat="0" applyAlignment="0" applyProtection="0"/>
    <xf numFmtId="0" fontId="53" fillId="0" borderId="88" applyNumberFormat="0" applyFill="0" applyAlignment="0" applyProtection="0"/>
    <xf numFmtId="0" fontId="37" fillId="0" borderId="85">
      <alignment horizontal="left" vertical="center" wrapText="1" indent="2"/>
    </xf>
    <xf numFmtId="0" fontId="43" fillId="60" borderId="81" applyNumberFormat="0" applyFont="0" applyAlignment="0" applyProtection="0"/>
    <xf numFmtId="4" fontId="35" fillId="33" borderId="82">
      <alignment horizontal="right" vertical="center"/>
    </xf>
    <xf numFmtId="0" fontId="32" fillId="14" borderId="7" applyNumberFormat="0" applyAlignment="0" applyProtection="0"/>
    <xf numFmtId="0" fontId="13" fillId="20" borderId="0" applyNumberFormat="0" applyBorder="0" applyAlignment="0" applyProtection="0"/>
    <xf numFmtId="0" fontId="13" fillId="32" borderId="0" applyNumberFormat="0" applyBorder="0" applyAlignment="0" applyProtection="0"/>
    <xf numFmtId="0" fontId="29" fillId="15" borderId="0" applyNumberFormat="0" applyBorder="0" applyAlignment="0" applyProtection="0"/>
    <xf numFmtId="0" fontId="35" fillId="33" borderId="82">
      <alignment horizontal="right" vertical="center"/>
    </xf>
    <xf numFmtId="0" fontId="46" fillId="57" borderId="86" applyNumberFormat="0" applyAlignment="0" applyProtection="0"/>
    <xf numFmtId="0" fontId="52" fillId="44" borderId="87" applyNumberFormat="0" applyAlignment="0" applyProtection="0"/>
    <xf numFmtId="0" fontId="13" fillId="26"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23" borderId="0" applyNumberFormat="0" applyBorder="0" applyAlignment="0" applyProtection="0"/>
    <xf numFmtId="0" fontId="29" fillId="21" borderId="0" applyNumberFormat="0" applyBorder="0" applyAlignment="0" applyProtection="0"/>
    <xf numFmtId="0" fontId="29" fillId="15" borderId="0" applyNumberFormat="0" applyBorder="0" applyAlignment="0" applyProtection="0"/>
    <xf numFmtId="0" fontId="31" fillId="14" borderId="8" applyNumberFormat="0" applyAlignment="0" applyProtection="0"/>
    <xf numFmtId="0" fontId="53" fillId="0" borderId="88" applyNumberFormat="0" applyFill="0" applyAlignment="0" applyProtection="0"/>
    <xf numFmtId="4" fontId="35" fillId="35" borderId="82">
      <alignment horizontal="right" vertical="center"/>
    </xf>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37" fillId="0" borderId="80">
      <alignment horizontal="left" vertical="center" wrapText="1" indent="2"/>
    </xf>
    <xf numFmtId="0" fontId="46" fillId="57" borderId="73" applyNumberFormat="0" applyAlignment="0" applyProtection="0"/>
    <xf numFmtId="0" fontId="48" fillId="57" borderId="74" applyNumberFormat="0" applyAlignment="0" applyProtection="0"/>
    <xf numFmtId="0" fontId="49" fillId="57" borderId="74" applyNumberFormat="0" applyAlignment="0" applyProtection="0"/>
    <xf numFmtId="0" fontId="52" fillId="44" borderId="74" applyNumberFormat="0" applyAlignment="0" applyProtection="0"/>
    <xf numFmtId="0" fontId="53" fillId="0" borderId="75" applyNumberFormat="0" applyFill="0" applyAlignment="0" applyProtection="0"/>
    <xf numFmtId="0" fontId="61" fillId="44" borderId="74" applyNumberFormat="0" applyAlignment="0" applyProtection="0"/>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49" fillId="57"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5" fillId="33" borderId="82">
      <alignment horizontal="right" vertical="center"/>
    </xf>
    <xf numFmtId="0" fontId="43" fillId="60" borderId="81" applyNumberFormat="0" applyFont="0" applyAlignment="0" applyProtection="0"/>
    <xf numFmtId="0" fontId="49" fillId="57" borderId="87" applyNumberFormat="0" applyAlignment="0" applyProtection="0"/>
    <xf numFmtId="0" fontId="35" fillId="35" borderId="82">
      <alignment horizontal="right" vertical="center"/>
    </xf>
    <xf numFmtId="0" fontId="49" fillId="57" borderId="74" applyNumberFormat="0" applyAlignment="0" applyProtection="0"/>
    <xf numFmtId="4" fontId="37" fillId="0" borderId="82">
      <alignment horizontal="right" vertical="center"/>
    </xf>
    <xf numFmtId="0" fontId="61" fillId="44" borderId="74" applyNumberFormat="0" applyAlignment="0" applyProtection="0"/>
    <xf numFmtId="0" fontId="65" fillId="57" borderId="73" applyNumberFormat="0" applyAlignment="0" applyProtection="0"/>
    <xf numFmtId="0" fontId="68" fillId="0" borderId="75" applyNumberFormat="0" applyFill="0" applyAlignment="0" applyProtection="0"/>
    <xf numFmtId="49" fontId="36" fillId="0" borderId="82" applyNumberFormat="0" applyFill="0" applyBorder="0" applyProtection="0">
      <alignment horizontal="lef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52" fillId="44" borderId="74" applyNumberFormat="0" applyAlignment="0" applyProtection="0"/>
    <xf numFmtId="0" fontId="37" fillId="0" borderId="77">
      <alignment horizontal="right" vertical="center"/>
    </xf>
    <xf numFmtId="4" fontId="37" fillId="0" borderId="77">
      <alignment horizontal="right" vertical="center"/>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77" applyNumberFormat="0" applyFill="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4" fontId="35" fillId="35" borderId="77">
      <alignment horizontal="right" vertical="center"/>
    </xf>
    <xf numFmtId="0" fontId="37" fillId="34" borderId="77"/>
    <xf numFmtId="0" fontId="48" fillId="57" borderId="74" applyNumberFormat="0" applyAlignment="0" applyProtection="0"/>
    <xf numFmtId="0" fontId="35" fillId="33" borderId="77">
      <alignment horizontal="right" vertical="center"/>
    </xf>
    <xf numFmtId="0" fontId="37" fillId="0" borderId="77">
      <alignment horizontal="right" vertical="center"/>
    </xf>
    <xf numFmtId="0" fontId="68" fillId="0" borderId="75" applyNumberFormat="0" applyFill="0" applyAlignment="0" applyProtection="0"/>
    <xf numFmtId="0" fontId="37" fillId="33" borderId="78">
      <alignment horizontal="left" vertical="center"/>
    </xf>
    <xf numFmtId="0" fontId="61" fillId="44" borderId="74" applyNumberFormat="0" applyAlignment="0" applyProtection="0"/>
    <xf numFmtId="174" fontId="37" fillId="61" borderId="77" applyNumberFormat="0" applyFont="0" applyBorder="0" applyAlignment="0" applyProtection="0">
      <alignment horizontal="right" vertical="center"/>
    </xf>
    <xf numFmtId="0" fontId="43" fillId="60" borderId="76" applyNumberFormat="0" applyFont="0" applyAlignment="0" applyProtection="0"/>
    <xf numFmtId="0" fontId="37" fillId="0" borderId="80">
      <alignment horizontal="left" vertical="center" wrapText="1" indent="2"/>
    </xf>
    <xf numFmtId="4" fontId="37" fillId="34" borderId="77"/>
    <xf numFmtId="49" fontId="36" fillId="0" borderId="77" applyNumberFormat="0" applyFill="0" applyBorder="0" applyProtection="0">
      <alignment horizontal="left" vertical="center"/>
    </xf>
    <xf numFmtId="0" fontId="37" fillId="0" borderId="77">
      <alignment horizontal="right" vertical="center"/>
    </xf>
    <xf numFmtId="4" fontId="35" fillId="35" borderId="79">
      <alignment horizontal="right" vertical="center"/>
    </xf>
    <xf numFmtId="4" fontId="35" fillId="35" borderId="77">
      <alignment horizontal="right" vertical="center"/>
    </xf>
    <xf numFmtId="4" fontId="35" fillId="35" borderId="77">
      <alignment horizontal="right" vertical="center"/>
    </xf>
    <xf numFmtId="0" fontId="39" fillId="33" borderId="77">
      <alignment horizontal="right" vertical="center"/>
    </xf>
    <xf numFmtId="0" fontId="35" fillId="33" borderId="77">
      <alignment horizontal="right" vertical="center"/>
    </xf>
    <xf numFmtId="49" fontId="37" fillId="0" borderId="77" applyNumberFormat="0" applyFont="0" applyFill="0" applyBorder="0" applyProtection="0">
      <alignment horizontal="left" vertical="center" indent="2"/>
    </xf>
    <xf numFmtId="0" fontId="61" fillId="44" borderId="74" applyNumberFormat="0" applyAlignment="0" applyProtection="0"/>
    <xf numFmtId="0" fontId="46" fillId="57" borderId="73" applyNumberFormat="0" applyAlignment="0" applyProtection="0"/>
    <xf numFmtId="49" fontId="37" fillId="0" borderId="77" applyNumberFormat="0" applyFont="0" applyFill="0" applyBorder="0" applyProtection="0">
      <alignment horizontal="left" vertical="center" indent="2"/>
    </xf>
    <xf numFmtId="0" fontId="52" fillId="44" borderId="74" applyNumberFormat="0" applyAlignment="0" applyProtection="0"/>
    <xf numFmtId="4" fontId="37" fillId="0" borderId="77" applyFill="0" applyBorder="0" applyProtection="0">
      <alignment horizontal="right" vertical="center"/>
    </xf>
    <xf numFmtId="0" fontId="49" fillId="57" borderId="74" applyNumberFormat="0" applyAlignment="0" applyProtection="0"/>
    <xf numFmtId="0" fontId="68" fillId="0" borderId="75" applyNumberFormat="0" applyFill="0" applyAlignment="0" applyProtection="0"/>
    <xf numFmtId="0" fontId="65" fillId="57" borderId="73" applyNumberFormat="0" applyAlignment="0" applyProtection="0"/>
    <xf numFmtId="0" fontId="37" fillId="0" borderId="77" applyNumberFormat="0" applyFill="0" applyAlignment="0" applyProtection="0"/>
    <xf numFmtId="4" fontId="37" fillId="0" borderId="77">
      <alignment horizontal="right" vertical="center"/>
    </xf>
    <xf numFmtId="0" fontId="37" fillId="0" borderId="77">
      <alignment horizontal="right" vertical="center"/>
    </xf>
    <xf numFmtId="0" fontId="61" fillId="44" borderId="74" applyNumberFormat="0" applyAlignment="0" applyProtection="0"/>
    <xf numFmtId="0" fontId="46" fillId="57" borderId="73" applyNumberFormat="0" applyAlignment="0" applyProtection="0"/>
    <xf numFmtId="0" fontId="48" fillId="57" borderId="74" applyNumberFormat="0" applyAlignment="0" applyProtection="0"/>
    <xf numFmtId="0" fontId="37" fillId="35" borderId="80">
      <alignment horizontal="left" vertical="center" wrapText="1" indent="2"/>
    </xf>
    <xf numFmtId="0" fontId="49" fillId="57" borderId="74" applyNumberFormat="0" applyAlignment="0" applyProtection="0"/>
    <xf numFmtId="0" fontId="49" fillId="57" borderId="74" applyNumberFormat="0" applyAlignment="0" applyProtection="0"/>
    <xf numFmtId="4" fontId="35" fillId="35" borderId="78">
      <alignment horizontal="right" vertical="center"/>
    </xf>
    <xf numFmtId="0" fontId="35" fillId="35" borderId="78">
      <alignment horizontal="right" vertical="center"/>
    </xf>
    <xf numFmtId="0" fontId="35" fillId="35" borderId="77">
      <alignment horizontal="right" vertical="center"/>
    </xf>
    <xf numFmtId="4" fontId="39" fillId="33" borderId="77">
      <alignment horizontal="right" vertical="center"/>
    </xf>
    <xf numFmtId="0" fontId="52" fillId="44" borderId="74" applyNumberFormat="0" applyAlignment="0" applyProtection="0"/>
    <xf numFmtId="0" fontId="53" fillId="0" borderId="75" applyNumberFormat="0" applyFill="0" applyAlignment="0" applyProtection="0"/>
    <xf numFmtId="0" fontId="68" fillId="0" borderId="75" applyNumberFormat="0" applyFill="0" applyAlignment="0" applyProtection="0"/>
    <xf numFmtId="0" fontId="43" fillId="60" borderId="76" applyNumberFormat="0" applyFont="0" applyAlignment="0" applyProtection="0"/>
    <xf numFmtId="0" fontId="61" fillId="44" borderId="74" applyNumberFormat="0" applyAlignment="0" applyProtection="0"/>
    <xf numFmtId="49" fontId="36" fillId="0" borderId="77" applyNumberFormat="0" applyFill="0" applyBorder="0" applyProtection="0">
      <alignment horizontal="left" vertical="center"/>
    </xf>
    <xf numFmtId="0" fontId="37" fillId="35" borderId="80">
      <alignment horizontal="left" vertical="center" wrapText="1" indent="2"/>
    </xf>
    <xf numFmtId="0" fontId="49" fillId="57" borderId="74" applyNumberFormat="0" applyAlignment="0" applyProtection="0"/>
    <xf numFmtId="0" fontId="37" fillId="0" borderId="80">
      <alignment horizontal="left" vertical="center" wrapText="1" indent="2"/>
    </xf>
    <xf numFmtId="0" fontId="43" fillId="60" borderId="76" applyNumberFormat="0" applyFont="0" applyAlignment="0" applyProtection="0"/>
    <xf numFmtId="0" fontId="5"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4" fontId="37" fillId="34" borderId="77"/>
    <xf numFmtId="0" fontId="35" fillId="35" borderId="77">
      <alignment horizontal="right" vertical="center"/>
    </xf>
    <xf numFmtId="0" fontId="68" fillId="0" borderId="75" applyNumberFormat="0" applyFill="0" applyAlignment="0" applyProtection="0"/>
    <xf numFmtId="4" fontId="35" fillId="35" borderId="79">
      <alignment horizontal="right" vertical="center"/>
    </xf>
    <xf numFmtId="0" fontId="48" fillId="57" borderId="74" applyNumberFormat="0" applyAlignment="0" applyProtection="0"/>
    <xf numFmtId="0" fontId="35" fillId="35" borderId="78">
      <alignment horizontal="right" vertical="center"/>
    </xf>
    <xf numFmtId="0" fontId="49" fillId="57" borderId="74" applyNumberFormat="0" applyAlignment="0" applyProtection="0"/>
    <xf numFmtId="0" fontId="53" fillId="0" borderId="75" applyNumberFormat="0" applyFill="0" applyAlignment="0" applyProtection="0"/>
    <xf numFmtId="0" fontId="43" fillId="60" borderId="76" applyNumberFormat="0" applyFont="0" applyAlignment="0" applyProtection="0"/>
    <xf numFmtId="4" fontId="35" fillId="35" borderId="78">
      <alignment horizontal="right" vertical="center"/>
    </xf>
    <xf numFmtId="0" fontId="37" fillId="35" borderId="80">
      <alignment horizontal="left" vertical="center" wrapText="1" indent="2"/>
    </xf>
    <xf numFmtId="0" fontId="37" fillId="34" borderId="77"/>
    <xf numFmtId="174" fontId="37" fillId="61" borderId="77" applyNumberFormat="0" applyFont="0" applyBorder="0" applyAlignment="0" applyProtection="0">
      <alignment horizontal="right" vertical="center"/>
    </xf>
    <xf numFmtId="0" fontId="37" fillId="0" borderId="77" applyNumberFormat="0" applyFill="0" applyAlignment="0" applyProtection="0"/>
    <xf numFmtId="4" fontId="37" fillId="0" borderId="77" applyFill="0" applyBorder="0" applyProtection="0">
      <alignment horizontal="right" vertical="center"/>
    </xf>
    <xf numFmtId="4" fontId="35" fillId="33" borderId="77">
      <alignment horizontal="right" vertical="center"/>
    </xf>
    <xf numFmtId="0" fontId="53" fillId="0" borderId="75" applyNumberFormat="0" applyFill="0" applyAlignment="0" applyProtection="0"/>
    <xf numFmtId="49" fontId="36" fillId="0" borderId="77" applyNumberFormat="0" applyFill="0" applyBorder="0" applyProtection="0">
      <alignment horizontal="left" vertical="center"/>
    </xf>
    <xf numFmtId="49" fontId="37" fillId="0" borderId="78" applyNumberFormat="0" applyFont="0" applyFill="0" applyBorder="0" applyProtection="0">
      <alignment horizontal="left" vertical="center" indent="5"/>
    </xf>
    <xf numFmtId="0" fontId="37" fillId="33" borderId="78">
      <alignment horizontal="left" vertical="center"/>
    </xf>
    <xf numFmtId="0" fontId="49" fillId="57" borderId="74" applyNumberFormat="0" applyAlignment="0" applyProtection="0"/>
    <xf numFmtId="4" fontId="35" fillId="35" borderId="79">
      <alignment horizontal="right" vertical="center"/>
    </xf>
    <xf numFmtId="0" fontId="61" fillId="44" borderId="74" applyNumberFormat="0" applyAlignment="0" applyProtection="0"/>
    <xf numFmtId="0" fontId="61" fillId="44" borderId="74" applyNumberFormat="0" applyAlignment="0" applyProtection="0"/>
    <xf numFmtId="0" fontId="43" fillId="60" borderId="76" applyNumberFormat="0" applyFont="0" applyAlignment="0" applyProtection="0"/>
    <xf numFmtId="0" fontId="65" fillId="57" borderId="73" applyNumberFormat="0" applyAlignment="0" applyProtection="0"/>
    <xf numFmtId="0" fontId="68" fillId="0" borderId="75" applyNumberFormat="0" applyFill="0" applyAlignment="0" applyProtection="0"/>
    <xf numFmtId="0" fontId="35" fillId="35" borderId="77">
      <alignment horizontal="right" vertical="center"/>
    </xf>
    <xf numFmtId="0" fontId="5" fillId="60" borderId="76" applyNumberFormat="0" applyFont="0" applyAlignment="0" applyProtection="0"/>
    <xf numFmtId="4" fontId="37" fillId="0" borderId="77">
      <alignment horizontal="right" vertical="center"/>
    </xf>
    <xf numFmtId="0" fontId="68" fillId="0" borderId="75" applyNumberFormat="0" applyFill="0" applyAlignment="0" applyProtection="0"/>
    <xf numFmtId="0" fontId="35" fillId="35" borderId="77">
      <alignment horizontal="right" vertical="center"/>
    </xf>
    <xf numFmtId="0" fontId="35" fillId="35" borderId="77">
      <alignment horizontal="right" vertical="center"/>
    </xf>
    <xf numFmtId="4" fontId="39" fillId="33" borderId="77">
      <alignment horizontal="right" vertical="center"/>
    </xf>
    <xf numFmtId="0" fontId="35" fillId="33" borderId="77">
      <alignment horizontal="right" vertical="center"/>
    </xf>
    <xf numFmtId="4" fontId="35" fillId="33" borderId="77">
      <alignment horizontal="right" vertical="center"/>
    </xf>
    <xf numFmtId="0" fontId="39" fillId="33" borderId="77">
      <alignment horizontal="right" vertical="center"/>
    </xf>
    <xf numFmtId="4" fontId="39" fillId="33" borderId="77">
      <alignment horizontal="right" vertical="center"/>
    </xf>
    <xf numFmtId="0" fontId="35" fillId="35" borderId="77">
      <alignment horizontal="right" vertical="center"/>
    </xf>
    <xf numFmtId="4" fontId="35" fillId="35" borderId="77">
      <alignment horizontal="right" vertical="center"/>
    </xf>
    <xf numFmtId="0" fontId="35" fillId="35" borderId="77">
      <alignment horizontal="right" vertical="center"/>
    </xf>
    <xf numFmtId="4" fontId="35" fillId="35" borderId="77">
      <alignment horizontal="right" vertical="center"/>
    </xf>
    <xf numFmtId="0" fontId="35" fillId="35" borderId="78">
      <alignment horizontal="right" vertical="center"/>
    </xf>
    <xf numFmtId="4" fontId="35" fillId="35" borderId="78">
      <alignment horizontal="right" vertical="center"/>
    </xf>
    <xf numFmtId="0" fontId="35" fillId="35" borderId="79">
      <alignment horizontal="right" vertical="center"/>
    </xf>
    <xf numFmtId="4" fontId="35" fillId="35" borderId="79">
      <alignment horizontal="right" vertical="center"/>
    </xf>
    <xf numFmtId="0" fontId="49"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3" borderId="78">
      <alignment horizontal="left" vertical="center"/>
    </xf>
    <xf numFmtId="0" fontId="61" fillId="44" borderId="74" applyNumberFormat="0" applyAlignment="0" applyProtection="0"/>
    <xf numFmtId="0" fontId="37" fillId="0" borderId="77">
      <alignment horizontal="right" vertical="center"/>
    </xf>
    <xf numFmtId="4" fontId="37" fillId="0" borderId="77">
      <alignment horizontal="right" vertical="center"/>
    </xf>
    <xf numFmtId="0" fontId="37" fillId="0" borderId="77" applyNumberFormat="0" applyFill="0" applyAlignment="0" applyProtection="0"/>
    <xf numFmtId="0" fontId="65" fillId="57" borderId="73" applyNumberFormat="0" applyAlignment="0" applyProtection="0"/>
    <xf numFmtId="174" fontId="37" fillId="61" borderId="77" applyNumberFormat="0" applyFont="0" applyBorder="0" applyAlignment="0" applyProtection="0">
      <alignment horizontal="right" vertical="center"/>
    </xf>
    <xf numFmtId="0" fontId="37" fillId="34" borderId="77"/>
    <xf numFmtId="4" fontId="37" fillId="34" borderId="77"/>
    <xf numFmtId="0" fontId="68" fillId="0" borderId="75" applyNumberFormat="0" applyFill="0" applyAlignment="0" applyProtection="0"/>
    <xf numFmtId="0" fontId="5" fillId="60" borderId="76" applyNumberFormat="0" applyFont="0" applyAlignment="0" applyProtection="0"/>
    <xf numFmtId="0" fontId="43" fillId="60" borderId="76" applyNumberFormat="0" applyFont="0" applyAlignment="0" applyProtection="0"/>
    <xf numFmtId="0" fontId="37" fillId="0" borderId="77" applyNumberFormat="0" applyFill="0" applyAlignment="0" applyProtection="0"/>
    <xf numFmtId="0" fontId="53" fillId="0" borderId="75" applyNumberFormat="0" applyFill="0" applyAlignment="0" applyProtection="0"/>
    <xf numFmtId="0" fontId="68" fillId="0" borderId="75" applyNumberFormat="0" applyFill="0" applyAlignment="0" applyProtection="0"/>
    <xf numFmtId="0" fontId="52" fillId="44" borderId="74" applyNumberFormat="0" applyAlignment="0" applyProtection="0"/>
    <xf numFmtId="0" fontId="49" fillId="57" borderId="74" applyNumberFormat="0" applyAlignment="0" applyProtection="0"/>
    <xf numFmtId="4" fontId="39" fillId="33" borderId="77">
      <alignment horizontal="right" vertical="center"/>
    </xf>
    <xf numFmtId="0" fontId="35" fillId="33" borderId="77">
      <alignment horizontal="right" vertical="center"/>
    </xf>
    <xf numFmtId="174" fontId="37" fillId="61" borderId="77" applyNumberFormat="0" applyFont="0" applyBorder="0" applyAlignment="0" applyProtection="0">
      <alignment horizontal="right" vertical="center"/>
    </xf>
    <xf numFmtId="0" fontId="53" fillId="0" borderId="75" applyNumberFormat="0" applyFill="0" applyAlignment="0" applyProtection="0"/>
    <xf numFmtId="49" fontId="37" fillId="0" borderId="77" applyNumberFormat="0" applyFont="0" applyFill="0" applyBorder="0" applyProtection="0">
      <alignment horizontal="left" vertical="center" indent="2"/>
    </xf>
    <xf numFmtId="49" fontId="37" fillId="0" borderId="78" applyNumberFormat="0" applyFont="0" applyFill="0" applyBorder="0" applyProtection="0">
      <alignment horizontal="left" vertical="center" indent="5"/>
    </xf>
    <xf numFmtId="49" fontId="37" fillId="0" borderId="77" applyNumberFormat="0" applyFont="0" applyFill="0" applyBorder="0" applyProtection="0">
      <alignment horizontal="left" vertical="center" indent="2"/>
    </xf>
    <xf numFmtId="4" fontId="37" fillId="0" borderId="77" applyFill="0" applyBorder="0" applyProtection="0">
      <alignment horizontal="right" vertical="center"/>
    </xf>
    <xf numFmtId="49" fontId="36" fillId="0" borderId="77" applyNumberFormat="0" applyFill="0" applyBorder="0" applyProtection="0">
      <alignment horizontal="left" vertical="center"/>
    </xf>
    <xf numFmtId="0" fontId="37" fillId="0" borderId="80">
      <alignment horizontal="left" vertical="center" wrapText="1" indent="2"/>
    </xf>
    <xf numFmtId="0" fontId="65" fillId="57" borderId="73" applyNumberFormat="0" applyAlignment="0" applyProtection="0"/>
    <xf numFmtId="0" fontId="35" fillId="35" borderId="79">
      <alignment horizontal="right" vertical="center"/>
    </xf>
    <xf numFmtId="0" fontId="52" fillId="44" borderId="74" applyNumberFormat="0" applyAlignment="0" applyProtection="0"/>
    <xf numFmtId="0" fontId="35" fillId="35" borderId="79">
      <alignment horizontal="right" vertical="center"/>
    </xf>
    <xf numFmtId="4" fontId="35" fillId="35" borderId="77">
      <alignment horizontal="right" vertical="center"/>
    </xf>
    <xf numFmtId="0" fontId="35" fillId="35" borderId="77">
      <alignment horizontal="right" vertical="center"/>
    </xf>
    <xf numFmtId="0" fontId="46" fillId="57" borderId="73" applyNumberFormat="0" applyAlignment="0" applyProtection="0"/>
    <xf numFmtId="0" fontId="48" fillId="57" borderId="74" applyNumberFormat="0" applyAlignment="0" applyProtection="0"/>
    <xf numFmtId="0" fontId="53" fillId="0" borderId="75" applyNumberFormat="0" applyFill="0" applyAlignment="0" applyProtection="0"/>
    <xf numFmtId="0" fontId="37" fillId="34" borderId="77"/>
    <xf numFmtId="4" fontId="37" fillId="34" borderId="77"/>
    <xf numFmtId="4" fontId="35" fillId="35" borderId="77">
      <alignment horizontal="right" vertical="center"/>
    </xf>
    <xf numFmtId="0" fontId="39" fillId="33" borderId="77">
      <alignment horizontal="right" vertical="center"/>
    </xf>
    <xf numFmtId="0" fontId="52" fillId="44" borderId="74" applyNumberFormat="0" applyAlignment="0" applyProtection="0"/>
    <xf numFmtId="0" fontId="49" fillId="57" borderId="74" applyNumberFormat="0" applyAlignment="0" applyProtection="0"/>
    <xf numFmtId="4" fontId="37" fillId="0" borderId="77">
      <alignment horizontal="right" vertical="center"/>
    </xf>
    <xf numFmtId="0" fontId="37" fillId="35" borderId="80">
      <alignment horizontal="left" vertical="center" wrapText="1" indent="2"/>
    </xf>
    <xf numFmtId="0" fontId="37" fillId="0" borderId="80">
      <alignment horizontal="left" vertical="center" wrapText="1" indent="2"/>
    </xf>
    <xf numFmtId="0" fontId="65" fillId="57" borderId="73" applyNumberFormat="0" applyAlignment="0" applyProtection="0"/>
    <xf numFmtId="0" fontId="61" fillId="44" borderId="74" applyNumberFormat="0" applyAlignment="0" applyProtection="0"/>
    <xf numFmtId="0" fontId="48" fillId="57" borderId="74" applyNumberFormat="0" applyAlignment="0" applyProtection="0"/>
    <xf numFmtId="0" fontId="46" fillId="57" borderId="73" applyNumberFormat="0" applyAlignment="0" applyProtection="0"/>
    <xf numFmtId="0" fontId="35" fillId="35" borderId="79">
      <alignment horizontal="right" vertical="center"/>
    </xf>
    <xf numFmtId="0" fontId="39" fillId="33" borderId="77">
      <alignment horizontal="right" vertical="center"/>
    </xf>
    <xf numFmtId="4" fontId="35" fillId="33" borderId="77">
      <alignment horizontal="right" vertical="center"/>
    </xf>
    <xf numFmtId="4" fontId="35" fillId="35" borderId="77">
      <alignment horizontal="right" vertical="center"/>
    </xf>
    <xf numFmtId="49" fontId="37" fillId="0" borderId="78" applyNumberFormat="0" applyFont="0" applyFill="0" applyBorder="0" applyProtection="0">
      <alignment horizontal="left" vertical="center" indent="5"/>
    </xf>
    <xf numFmtId="4" fontId="37" fillId="0" borderId="77" applyFill="0" applyBorder="0" applyProtection="0">
      <alignment horizontal="right" vertical="center"/>
    </xf>
    <xf numFmtId="4" fontId="35" fillId="33" borderId="77">
      <alignment horizontal="right" vertical="center"/>
    </xf>
    <xf numFmtId="0" fontId="61" fillId="44" borderId="74" applyNumberFormat="0" applyAlignment="0" applyProtection="0"/>
    <xf numFmtId="0" fontId="52" fillId="44" borderId="74" applyNumberFormat="0" applyAlignment="0" applyProtection="0"/>
    <xf numFmtId="0" fontId="48" fillId="57" borderId="74" applyNumberFormat="0" applyAlignment="0" applyProtection="0"/>
    <xf numFmtId="0" fontId="37" fillId="35" borderId="80">
      <alignment horizontal="left" vertical="center" wrapText="1" indent="2"/>
    </xf>
    <xf numFmtId="0" fontId="37" fillId="0" borderId="80">
      <alignment horizontal="left" vertical="center" wrapText="1" indent="2"/>
    </xf>
    <xf numFmtId="0" fontId="37" fillId="35" borderId="80">
      <alignment horizontal="left" vertical="center" wrapText="1" indent="2"/>
    </xf>
    <xf numFmtId="0" fontId="68" fillId="0" borderId="88" applyNumberFormat="0" applyFill="0" applyAlignment="0" applyProtection="0"/>
    <xf numFmtId="0" fontId="39" fillId="33" borderId="82">
      <alignment horizontal="right" vertical="center"/>
    </xf>
    <xf numFmtId="0" fontId="37" fillId="34" borderId="82"/>
    <xf numFmtId="0" fontId="65" fillId="57" borderId="86" applyNumberFormat="0" applyAlignment="0" applyProtection="0"/>
    <xf numFmtId="49" fontId="36" fillId="0" borderId="82" applyNumberFormat="0" applyFill="0" applyBorder="0" applyProtection="0">
      <alignment horizontal="left" vertical="center"/>
    </xf>
    <xf numFmtId="0" fontId="49" fillId="57" borderId="87" applyNumberFormat="0" applyAlignment="0" applyProtection="0"/>
    <xf numFmtId="0" fontId="37" fillId="34" borderId="82"/>
    <xf numFmtId="0" fontId="49" fillId="57" borderId="87" applyNumberFormat="0" applyAlignment="0" applyProtection="0"/>
    <xf numFmtId="0" fontId="46" fillId="57" borderId="86" applyNumberFormat="0" applyAlignment="0" applyProtection="0"/>
    <xf numFmtId="0" fontId="35" fillId="33" borderId="82">
      <alignment horizontal="right" vertical="center"/>
    </xf>
    <xf numFmtId="0" fontId="35" fillId="35" borderId="84">
      <alignment horizontal="right" vertical="center"/>
    </xf>
    <xf numFmtId="0" fontId="35" fillId="35" borderId="84">
      <alignment horizontal="right" vertical="center"/>
    </xf>
    <xf numFmtId="0" fontId="37" fillId="0" borderId="85">
      <alignment horizontal="left" vertical="center" wrapText="1" indent="2"/>
    </xf>
    <xf numFmtId="4" fontId="35" fillId="35" borderId="82">
      <alignment horizontal="right" vertical="center"/>
    </xf>
    <xf numFmtId="4" fontId="37" fillId="34" borderId="82"/>
    <xf numFmtId="174" fontId="37" fillId="61" borderId="82" applyNumberFormat="0" applyFont="0" applyBorder="0" applyAlignment="0" applyProtection="0">
      <alignment horizontal="right" vertical="center"/>
    </xf>
    <xf numFmtId="0" fontId="35" fillId="33" borderId="82">
      <alignment horizontal="right" vertical="center"/>
    </xf>
    <xf numFmtId="0" fontId="43" fillId="60" borderId="81" applyNumberFormat="0" applyFont="0" applyAlignment="0" applyProtection="0"/>
    <xf numFmtId="49" fontId="36" fillId="0" borderId="82" applyNumberFormat="0" applyFill="0" applyBorder="0" applyProtection="0">
      <alignment horizontal="left" vertical="center"/>
    </xf>
    <xf numFmtId="0" fontId="52" fillId="44" borderId="87" applyNumberFormat="0" applyAlignment="0" applyProtection="0"/>
    <xf numFmtId="0" fontId="68" fillId="0" borderId="88" applyNumberFormat="0" applyFill="0" applyAlignment="0" applyProtection="0"/>
    <xf numFmtId="4" fontId="35" fillId="35" borderId="83">
      <alignment horizontal="right" vertical="center"/>
    </xf>
    <xf numFmtId="0" fontId="29" fillId="18" borderId="0" applyNumberFormat="0" applyBorder="0" applyAlignment="0" applyProtection="0"/>
    <xf numFmtId="0" fontId="37" fillId="33" borderId="83">
      <alignment horizontal="left" vertical="center"/>
    </xf>
    <xf numFmtId="0" fontId="29" fillId="16" borderId="0" applyNumberFormat="0" applyBorder="0" applyAlignment="0" applyProtection="0"/>
    <xf numFmtId="0" fontId="48" fillId="57" borderId="87" applyNumberFormat="0" applyAlignment="0" applyProtection="0"/>
    <xf numFmtId="0" fontId="35" fillId="33" borderId="82">
      <alignment horizontal="right" vertical="center"/>
    </xf>
    <xf numFmtId="0" fontId="29" fillId="16" borderId="0" applyNumberFormat="0" applyBorder="0" applyAlignment="0" applyProtection="0"/>
    <xf numFmtId="0" fontId="46" fillId="57" borderId="86" applyNumberFormat="0" applyAlignment="0" applyProtection="0"/>
    <xf numFmtId="0" fontId="37" fillId="35" borderId="85">
      <alignment horizontal="left" vertical="center" wrapText="1" indent="2"/>
    </xf>
    <xf numFmtId="0" fontId="65" fillId="57" borderId="86" applyNumberFormat="0" applyAlignment="0" applyProtection="0"/>
    <xf numFmtId="0" fontId="37" fillId="0" borderId="82" applyNumberFormat="0" applyFill="0" applyAlignment="0" applyProtection="0"/>
    <xf numFmtId="0" fontId="43" fillId="60" borderId="81" applyNumberFormat="0" applyFont="0" applyAlignment="0" applyProtection="0"/>
    <xf numFmtId="4" fontId="37" fillId="34" borderId="82"/>
    <xf numFmtId="0" fontId="37" fillId="34" borderId="82"/>
    <xf numFmtId="0" fontId="37" fillId="35" borderId="85">
      <alignment horizontal="left" vertical="center" wrapText="1" indent="2"/>
    </xf>
    <xf numFmtId="0" fontId="37" fillId="0" borderId="82" applyNumberFormat="0" applyFill="0" applyAlignment="0" applyProtection="0"/>
    <xf numFmtId="0" fontId="13" fillId="23" borderId="0" applyNumberFormat="0" applyBorder="0" applyAlignment="0" applyProtection="0"/>
    <xf numFmtId="0" fontId="5" fillId="60" borderId="81" applyNumberFormat="0" applyFont="0" applyAlignment="0" applyProtection="0"/>
    <xf numFmtId="0" fontId="29" fillId="19" borderId="0" applyNumberFormat="0" applyBorder="0" applyAlignment="0" applyProtection="0"/>
    <xf numFmtId="0" fontId="61" fillId="44" borderId="87" applyNumberFormat="0" applyAlignment="0" applyProtection="0"/>
    <xf numFmtId="0" fontId="43" fillId="60" borderId="81" applyNumberFormat="0" applyFon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4" fontId="37" fillId="34" borderId="82"/>
    <xf numFmtId="4" fontId="37" fillId="0" borderId="82" applyFill="0" applyBorder="0" applyProtection="0">
      <alignment horizontal="right" vertical="center"/>
    </xf>
    <xf numFmtId="4" fontId="35" fillId="35" borderId="84">
      <alignment horizontal="right" vertical="center"/>
    </xf>
    <xf numFmtId="4" fontId="35" fillId="35" borderId="82">
      <alignment horizontal="right" vertical="center"/>
    </xf>
    <xf numFmtId="0" fontId="13" fillId="29" borderId="0" applyNumberFormat="0" applyBorder="0" applyAlignment="0" applyProtection="0"/>
    <xf numFmtId="0" fontId="37" fillId="0" borderId="82" applyNumberFormat="0" applyFill="0" applyAlignment="0" applyProtection="0"/>
    <xf numFmtId="0" fontId="37" fillId="35" borderId="85">
      <alignment horizontal="left" vertical="center" wrapText="1" indent="2"/>
    </xf>
    <xf numFmtId="0" fontId="29" fillId="21" borderId="0" applyNumberFormat="0" applyBorder="0" applyAlignment="0" applyProtection="0"/>
    <xf numFmtId="49" fontId="37" fillId="0" borderId="82" applyNumberFormat="0" applyFont="0" applyFill="0" applyBorder="0" applyProtection="0">
      <alignment horizontal="left" vertical="center" indent="2"/>
    </xf>
    <xf numFmtId="4" fontId="39" fillId="33" borderId="82">
      <alignment horizontal="right" vertical="center"/>
    </xf>
    <xf numFmtId="0" fontId="68" fillId="0" borderId="88" applyNumberFormat="0" applyFill="0" applyAlignment="0" applyProtection="0"/>
    <xf numFmtId="0" fontId="35" fillId="35" borderId="82">
      <alignment horizontal="right" vertical="center"/>
    </xf>
    <xf numFmtId="0" fontId="35" fillId="35" borderId="82">
      <alignment horizontal="right" vertical="center"/>
    </xf>
    <xf numFmtId="0" fontId="29" fillId="31" borderId="0" applyNumberFormat="0" applyBorder="0" applyAlignment="0" applyProtection="0"/>
    <xf numFmtId="0" fontId="68" fillId="0" borderId="88" applyNumberFormat="0" applyFill="0" applyAlignment="0" applyProtection="0"/>
    <xf numFmtId="4" fontId="37" fillId="34" borderId="82"/>
    <xf numFmtId="0" fontId="37" fillId="35" borderId="85">
      <alignment horizontal="left" vertical="center" wrapText="1" indent="2"/>
    </xf>
    <xf numFmtId="0" fontId="49" fillId="57" borderId="87" applyNumberFormat="0" applyAlignment="0" applyProtection="0"/>
    <xf numFmtId="0" fontId="37" fillId="34" borderId="82"/>
    <xf numFmtId="0" fontId="68" fillId="0" borderId="88" applyNumberFormat="0" applyFill="0" applyAlignment="0" applyProtection="0"/>
    <xf numFmtId="0" fontId="37" fillId="0" borderId="82" applyNumberFormat="0" applyFill="0" applyAlignment="0" applyProtection="0"/>
    <xf numFmtId="49" fontId="37" fillId="0" borderId="83" applyNumberFormat="0" applyFont="0" applyFill="0" applyBorder="0" applyProtection="0">
      <alignment horizontal="left" vertical="center" indent="5"/>
    </xf>
    <xf numFmtId="0" fontId="68" fillId="0" borderId="88" applyNumberFormat="0" applyFill="0" applyAlignment="0" applyProtection="0"/>
    <xf numFmtId="0" fontId="1" fillId="0" borderId="0" applyNumberFormat="0" applyFill="0" applyBorder="0" applyAlignment="0" applyProtection="0"/>
    <xf numFmtId="0" fontId="29" fillId="25" borderId="0" applyNumberFormat="0" applyBorder="0" applyAlignment="0" applyProtection="0"/>
    <xf numFmtId="0" fontId="39" fillId="33" borderId="82">
      <alignment horizontal="right" vertical="center"/>
    </xf>
    <xf numFmtId="174" fontId="37" fillId="61" borderId="82" applyNumberFormat="0" applyFont="0" applyBorder="0" applyAlignment="0" applyProtection="0">
      <alignment horizontal="right" vertical="center"/>
    </xf>
    <xf numFmtId="0" fontId="29" fillId="31" borderId="0" applyNumberFormat="0" applyBorder="0" applyAlignment="0" applyProtection="0"/>
    <xf numFmtId="0" fontId="13" fillId="29" borderId="0" applyNumberFormat="0" applyBorder="0" applyAlignment="0" applyProtection="0"/>
    <xf numFmtId="0" fontId="1" fillId="0" borderId="0" applyNumberFormat="0" applyFill="0" applyBorder="0" applyAlignment="0" applyProtection="0"/>
    <xf numFmtId="49" fontId="36" fillId="0" borderId="82" applyNumberFormat="0" applyFill="0" applyBorder="0" applyProtection="0">
      <alignment horizontal="left" vertical="center"/>
    </xf>
    <xf numFmtId="0" fontId="37" fillId="0" borderId="82" applyNumberFormat="0" applyFill="0" applyAlignment="0" applyProtection="0"/>
    <xf numFmtId="0" fontId="48" fillId="57" borderId="87" applyNumberFormat="0" applyAlignment="0" applyProtection="0"/>
    <xf numFmtId="4" fontId="35" fillId="35" borderId="83">
      <alignment horizontal="right" vertical="center"/>
    </xf>
    <xf numFmtId="4" fontId="35" fillId="33" borderId="82">
      <alignment horizontal="right" vertical="center"/>
    </xf>
    <xf numFmtId="4" fontId="37" fillId="34" borderId="82"/>
    <xf numFmtId="0" fontId="48" fillId="57" borderId="87" applyNumberFormat="0" applyAlignment="0" applyProtection="0"/>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61" fillId="44" borderId="87" applyNumberFormat="0" applyAlignment="0" applyProtection="0"/>
    <xf numFmtId="4" fontId="35" fillId="35" borderId="82">
      <alignment horizontal="right" vertical="center"/>
    </xf>
    <xf numFmtId="49" fontId="37" fillId="0" borderId="82" applyNumberFormat="0" applyFont="0" applyFill="0" applyBorder="0" applyProtection="0">
      <alignment horizontal="left" vertical="center" indent="2"/>
    </xf>
    <xf numFmtId="49" fontId="37" fillId="0" borderId="82" applyNumberFormat="0" applyFont="0" applyFill="0" applyBorder="0" applyProtection="0">
      <alignment horizontal="left" vertical="center" indent="2"/>
    </xf>
    <xf numFmtId="4" fontId="39" fillId="33" borderId="82">
      <alignment horizontal="right" vertical="center"/>
    </xf>
    <xf numFmtId="0" fontId="53" fillId="0" borderId="88" applyNumberFormat="0" applyFill="0" applyAlignment="0" applyProtection="0"/>
    <xf numFmtId="49" fontId="37" fillId="0" borderId="82" applyNumberFormat="0" applyFont="0" applyFill="0" applyBorder="0" applyProtection="0">
      <alignment horizontal="left" vertical="center" indent="2"/>
    </xf>
    <xf numFmtId="0" fontId="29" fillId="27" borderId="0" applyNumberFormat="0" applyBorder="0" applyAlignment="0" applyProtection="0"/>
    <xf numFmtId="0" fontId="46" fillId="57" borderId="86" applyNumberFormat="0" applyAlignment="0" applyProtection="0"/>
    <xf numFmtId="4" fontId="35" fillId="35" borderId="82">
      <alignment horizontal="right" vertical="center"/>
    </xf>
    <xf numFmtId="0" fontId="29" fillId="27" borderId="0" applyNumberFormat="0" applyBorder="0" applyAlignment="0" applyProtection="0"/>
    <xf numFmtId="0" fontId="13" fillId="26" borderId="0" applyNumberFormat="0" applyBorder="0" applyAlignment="0" applyProtection="0"/>
    <xf numFmtId="0" fontId="29" fillId="18" borderId="0" applyNumberFormat="0" applyBorder="0" applyAlignment="0" applyProtection="0"/>
    <xf numFmtId="0" fontId="37" fillId="34" borderId="82"/>
    <xf numFmtId="4" fontId="37" fillId="0" borderId="82" applyFill="0" applyBorder="0" applyProtection="0">
      <alignment horizontal="right" vertical="center"/>
    </xf>
    <xf numFmtId="4" fontId="35" fillId="35" borderId="82">
      <alignment horizontal="right" vertical="center"/>
    </xf>
    <xf numFmtId="0" fontId="37" fillId="0" borderId="82">
      <alignment horizontal="right" vertical="center"/>
    </xf>
    <xf numFmtId="0" fontId="29" fillId="16" borderId="0" applyNumberFormat="0" applyBorder="0" applyAlignment="0" applyProtection="0"/>
    <xf numFmtId="0" fontId="13" fillId="32" borderId="0" applyNumberFormat="0" applyBorder="0" applyAlignment="0" applyProtection="0"/>
    <xf numFmtId="0" fontId="35" fillId="35" borderId="82">
      <alignment horizontal="right" vertical="center"/>
    </xf>
    <xf numFmtId="4" fontId="39" fillId="33" borderId="82">
      <alignment horizontal="right" vertical="center"/>
    </xf>
    <xf numFmtId="0" fontId="13" fillId="20" borderId="0" applyNumberFormat="0" applyBorder="0" applyAlignment="0" applyProtection="0"/>
    <xf numFmtId="0" fontId="35" fillId="35" borderId="84">
      <alignment horizontal="right" vertical="center"/>
    </xf>
    <xf numFmtId="0" fontId="13" fillId="32" borderId="0" applyNumberFormat="0" applyBorder="0" applyAlignment="0" applyProtection="0"/>
    <xf numFmtId="0" fontId="35" fillId="35" borderId="83">
      <alignment horizontal="right" vertical="center"/>
    </xf>
    <xf numFmtId="4" fontId="35" fillId="35" borderId="84">
      <alignment horizontal="right" vertical="center"/>
    </xf>
    <xf numFmtId="0" fontId="68" fillId="0" borderId="88" applyNumberFormat="0" applyFill="0" applyAlignment="0" applyProtection="0"/>
    <xf numFmtId="49" fontId="37" fillId="0" borderId="82" applyNumberFormat="0" applyFont="0" applyFill="0" applyBorder="0" applyProtection="0">
      <alignment horizontal="left" vertical="center" indent="2"/>
    </xf>
    <xf numFmtId="0" fontId="53" fillId="0" borderId="88" applyNumberFormat="0" applyFill="0" applyAlignment="0" applyProtection="0"/>
    <xf numFmtId="0" fontId="33" fillId="0" borderId="0" applyNumberFormat="0" applyFill="0" applyBorder="0" applyAlignment="0" applyProtection="0"/>
    <xf numFmtId="0" fontId="46" fillId="57" borderId="86" applyNumberFormat="0" applyAlignment="0" applyProtection="0"/>
    <xf numFmtId="0" fontId="37" fillId="0" borderId="82">
      <alignment horizontal="right" vertical="center"/>
    </xf>
    <xf numFmtId="0" fontId="29" fillId="30" borderId="0" applyNumberFormat="0" applyBorder="0" applyAlignment="0" applyProtection="0"/>
    <xf numFmtId="0" fontId="37" fillId="33" borderId="83">
      <alignment horizontal="left" vertical="center"/>
    </xf>
    <xf numFmtId="0" fontId="13" fillId="26" borderId="0" applyNumberFormat="0" applyBorder="0" applyAlignment="0" applyProtection="0"/>
    <xf numFmtId="0" fontId="37" fillId="0" borderId="82">
      <alignment horizontal="right" vertical="center"/>
    </xf>
    <xf numFmtId="0" fontId="39" fillId="33" borderId="82">
      <alignment horizontal="right" vertical="center"/>
    </xf>
    <xf numFmtId="0" fontId="49" fillId="57" borderId="87" applyNumberFormat="0" applyAlignment="0" applyProtection="0"/>
    <xf numFmtId="4" fontId="39" fillId="33" borderId="82">
      <alignment horizontal="right" vertical="center"/>
    </xf>
    <xf numFmtId="0" fontId="37" fillId="35" borderId="85">
      <alignment horizontal="left" vertical="center" wrapText="1" indent="2"/>
    </xf>
    <xf numFmtId="0" fontId="65" fillId="57" borderId="86" applyNumberFormat="0" applyAlignment="0" applyProtection="0"/>
    <xf numFmtId="0" fontId="35" fillId="35" borderId="82">
      <alignment horizontal="right" vertical="center"/>
    </xf>
    <xf numFmtId="0" fontId="13" fillId="17" borderId="0" applyNumberFormat="0" applyBorder="0" applyAlignment="0" applyProtection="0"/>
    <xf numFmtId="4" fontId="37" fillId="0" borderId="82">
      <alignment horizontal="right" vertical="center"/>
    </xf>
    <xf numFmtId="0" fontId="35" fillId="33" borderId="82">
      <alignment horizontal="right" vertical="center"/>
    </xf>
    <xf numFmtId="0" fontId="46" fillId="57" borderId="86" applyNumberFormat="0" applyAlignment="0" applyProtection="0"/>
    <xf numFmtId="0" fontId="29" fillId="24" borderId="0" applyNumberFormat="0" applyBorder="0" applyAlignment="0" applyProtection="0"/>
    <xf numFmtId="0" fontId="52" fillId="44" borderId="87" applyNumberFormat="0" applyAlignment="0" applyProtection="0"/>
    <xf numFmtId="0" fontId="13" fillId="26" borderId="0" applyNumberFormat="0" applyBorder="0" applyAlignment="0" applyProtection="0"/>
    <xf numFmtId="0" fontId="2" fillId="0" borderId="9" applyNumberFormat="0" applyFill="0" applyAlignment="0" applyProtection="0"/>
    <xf numFmtId="0" fontId="61" fillId="44" borderId="87" applyNumberFormat="0" applyAlignment="0" applyProtection="0"/>
    <xf numFmtId="4" fontId="35" fillId="35" borderId="82">
      <alignment horizontal="right" vertical="center"/>
    </xf>
    <xf numFmtId="0" fontId="29" fillId="22" borderId="0" applyNumberFormat="0" applyBorder="0" applyAlignment="0" applyProtection="0"/>
    <xf numFmtId="0" fontId="61" fillId="44" borderId="87" applyNumberFormat="0" applyAlignment="0" applyProtection="0"/>
    <xf numFmtId="0" fontId="32" fillId="14" borderId="7" applyNumberFormat="0" applyAlignment="0" applyProtection="0"/>
    <xf numFmtId="49" fontId="37" fillId="0" borderId="83" applyNumberFormat="0" applyFont="0" applyFill="0" applyBorder="0" applyProtection="0">
      <alignment horizontal="left" vertical="center" indent="5"/>
    </xf>
    <xf numFmtId="174" fontId="37" fillId="61" borderId="82" applyNumberFormat="0" applyFont="0" applyBorder="0" applyAlignment="0" applyProtection="0">
      <alignment horizontal="right" vertical="center"/>
    </xf>
    <xf numFmtId="0" fontId="65" fillId="57" borderId="86" applyNumberFormat="0" applyAlignment="0" applyProtection="0"/>
    <xf numFmtId="0" fontId="53" fillId="0" borderId="88" applyNumberFormat="0" applyFill="0" applyAlignment="0" applyProtection="0"/>
    <xf numFmtId="0" fontId="1" fillId="0" borderId="0" applyNumberFormat="0" applyFill="0" applyBorder="0" applyAlignment="0" applyProtection="0"/>
    <xf numFmtId="0" fontId="29" fillId="18" borderId="0" applyNumberFormat="0" applyBorder="0" applyAlignment="0" applyProtection="0"/>
    <xf numFmtId="0" fontId="37" fillId="34" borderId="82"/>
    <xf numFmtId="0" fontId="5" fillId="60" borderId="81" applyNumberFormat="0" applyFont="0" applyAlignment="0" applyProtection="0"/>
    <xf numFmtId="0" fontId="35" fillId="35" borderId="82">
      <alignment horizontal="right" vertical="center"/>
    </xf>
    <xf numFmtId="49" fontId="37" fillId="0" borderId="82" applyNumberFormat="0" applyFont="0" applyFill="0" applyBorder="0" applyProtection="0">
      <alignment horizontal="left" vertical="center" indent="2"/>
    </xf>
    <xf numFmtId="0" fontId="37" fillId="33" borderId="83">
      <alignment horizontal="left" vertical="center"/>
    </xf>
    <xf numFmtId="4" fontId="37" fillId="0" borderId="82" applyFill="0" applyBorder="0" applyProtection="0">
      <alignment horizontal="right" vertical="center"/>
    </xf>
    <xf numFmtId="4" fontId="35" fillId="33" borderId="82">
      <alignment horizontal="right" vertical="center"/>
    </xf>
    <xf numFmtId="0" fontId="68" fillId="0" borderId="88" applyNumberFormat="0" applyFill="0" applyAlignment="0" applyProtection="0"/>
    <xf numFmtId="0" fontId="35" fillId="35" borderId="84">
      <alignment horizontal="right" vertical="center"/>
    </xf>
    <xf numFmtId="0" fontId="61" fillId="44" borderId="87" applyNumberFormat="0" applyAlignment="0" applyProtection="0"/>
    <xf numFmtId="0" fontId="39" fillId="33" borderId="82">
      <alignment horizontal="right" vertical="center"/>
    </xf>
    <xf numFmtId="0" fontId="49" fillId="57" borderId="87" applyNumberFormat="0" applyAlignment="0" applyProtection="0"/>
    <xf numFmtId="0" fontId="48" fillId="57" borderId="87" applyNumberFormat="0" applyAlignment="0" applyProtection="0"/>
    <xf numFmtId="174" fontId="37" fillId="61" borderId="82" applyNumberFormat="0" applyFont="0" applyBorder="0" applyAlignment="0" applyProtection="0">
      <alignment horizontal="right" vertical="center"/>
    </xf>
    <xf numFmtId="0" fontId="37" fillId="0" borderId="85">
      <alignment horizontal="left" vertical="center" wrapText="1" indent="2"/>
    </xf>
    <xf numFmtId="0" fontId="49" fillId="57" borderId="87" applyNumberFormat="0" applyAlignment="0" applyProtection="0"/>
    <xf numFmtId="49" fontId="37" fillId="0" borderId="82" applyNumberFormat="0" applyFont="0" applyFill="0" applyBorder="0" applyProtection="0">
      <alignment horizontal="left" vertical="center" indent="2"/>
    </xf>
    <xf numFmtId="0" fontId="35" fillId="35" borderId="82">
      <alignment horizontal="right" vertical="center"/>
    </xf>
    <xf numFmtId="0" fontId="29" fillId="28" borderId="0" applyNumberFormat="0" applyBorder="0" applyAlignment="0" applyProtection="0"/>
    <xf numFmtId="0" fontId="49" fillId="57" borderId="87" applyNumberFormat="0" applyAlignment="0" applyProtection="0"/>
    <xf numFmtId="0" fontId="13" fillId="20" borderId="0" applyNumberFormat="0" applyBorder="0" applyAlignment="0" applyProtection="0"/>
    <xf numFmtId="4" fontId="35" fillId="35" borderId="82">
      <alignment horizontal="right" vertical="center"/>
    </xf>
    <xf numFmtId="0" fontId="46" fillId="57" borderId="86" applyNumberFormat="0" applyAlignment="0" applyProtection="0"/>
    <xf numFmtId="0" fontId="49" fillId="57" borderId="87" applyNumberFormat="0" applyAlignment="0" applyProtection="0"/>
    <xf numFmtId="4" fontId="35" fillId="35" borderId="82">
      <alignment horizontal="right" vertical="center"/>
    </xf>
    <xf numFmtId="0" fontId="65" fillId="57" borderId="86" applyNumberFormat="0" applyAlignment="0" applyProtection="0"/>
    <xf numFmtId="0" fontId="68" fillId="0" borderId="88" applyNumberFormat="0" applyFill="0" applyAlignment="0" applyProtection="0"/>
    <xf numFmtId="49" fontId="36" fillId="0" borderId="82" applyNumberFormat="0" applyFill="0" applyBorder="0" applyProtection="0">
      <alignment horizontal="left" vertical="center"/>
    </xf>
    <xf numFmtId="0" fontId="61" fillId="44" borderId="87" applyNumberFormat="0" applyAlignment="0" applyProtection="0"/>
    <xf numFmtId="4" fontId="35" fillId="35" borderId="82">
      <alignment horizontal="right" vertical="center"/>
    </xf>
    <xf numFmtId="0" fontId="37" fillId="0" borderId="82">
      <alignment horizontal="right" vertical="center"/>
    </xf>
    <xf numFmtId="49" fontId="36" fillId="0" borderId="82" applyNumberFormat="0" applyFill="0" applyBorder="0" applyProtection="0">
      <alignment horizontal="left" vertical="center"/>
    </xf>
    <xf numFmtId="0" fontId="5" fillId="60" borderId="81" applyNumberFormat="0" applyFont="0" applyAlignment="0" applyProtection="0"/>
    <xf numFmtId="0" fontId="13" fillId="23" borderId="0" applyNumberFormat="0" applyBorder="0" applyAlignment="0" applyProtection="0"/>
    <xf numFmtId="4" fontId="39" fillId="33" borderId="82">
      <alignment horizontal="right" vertical="center"/>
    </xf>
    <xf numFmtId="0" fontId="43" fillId="60" borderId="81" applyNumberFormat="0" applyFont="0" applyAlignment="0" applyProtection="0"/>
    <xf numFmtId="0" fontId="68" fillId="0" borderId="88" applyNumberFormat="0" applyFill="0" applyAlignment="0" applyProtection="0"/>
    <xf numFmtId="4" fontId="35" fillId="35" borderId="84">
      <alignment horizontal="right" vertical="center"/>
    </xf>
    <xf numFmtId="0" fontId="29" fillId="28" borderId="0" applyNumberFormat="0" applyBorder="0" applyAlignment="0" applyProtection="0"/>
    <xf numFmtId="0" fontId="43" fillId="60" borderId="81" applyNumberFormat="0" applyFont="0" applyAlignment="0" applyProtection="0"/>
    <xf numFmtId="0" fontId="29" fillId="28" borderId="0" applyNumberFormat="0" applyBorder="0" applyAlignment="0" applyProtection="0"/>
    <xf numFmtId="0" fontId="33" fillId="0" borderId="0" applyNumberFormat="0" applyFill="0" applyBorder="0" applyAlignment="0" applyProtection="0"/>
    <xf numFmtId="0" fontId="43" fillId="60" borderId="81" applyNumberFormat="0" applyFont="0" applyAlignment="0" applyProtection="0"/>
    <xf numFmtId="4" fontId="37" fillId="34" borderId="82"/>
    <xf numFmtId="0" fontId="35" fillId="33" borderId="82">
      <alignment horizontal="right" vertical="center"/>
    </xf>
    <xf numFmtId="0" fontId="61" fillId="44" borderId="87" applyNumberFormat="0" applyAlignment="0" applyProtection="0"/>
    <xf numFmtId="0" fontId="35" fillId="35" borderId="83">
      <alignment horizontal="right" vertical="center"/>
    </xf>
    <xf numFmtId="0" fontId="29" fillId="31" borderId="0" applyNumberFormat="0" applyBorder="0" applyAlignment="0" applyProtection="0"/>
    <xf numFmtId="0" fontId="65" fillId="57" borderId="86" applyNumberFormat="0" applyAlignment="0" applyProtection="0"/>
    <xf numFmtId="0" fontId="29" fillId="19" borderId="0" applyNumberFormat="0" applyBorder="0" applyAlignment="0" applyProtection="0"/>
    <xf numFmtId="0" fontId="52" fillId="44" borderId="87" applyNumberFormat="0" applyAlignment="0" applyProtection="0"/>
    <xf numFmtId="0" fontId="13" fillId="20" borderId="0" applyNumberFormat="0" applyBorder="0" applyAlignment="0" applyProtection="0"/>
    <xf numFmtId="0" fontId="29" fillId="22" borderId="0" applyNumberFormat="0" applyBorder="0" applyAlignment="0" applyProtection="0"/>
    <xf numFmtId="49" fontId="36" fillId="0" borderId="82" applyNumberFormat="0" applyFill="0" applyBorder="0" applyProtection="0">
      <alignment horizontal="left" vertical="center"/>
    </xf>
    <xf numFmtId="0" fontId="37" fillId="33" borderId="83">
      <alignment horizontal="left" vertical="center"/>
    </xf>
    <xf numFmtId="0" fontId="43" fillId="60" borderId="81" applyNumberFormat="0" applyFont="0" applyAlignment="0" applyProtection="0"/>
    <xf numFmtId="0" fontId="39" fillId="33" borderId="82">
      <alignment horizontal="right" vertical="center"/>
    </xf>
    <xf numFmtId="0" fontId="13" fillId="17" borderId="0" applyNumberFormat="0" applyBorder="0" applyAlignment="0" applyProtection="0"/>
    <xf numFmtId="0" fontId="35" fillId="35" borderId="83">
      <alignment horizontal="right" vertical="center"/>
    </xf>
    <xf numFmtId="0" fontId="49" fillId="57" borderId="87" applyNumberFormat="0" applyAlignment="0" applyProtection="0"/>
    <xf numFmtId="0" fontId="52" fillId="44" borderId="87" applyNumberFormat="0" applyAlignment="0" applyProtection="0"/>
    <xf numFmtId="4" fontId="35" fillId="35" borderId="82">
      <alignment horizontal="right" vertical="center"/>
    </xf>
    <xf numFmtId="0" fontId="2" fillId="0" borderId="9" applyNumberFormat="0" applyFill="0" applyAlignment="0" applyProtection="0"/>
    <xf numFmtId="0" fontId="13" fillId="29" borderId="0" applyNumberFormat="0" applyBorder="0" applyAlignment="0" applyProtection="0"/>
    <xf numFmtId="0" fontId="37" fillId="0" borderId="82">
      <alignment horizontal="right" vertical="center"/>
    </xf>
    <xf numFmtId="4" fontId="37" fillId="0" borderId="82" applyFill="0" applyBorder="0" applyProtection="0">
      <alignment horizontal="right" vertical="center"/>
    </xf>
    <xf numFmtId="0" fontId="65" fillId="57" borderId="86" applyNumberFormat="0" applyAlignment="0" applyProtection="0"/>
    <xf numFmtId="0" fontId="39" fillId="33" borderId="82">
      <alignment horizontal="right" vertical="center"/>
    </xf>
    <xf numFmtId="0" fontId="29" fillId="31" borderId="0" applyNumberFormat="0" applyBorder="0" applyAlignment="0" applyProtection="0"/>
    <xf numFmtId="0" fontId="37" fillId="0" borderId="85">
      <alignment horizontal="left" vertical="center" wrapText="1" indent="2"/>
    </xf>
    <xf numFmtId="0" fontId="53" fillId="0" borderId="88" applyNumberFormat="0" applyFill="0" applyAlignment="0" applyProtection="0"/>
    <xf numFmtId="0" fontId="65" fillId="57" borderId="86" applyNumberFormat="0" applyAlignment="0" applyProtection="0"/>
    <xf numFmtId="0" fontId="53" fillId="0" borderId="88" applyNumberFormat="0" applyFill="0" applyAlignment="0" applyProtection="0"/>
    <xf numFmtId="4" fontId="35" fillId="35" borderId="82">
      <alignment horizontal="right" vertical="center"/>
    </xf>
    <xf numFmtId="0" fontId="35" fillId="35" borderId="82">
      <alignment horizontal="right" vertical="center"/>
    </xf>
    <xf numFmtId="0" fontId="37" fillId="35" borderId="85">
      <alignment horizontal="left" vertical="center" wrapText="1" indent="2"/>
    </xf>
    <xf numFmtId="0" fontId="37" fillId="33" borderId="83">
      <alignment horizontal="left" vertical="center"/>
    </xf>
    <xf numFmtId="0" fontId="35" fillId="35" borderId="82">
      <alignment horizontal="right" vertical="center"/>
    </xf>
    <xf numFmtId="4" fontId="39" fillId="33" borderId="82">
      <alignment horizontal="right" vertical="center"/>
    </xf>
    <xf numFmtId="0" fontId="52" fillId="44" borderId="87" applyNumberFormat="0" applyAlignment="0" applyProtection="0"/>
    <xf numFmtId="4" fontId="37" fillId="0" borderId="82">
      <alignment horizontal="right" vertical="center"/>
    </xf>
    <xf numFmtId="0" fontId="5" fillId="60" borderId="81" applyNumberFormat="0" applyFont="0" applyAlignment="0" applyProtection="0"/>
    <xf numFmtId="0" fontId="65" fillId="57" borderId="86" applyNumberFormat="0" applyAlignment="0" applyProtection="0"/>
    <xf numFmtId="0" fontId="65" fillId="57" borderId="86" applyNumberFormat="0" applyAlignment="0" applyProtection="0"/>
    <xf numFmtId="0" fontId="13" fillId="26" borderId="0" applyNumberFormat="0" applyBorder="0" applyAlignment="0" applyProtection="0"/>
    <xf numFmtId="4" fontId="35" fillId="33" borderId="82">
      <alignment horizontal="right" vertical="center"/>
    </xf>
    <xf numFmtId="0" fontId="43" fillId="60" borderId="81" applyNumberFormat="0" applyFont="0" applyAlignment="0" applyProtection="0"/>
    <xf numFmtId="0" fontId="35" fillId="33" borderId="82">
      <alignment horizontal="right" vertical="center"/>
    </xf>
    <xf numFmtId="0" fontId="53" fillId="0" borderId="88" applyNumberFormat="0" applyFill="0" applyAlignment="0" applyProtection="0"/>
    <xf numFmtId="0" fontId="37" fillId="0" borderId="82" applyNumberFormat="0" applyFill="0" applyAlignment="0" applyProtection="0"/>
    <xf numFmtId="0" fontId="53" fillId="0" borderId="88" applyNumberFormat="0" applyFill="0" applyAlignment="0" applyProtection="0"/>
    <xf numFmtId="4" fontId="37" fillId="0" borderId="82" applyFill="0" applyBorder="0" applyProtection="0">
      <alignment horizontal="right" vertical="center"/>
    </xf>
    <xf numFmtId="49" fontId="37" fillId="0" borderId="83" applyNumberFormat="0" applyFont="0" applyFill="0" applyBorder="0" applyProtection="0">
      <alignment horizontal="left" vertical="center" indent="5"/>
    </xf>
    <xf numFmtId="0" fontId="37" fillId="0" borderId="82" applyNumberFormat="0" applyFill="0" applyAlignment="0" applyProtection="0"/>
    <xf numFmtId="0" fontId="37" fillId="0" borderId="82" applyNumberFormat="0" applyFill="0" applyAlignment="0" applyProtection="0"/>
    <xf numFmtId="4" fontId="35" fillId="35" borderId="82">
      <alignment horizontal="right" vertical="center"/>
    </xf>
    <xf numFmtId="0" fontId="13" fillId="23" borderId="0" applyNumberFormat="0" applyBorder="0" applyAlignment="0" applyProtection="0"/>
    <xf numFmtId="0" fontId="52" fillId="44" borderId="87" applyNumberFormat="0" applyAlignment="0" applyProtection="0"/>
    <xf numFmtId="0" fontId="49" fillId="57" borderId="87" applyNumberFormat="0" applyAlignment="0" applyProtection="0"/>
    <xf numFmtId="4" fontId="37" fillId="0" borderId="82">
      <alignment horizontal="right" vertical="center"/>
    </xf>
    <xf numFmtId="0" fontId="37" fillId="35" borderId="85">
      <alignment horizontal="left" vertical="center" wrapText="1" indent="2"/>
    </xf>
    <xf numFmtId="0" fontId="37" fillId="0" borderId="85">
      <alignment horizontal="left" vertical="center" wrapText="1" indent="2"/>
    </xf>
    <xf numFmtId="0" fontId="65" fillId="57" borderId="86" applyNumberFormat="0" applyAlignment="0" applyProtection="0"/>
    <xf numFmtId="0" fontId="61" fillId="44" borderId="87" applyNumberFormat="0" applyAlignment="0" applyProtection="0"/>
    <xf numFmtId="0" fontId="48" fillId="57" borderId="87" applyNumberFormat="0" applyAlignment="0" applyProtection="0"/>
    <xf numFmtId="0" fontId="46" fillId="57" borderId="86" applyNumberFormat="0" applyAlignment="0" applyProtection="0"/>
    <xf numFmtId="0" fontId="35" fillId="35" borderId="84">
      <alignment horizontal="right" vertical="center"/>
    </xf>
    <xf numFmtId="0" fontId="39" fillId="33" borderId="82">
      <alignment horizontal="right" vertical="center"/>
    </xf>
    <xf numFmtId="4" fontId="35" fillId="33" borderId="82">
      <alignment horizontal="right" vertical="center"/>
    </xf>
    <xf numFmtId="4" fontId="35" fillId="35" borderId="82">
      <alignment horizontal="right" vertical="center"/>
    </xf>
    <xf numFmtId="49" fontId="37" fillId="0" borderId="83" applyNumberFormat="0" applyFont="0" applyFill="0" applyBorder="0" applyProtection="0">
      <alignment horizontal="left" vertical="center" indent="5"/>
    </xf>
    <xf numFmtId="4" fontId="37" fillId="0" borderId="82" applyFill="0" applyBorder="0" applyProtection="0">
      <alignment horizontal="right" vertical="center"/>
    </xf>
    <xf numFmtId="4" fontId="35" fillId="33" borderId="82">
      <alignment horizontal="right" vertical="center"/>
    </xf>
    <xf numFmtId="0" fontId="61" fillId="44" borderId="87" applyNumberFormat="0" applyAlignment="0" applyProtection="0"/>
    <xf numFmtId="0" fontId="52" fillId="44" borderId="87" applyNumberFormat="0" applyAlignment="0" applyProtection="0"/>
    <xf numFmtId="0" fontId="48" fillId="57" borderId="87" applyNumberFormat="0" applyAlignment="0" applyProtection="0"/>
    <xf numFmtId="0" fontId="37" fillId="35" borderId="85">
      <alignment horizontal="left" vertical="center" wrapText="1" indent="2"/>
    </xf>
    <xf numFmtId="0" fontId="37" fillId="0" borderId="85">
      <alignment horizontal="left" vertical="center" wrapText="1" indent="2"/>
    </xf>
    <xf numFmtId="0" fontId="37" fillId="35" borderId="85">
      <alignment horizontal="left" vertical="center" wrapText="1" indent="2"/>
    </xf>
  </cellStyleXfs>
  <cellXfs count="298">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9" fillId="0" borderId="0" xfId="0" applyFont="1"/>
    <xf numFmtId="0" fontId="1" fillId="0" borderId="0" xfId="0" applyFont="1"/>
    <xf numFmtId="0" fontId="10"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4" fillId="0" borderId="0" xfId="0" applyFont="1"/>
    <xf numFmtId="165" fontId="14" fillId="0" borderId="0" xfId="0" applyNumberFormat="1" applyFont="1"/>
    <xf numFmtId="2" fontId="14"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6" fillId="0" borderId="0" xfId="0" applyNumberFormat="1" applyFont="1"/>
    <xf numFmtId="49" fontId="0" fillId="0" borderId="0" xfId="0" applyNumberFormat="1"/>
    <xf numFmtId="0" fontId="8" fillId="0" borderId="0" xfId="0" applyFont="1" applyAlignment="1">
      <alignment horizontal="left"/>
    </xf>
    <xf numFmtId="2" fontId="16" fillId="0" borderId="0" xfId="0" applyNumberFormat="1" applyFont="1" applyAlignment="1">
      <alignment horizontal="right"/>
    </xf>
    <xf numFmtId="3" fontId="2" fillId="5" borderId="2" xfId="0" applyNumberFormat="1" applyFont="1" applyFill="1" applyBorder="1"/>
    <xf numFmtId="0" fontId="8" fillId="5" borderId="2" xfId="0" applyFont="1" applyFill="1" applyBorder="1"/>
    <xf numFmtId="164" fontId="8" fillId="5" borderId="2" xfId="0" applyNumberFormat="1" applyFont="1" applyFill="1" applyBorder="1"/>
    <xf numFmtId="11" fontId="16" fillId="0" borderId="0" xfId="0" applyNumberFormat="1" applyFont="1"/>
    <xf numFmtId="11" fontId="8" fillId="0" borderId="0" xfId="0" applyNumberFormat="1" applyFont="1"/>
    <xf numFmtId="11" fontId="8" fillId="5" borderId="2" xfId="0" applyNumberFormat="1" applyFont="1" applyFill="1" applyBorder="1"/>
    <xf numFmtId="0" fontId="0" fillId="0" borderId="0" xfId="0" applyAlignment="1">
      <alignment horizontal="left"/>
    </xf>
    <xf numFmtId="164" fontId="14" fillId="0" borderId="0" xfId="0" applyNumberFormat="1" applyFont="1" applyAlignment="1">
      <alignment vertical="center"/>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165" fontId="14" fillId="0" borderId="0" xfId="0" applyNumberFormat="1" applyFont="1" applyAlignment="1">
      <alignment vertical="center"/>
    </xf>
    <xf numFmtId="3" fontId="0" fillId="0" borderId="0" xfId="0" applyNumberFormat="1" applyAlignment="1">
      <alignment horizontal="left" vertical="top"/>
    </xf>
    <xf numFmtId="3" fontId="0" fillId="4" borderId="0" xfId="0" applyNumberFormat="1" applyFill="1"/>
    <xf numFmtId="164" fontId="16"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11" fontId="8" fillId="5" borderId="0" xfId="0" applyNumberFormat="1" applyFont="1" applyFill="1"/>
    <xf numFmtId="0" fontId="8" fillId="3" borderId="0" xfId="0" applyFont="1" applyFill="1"/>
    <xf numFmtId="11" fontId="0" fillId="0" borderId="0" xfId="0" applyNumberFormat="1"/>
    <xf numFmtId="0" fontId="13" fillId="7" borderId="0" xfId="0" applyFont="1" applyFill="1"/>
    <xf numFmtId="0" fontId="12" fillId="7" borderId="0" xfId="0" applyFont="1" applyFill="1"/>
    <xf numFmtId="166" fontId="12" fillId="7" borderId="0" xfId="0" applyNumberFormat="1" applyFont="1" applyFill="1"/>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3" fillId="3" borderId="0" xfId="0" applyFont="1" applyFill="1"/>
    <xf numFmtId="166" fontId="13" fillId="3" borderId="0" xfId="0" applyNumberFormat="1" applyFont="1" applyFill="1"/>
    <xf numFmtId="0" fontId="11" fillId="7" borderId="0" xfId="0" applyFont="1" applyFill="1"/>
    <xf numFmtId="0" fontId="10" fillId="3" borderId="0" xfId="0" applyFont="1" applyFill="1"/>
    <xf numFmtId="11" fontId="10" fillId="0" borderId="0" xfId="0" applyNumberFormat="1" applyFont="1"/>
    <xf numFmtId="0" fontId="4" fillId="0" borderId="0" xfId="0" applyFont="1" applyAlignment="1">
      <alignment horizontal="left"/>
    </xf>
    <xf numFmtId="0" fontId="13"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8" fillId="4" borderId="0" xfId="0" applyFont="1" applyFill="1"/>
    <xf numFmtId="166" fontId="0" fillId="2" borderId="0" xfId="0" applyNumberFormat="1" applyFill="1" applyAlignment="1">
      <alignment vertical="center" wrapText="1"/>
    </xf>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1" xfId="0" applyNumberFormat="1" applyBorder="1"/>
    <xf numFmtId="164" fontId="14"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10" fillId="7" borderId="0" xfId="0" applyFont="1" applyFill="1"/>
    <xf numFmtId="0" fontId="18" fillId="0" borderId="0" xfId="0" applyFont="1"/>
    <xf numFmtId="3" fontId="7" fillId="0" borderId="0" xfId="0" applyNumberFormat="1" applyFont="1"/>
    <xf numFmtId="167" fontId="7" fillId="0" borderId="0" xfId="0" applyNumberFormat="1" applyFont="1"/>
    <xf numFmtId="0" fontId="7" fillId="0" borderId="0" xfId="0" applyFont="1" applyAlignment="1">
      <alignment vertical="center"/>
    </xf>
    <xf numFmtId="0" fontId="15" fillId="0" borderId="0" xfId="0" applyFont="1"/>
    <xf numFmtId="0" fontId="19"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4" fillId="0" borderId="0" xfId="0" applyNumberFormat="1" applyFont="1"/>
    <xf numFmtId="169" fontId="14" fillId="0" borderId="0" xfId="0" applyNumberFormat="1" applyFont="1"/>
    <xf numFmtId="11" fontId="14" fillId="0" borderId="0" xfId="0" applyNumberFormat="1" applyFont="1"/>
    <xf numFmtId="0" fontId="8" fillId="5" borderId="2"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 fillId="0" borderId="0" xfId="0" applyFont="1" applyAlignment="1">
      <alignment horizontal="left"/>
    </xf>
    <xf numFmtId="2" fontId="8" fillId="4" borderId="0" xfId="0" applyNumberFormat="1" applyFont="1" applyFill="1"/>
    <xf numFmtId="0" fontId="14" fillId="0" borderId="0" xfId="0" applyFont="1" applyAlignment="1">
      <alignment horizontal="right"/>
    </xf>
    <xf numFmtId="0" fontId="14" fillId="0" borderId="0" xfId="0" applyFont="1" applyAlignment="1">
      <alignment horizontal="right" vertical="center"/>
    </xf>
    <xf numFmtId="2" fontId="14" fillId="0" borderId="0" xfId="0" applyNumberFormat="1" applyFont="1" applyAlignment="1">
      <alignment vertical="center"/>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9" fillId="0" borderId="0" xfId="0" applyFont="1" applyAlignment="1">
      <alignment horizontal="left" vertical="center"/>
    </xf>
    <xf numFmtId="0" fontId="19" fillId="0" borderId="0" xfId="0" applyFont="1" applyAlignment="1">
      <alignment vertical="center"/>
    </xf>
    <xf numFmtId="0" fontId="0" fillId="9" borderId="0" xfId="0" applyFill="1"/>
    <xf numFmtId="11" fontId="8" fillId="0" borderId="0" xfId="0" applyNumberFormat="1" applyFont="1" applyAlignment="1">
      <alignment horizontal="right"/>
    </xf>
    <xf numFmtId="1" fontId="8" fillId="0" borderId="0" xfId="0" applyNumberFormat="1" applyFont="1"/>
    <xf numFmtId="0" fontId="20" fillId="0" borderId="0" xfId="0" applyFont="1" applyAlignment="1">
      <alignment horizontal="left" vertical="center" wrapText="1"/>
    </xf>
    <xf numFmtId="0" fontId="0" fillId="8" borderId="0" xfId="0" applyFill="1"/>
    <xf numFmtId="4" fontId="0" fillId="4" borderId="0" xfId="0" applyNumberFormat="1" applyFill="1"/>
    <xf numFmtId="0" fontId="0" fillId="4" borderId="2" xfId="0" applyFill="1" applyBorder="1" applyAlignment="1">
      <alignment horizontal="left" vertical="top"/>
    </xf>
    <xf numFmtId="0" fontId="8" fillId="4" borderId="2" xfId="0" applyFont="1" applyFill="1" applyBorder="1"/>
    <xf numFmtId="3" fontId="0" fillId="4" borderId="2" xfId="0" applyNumberFormat="1" applyFill="1" applyBorder="1"/>
    <xf numFmtId="11" fontId="8" fillId="4" borderId="2" xfId="0" applyNumberFormat="1" applyFont="1" applyFill="1" applyBorder="1" applyAlignment="1">
      <alignment horizontal="left" vertical="top"/>
    </xf>
    <xf numFmtId="164" fontId="8" fillId="4" borderId="2" xfId="0" applyNumberFormat="1" applyFont="1" applyFill="1" applyBorder="1"/>
    <xf numFmtId="164" fontId="10" fillId="4" borderId="2" xfId="0" applyNumberFormat="1" applyFont="1" applyFill="1" applyBorder="1"/>
    <xf numFmtId="11" fontId="8" fillId="4" borderId="3" xfId="0" applyNumberFormat="1" applyFont="1" applyFill="1" applyBorder="1" applyAlignment="1">
      <alignment horizontal="left" vertical="top"/>
    </xf>
    <xf numFmtId="2" fontId="8" fillId="4" borderId="4" xfId="0" applyNumberFormat="1" applyFont="1" applyFill="1" applyBorder="1"/>
    <xf numFmtId="171" fontId="14" fillId="0" borderId="0" xfId="0" applyNumberFormat="1" applyFont="1"/>
    <xf numFmtId="170" fontId="14" fillId="0" borderId="0" xfId="0" applyNumberFormat="1" applyFont="1"/>
    <xf numFmtId="0" fontId="21" fillId="0" borderId="0" xfId="0" applyFont="1" applyAlignment="1">
      <alignment horizontal="left" vertical="center" wrapText="1"/>
    </xf>
    <xf numFmtId="11" fontId="21"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2" fillId="8" borderId="0" xfId="0" applyFont="1" applyFill="1" applyAlignment="1">
      <alignment horizontal="left" vertical="center" wrapText="1"/>
    </xf>
    <xf numFmtId="0" fontId="0" fillId="8" borderId="0" xfId="0" applyFill="1" applyAlignment="1">
      <alignment horizontal="center" vertical="center" wrapText="1"/>
    </xf>
    <xf numFmtId="2" fontId="14" fillId="0" borderId="0" xfId="0" applyNumberFormat="1" applyFont="1" applyAlignment="1">
      <alignment horizontal="right"/>
    </xf>
    <xf numFmtId="0" fontId="0" fillId="5" borderId="2" xfId="0" applyFill="1" applyBorder="1"/>
    <xf numFmtId="2" fontId="18" fillId="0" borderId="0" xfId="0" applyNumberFormat="1" applyFont="1"/>
    <xf numFmtId="0" fontId="22" fillId="5" borderId="2" xfId="0" applyFont="1" applyFill="1" applyBorder="1"/>
    <xf numFmtId="0" fontId="2" fillId="6" borderId="0" xfId="0" applyFont="1" applyFill="1" applyAlignment="1">
      <alignment vertical="center"/>
    </xf>
    <xf numFmtId="2" fontId="0" fillId="11" borderId="0" xfId="0" applyNumberFormat="1" applyFill="1"/>
    <xf numFmtId="0" fontId="0" fillId="4" borderId="2" xfId="0" applyFill="1" applyBorder="1"/>
    <xf numFmtId="2" fontId="8" fillId="4" borderId="5" xfId="0" applyNumberFormat="1" applyFont="1"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0" fillId="0" borderId="0" xfId="0" applyNumberFormat="1" applyAlignment="1">
      <alignment horizontal="right"/>
    </xf>
    <xf numFmtId="11" fontId="14" fillId="0" borderId="0" xfId="0" applyNumberFormat="1" applyFont="1" applyAlignment="1">
      <alignment horizontal="right"/>
    </xf>
    <xf numFmtId="11" fontId="0" fillId="0" borderId="0" xfId="0" applyNumberFormat="1" applyAlignment="1">
      <alignment horizontal="right"/>
    </xf>
    <xf numFmtId="0" fontId="19" fillId="0" borderId="0" xfId="0" applyFont="1" applyAlignment="1">
      <alignment horizontal="left"/>
    </xf>
    <xf numFmtId="164" fontId="8" fillId="4" borderId="6" xfId="0" applyNumberFormat="1" applyFont="1" applyFill="1" applyBorder="1"/>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4" fillId="0" borderId="0" xfId="0" applyFont="1"/>
    <xf numFmtId="3" fontId="24" fillId="0" borderId="0" xfId="0" applyNumberFormat="1" applyFont="1"/>
    <xf numFmtId="0" fontId="19" fillId="8" borderId="0" xfId="0" applyFont="1" applyFill="1"/>
    <xf numFmtId="0" fontId="25" fillId="0" borderId="0" xfId="0" applyFont="1"/>
    <xf numFmtId="0" fontId="24" fillId="8" borderId="0" xfId="0" applyFont="1" applyFill="1"/>
    <xf numFmtId="0" fontId="7" fillId="0" borderId="0" xfId="0" applyFont="1" applyAlignment="1">
      <alignment horizontal="left" vertical="center"/>
    </xf>
    <xf numFmtId="0" fontId="26" fillId="0" borderId="0" xfId="0" applyFont="1"/>
    <xf numFmtId="0" fontId="18" fillId="0" borderId="0" xfId="1" applyFont="1" applyAlignment="1">
      <alignment horizontal="left" vertical="center"/>
    </xf>
    <xf numFmtId="3" fontId="8" fillId="0" borderId="0" xfId="0" applyNumberFormat="1" applyFont="1"/>
    <xf numFmtId="4" fontId="8" fillId="4" borderId="0" xfId="0" applyNumberFormat="1" applyFont="1" applyFill="1"/>
    <xf numFmtId="3" fontId="17" fillId="0" borderId="0" xfId="0" applyNumberFormat="1" applyFont="1"/>
    <xf numFmtId="3" fontId="8" fillId="4" borderId="0" xfId="0" applyNumberFormat="1" applyFont="1" applyFill="1"/>
    <xf numFmtId="170" fontId="10" fillId="0" borderId="0" xfId="0" applyNumberFormat="1" applyFont="1"/>
    <xf numFmtId="167" fontId="8" fillId="0" borderId="0" xfId="0" applyNumberFormat="1" applyFont="1"/>
    <xf numFmtId="172" fontId="17" fillId="0" borderId="0" xfId="0" applyNumberFormat="1" applyFont="1"/>
    <xf numFmtId="166" fontId="10" fillId="0" borderId="0" xfId="0" applyNumberFormat="1" applyFont="1"/>
    <xf numFmtId="0" fontId="23" fillId="0" borderId="0" xfId="0" applyFont="1"/>
    <xf numFmtId="0" fontId="8" fillId="9" borderId="0" xfId="0" applyFont="1" applyFill="1"/>
    <xf numFmtId="0" fontId="14" fillId="8" borderId="0" xfId="0" applyFont="1" applyFill="1"/>
    <xf numFmtId="2" fontId="14" fillId="0" borderId="0" xfId="1" applyNumberFormat="1" applyFont="1" applyAlignment="1">
      <alignment horizontal="right" vertical="center"/>
    </xf>
    <xf numFmtId="0" fontId="24" fillId="4" borderId="0" xfId="0" applyFont="1" applyFill="1"/>
    <xf numFmtId="1" fontId="8" fillId="4" borderId="0" xfId="0" applyNumberFormat="1" applyFont="1" applyFill="1"/>
    <xf numFmtId="165" fontId="14" fillId="0" borderId="0" xfId="1" applyNumberFormat="1" applyFont="1" applyAlignment="1">
      <alignment horizontal="right" vertical="center"/>
    </xf>
    <xf numFmtId="1" fontId="14" fillId="0" borderId="0" xfId="0" applyNumberFormat="1" applyFont="1"/>
    <xf numFmtId="165" fontId="0" fillId="4" borderId="0" xfId="0" applyNumberFormat="1" applyFill="1"/>
    <xf numFmtId="2" fontId="7" fillId="0" borderId="0" xfId="0" applyNumberFormat="1" applyFont="1"/>
    <xf numFmtId="2" fontId="23" fillId="0" borderId="0" xfId="0" applyNumberFormat="1" applyFont="1" applyAlignment="1">
      <alignment horizontal="right" vertical="center" wrapText="1"/>
    </xf>
    <xf numFmtId="165" fontId="23" fillId="0" borderId="0" xfId="0" applyNumberFormat="1" applyFont="1" applyAlignment="1">
      <alignment horizontal="right" vertical="center" wrapText="1"/>
    </xf>
    <xf numFmtId="0" fontId="20" fillId="0" borderId="0" xfId="0" applyFont="1" applyAlignment="1">
      <alignment horizontal="left" vertical="center"/>
    </xf>
    <xf numFmtId="0" fontId="15" fillId="12" borderId="0" xfId="0" applyFont="1" applyFill="1"/>
    <xf numFmtId="0" fontId="8" fillId="6" borderId="0" xfId="1" applyFont="1" applyFill="1" applyAlignment="1">
      <alignment horizontal="left" vertical="center"/>
    </xf>
    <xf numFmtId="0" fontId="18" fillId="4" borderId="0" xfId="1" applyFont="1" applyFill="1" applyAlignment="1">
      <alignment horizontal="left" vertical="center"/>
    </xf>
    <xf numFmtId="0" fontId="27" fillId="0" borderId="0" xfId="1" applyFont="1" applyAlignment="1">
      <alignment horizontal="left" vertical="center"/>
    </xf>
    <xf numFmtId="0" fontId="28" fillId="0" borderId="0" xfId="0" applyFont="1"/>
    <xf numFmtId="2" fontId="0" fillId="4" borderId="0" xfId="0" applyNumberFormat="1" applyFill="1"/>
    <xf numFmtId="171" fontId="0" fillId="0" borderId="0" xfId="0" applyNumberFormat="1"/>
    <xf numFmtId="0" fontId="10" fillId="2" borderId="0" xfId="0" applyFont="1" applyFill="1" applyAlignment="1">
      <alignment horizontal="center" vertical="center" wrapText="1"/>
    </xf>
    <xf numFmtId="49" fontId="0" fillId="0" borderId="0" xfId="0" applyNumberFormat="1" applyAlignment="1">
      <alignment horizontal="left" vertical="top"/>
    </xf>
    <xf numFmtId="2" fontId="82" fillId="0" borderId="0" xfId="0" applyNumberFormat="1" applyFont="1"/>
    <xf numFmtId="2" fontId="82" fillId="0" borderId="0" xfId="0" applyNumberFormat="1" applyFont="1" applyAlignment="1">
      <alignment horizontal="right"/>
    </xf>
    <xf numFmtId="11" fontId="23" fillId="0" borderId="0" xfId="0" applyNumberFormat="1" applyFont="1" applyAlignment="1">
      <alignment horizontal="right" vertical="center"/>
    </xf>
    <xf numFmtId="172" fontId="0" fillId="0" borderId="0" xfId="0" applyNumberFormat="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3" fillId="4" borderId="0" xfId="0" applyFont="1" applyFill="1"/>
    <xf numFmtId="0" fontId="2" fillId="62" borderId="0" xfId="0" applyFont="1" applyFill="1"/>
    <xf numFmtId="0" fontId="0" fillId="62" borderId="0" xfId="0" applyFill="1"/>
    <xf numFmtId="166" fontId="2" fillId="62" borderId="0" xfId="0" applyNumberFormat="1" applyFont="1" applyFill="1" applyAlignment="1">
      <alignment horizontal="left" vertical="center"/>
    </xf>
    <xf numFmtId="166" fontId="0" fillId="62" borderId="0" xfId="0" applyNumberFormat="1" applyFill="1" applyAlignment="1">
      <alignment horizontal="center" vertical="center" wrapText="1"/>
    </xf>
    <xf numFmtId="166" fontId="0" fillId="62" borderId="0" xfId="0" applyNumberFormat="1" applyFill="1"/>
    <xf numFmtId="166" fontId="2" fillId="62" borderId="0" xfId="0" applyNumberFormat="1" applyFont="1" applyFill="1"/>
    <xf numFmtId="0" fontId="0" fillId="2" borderId="0" xfId="0" applyFill="1" applyAlignment="1">
      <alignment horizontal="left" vertical="center"/>
    </xf>
    <xf numFmtId="0" fontId="0" fillId="2" borderId="0" xfId="0" applyFill="1" applyAlignment="1">
      <alignment horizontal="left" vertical="top" wrapText="1"/>
    </xf>
    <xf numFmtId="0" fontId="2" fillId="2" borderId="0" xfId="0" applyFont="1" applyFill="1" applyAlignment="1">
      <alignment horizontal="left" vertical="center" wrapText="1"/>
    </xf>
    <xf numFmtId="166" fontId="0" fillId="0" borderId="0" xfId="0" applyNumberFormat="1" applyAlignment="1">
      <alignment horizontal="left" vertical="center" wrapText="1"/>
    </xf>
    <xf numFmtId="0" fontId="0" fillId="0" borderId="1" xfId="0" applyBorder="1"/>
    <xf numFmtId="164" fontId="0" fillId="0" borderId="89" xfId="0" applyNumberFormat="1" applyBorder="1"/>
    <xf numFmtId="0" fontId="0" fillId="0" borderId="90" xfId="0" applyBorder="1"/>
    <xf numFmtId="0" fontId="0" fillId="0" borderId="2" xfId="0" applyBorder="1"/>
    <xf numFmtId="164" fontId="0" fillId="0" borderId="2" xfId="0" applyNumberFormat="1" applyBorder="1"/>
    <xf numFmtId="171" fontId="0" fillId="0" borderId="2" xfId="0" applyNumberFormat="1" applyBorder="1"/>
    <xf numFmtId="164" fontId="0" fillId="0" borderId="91" xfId="0" applyNumberFormat="1" applyBorder="1"/>
    <xf numFmtId="166" fontId="2" fillId="0" borderId="0" xfId="0" applyNumberFormat="1" applyFont="1"/>
    <xf numFmtId="166" fontId="0" fillId="0" borderId="0" xfId="0" applyNumberFormat="1" applyAlignment="1">
      <alignment horizontal="center" vertical="center" wrapText="1"/>
    </xf>
    <xf numFmtId="0" fontId="0" fillId="0" borderId="0" xfId="0" applyAlignment="1">
      <alignment horizontal="center" vertical="center" wrapText="1"/>
    </xf>
    <xf numFmtId="168" fontId="0" fillId="0" borderId="0" xfId="0" applyNumberFormat="1"/>
    <xf numFmtId="170" fontId="0" fillId="0" borderId="2" xfId="0" applyNumberFormat="1" applyBorder="1"/>
    <xf numFmtId="164" fontId="2" fillId="0" borderId="0" xfId="0" applyNumberFormat="1" applyFont="1"/>
    <xf numFmtId="170" fontId="8" fillId="0" borderId="0" xfId="0" applyNumberFormat="1" applyFont="1"/>
    <xf numFmtId="2" fontId="14" fillId="10" borderId="0" xfId="1" applyNumberFormat="1" applyFont="1" applyFill="1" applyAlignment="1">
      <alignment horizontal="right" vertical="center"/>
    </xf>
    <xf numFmtId="0" fontId="0" fillId="63" borderId="0" xfId="0" applyFill="1" applyAlignment="1">
      <alignment horizontal="left"/>
    </xf>
    <xf numFmtId="0" fontId="83" fillId="0" borderId="0" xfId="0" applyFont="1" applyAlignment="1">
      <alignment horizontal="left" vertical="center"/>
    </xf>
    <xf numFmtId="0" fontId="84" fillId="0" borderId="0" xfId="0" applyFont="1" applyAlignment="1">
      <alignment horizontal="left" vertical="center"/>
    </xf>
    <xf numFmtId="0" fontId="85" fillId="64" borderId="92" xfId="0" applyFont="1" applyFill="1" applyBorder="1" applyAlignment="1">
      <alignment horizontal="right" vertical="center"/>
    </xf>
    <xf numFmtId="0" fontId="84" fillId="65" borderId="92" xfId="0" applyFont="1" applyFill="1" applyBorder="1" applyAlignment="1">
      <alignment horizontal="left" vertical="center"/>
    </xf>
    <xf numFmtId="0" fontId="0" fillId="66" borderId="0" xfId="0" applyFill="1"/>
    <xf numFmtId="0" fontId="84" fillId="67" borderId="92" xfId="0" applyFont="1" applyFill="1" applyBorder="1" applyAlignment="1">
      <alignment horizontal="left" vertical="center"/>
    </xf>
    <xf numFmtId="175" fontId="83" fillId="68" borderId="0" xfId="0" applyNumberFormat="1" applyFont="1" applyFill="1" applyAlignment="1">
      <alignment horizontal="right" vertical="center" shrinkToFit="1"/>
    </xf>
    <xf numFmtId="3" fontId="83" fillId="68" borderId="0" xfId="0" applyNumberFormat="1" applyFont="1" applyFill="1" applyAlignment="1">
      <alignment horizontal="right" vertical="center" shrinkToFit="1"/>
    </xf>
    <xf numFmtId="3" fontId="83" fillId="0" borderId="0" xfId="0" applyNumberFormat="1" applyFont="1" applyAlignment="1">
      <alignment horizontal="right" vertical="center" shrinkToFit="1"/>
    </xf>
    <xf numFmtId="175" fontId="83" fillId="0" borderId="0" xfId="0" applyNumberFormat="1" applyFont="1" applyAlignment="1">
      <alignment horizontal="right" vertical="center" shrinkToFit="1"/>
    </xf>
    <xf numFmtId="0" fontId="85" fillId="64" borderId="92" xfId="0" applyFont="1" applyFill="1" applyBorder="1" applyAlignment="1">
      <alignment horizontal="left" vertical="center"/>
    </xf>
    <xf numFmtId="1" fontId="0" fillId="0" borderId="0" xfId="0" applyNumberFormat="1"/>
    <xf numFmtId="0" fontId="0" fillId="8" borderId="1" xfId="0" applyFill="1" applyBorder="1"/>
    <xf numFmtId="0" fontId="0" fillId="8" borderId="89" xfId="0" applyFill="1" applyBorder="1"/>
    <xf numFmtId="3" fontId="0" fillId="0" borderId="1" xfId="0" applyNumberFormat="1" applyBorder="1"/>
    <xf numFmtId="1" fontId="0" fillId="0" borderId="89" xfId="0" applyNumberFormat="1" applyBorder="1"/>
    <xf numFmtId="3" fontId="0" fillId="0" borderId="90" xfId="0" applyNumberFormat="1" applyBorder="1"/>
    <xf numFmtId="3" fontId="0" fillId="0" borderId="2" xfId="0" applyNumberFormat="1" applyBorder="1"/>
    <xf numFmtId="1" fontId="0" fillId="0" borderId="2" xfId="0" applyNumberFormat="1" applyBorder="1"/>
    <xf numFmtId="1" fontId="0" fillId="0" borderId="91" xfId="0" applyNumberFormat="1" applyBorder="1"/>
    <xf numFmtId="0" fontId="0" fillId="0" borderId="93" xfId="0" applyBorder="1" applyAlignment="1">
      <alignment horizontal="left" vertical="top"/>
    </xf>
    <xf numFmtId="0" fontId="8" fillId="0" borderId="93" xfId="0" applyFont="1" applyBorder="1"/>
    <xf numFmtId="3" fontId="0" fillId="0" borderId="93" xfId="0" applyNumberFormat="1" applyBorder="1"/>
    <xf numFmtId="3" fontId="0" fillId="0" borderId="93" xfId="0" applyNumberFormat="1" applyBorder="1" applyAlignment="1">
      <alignment horizontal="left" vertical="top"/>
    </xf>
    <xf numFmtId="164" fontId="8" fillId="0" borderId="93" xfId="0" applyNumberFormat="1" applyFont="1" applyBorder="1"/>
    <xf numFmtId="164" fontId="0" fillId="0" borderId="93" xfId="0" applyNumberFormat="1" applyBorder="1"/>
    <xf numFmtId="0" fontId="0" fillId="0" borderId="93" xfId="0" applyBorder="1"/>
    <xf numFmtId="0" fontId="10" fillId="0" borderId="93" xfId="0" applyFont="1" applyBorder="1"/>
    <xf numFmtId="0" fontId="0" fillId="8" borderId="94" xfId="0" applyFill="1" applyBorder="1"/>
    <xf numFmtId="0" fontId="0" fillId="8" borderId="93" xfId="0" applyFill="1" applyBorder="1"/>
    <xf numFmtId="0" fontId="0" fillId="8" borderId="95" xfId="0" applyFill="1" applyBorder="1"/>
    <xf numFmtId="11" fontId="14" fillId="0" borderId="93" xfId="0" applyNumberFormat="1" applyFont="1" applyBorder="1" applyAlignment="1">
      <alignment horizontal="right"/>
    </xf>
    <xf numFmtId="166" fontId="14" fillId="0" borderId="93" xfId="0" applyNumberFormat="1" applyFont="1" applyBorder="1"/>
    <xf numFmtId="169" fontId="14" fillId="0" borderId="93" xfId="0" applyNumberFormat="1" applyFont="1" applyBorder="1"/>
    <xf numFmtId="2" fontId="14" fillId="0" borderId="93" xfId="0" applyNumberFormat="1" applyFont="1" applyBorder="1"/>
    <xf numFmtId="0" fontId="14" fillId="0" borderId="93" xfId="0" applyFont="1" applyBorder="1"/>
    <xf numFmtId="11" fontId="14" fillId="0" borderId="93" xfId="0" applyNumberFormat="1" applyFont="1" applyBorder="1"/>
    <xf numFmtId="49" fontId="0" fillId="0" borderId="93" xfId="0" applyNumberFormat="1" applyBorder="1"/>
    <xf numFmtId="0" fontId="8" fillId="0" borderId="93" xfId="0" applyFont="1" applyBorder="1" applyAlignment="1">
      <alignment horizontal="left"/>
    </xf>
    <xf numFmtId="0" fontId="0" fillId="0" borderId="94" xfId="0" applyBorder="1"/>
    <xf numFmtId="164" fontId="0" fillId="0" borderId="95" xfId="0" applyNumberFormat="1" applyBorder="1"/>
    <xf numFmtId="49" fontId="0" fillId="0" borderId="96" xfId="0" applyNumberFormat="1" applyBorder="1"/>
    <xf numFmtId="0" fontId="0" fillId="0" borderId="97" xfId="0" applyBorder="1"/>
    <xf numFmtId="2" fontId="0" fillId="0" borderId="97" xfId="0" applyNumberFormat="1" applyBorder="1"/>
    <xf numFmtId="170" fontId="0" fillId="0" borderId="97" xfId="0" applyNumberFormat="1" applyBorder="1"/>
    <xf numFmtId="11" fontId="0" fillId="0" borderId="97" xfId="0" applyNumberFormat="1" applyBorder="1"/>
    <xf numFmtId="0" fontId="0" fillId="0" borderId="96" xfId="0" applyBorder="1"/>
    <xf numFmtId="11" fontId="16" fillId="0" borderId="0" xfId="0" applyNumberFormat="1" applyFont="1" applyAlignment="1">
      <alignment horizontal="right" vertical="center"/>
    </xf>
    <xf numFmtId="0" fontId="16" fillId="0" borderId="0" xfId="0" applyFont="1"/>
    <xf numFmtId="2" fontId="16" fillId="0" borderId="0" xfId="0" applyNumberFormat="1" applyFont="1" applyAlignment="1">
      <alignment horizontal="right" vertical="center"/>
    </xf>
    <xf numFmtId="0" fontId="0" fillId="4" borderId="0" xfId="0" applyFont="1" applyFill="1"/>
  </cellXfs>
  <cellStyles count="4137">
    <cellStyle name="???????????" xfId="40" xr:uid="{B3737F8C-5BBF-43DA-BFB5-E448747EB133}"/>
    <cellStyle name="20 % - Akzent1" xfId="988" hidden="1" xr:uid="{F59D8373-3F50-42A7-A566-49C6DECA2850}"/>
    <cellStyle name="20 % - Akzent1" xfId="3492" hidden="1" xr:uid="{75F3E38E-5A74-4D45-832E-B03521ED3962}"/>
    <cellStyle name="20 % - Akzent1" xfId="1402" hidden="1" xr:uid="{1DF0C5EB-D7BA-4231-B039-E3DE7A8DDCE5}"/>
    <cellStyle name="20 % - Akzent1" xfId="2826" hidden="1" xr:uid="{9DE3C3D0-48B9-4A4E-98B3-CD79604AA572}"/>
    <cellStyle name="20 % - Akzent1" xfId="934" hidden="1" xr:uid="{430DD324-A2EF-4AEA-99ED-C928B4B1F605}"/>
    <cellStyle name="20 % - Akzent1" xfId="2278" hidden="1" xr:uid="{2B43C1CE-DC7A-4996-A51A-7B9A0D939BA0}"/>
    <cellStyle name="20 % - Akzent1" xfId="1226" hidden="1" xr:uid="{E5D6FA96-0C69-4AD3-9C53-48C8CB9D33A4}"/>
    <cellStyle name="20 % - Akzent1" xfId="1787" hidden="1" xr:uid="{C4F29710-0289-4D26-8FD1-3229118900E8}"/>
    <cellStyle name="20 % - Akzent1" xfId="1638" hidden="1" xr:uid="{28D87D2A-8980-444B-B1F7-78B911144BE9}"/>
    <cellStyle name="20 % - Akzent1" xfId="63" hidden="1" xr:uid="{294F9020-E457-4E27-A0BB-1215B6DD3520}"/>
    <cellStyle name="20 % - Akzent1" xfId="3483" hidden="1" xr:uid="{1B1794E2-9AF3-4893-8A21-1BD27D0745D3}"/>
    <cellStyle name="20 % - Akzent1" xfId="1434" hidden="1" xr:uid="{BE030A9F-9DB3-43C2-AF2A-B42E29693926}"/>
    <cellStyle name="20 % - Akzent1" xfId="3226" hidden="1" xr:uid="{9332B7D5-9CF8-4196-AED6-D15063F43216}"/>
    <cellStyle name="20 % - Akzent1" xfId="1453" hidden="1" xr:uid="{0EFBF497-A7E6-422B-9431-25CB8748C2B5}"/>
    <cellStyle name="20 % - Akzent1" xfId="2846" hidden="1" xr:uid="{FFBA8643-7F44-4FD3-B683-F417E61390C8}"/>
    <cellStyle name="20 % - Akzent1" xfId="2809" hidden="1" xr:uid="{99C5C454-5E32-4242-A4D0-08EA5CA0962D}"/>
    <cellStyle name="20 % - Akzent1 2" xfId="391" xr:uid="{1826E2F4-BE7D-425B-ABD1-49B125C8EFEE}"/>
    <cellStyle name="20 % - Akzent1 3" xfId="260" xr:uid="{7C24D18A-DF07-430A-BA2A-098F34B31072}"/>
    <cellStyle name="20 % - Akzent2" xfId="2712" hidden="1" xr:uid="{E7E0E5F9-FE89-4D64-967E-D7ECD0751CA6}"/>
    <cellStyle name="20 % - Akzent2" xfId="4017" hidden="1" xr:uid="{4BAF9FCE-DEF0-4521-BBFF-C30B1302F141}"/>
    <cellStyle name="20 % - Akzent2" xfId="67" hidden="1" xr:uid="{94126572-F026-4D77-9AA5-49508E66172B}"/>
    <cellStyle name="20 % - Akzent2" xfId="2987" hidden="1" xr:uid="{C0323081-89C3-4736-B1E0-E1505C6870FA}"/>
    <cellStyle name="20 % - Akzent2" xfId="1217" hidden="1" xr:uid="{B0FB3FDE-DD7B-4ADF-8AC4-7E183C1E107C}"/>
    <cellStyle name="20 % - Akzent2" xfId="1625" hidden="1" xr:uid="{B70595D0-CAA8-4149-859C-7AB6402ABE0E}"/>
    <cellStyle name="20 % - Akzent2" xfId="3186" hidden="1" xr:uid="{5C1E386B-5CC5-424B-A487-CA6ADEC5B193}"/>
    <cellStyle name="20 % - Akzent2" xfId="3349" hidden="1" xr:uid="{054255DA-D55B-4226-98C8-22F2AA9041B6}"/>
    <cellStyle name="20 % - Akzent2" xfId="1354" hidden="1" xr:uid="{18023851-6164-4DD1-87A8-D06C87BBAE9C}"/>
    <cellStyle name="20 % - Akzent2" xfId="1225" hidden="1" xr:uid="{24D65BD8-5CF1-433F-9CD7-E48E23CE2942}"/>
    <cellStyle name="20 % - Akzent2" xfId="3969" hidden="1" xr:uid="{5F905622-FAD1-4802-85F3-2DBC0A066E7F}"/>
    <cellStyle name="20 % - Akzent2" xfId="3895" hidden="1" xr:uid="{6567C57D-230D-4256-B2F9-404D32BB0E40}"/>
    <cellStyle name="20 % - Akzent2" xfId="3102" hidden="1" xr:uid="{73FBEB8A-3F46-40A4-AA66-AE44FE5D20FE}"/>
    <cellStyle name="20 % - Akzent2" xfId="3080" hidden="1" xr:uid="{4EBEDD8E-C944-4B69-B492-4DBDE87E3EC1}"/>
    <cellStyle name="20 % - Akzent2" xfId="1585" hidden="1" xr:uid="{5EF82B88-FF04-4013-8F1D-DD248EC71ECD}"/>
    <cellStyle name="20 % - Akzent2" xfId="992" hidden="1" xr:uid="{D7053638-AD08-4EE1-BA02-234357509671}"/>
    <cellStyle name="20 % - Akzent2 2" xfId="392" xr:uid="{0BDC5685-DB08-4F96-97C8-37DD9BA83E2F}"/>
    <cellStyle name="20 % - Akzent2 3" xfId="261" xr:uid="{C387E9CF-C492-41B8-A712-83C2D768E2F4}"/>
    <cellStyle name="20 % - Akzent3" xfId="1549" hidden="1" xr:uid="{3684A883-5ED6-4657-B300-551D65B4C8BD}"/>
    <cellStyle name="20 % - Akzent3" xfId="996" hidden="1" xr:uid="{5F32CBBB-9FDB-490A-955D-49B881E7BD52}"/>
    <cellStyle name="20 % - Akzent3" xfId="1207" hidden="1" xr:uid="{064D2085-E5AF-4E68-A9DE-D47ABEC3B04B}"/>
    <cellStyle name="20 % - Akzent3" xfId="2904" hidden="1" xr:uid="{C4596E59-1A6A-411E-9952-AE43C590C08D}"/>
    <cellStyle name="20 % - Akzent3" xfId="1576" hidden="1" xr:uid="{2392D884-B7E1-4C96-93AA-A8A925C97038}"/>
    <cellStyle name="20 % - Akzent3" xfId="2843" hidden="1" xr:uid="{DA2D9A11-C122-4168-B7A2-4AAFC0B1EEB3}"/>
    <cellStyle name="20 % - Akzent3" xfId="3306" hidden="1" xr:uid="{44C0B3A9-53F6-4C70-9E64-26D0E35BB114}"/>
    <cellStyle name="20 % - Akzent3" xfId="3491" hidden="1" xr:uid="{48AB09CD-007B-402C-9689-85B8A5C56F36}"/>
    <cellStyle name="20 % - Akzent3" xfId="1107" hidden="1" xr:uid="{7D1B331B-579A-4819-BCA0-BB3224969AE0}"/>
    <cellStyle name="20 % - Akzent3" xfId="71" hidden="1" xr:uid="{0B0ECEEC-9BE3-4527-9CC1-164FFC6F5BBF}"/>
    <cellStyle name="20 % - Akzent3" xfId="3218" hidden="1" xr:uid="{51A75BCC-8C18-4B45-9765-AF96D0E43444}"/>
    <cellStyle name="20 % - Akzent3" xfId="3260" hidden="1" xr:uid="{4D7A4E70-F8D0-4E56-B6E8-1D9465A854DE}"/>
    <cellStyle name="20 % - Akzent3" xfId="2277" hidden="1" xr:uid="{FC56771D-9E5E-42AE-B0D2-41B4BEBF4A38}"/>
    <cellStyle name="20 % - Akzent3" xfId="1403" hidden="1" xr:uid="{E7B8BE74-499B-4290-85B7-095FE535F59D}"/>
    <cellStyle name="20 % - Akzent3" xfId="3114" hidden="1" xr:uid="{2DB4F6C1-117E-4999-BE61-40354A0DA704}"/>
    <cellStyle name="20 % - Akzent3" xfId="3924" hidden="1" xr:uid="{43F865E5-AA3F-4400-A8BB-7AC5F710DD24}"/>
    <cellStyle name="20 % - Akzent3 2" xfId="393" xr:uid="{C6FD256D-2359-4819-8F33-DA350A6673C1}"/>
    <cellStyle name="20 % - Akzent3 3" xfId="262" xr:uid="{E03D9CC4-89BD-4FE3-94CA-AA5D8F090D7C}"/>
    <cellStyle name="20 % - Akzent4" xfId="75" hidden="1" xr:uid="{CC856B38-A9FE-4193-B8DF-38C41A418545}"/>
    <cellStyle name="20 % - Akzent4" xfId="1396" hidden="1" xr:uid="{5CD7D08B-C847-421F-9C59-993DA27EE5F5}"/>
    <cellStyle name="20 % - Akzent4" xfId="1826" hidden="1" xr:uid="{CF6EEEBC-C602-4D6F-AE2A-CEF4182637FC}"/>
    <cellStyle name="20 % - Akzent4" xfId="999" hidden="1" xr:uid="{7300B01A-705D-40D1-907A-A16A0A6530D1}"/>
    <cellStyle name="20 % - Akzent4" xfId="1704" hidden="1" xr:uid="{036CDA78-7A01-4BFC-B5B0-9C4E6549D99E}"/>
    <cellStyle name="20 % - Akzent4" xfId="1321" hidden="1" xr:uid="{FEBFD02C-56AC-476E-8EFB-DAAB3CDD5E48}"/>
    <cellStyle name="20 % - Akzent4" xfId="1249" hidden="1" xr:uid="{EB567193-0687-42D0-9B8E-DB25CD8A4EF4}"/>
    <cellStyle name="20 % - Akzent4" xfId="1315" hidden="1" xr:uid="{DC865F71-4949-433B-A1DD-22D9205615B3}"/>
    <cellStyle name="20 % - Akzent4" xfId="2244" hidden="1" xr:uid="{21E9829C-06B6-4394-8145-48A21AF044DB}"/>
    <cellStyle name="20 % - Akzent4" xfId="4003" hidden="1" xr:uid="{8C7AE225-6EA0-4D25-ADD4-8409B0CBDBF2}"/>
    <cellStyle name="20 % - Akzent4" xfId="3278" hidden="1" xr:uid="{0530FD0E-EEAD-4827-9EAD-7D8A1D582D9C}"/>
    <cellStyle name="20 % - Akzent4" xfId="1219" hidden="1" xr:uid="{444DFFA7-BE8D-4989-AAF4-E3E5F2483306}"/>
    <cellStyle name="20 % - Akzent4" xfId="3245" hidden="1" xr:uid="{A4246D65-B37D-4D14-9D2C-785D95A287E7}"/>
    <cellStyle name="20 % - Akzent4" xfId="2858" hidden="1" xr:uid="{2684C186-8EBB-412B-8030-A68B03462B1B}"/>
    <cellStyle name="20 % - Akzent4" xfId="3310" hidden="1" xr:uid="{394A9AA9-EDA3-466E-928C-16B56053923C}"/>
    <cellStyle name="20 % - Akzent4" xfId="3231" hidden="1" xr:uid="{8ABDDF3A-E0FE-4F90-8926-61661E6516B4}"/>
    <cellStyle name="20 % - Akzent4 2" xfId="394" xr:uid="{A6054702-09DB-4B87-B230-C4DA17C1B6A9}"/>
    <cellStyle name="20 % - Akzent4 3" xfId="263" xr:uid="{D210F420-D689-4B5B-A3D9-4F97D279BE02}"/>
    <cellStyle name="20 % - Akzent5" xfId="2743" hidden="1" xr:uid="{9E3510E7-12B6-410C-999B-ECAAA64669DF}"/>
    <cellStyle name="20 % - Akzent5" xfId="1337" hidden="1" xr:uid="{8BC862F9-E0C9-4EFB-9092-F3F2B42BCA83}"/>
    <cellStyle name="20 % - Akzent5" xfId="1771" hidden="1" xr:uid="{552AEA75-BDB0-487A-ACB9-C3A88FD7037E}"/>
    <cellStyle name="20 % - Akzent5" xfId="1262" hidden="1" xr:uid="{A54B34D1-89CE-492C-B764-862E9ABC9AB1}"/>
    <cellStyle name="20 % - Akzent5" xfId="2863" hidden="1" xr:uid="{A2998F16-D6F4-439F-9D63-68C73372726A}"/>
    <cellStyle name="20 % - Akzent5" xfId="1002" hidden="1" xr:uid="{A60BDDBC-06E5-474B-AA44-01BF31D7098D}"/>
    <cellStyle name="20 % - Akzent5" xfId="1497" hidden="1" xr:uid="{D8858CCC-3852-4381-8C33-53A75D945CB4}"/>
    <cellStyle name="20 % - Akzent5" xfId="79" hidden="1" xr:uid="{D8585E2B-A7C6-4821-909E-F450B9B05E5F}"/>
    <cellStyle name="20 % - Akzent5" xfId="2902" hidden="1" xr:uid="{168D4E21-DC62-4AF7-A461-C61454154BB8}"/>
    <cellStyle name="20 % - Akzent5" xfId="1099" hidden="1" xr:uid="{30256F97-3FE8-4695-AA65-3216757B55E6}"/>
    <cellStyle name="20 % - Akzent5" xfId="1709" hidden="1" xr:uid="{7D65D8D0-7D45-4A36-9902-3125B314C3CA}"/>
    <cellStyle name="20 % - Akzent5" xfId="3964" hidden="1" xr:uid="{996F96F1-92C8-495D-A32C-5CB153B3C22B}"/>
    <cellStyle name="20 % - Akzent5" xfId="3967" hidden="1" xr:uid="{B18C37DB-A6E5-4C52-B246-CEB6F817AE5A}"/>
    <cellStyle name="20 % - Akzent5" xfId="3117" hidden="1" xr:uid="{73F5A0E6-44E0-414B-AC11-22E48BA2449A}"/>
    <cellStyle name="20 % - Akzent5" xfId="3351" hidden="1" xr:uid="{42846AD1-8C47-44EA-9893-376C2D7F099B}"/>
    <cellStyle name="20 % - Akzent5" xfId="2735" hidden="1" xr:uid="{19FE2E6C-07AF-421A-B500-9F1200F1A4BC}"/>
    <cellStyle name="20 % - Akzent5 2" xfId="395" xr:uid="{8A49C87A-697C-4DA6-9914-C14853E52DFE}"/>
    <cellStyle name="20 % - Akzent5 3" xfId="264" xr:uid="{54823FF5-1849-4786-967F-F95DF3F5F97B}"/>
    <cellStyle name="20 % - Akzent6" xfId="3232" hidden="1" xr:uid="{5ED05C5E-7AE0-4BDF-B8FF-973B3BF8398D}"/>
    <cellStyle name="20 % - Akzent6" xfId="1005" hidden="1" xr:uid="{508DDCD9-46E6-4B27-84B8-04A9E29C1A0B}"/>
    <cellStyle name="20 % - Akzent6" xfId="1090" hidden="1" xr:uid="{61E035CB-2453-4962-A47B-9CDC29CF410F}"/>
    <cellStyle name="20 % - Akzent6" xfId="1426" hidden="1" xr:uid="{E309D807-F7C7-42DA-93A8-DAEF8AEA5020}"/>
    <cellStyle name="20 % - Akzent6" xfId="1469" hidden="1" xr:uid="{54E8EA40-A2FB-45CE-B5F2-1689567337D4}"/>
    <cellStyle name="20 % - Akzent6" xfId="2798" hidden="1" xr:uid="{4EDFB840-9D2F-4A7A-B748-26385D30FE2C}"/>
    <cellStyle name="20 % - Akzent6" xfId="2822" hidden="1" xr:uid="{B9EE446B-DE72-49E4-8226-40471874A61E}"/>
    <cellStyle name="20 % - Akzent6" xfId="83" hidden="1" xr:uid="{159FDFB1-74E7-48DC-95DD-52D82382CA11}"/>
    <cellStyle name="20 % - Akzent6" xfId="3082" hidden="1" xr:uid="{F5EC779F-831F-48BC-A881-A4E39360BB76}"/>
    <cellStyle name="20 % - Akzent6" xfId="3303" hidden="1" xr:uid="{3C918515-5A2D-49F6-8342-A230487680A9}"/>
    <cellStyle name="20 % - Akzent6" xfId="913" hidden="1" xr:uid="{CBAE6959-9448-43A7-BAE7-BDDBD4103B6C}"/>
    <cellStyle name="20 % - Akzent6" xfId="1106" hidden="1" xr:uid="{C78F944B-C5EF-4B10-879F-4C31DB074BAA}"/>
    <cellStyle name="20 % - Akzent6" xfId="1853" hidden="1" xr:uid="{5AC476BA-EB24-408A-960E-9B6B8D2904BC}"/>
    <cellStyle name="20 % - Akzent6" xfId="3989" hidden="1" xr:uid="{7A179757-41EB-4588-A107-56CD6DFDB36B}"/>
    <cellStyle name="20 % - Akzent6" xfId="2684" hidden="1" xr:uid="{2E6086B4-8E43-44C1-9EE0-576FBB201B40}"/>
    <cellStyle name="20 % - Akzent6" xfId="2828" hidden="1" xr:uid="{2147FBDA-C484-4471-8E94-BAE358BFF084}"/>
    <cellStyle name="20 % - Akzent6 2" xfId="396" xr:uid="{034B148E-6548-4B55-A6BA-BC20D97DC320}"/>
    <cellStyle name="20 % - Akzent6 3" xfId="265" xr:uid="{F254C0D2-E76B-4C92-99E3-DCD73BFC94CB}"/>
    <cellStyle name="20% - Accent1 2" xfId="97" xr:uid="{872A2D9F-AE0B-4C3C-88B6-0A8A47DA51C8}"/>
    <cellStyle name="20% - Accent1 3" xfId="217" xr:uid="{91EECE28-4780-4665-97E5-9697EEE4CD99}"/>
    <cellStyle name="20% - Accent2 2" xfId="98" xr:uid="{25172232-CDB6-4F2C-9B46-1E90AAA6EBCF}"/>
    <cellStyle name="20% - Accent2 3" xfId="218" xr:uid="{7D8C98CE-9FD0-4786-8D1A-34933B24B36A}"/>
    <cellStyle name="20% - Accent3 2" xfId="99" xr:uid="{8B89428A-D48D-4D43-80A1-8556521CE4FA}"/>
    <cellStyle name="20% - Accent3 3" xfId="219" xr:uid="{18C4B3BC-6637-4F81-B938-530B2C39E96E}"/>
    <cellStyle name="20% - Accent4 2" xfId="100" xr:uid="{EA83BC61-6253-4496-9696-5C0864E8D980}"/>
    <cellStyle name="20% - Accent4 3" xfId="220" xr:uid="{D91AB515-C37E-4B94-8519-66B8ED6EA6B4}"/>
    <cellStyle name="20% - Accent5 2" xfId="101" xr:uid="{6E608794-649B-447C-ACA6-236F55053E7A}"/>
    <cellStyle name="20% - Accent5 3" xfId="221" xr:uid="{D2382B13-4BB7-40DB-9359-1C6CCFC25DCD}"/>
    <cellStyle name="20% - Accent6 2" xfId="102" xr:uid="{1A7AD27C-0E01-41AC-8F08-C11BA09E6AAE}"/>
    <cellStyle name="20% - Accent6 3" xfId="222" xr:uid="{33C25A8B-42E6-4667-9157-8C0FE65305A2}"/>
    <cellStyle name="2x indented GHG Textfiels" xfId="10" xr:uid="{4A41E8A1-97AD-4BA4-9455-36DBD03782E3}"/>
    <cellStyle name="2x indented GHG Textfiels 2" xfId="103" xr:uid="{76018F3C-1C2B-429E-BF98-8C44AA7EDDBB}"/>
    <cellStyle name="2x indented GHG Textfiels 2 2" xfId="104" xr:uid="{EBE0D506-BCFA-4EC6-8292-1E353F66F994}"/>
    <cellStyle name="2x indented GHG Textfiels 3" xfId="105" xr:uid="{7CF3ED52-ABFD-4AF9-8065-1D9E7E9E9516}"/>
    <cellStyle name="2x indented GHG Textfiels 3 2" xfId="418" xr:uid="{C37CFC73-7397-4721-9379-531AE8CC91A8}"/>
    <cellStyle name="2x indented GHG Textfiels 3 2 2" xfId="548" xr:uid="{CFCCF4ED-E8FB-416E-A936-6284CC0ED695}"/>
    <cellStyle name="2x indented GHG Textfiels 3 2 2 2" xfId="763" xr:uid="{EAE92B02-A315-4C0C-B8C6-31D160352C68}"/>
    <cellStyle name="2x indented GHG Textfiels 3 2 2 2 2" xfId="950" xr:uid="{A5174BB3-3D5D-4C62-92E8-4FCA5CF5A7CD}"/>
    <cellStyle name="2x indented GHG Textfiels 3 2 2 2 3" xfId="2094" xr:uid="{4ACFEA32-2ACF-44CF-A6C9-F8E55EB1A050}"/>
    <cellStyle name="2x indented GHG Textfiels 3 2 2 2 4" xfId="2517" xr:uid="{2AB20447-33FB-4C0E-9494-BA2AC9EA2D42}"/>
    <cellStyle name="2x indented GHG Textfiels 3 2 2 2 5" xfId="1746" xr:uid="{97852F6B-78D1-4C3B-B3C8-73323FF5AA2D}"/>
    <cellStyle name="2x indented GHG Textfiels 3 2 2 2 6" xfId="2664" xr:uid="{DD345B89-DE0D-4AC0-88F0-F4A197AE86DF}"/>
    <cellStyle name="2x indented GHG Textfiels 3 2 2 2 7" xfId="3727" xr:uid="{E26CC5D9-5E39-40C8-A2FE-7FFDBA4A5678}"/>
    <cellStyle name="2x indented GHG Textfiels 3 2 2 2 8" xfId="1839" xr:uid="{2F0541E4-2E6D-4303-83BF-14E601BA0D29}"/>
    <cellStyle name="2x indented GHG Textfiels 3 2 2 3" xfId="1773" xr:uid="{AF7144CD-637A-4557-B789-3BD1758F3455}"/>
    <cellStyle name="2x indented GHG Textfiels 3 2 2 4" xfId="1879" xr:uid="{4B25B0FD-2CEC-43A3-BBB8-E623171ED168}"/>
    <cellStyle name="2x indented GHG Textfiels 3 2 2 5" xfId="2303" xr:uid="{8B063768-88D2-44AF-8DD6-262964218B60}"/>
    <cellStyle name="2x indented GHG Textfiels 3 2 2 6" xfId="2976" xr:uid="{D375A250-E3B9-4342-92DA-83BB8F95FAA1}"/>
    <cellStyle name="2x indented GHG Textfiels 3 2 2 7" xfId="3248" xr:uid="{A8EFB18B-4351-47D2-AC0D-D60F8477D75C}"/>
    <cellStyle name="2x indented GHG Textfiels 3 2 2 8" xfId="3515" xr:uid="{DAE38817-07C2-4E70-9B4B-036BC49F6104}"/>
    <cellStyle name="2x indented GHG Textfiels 3 2 2 9" xfId="3925" xr:uid="{270C563C-3F2D-49E7-81D0-C4F0D5302FC9}"/>
    <cellStyle name="2x indented GHG Textfiels 3 2 3" xfId="726" xr:uid="{731EB579-CCDA-4EF1-A3A1-154203AFE8E2}"/>
    <cellStyle name="2x indented GHG Textfiels 3 2 3 2" xfId="919" xr:uid="{D1CD5B98-EBBA-41C5-8C53-6B954F02E211}"/>
    <cellStyle name="2x indented GHG Textfiels 3 2 3 3" xfId="2057" xr:uid="{D28EBB0E-C307-494D-900C-EE53C2C6A1C6}"/>
    <cellStyle name="2x indented GHG Textfiels 3 2 3 4" xfId="2480" xr:uid="{C29367B1-5B9A-4B7E-B23B-BADA1E258CC0}"/>
    <cellStyle name="2x indented GHG Textfiels 3 2 3 5" xfId="2968" xr:uid="{51BF15EB-C2B2-4816-8E95-A75EEE133DB5}"/>
    <cellStyle name="2x indented GHG Textfiels 3 2 3 6" xfId="3007" xr:uid="{D870AA8C-25C2-4B6B-BF9A-E92DB96E1FFF}"/>
    <cellStyle name="2x indented GHG Textfiels 3 2 3 7" xfId="3690" xr:uid="{C65548D9-F9B7-446A-916C-773F816FA045}"/>
    <cellStyle name="2x indented GHG Textfiels 3 2 3 8" xfId="4021" xr:uid="{A0B429A8-7EFC-4C75-BA76-09FD36DEA8DD}"/>
    <cellStyle name="2x indented GHG Textfiels 3 3" xfId="366" xr:uid="{6B484657-BBF6-48D9-BFE5-D5111F8070BD}"/>
    <cellStyle name="2x indented GHG Textfiels 3 3 10" xfId="1629" xr:uid="{2D1B604B-F5FC-4443-943D-63A5EC6C5BC4}"/>
    <cellStyle name="2x indented GHG Textfiels 3 3 11" xfId="3960" xr:uid="{5EF55805-23AE-4827-A3D3-5FE8D08B981F}"/>
    <cellStyle name="2x indented GHG Textfiels 3 3 2" xfId="653" xr:uid="{5BDAD555-D1AA-4F0C-88EF-0D7AF18B27EA}"/>
    <cellStyle name="2x indented GHG Textfiels 3 3 2 2" xfId="868" xr:uid="{13EB434C-51C3-4D17-9AF1-68AC9B1AFE82}"/>
    <cellStyle name="2x indented GHG Textfiels 3 3 2 2 2" xfId="1022" xr:uid="{DE3F6FE8-7F25-4AD9-949D-200508A40177}"/>
    <cellStyle name="2x indented GHG Textfiels 3 3 2 2 3" xfId="2199" xr:uid="{F67606FE-19BA-499C-A1B3-0143A718246F}"/>
    <cellStyle name="2x indented GHG Textfiels 3 3 2 2 4" xfId="2622" xr:uid="{BA918D7A-943A-494D-8498-ABA703A0540E}"/>
    <cellStyle name="2x indented GHG Textfiels 3 3 2 2 5" xfId="1690" xr:uid="{F6A3FF90-2796-4372-968E-CD49060386AD}"/>
    <cellStyle name="2x indented GHG Textfiels 3 3 2 2 6" xfId="971" xr:uid="{9CCF3C56-4580-4B94-BE1A-8E1BE183D2B1}"/>
    <cellStyle name="2x indented GHG Textfiels 3 3 2 2 7" xfId="3832" xr:uid="{7FF808AA-A8D3-49AF-A799-FAAC70F3FB11}"/>
    <cellStyle name="2x indented GHG Textfiels 3 3 2 2 8" xfId="3984" xr:uid="{FFAB4630-1464-423C-9BAA-9B90BFD3D733}"/>
    <cellStyle name="2x indented GHG Textfiels 3 3 2 3" xfId="1507" xr:uid="{5C241C9C-4995-44E3-9962-56F7FF1CBBC7}"/>
    <cellStyle name="2x indented GHG Textfiels 3 3 2 4" xfId="1984" xr:uid="{F2B864D0-30AD-4521-B416-4736215666FE}"/>
    <cellStyle name="2x indented GHG Textfiels 3 3 2 5" xfId="2408" xr:uid="{D444713B-AB13-4085-BC5C-75F9808C57CE}"/>
    <cellStyle name="2x indented GHG Textfiels 3 3 2 6" xfId="2738" xr:uid="{71A93263-92D7-4A9D-856D-CD837C507B90}"/>
    <cellStyle name="2x indented GHG Textfiels 3 3 2 7" xfId="1261" xr:uid="{37CDD3D2-A8E8-4949-9F21-4671A50286A7}"/>
    <cellStyle name="2x indented GHG Textfiels 3 3 2 8" xfId="3620" xr:uid="{A2E3681E-C4D6-438E-B0AF-F75A2E767432}"/>
    <cellStyle name="2x indented GHG Textfiels 3 3 2 9" xfId="3375" xr:uid="{39A652A3-D3F3-4C29-A15C-EE2A7366F7CA}"/>
    <cellStyle name="2x indented GHG Textfiels 3 3 3" xfId="655" xr:uid="{AAFE6CD1-BA09-4B99-B35E-0AD08A16C3D0}"/>
    <cellStyle name="2x indented GHG Textfiels 3 3 3 2" xfId="870" xr:uid="{03643A97-C6BE-4D95-90FA-E09B7396D6FE}"/>
    <cellStyle name="2x indented GHG Textfiels 3 3 3 2 2" xfId="1021" xr:uid="{9F1C3E39-4556-4E2D-8643-813C9CEFB281}"/>
    <cellStyle name="2x indented GHG Textfiels 3 3 3 2 3" xfId="2201" xr:uid="{7CE1E686-17A6-45AD-9355-0475465A8BF7}"/>
    <cellStyle name="2x indented GHG Textfiels 3 3 3 2 4" xfId="2624" xr:uid="{215F5CD2-B332-4B8F-AAE4-E15FE3DC6AE5}"/>
    <cellStyle name="2x indented GHG Textfiels 3 3 3 2 5" xfId="2697" xr:uid="{0D33CCBE-8460-4B8A-BE46-7D266242178D}"/>
    <cellStyle name="2x indented GHG Textfiels 3 3 3 2 6" xfId="1632" xr:uid="{FAFC9F8A-6979-46FF-9F19-7056C74CDB8A}"/>
    <cellStyle name="2x indented GHG Textfiels 3 3 3 2 7" xfId="3834" xr:uid="{2A031EDB-164C-4384-89F1-89A511C9C8D9}"/>
    <cellStyle name="2x indented GHG Textfiels 3 3 3 2 8" xfId="3963" xr:uid="{1F3D4DB9-A13D-45F0-9CEC-7C122E8DE91C}"/>
    <cellStyle name="2x indented GHG Textfiels 3 3 3 3" xfId="1778" xr:uid="{0B38FAB0-C7FE-4A33-8DB1-912A5DE9E9B0}"/>
    <cellStyle name="2x indented GHG Textfiels 3 3 3 4" xfId="1986" xr:uid="{5F915169-59FD-44E7-8180-0BB0DE045A93}"/>
    <cellStyle name="2x indented GHG Textfiels 3 3 3 5" xfId="2410" xr:uid="{C5A534C1-3372-40C8-8EA3-1FF32E7CEB25}"/>
    <cellStyle name="2x indented GHG Textfiels 3 3 3 6" xfId="2832" xr:uid="{C4F08741-016B-4E75-A6DB-AD5AE57B4BE0}"/>
    <cellStyle name="2x indented GHG Textfiels 3 3 3 7" xfId="3253" xr:uid="{8FBD035C-A89F-4D05-9F19-D1F6A60C33E6}"/>
    <cellStyle name="2x indented GHG Textfiels 3 3 3 8" xfId="3622" xr:uid="{D34937F1-76BB-4747-95CE-CDE3DD1349B0}"/>
    <cellStyle name="2x indented GHG Textfiels 3 3 3 9" xfId="3959" xr:uid="{0F47332D-E343-4797-B869-29B9849F4571}"/>
    <cellStyle name="2x indented GHG Textfiels 3 3 4" xfId="551" xr:uid="{ABD15DC6-46BF-404D-8F6B-DEB50942AD12}"/>
    <cellStyle name="2x indented GHG Textfiels 3 3 4 2" xfId="766" xr:uid="{2850CB4B-F46B-40CC-8182-3573662AE429}"/>
    <cellStyle name="2x indented GHG Textfiels 3 3 4 2 2" xfId="1050" xr:uid="{7E2665BC-C1CE-46BE-B6FD-35F6D0B9673C}"/>
    <cellStyle name="2x indented GHG Textfiels 3 3 4 2 3" xfId="2097" xr:uid="{7C0B6977-DF61-40F8-BD4F-990CAEE2D356}"/>
    <cellStyle name="2x indented GHG Textfiels 3 3 4 2 4" xfId="2520" xr:uid="{9B7A1A3D-5492-435A-8948-57521B57CA95}"/>
    <cellStyle name="2x indented GHG Textfiels 3 3 4 2 5" xfId="1836" xr:uid="{BF106603-1216-4056-8244-6FF424AD1429}"/>
    <cellStyle name="2x indented GHG Textfiels 3 3 4 2 6" xfId="2869" xr:uid="{2A6F39EF-EDF2-469D-94EE-7C5E4A4EAEA2}"/>
    <cellStyle name="2x indented GHG Textfiels 3 3 4 2 7" xfId="3730" xr:uid="{AF3F3D0D-9A1A-4EB0-90F8-D86D924D87E3}"/>
    <cellStyle name="2x indented GHG Textfiels 3 3 4 2 8" xfId="3330" xr:uid="{07CEDF12-CDCB-4435-AD26-AFCF2AB5E7F9}"/>
    <cellStyle name="2x indented GHG Textfiels 3 3 4 3" xfId="1457" xr:uid="{A2BDDAAD-9BDF-4C04-BC13-60ED1D3BAA55}"/>
    <cellStyle name="2x indented GHG Textfiels 3 3 4 4" xfId="1882" xr:uid="{4E920801-8C27-4349-A124-697FC992BB68}"/>
    <cellStyle name="2x indented GHG Textfiels 3 3 4 5" xfId="2306" xr:uid="{9B8FC9C4-3E66-48C6-80BA-05F543C42ACA}"/>
    <cellStyle name="2x indented GHG Textfiels 3 3 4 6" xfId="2975" xr:uid="{249F96E6-C6F5-4EAB-84ED-26D4793A9CB4}"/>
    <cellStyle name="2x indented GHG Textfiels 3 3 4 7" xfId="3277" xr:uid="{55506021-AD31-4555-8296-B13E5F3BFDFA}"/>
    <cellStyle name="2x indented GHG Textfiels 3 3 4 8" xfId="3518" xr:uid="{EA9B2DF3-D3CA-40FA-9AD3-C0D1FFCC0DE7}"/>
    <cellStyle name="2x indented GHG Textfiels 3 3 4 9" xfId="4034" xr:uid="{8024FFBD-523E-45B1-BB51-5B78E7F19DC6}"/>
    <cellStyle name="2x indented GHG Textfiels 3 3 5" xfId="1504" xr:uid="{C318EFDF-A280-40FC-864D-F4E262EDC006}"/>
    <cellStyle name="2x indented GHG Textfiels 3 3 6" xfId="1100" xr:uid="{06DB454B-4774-4E13-A667-AF24689E26DE}"/>
    <cellStyle name="2x indented GHG Textfiels 3 3 7" xfId="1563" xr:uid="{2501EFA9-91DE-47F8-BF47-B2098E450175}"/>
    <cellStyle name="2x indented GHG Textfiels 3 3 8" xfId="1121" xr:uid="{74E2A8E3-2051-4CC6-B9B6-8BDFFC51D904}"/>
    <cellStyle name="2x indented GHG Textfiels 3 3 9" xfId="3374" xr:uid="{84602B95-1283-4E4C-9882-0A6C9701CB25}"/>
    <cellStyle name="40 % - Akzent1" xfId="3126" hidden="1" xr:uid="{FD679F0B-3F5B-457D-9BEA-4545E98BE0B7}"/>
    <cellStyle name="40 % - Akzent1" xfId="1734" hidden="1" xr:uid="{9A6BCC48-0E98-4D06-B2D2-186032BF2BC9}"/>
    <cellStyle name="40 % - Akzent1" xfId="1421" hidden="1" xr:uid="{594FEEC1-9543-438F-A989-53A1B7D0E257}"/>
    <cellStyle name="40 % - Akzent1" xfId="2836" hidden="1" xr:uid="{2D841AE8-3067-4E97-9EEB-0DDEEDC2EDD8}"/>
    <cellStyle name="40 % - Akzent1" xfId="3974" hidden="1" xr:uid="{2B15088C-D292-4993-A562-EA0FB1724E36}"/>
    <cellStyle name="40 % - Akzent1" xfId="1116" hidden="1" xr:uid="{44582A04-3500-4C36-9B0C-4FF5F85B2BD5}"/>
    <cellStyle name="40 % - Akzent1" xfId="3900" hidden="1" xr:uid="{A67FA622-DBC5-471A-BFBE-D63CD831AA8E}"/>
    <cellStyle name="40 % - Akzent1" xfId="3325" hidden="1" xr:uid="{26396C6E-0C74-427F-85B4-DBA3266B73BF}"/>
    <cellStyle name="40 % - Akzent1" xfId="64" hidden="1" xr:uid="{7AC1B919-B5C1-46EE-A305-B21000448BC2}"/>
    <cellStyle name="40 % - Akzent1" xfId="3168" hidden="1" xr:uid="{8FE88B39-5D40-446C-861E-0627C6686C87}"/>
    <cellStyle name="40 % - Akzent1" xfId="958" hidden="1" xr:uid="{44503B94-4A34-4829-ACE6-FA7F6EB468B2}"/>
    <cellStyle name="40 % - Akzent1" xfId="989" hidden="1" xr:uid="{411006BB-A937-4D34-9A87-359EDE7EA980}"/>
    <cellStyle name="40 % - Akzent1" xfId="1537" hidden="1" xr:uid="{196B7E68-C472-4470-896C-F753C1EF3F16}"/>
    <cellStyle name="40 % - Akzent1" xfId="3897" hidden="1" xr:uid="{714283FE-44A1-4122-928C-DA2B82417ACC}"/>
    <cellStyle name="40 % - Akzent1" xfId="1085" hidden="1" xr:uid="{EC03F910-20AD-4C41-92A4-CB64BEAC3CCF}"/>
    <cellStyle name="40 % - Akzent1" xfId="1780" hidden="1" xr:uid="{77E15D25-8CE0-48EB-8CE7-E0DB0C26F239}"/>
    <cellStyle name="40 % - Akzent1 2" xfId="397" xr:uid="{0198E9F9-0511-48B3-AB62-57DEF1CD0233}"/>
    <cellStyle name="40 % - Akzent1 3" xfId="266" xr:uid="{EC60C1A1-202D-4E25-9324-FE8FACA03B54}"/>
    <cellStyle name="40 % - Akzent2" xfId="68" hidden="1" xr:uid="{847EE7B9-A29A-4A35-B1F4-51519F14BFA1}"/>
    <cellStyle name="40 % - Akzent2" xfId="2707" hidden="1" xr:uid="{28A3F95D-7184-4521-9568-280E3E8DCA83}"/>
    <cellStyle name="40 % - Akzent2" xfId="2911" hidden="1" xr:uid="{4ECBDBC9-B9DD-4277-BFA9-92EB147618A9}"/>
    <cellStyle name="40 % - Akzent2" xfId="1204" hidden="1" xr:uid="{8BD3E6D3-E460-42DA-8A48-DF00FE6CD014}"/>
    <cellStyle name="40 % - Akzent2" xfId="1637" hidden="1" xr:uid="{7D94B611-4916-4EEC-A7AE-2A79F83FE773}"/>
    <cellStyle name="40 % - Akzent2" xfId="1103" hidden="1" xr:uid="{A5ED47C3-5A5B-479D-807F-84541ED29601}"/>
    <cellStyle name="40 % - Akzent2" xfId="1401" hidden="1" xr:uid="{CC7C7AE6-5C18-4975-8F58-5379F88876C2}"/>
    <cellStyle name="40 % - Akzent2" xfId="3137" hidden="1" xr:uid="{119FCB9C-26E7-4E47-A990-0BDAA16E0FD6}"/>
    <cellStyle name="40 % - Akzent2" xfId="4067" hidden="1" xr:uid="{D148759A-6004-42A1-8046-9645CFCE48BD}"/>
    <cellStyle name="40 % - Akzent2" xfId="1590" hidden="1" xr:uid="{3D22899C-CA98-453E-8377-B540635D660B}"/>
    <cellStyle name="40 % - Akzent2" xfId="2262" hidden="1" xr:uid="{809A14C5-8AE0-4992-BFD4-5B44C74FA2E2}"/>
    <cellStyle name="40 % - Akzent2" xfId="3347" hidden="1" xr:uid="{CA3A5B93-E743-43FF-A7A8-70F844455F8B}"/>
    <cellStyle name="40 % - Akzent2" xfId="3912" hidden="1" xr:uid="{E7CBDAC9-F697-4A04-8CB2-4F211833DE79}"/>
    <cellStyle name="40 % - Akzent2" xfId="993" hidden="1" xr:uid="{BB44E3C2-BE06-4D84-AE70-6802061B94D2}"/>
    <cellStyle name="40 % - Akzent2" xfId="1691" hidden="1" xr:uid="{C3AE7AC0-0E30-4785-86FF-572AA3C5A806}"/>
    <cellStyle name="40 % - Akzent2" xfId="3246" hidden="1" xr:uid="{4B3B5698-E825-4C0D-9390-7855F93F606D}"/>
    <cellStyle name="40 % - Akzent2 2" xfId="398" xr:uid="{80CB6418-0096-477E-90A2-71B6ED90B82C}"/>
    <cellStyle name="40 % - Akzent2 3" xfId="267" xr:uid="{EB5FEB9B-480A-40E2-8F1B-D33A99F9057A}"/>
    <cellStyle name="40 % - Akzent3" xfId="2737" hidden="1" xr:uid="{C6F1270D-6EEE-4139-8334-A2987AD901F2}"/>
    <cellStyle name="40 % - Akzent3" xfId="2725" hidden="1" xr:uid="{923BE1DD-48BE-4109-BFD6-9A2DCB8CD8DE}"/>
    <cellStyle name="40 % - Akzent3" xfId="997" hidden="1" xr:uid="{2D97A8C2-A810-45AC-8511-EEC610F675E4}"/>
    <cellStyle name="40 % - Akzent3" xfId="72" hidden="1" xr:uid="{F71F80A0-8437-4E54-86FE-638FD70AE1DE}"/>
    <cellStyle name="40 % - Akzent3" xfId="1594" hidden="1" xr:uid="{7FDE16DE-02B7-48FB-B1CA-E0688818779A}"/>
    <cellStyle name="40 % - Akzent3" xfId="1855" hidden="1" xr:uid="{5509A981-C2D3-479A-86A0-5B1F79D19172}"/>
    <cellStyle name="40 % - Akzent3" xfId="1231" hidden="1" xr:uid="{F4FBAA4F-AAA7-44B2-9CF2-32EC3E6D9A9B}"/>
    <cellStyle name="40 % - Akzent3" xfId="70" hidden="1" xr:uid="{D2991B36-6E55-44A6-9639-CE04E2A09C91}"/>
    <cellStyle name="40 % - Akzent3" xfId="4070" hidden="1" xr:uid="{F8D04871-EFBC-4CC8-9D2E-39D36DB2A990}"/>
    <cellStyle name="40 % - Akzent3" xfId="2784" hidden="1" xr:uid="{6893182A-81CB-4EB6-A1E4-2E2034816DAA}"/>
    <cellStyle name="40 % - Akzent3" xfId="3136" hidden="1" xr:uid="{9C81DCE6-D4E2-43FF-973B-D018905C16AE}"/>
    <cellStyle name="40 % - Akzent3" xfId="1353" hidden="1" xr:uid="{F4401748-4DED-4BD6-A248-6A717380D4BC}"/>
    <cellStyle name="40 % - Akzent3" xfId="3211" hidden="1" xr:uid="{AD3FB8AF-8E53-4298-A62D-E5062F0D0849}"/>
    <cellStyle name="40 % - Akzent3" xfId="4009" hidden="1" xr:uid="{00A29621-4A31-40FE-8340-46BB52BF2CA0}"/>
    <cellStyle name="40 % - Akzent3" xfId="1819" hidden="1" xr:uid="{D6C94F9F-AD0F-4463-AA9A-EA445443D581}"/>
    <cellStyle name="40 % - Akzent3" xfId="3212" hidden="1" xr:uid="{BB9A9A40-6A30-4017-8B77-3659BBC52557}"/>
    <cellStyle name="40 % - Akzent3 2" xfId="399" xr:uid="{DB635A73-CD9E-43C4-A7D8-11B83E5EDAE2}"/>
    <cellStyle name="40 % - Akzent3 3" xfId="268" xr:uid="{4B5B0A88-8A14-4DE7-8BDC-3F5FEA23C896}"/>
    <cellStyle name="40 % - Akzent4" xfId="1500" hidden="1" xr:uid="{3FF532B7-62E9-400D-9336-DCB62639D2AF}"/>
    <cellStyle name="40 % - Akzent4" xfId="1358" hidden="1" xr:uid="{EAC9E824-BA5E-48DC-81B7-F3080C9E0A12}"/>
    <cellStyle name="40 % - Akzent4" xfId="1000" hidden="1" xr:uid="{2FC65942-3AB3-4EEF-9E2D-FD4F007D4724}"/>
    <cellStyle name="40 % - Akzent4" xfId="76" hidden="1" xr:uid="{E59486F7-0B99-4BAC-878D-ABDFC3E6E920}"/>
    <cellStyle name="40 % - Akzent4" xfId="2895" hidden="1" xr:uid="{61A55577-590F-489E-ADC4-CBF7D813D6B2}"/>
    <cellStyle name="40 % - Akzent4" xfId="2852" hidden="1" xr:uid="{A84705F8-D6DE-4A9B-9832-E949D8F0BE32}"/>
    <cellStyle name="40 % - Akzent4" xfId="1093" hidden="1" xr:uid="{B75C1596-9E85-47B5-B24B-3C7DBF6E0737}"/>
    <cellStyle name="40 % - Akzent4" xfId="1702" hidden="1" xr:uid="{A3C502FC-B11B-47F0-AD68-BE5426663079}"/>
    <cellStyle name="40 % - Akzent4" xfId="3129" hidden="1" xr:uid="{7E2A6FA6-8CF4-4F16-99D4-927B27F69164}"/>
    <cellStyle name="40 % - Akzent4" xfId="3188" hidden="1" xr:uid="{ED3E6445-CF72-4921-BBCB-66E0689008F1}"/>
    <cellStyle name="40 % - Akzent4" xfId="3298" hidden="1" xr:uid="{7F233EC3-C857-4C72-8805-EA282B46C425}"/>
    <cellStyle name="40 % - Akzent4" xfId="3010" hidden="1" xr:uid="{05365909-A898-4CAE-A53E-F9AD5D44CDE4}"/>
    <cellStyle name="40 % - Akzent4" xfId="1823" hidden="1" xr:uid="{CE9D2869-F2C7-4AA5-AEA7-EDB9CF4D0A34}"/>
    <cellStyle name="40 % - Akzent4" xfId="3346" hidden="1" xr:uid="{5E287F2B-FE7C-4EC4-8770-08417B238F73}"/>
    <cellStyle name="40 % - Akzent4" xfId="3941" hidden="1" xr:uid="{B8B809CB-0765-42B5-B5D6-6328881D0E4D}"/>
    <cellStyle name="40 % - Akzent4" xfId="1847" hidden="1" xr:uid="{ECF7A8EB-D875-4D50-B2E1-E3323EB2144F}"/>
    <cellStyle name="40 % - Akzent4 2" xfId="400" xr:uid="{41A6EABB-3CC8-40EB-BE4C-7B68FB95BCAB}"/>
    <cellStyle name="40 % - Akzent4 3" xfId="269" xr:uid="{5DD62734-330E-4AB0-8811-BB807DB58368}"/>
    <cellStyle name="40 % - Akzent5" xfId="80" hidden="1" xr:uid="{C1A49701-6796-4D6E-A631-FEE07D255629}"/>
    <cellStyle name="40 % - Akzent5" xfId="4036" hidden="1" xr:uid="{4AFD8CBC-3184-48CC-BC3F-45AD5012705E}"/>
    <cellStyle name="40 % - Akzent5" xfId="3467" hidden="1" xr:uid="{449F9E71-3C20-48D4-8D83-8E54E2F1C836}"/>
    <cellStyle name="40 % - Akzent5" xfId="1096" hidden="1" xr:uid="{491DE22A-7556-4165-A281-6D4D9923A7C3}"/>
    <cellStyle name="40 % - Akzent5" xfId="1564" hidden="1" xr:uid="{8A9E0200-599A-49EB-A085-072356D11789}"/>
    <cellStyle name="40 % - Akzent5" xfId="2706" hidden="1" xr:uid="{7962EBFD-AD39-45B4-9A0D-843A71415F0B}"/>
    <cellStyle name="40 % - Akzent5" xfId="1293" hidden="1" xr:uid="{2A168F43-7043-47D4-AF52-C61CBD284FDE}"/>
    <cellStyle name="40 % - Akzent5" xfId="4056" hidden="1" xr:uid="{435490B9-6AC5-4AA0-BB74-BE4460E5C09A}"/>
    <cellStyle name="40 % - Akzent5" xfId="3016" hidden="1" xr:uid="{3DE7C9FC-A4E3-4434-B4ED-CC389BCDDB71}"/>
    <cellStyle name="40 % - Akzent5" xfId="2884" hidden="1" xr:uid="{61A06B7A-F0B7-4523-9D7E-5EE787ACDFD0}"/>
    <cellStyle name="40 % - Akzent5" xfId="1071" hidden="1" xr:uid="{82CCC3BE-2328-43C6-9CD1-D4F20F90D376}"/>
    <cellStyle name="40 % - Akzent5" xfId="1003" hidden="1" xr:uid="{169C730A-2386-4CB2-BB9D-B8C9EB199A73}"/>
    <cellStyle name="40 % - Akzent5" xfId="2273" hidden="1" xr:uid="{C2AC0D36-641A-4894-B33D-B646DC2022D0}"/>
    <cellStyle name="40 % - Akzent5" xfId="3488" hidden="1" xr:uid="{E4640F6F-BF48-4EAF-A494-28282AD8E262}"/>
    <cellStyle name="40 % - Akzent5" xfId="1854" hidden="1" xr:uid="{C1311A65-4D56-4581-A116-6C2E36AF194A}"/>
    <cellStyle name="40 % - Akzent5" xfId="4058" hidden="1" xr:uid="{ED606224-B67C-4330-9BFF-D64DF8634788}"/>
    <cellStyle name="40 % - Akzent5 2" xfId="401" xr:uid="{82AB65BA-F23E-44EA-9338-B3BD691CD49D}"/>
    <cellStyle name="40 % - Akzent5 3" xfId="270" xr:uid="{39FE00EC-161D-46CB-AF86-F681816EE22C}"/>
    <cellStyle name="40 % - Akzent6" xfId="84" hidden="1" xr:uid="{9CE19169-C2A8-4C36-9420-167E0B56B792}"/>
    <cellStyle name="40 % - Akzent6" xfId="4065" hidden="1" xr:uid="{5D8D6D8D-5F97-469C-8BE4-832AD61643EF}"/>
    <cellStyle name="40 % - Akzent6" xfId="3930" hidden="1" xr:uid="{90F43719-D165-4C0D-BAD4-86B373D9A43F}"/>
    <cellStyle name="40 % - Akzent6" xfId="1290" hidden="1" xr:uid="{C095CB41-F05C-47F6-90A0-E4E4A5116733}"/>
    <cellStyle name="40 % - Akzent6" xfId="1588" hidden="1" xr:uid="{E11E4CAF-6F37-4B78-881E-803C4CE49FD9}"/>
    <cellStyle name="40 % - Akzent6" xfId="1645" hidden="1" xr:uid="{7EF581C5-6C21-4C87-9649-D93F18523F82}"/>
    <cellStyle name="40 % - Akzent6" xfId="2965" hidden="1" xr:uid="{C0289AF2-631E-434C-9B6F-CED23B420BF7}"/>
    <cellStyle name="40 % - Akzent6" xfId="4086" hidden="1" xr:uid="{67A17950-199F-4081-8454-F1971170B6D7}"/>
    <cellStyle name="40 % - Akzent6" xfId="2937" hidden="1" xr:uid="{F4546A9C-9B92-47F1-9936-2EB726294CA6}"/>
    <cellStyle name="40 % - Akzent6" xfId="3370" hidden="1" xr:uid="{C84C3123-7A78-4496-AAD4-F6E3CAA04A5B}"/>
    <cellStyle name="40 % - Akzent6" xfId="1786" hidden="1" xr:uid="{39244363-24F3-4D3F-902D-DCE2739D79D8}"/>
    <cellStyle name="40 % - Akzent6" xfId="1006" hidden="1" xr:uid="{6515C32A-B7CE-4935-BF1E-0C00EA7A6D87}"/>
    <cellStyle name="40 % - Akzent6" xfId="1577" hidden="1" xr:uid="{57C5BCF9-1DB0-4446-B663-6C09AC2674DA}"/>
    <cellStyle name="40 % - Akzent6" xfId="2714" hidden="1" xr:uid="{2271733A-AFAD-4109-9DF2-FA04485E7A7F}"/>
    <cellStyle name="40 % - Akzent6" xfId="978" hidden="1" xr:uid="{86ED3EBA-FB5C-4B60-B23F-728895BB1AE7}"/>
    <cellStyle name="40 % - Akzent6" xfId="3944" hidden="1" xr:uid="{2C0B5EC2-2B68-4645-AB4B-9B3674FC9F15}"/>
    <cellStyle name="40 % - Akzent6 2" xfId="402" xr:uid="{69C30B56-3076-4673-8184-B61F7F0755B0}"/>
    <cellStyle name="40 % - Akzent6 3" xfId="271" xr:uid="{A052FFD0-9FFC-491A-8B0D-E5F95FE74450}"/>
    <cellStyle name="40% - Accent1 2" xfId="106" xr:uid="{B7A1FE08-0F4A-4448-A48D-C07DC397067F}"/>
    <cellStyle name="40% - Accent1 3" xfId="223" xr:uid="{18C62D0E-2716-4012-B5A8-B651C3339F49}"/>
    <cellStyle name="40% - Accent2 2" xfId="107" xr:uid="{D12A20B1-AF1C-4D2B-B503-CD8A930F20E7}"/>
    <cellStyle name="40% - Accent2 3" xfId="224" xr:uid="{2AD0BD8C-F45A-4C2A-8072-F20BD2A713DE}"/>
    <cellStyle name="40% - Accent3 2" xfId="108" xr:uid="{0E6A1897-CE11-451E-9FC0-A0355B26E9BA}"/>
    <cellStyle name="40% - Accent3 3" xfId="225" xr:uid="{AED6BCCA-0711-46EE-9AFB-6DDC8FE4CA89}"/>
    <cellStyle name="40% - Accent4 2" xfId="109" xr:uid="{DAE4E51B-AE22-4944-9347-B1ABD82FBB7F}"/>
    <cellStyle name="40% - Accent4 3" xfId="226" xr:uid="{E6FB8428-27C2-43A8-B3E7-C01A1BDD0789}"/>
    <cellStyle name="40% - Accent5 2" xfId="110" xr:uid="{16F4C394-E43D-4B63-8D44-34419B02B289}"/>
    <cellStyle name="40% - Accent5 3" xfId="227" xr:uid="{D4F131E8-0741-48DD-87F2-3E378F87BC11}"/>
    <cellStyle name="40% - Accent6 2" xfId="111" xr:uid="{0F3D0C4A-425C-44F4-B1DD-224F3D0E36DB}"/>
    <cellStyle name="40% - Accent6 3" xfId="228" xr:uid="{4F8476B9-13D1-4426-B3E7-748A192DDF5D}"/>
    <cellStyle name="5x indented GHG Textfiels" xfId="14" xr:uid="{FBA9D34D-874B-4FAA-BAC2-370636AD7731}"/>
    <cellStyle name="5x indented GHG Textfiels 2" xfId="112" xr:uid="{4D73E382-FC22-4CA8-9593-ACCF4910F863}"/>
    <cellStyle name="5x indented GHG Textfiels 2 2" xfId="113" xr:uid="{49894532-95A9-4BB8-9592-E1A53FFD06A6}"/>
    <cellStyle name="5x indented GHG Textfiels 3" xfId="114" xr:uid="{F516DD4B-98A0-4342-958C-C48C52457EF3}"/>
    <cellStyle name="5x indented GHG Textfiels 3 2" xfId="419" xr:uid="{E7969A58-8A93-40B5-9196-4215B3587C6F}"/>
    <cellStyle name="5x indented GHG Textfiels 3 3" xfId="367" xr:uid="{19099284-DFD9-46B6-9CB0-B5912A87C43D}"/>
    <cellStyle name="5x indented GHG Textfiels 3 3 10" xfId="3190" xr:uid="{7FB143A3-8F45-4133-9165-582216BB3DFA}"/>
    <cellStyle name="5x indented GHG Textfiels 3 3 11" xfId="974" xr:uid="{24EE7CFD-70E7-4B1B-AAE1-1D58DFA702B6}"/>
    <cellStyle name="5x indented GHG Textfiels 3 3 12" xfId="3938" xr:uid="{80C9E22A-EC7A-4220-8E6D-36CF84D39915}"/>
    <cellStyle name="5x indented GHG Textfiels 3 3 2" xfId="654" xr:uid="{ABF81D0C-B2F8-4FBB-B350-E009EC21A57A}"/>
    <cellStyle name="5x indented GHG Textfiels 3 3 2 2" xfId="869" xr:uid="{4F3416B1-DEC2-4CFE-ACAA-FE53757E52BB}"/>
    <cellStyle name="5x indented GHG Textfiels 3 3 2 2 2" xfId="1135" xr:uid="{FD13F46B-783F-4A08-9BEC-6B61E4A02690}"/>
    <cellStyle name="5x indented GHG Textfiels 3 3 2 2 3" xfId="2200" xr:uid="{1FC6CFE6-1F6B-45BA-8078-4C37C25C6C03}"/>
    <cellStyle name="5x indented GHG Textfiels 3 3 2 2 4" xfId="2623" xr:uid="{D6E980E1-7AF8-4EA4-8B01-BB9BB58DF145}"/>
    <cellStyle name="5x indented GHG Textfiels 3 3 2 2 5" xfId="2761" xr:uid="{FFF3EFBF-7A71-4B13-B681-4F11E7FD298F}"/>
    <cellStyle name="5x indented GHG Textfiels 3 3 2 2 6" xfId="2778" xr:uid="{87B17A7D-B621-4FB2-A157-639B936B0F3D}"/>
    <cellStyle name="5x indented GHG Textfiels 3 3 2 2 7" xfId="3833" xr:uid="{A18DE68F-690B-4C27-BA10-E847DBB63051}"/>
    <cellStyle name="5x indented GHG Textfiels 3 3 2 2 8" xfId="2674" xr:uid="{B10C0033-76B0-43C6-9285-59A9414BE22E}"/>
    <cellStyle name="5x indented GHG Textfiels 3 3 2 3" xfId="1330" xr:uid="{7D860FDD-2E4F-4CAD-AEC1-E7ACB22B83B4}"/>
    <cellStyle name="5x indented GHG Textfiels 3 3 2 4" xfId="1985" xr:uid="{D2D880EE-0ADB-4214-B9B5-9BE470BB99FF}"/>
    <cellStyle name="5x indented GHG Textfiels 3 3 2 5" xfId="2409" xr:uid="{DAF02759-56AD-4C92-BE42-32A9290DDE79}"/>
    <cellStyle name="5x indented GHG Textfiels 3 3 2 6" xfId="3048" xr:uid="{D04BEECF-7EAF-4594-863D-050D1C1E066E}"/>
    <cellStyle name="5x indented GHG Textfiels 3 3 2 7" xfId="3433" xr:uid="{3E468E39-31D9-4EFE-A187-8B09AB083FEF}"/>
    <cellStyle name="5x indented GHG Textfiels 3 3 2 8" xfId="3621" xr:uid="{9BBF8581-A8ED-4165-9BC1-551A08703201}"/>
    <cellStyle name="5x indented GHG Textfiels 3 3 2 9" xfId="4110" xr:uid="{B9DFC37E-0FE9-4F0A-BB8B-E2F5B08D6627}"/>
    <cellStyle name="5x indented GHG Textfiels 3 3 3" xfId="601" xr:uid="{FDF68715-F624-4CC9-9580-0330CEA64B22}"/>
    <cellStyle name="5x indented GHG Textfiels 3 3 3 2" xfId="816" xr:uid="{35EB8FF3-C807-4064-9A41-818AD9E7E50F}"/>
    <cellStyle name="5x indented GHG Textfiels 3 3 3 2 2" xfId="1697" xr:uid="{F148E2CE-6EE4-4E66-B10D-318E49D66246}"/>
    <cellStyle name="5x indented GHG Textfiels 3 3 3 2 3" xfId="2147" xr:uid="{80D1776D-7A12-4945-A8D9-F9E6D36F3646}"/>
    <cellStyle name="5x indented GHG Textfiels 3 3 3 2 4" xfId="2570" xr:uid="{ACBA87C7-CB21-4AEE-B1F4-37440F5D5B38}"/>
    <cellStyle name="5x indented GHG Textfiels 3 3 3 2 5" xfId="3030" xr:uid="{105444D8-028C-4A89-B116-E351F1AC69D6}"/>
    <cellStyle name="5x indented GHG Textfiels 3 3 3 2 6" xfId="3228" xr:uid="{E3D2F15E-6BC9-4700-BC09-160DF28B809B}"/>
    <cellStyle name="5x indented GHG Textfiels 3 3 3 2 7" xfId="3780" xr:uid="{6C30AC4D-6D2C-42AA-80FA-C4713F456138}"/>
    <cellStyle name="5x indented GHG Textfiels 3 3 3 2 8" xfId="4012" xr:uid="{01E8036C-1C06-47F4-B8ED-C39867A5CB36}"/>
    <cellStyle name="5x indented GHG Textfiels 3 3 3 3" xfId="1723" xr:uid="{C28BAF3B-AC93-4425-A80C-5CE0D1763F26}"/>
    <cellStyle name="5x indented GHG Textfiels 3 3 3 4" xfId="1932" xr:uid="{9A41A949-0F18-4560-8007-BE8A625626E9}"/>
    <cellStyle name="5x indented GHG Textfiels 3 3 3 5" xfId="2356" xr:uid="{7AC4BC6A-549A-487B-86B9-6E2B2DA13508}"/>
    <cellStyle name="5x indented GHG Textfiels 3 3 3 6" xfId="2799" xr:uid="{E2F1E1D4-DCEC-4A14-935C-29230D8B242A}"/>
    <cellStyle name="5x indented GHG Textfiels 3 3 3 7" xfId="3205" xr:uid="{DC2B6C5F-66E7-403A-9709-8E748D0F81A9}"/>
    <cellStyle name="5x indented GHG Textfiels 3 3 3 8" xfId="3568" xr:uid="{20806DED-F6F0-4A30-B9FB-E086195D2C3B}"/>
    <cellStyle name="5x indented GHG Textfiels 3 3 3 9" xfId="2729" xr:uid="{306E3F8F-0BAC-42AF-A700-EF6D6D5EF62E}"/>
    <cellStyle name="5x indented GHG Textfiels 3 3 4" xfId="685" xr:uid="{5F89709E-9C8C-45A8-9C46-C6F7CFB8F72A}"/>
    <cellStyle name="5x indented GHG Textfiels 3 3 4 2" xfId="900" xr:uid="{49A64A22-7EE3-46B8-BA7B-AA2C797CD611}"/>
    <cellStyle name="5x indented GHG Textfiels 3 3 4 2 2" xfId="1798" xr:uid="{F140C9DD-40F5-4AC6-BD12-46468C7D4C78}"/>
    <cellStyle name="5x indented GHG Textfiels 3 3 4 2 3" xfId="2231" xr:uid="{970E33B5-675F-4E44-BABE-06ACAFB0F44D}"/>
    <cellStyle name="5x indented GHG Textfiels 3 3 4 2 4" xfId="2654" xr:uid="{EC2FFA11-D099-48D6-8148-A694B0B62078}"/>
    <cellStyle name="5x indented GHG Textfiels 3 3 4 2 5" xfId="3070" xr:uid="{D2148489-ECEE-4F48-A0B9-FEDED14F9B48}"/>
    <cellStyle name="5x indented GHG Textfiels 3 3 4 2 6" xfId="3452" xr:uid="{F9EF93FF-4506-4DC1-B2A3-321FF725FEBE}"/>
    <cellStyle name="5x indented GHG Textfiels 3 3 4 2 7" xfId="3864" xr:uid="{FC06ED99-4D38-47EB-B284-7CBF67E47CEF}"/>
    <cellStyle name="5x indented GHG Textfiels 3 3 4 2 8" xfId="4128" xr:uid="{CD63B56B-EBF5-4590-9D02-0FE07E8815A4}"/>
    <cellStyle name="5x indented GHG Textfiels 3 3 4 3" xfId="1615" xr:uid="{C9BE07B9-1C42-4355-8CA8-511BA356FE12}"/>
    <cellStyle name="5x indented GHG Textfiels 3 3 4 4" xfId="2016" xr:uid="{0D10BD9B-6DEE-48F0-96E7-1A12B2216266}"/>
    <cellStyle name="5x indented GHG Textfiels 3 3 4 5" xfId="2440" xr:uid="{AFF59F05-0CF0-4FE5-AB03-9E6FB5FEFA7D}"/>
    <cellStyle name="5x indented GHG Textfiels 3 3 4 6" xfId="2763" xr:uid="{C8C1013F-7D83-46EA-8C95-E2F20A665752}"/>
    <cellStyle name="5x indented GHG Textfiels 3 3 4 7" xfId="2925" xr:uid="{FA3E9548-83B8-470C-9F81-B6EBCBAFAB44}"/>
    <cellStyle name="5x indented GHG Textfiels 3 3 4 8" xfId="3652" xr:uid="{642A5775-64EC-4FE2-93DB-BB7DA4DB8880}"/>
    <cellStyle name="5x indented GHG Textfiels 3 3 4 9" xfId="3112" xr:uid="{88042F01-80E2-47A1-89F0-B16F9AB25DC8}"/>
    <cellStyle name="5x indented GHG Textfiels 3 3 5" xfId="722" xr:uid="{12C92060-DE06-4742-9D00-EF72B03BF3DE}"/>
    <cellStyle name="5x indented GHG Textfiels 3 3 6" xfId="1341" xr:uid="{399F64A2-8FF2-4D4E-8C1A-D1F15FABE80F}"/>
    <cellStyle name="5x indented GHG Textfiels 3 3 7" xfId="1268" xr:uid="{4D1FFC49-94D2-43E3-A501-E0332E400C67}"/>
    <cellStyle name="5x indented GHG Textfiels 3 3 8" xfId="1357" xr:uid="{5F7ADEBA-9C5D-4169-A836-1DE0815558B6}"/>
    <cellStyle name="5x indented GHG Textfiels 3 3 9" xfId="2983" xr:uid="{C8F4D0A1-FA7A-49CA-AFD4-A062A1F52F06}"/>
    <cellStyle name="5x indented GHG Textfiels_Table 4(II)" xfId="209" xr:uid="{CAC7B1A2-1C84-486B-8E8A-FE96BB30A840}"/>
    <cellStyle name="60 % - Akzent1" xfId="2876" hidden="1" xr:uid="{B769DDA3-EF34-475B-8884-25C55A48B327}"/>
    <cellStyle name="60 % - Akzent1" xfId="65" hidden="1" xr:uid="{D30638F6-00CE-4868-8241-DBABC84D3AA7}"/>
    <cellStyle name="60 % - Akzent1" xfId="976" hidden="1" xr:uid="{29EAC753-85DC-42CB-A7E8-96DDFB2CA5CB}"/>
    <cellStyle name="60 % - Akzent1" xfId="1529" hidden="1" xr:uid="{B1FA142A-904A-4493-92AF-A8F686081148}"/>
    <cellStyle name="60 % - Akzent1" xfId="1669" hidden="1" xr:uid="{7C75FDEE-432A-4C6F-B177-5C0075742210}"/>
    <cellStyle name="60 % - Akzent1" xfId="1603" hidden="1" xr:uid="{29E8ED44-4A68-452F-8019-D2EB2330634F}"/>
    <cellStyle name="60 % - Akzent1" xfId="3426" hidden="1" xr:uid="{49247D09-B13A-4484-91AE-ACAB365C5C71}"/>
    <cellStyle name="60 % - Akzent1" xfId="1320" hidden="1" xr:uid="{64BFE853-971F-48F7-B12B-A8F7454E4BB6}"/>
    <cellStyle name="60 % - Akzent1" xfId="990" hidden="1" xr:uid="{5363AFF3-CF0C-4874-845A-BA5391FB9318}"/>
    <cellStyle name="60 % - Akzent1" xfId="3039" hidden="1" xr:uid="{6021279D-9750-48A6-8DEA-F84484B81C4F}"/>
    <cellStyle name="60 % - Akzent1" xfId="3463" hidden="1" xr:uid="{095353AA-073E-4215-BB81-9D0A62BDD2AF}"/>
    <cellStyle name="60 % - Akzent1" xfId="3337" hidden="1" xr:uid="{DEC42814-82E9-416B-9409-2ED7DC14DBAE}"/>
    <cellStyle name="60 % - Akzent1" xfId="3356" hidden="1" xr:uid="{AF7878DB-5EEB-45E6-B16F-26099555E46B}"/>
    <cellStyle name="60 % - Akzent1" xfId="3999" hidden="1" xr:uid="{5668087E-D1E4-44CF-9116-3D9267075523}"/>
    <cellStyle name="60 % - Akzent1" xfId="4075" hidden="1" xr:uid="{2EB3670D-B6DD-47CD-AFB9-2B018539AF67}"/>
    <cellStyle name="60 % - Akzent1" xfId="1418" hidden="1" xr:uid="{6E7B1223-0E4F-4315-B732-3959DDA9130C}"/>
    <cellStyle name="60 % - Akzent1 2" xfId="403" xr:uid="{A32E877E-DE0C-4904-8C4F-CC205719024D}"/>
    <cellStyle name="60 % - Akzent1 3" xfId="272" xr:uid="{8AF8223F-DFEC-4C03-8171-2173486BB672}"/>
    <cellStyle name="60 % - Akzent2" xfId="1489" hidden="1" xr:uid="{9202DD40-5998-40CE-A7F9-FD19C4B34BBA}"/>
    <cellStyle name="60 % - Akzent2" xfId="69" hidden="1" xr:uid="{D239AA58-ECC9-40F2-9E53-5C11E59F5DE7}"/>
    <cellStyle name="60 % - Akzent2" xfId="994" hidden="1" xr:uid="{E4D2DB96-3180-4FA5-BB0F-5E5658424DD8}"/>
    <cellStyle name="60 % - Akzent2" xfId="2263" hidden="1" xr:uid="{93777B48-AA24-4378-97A8-8B09A207C899}"/>
    <cellStyle name="60 % - Akzent2" xfId="3002" hidden="1" xr:uid="{8B4BAEDB-52A1-4A1E-A134-AB6F4DB9FFFA}"/>
    <cellStyle name="60 % - Akzent2" xfId="1750" hidden="1" xr:uid="{E6CE94CB-D025-4ABC-B87E-B5CA1F4C654D}"/>
    <cellStyle name="60 % - Akzent2" xfId="2891" hidden="1" xr:uid="{E5C17D5E-E17A-4A1C-9968-E1C7EDF9171E}"/>
    <cellStyle name="60 % - Akzent2" xfId="3407" hidden="1" xr:uid="{1D4CB8C0-97F1-49EA-802C-D2594EE5E22C}"/>
    <cellStyle name="60 % - Akzent2" xfId="3438" hidden="1" xr:uid="{BC114271-9A9C-49E8-A8E8-ACB33B6EF9B0}"/>
    <cellStyle name="60 % - Akzent2" xfId="3481" hidden="1" xr:uid="{87B8C139-2FB2-42A7-AB1F-6DC315C933BE}"/>
    <cellStyle name="60 % - Akzent2" xfId="4069" hidden="1" xr:uid="{F4CDB386-AE10-4FC8-A1DE-14A5C3D98719}"/>
    <cellStyle name="60 % - Akzent2" xfId="1708" hidden="1" xr:uid="{65B52B5A-5F5A-4F7B-B1C3-4FE0F46FEA80}"/>
    <cellStyle name="60 % - Akzent2" xfId="1356" hidden="1" xr:uid="{09AA6624-2850-43D6-9F5A-314D43DE6EB4}"/>
    <cellStyle name="60 % - Akzent2" xfId="929" hidden="1" xr:uid="{3C53B117-2B0A-420E-8FA2-3889BC67E009}"/>
    <cellStyle name="60 % - Akzent2" xfId="3978" hidden="1" xr:uid="{5B4DF2BB-A32A-4159-9AA8-788F944018A2}"/>
    <cellStyle name="60 % - Akzent2" xfId="4038" hidden="1" xr:uid="{8071E08B-70F9-432B-9F43-7D24CE93CFF6}"/>
    <cellStyle name="60 % - Akzent2 2" xfId="404" xr:uid="{24A23159-C627-4757-BB1B-F71D052E0E48}"/>
    <cellStyle name="60 % - Akzent2 3" xfId="273" xr:uid="{CF490A80-5D8B-48E8-A8F1-54B33A82CF6B}"/>
    <cellStyle name="60 % - Akzent3" xfId="3490" hidden="1" xr:uid="{A2903714-F1A6-4C0F-9534-ABB81B5401AB}"/>
    <cellStyle name="60 % - Akzent3" xfId="1753" hidden="1" xr:uid="{8CAF49A4-800A-46F2-8DCD-B2150CC73126}"/>
    <cellStyle name="60 % - Akzent3" xfId="3054" hidden="1" xr:uid="{EBD0B557-58BF-49F0-8AAE-CCB7C8FD123E}"/>
    <cellStyle name="60 % - Akzent3" xfId="1842" hidden="1" xr:uid="{CCC7BD35-B97A-4911-BA60-5960D00C0733}"/>
    <cellStyle name="60 % - Akzent3" xfId="4114" hidden="1" xr:uid="{E2ECBF91-642D-4F07-B583-9C801B67B295}"/>
    <cellStyle name="60 % - Akzent3" xfId="4051" hidden="1" xr:uid="{BB1BBA55-4253-4871-9BBF-9C8A52378BA6}"/>
    <cellStyle name="60 % - Akzent3" xfId="3110" hidden="1" xr:uid="{A6A46FAD-3A78-4A34-B01D-1ABB9ECA4310}"/>
    <cellStyle name="60 % - Akzent3" xfId="1070" hidden="1" xr:uid="{58967E9D-E8A5-4681-9BFF-D3D2CBDEABAD}"/>
    <cellStyle name="60 % - Akzent3" xfId="73" hidden="1" xr:uid="{304F92F9-1368-4DFC-AA36-DD83B73695BF}"/>
    <cellStyle name="60 % - Akzent3" xfId="3398" hidden="1" xr:uid="{7DC730D0-AC9F-4BCF-8511-DA674BDA0114}"/>
    <cellStyle name="60 % - Akzent3" xfId="2275" hidden="1" xr:uid="{F316E8D2-F87E-4884-B9D0-AF89DA3B3CF8}"/>
    <cellStyle name="60 % - Akzent3" xfId="998" hidden="1" xr:uid="{D363FBC1-9C2A-491B-A194-D103D73A37DA}"/>
    <cellStyle name="60 % - Akzent3" xfId="1659" hidden="1" xr:uid="{ABC86110-1819-45F5-87A9-485BBE5219F7}"/>
    <cellStyle name="60 % - Akzent3" xfId="3910" hidden="1" xr:uid="{6703F589-911A-46A8-A321-9BA512BE6A94}"/>
    <cellStyle name="60 % - Akzent3" xfId="963" hidden="1" xr:uid="{C74C56F2-3B9A-4E70-89A9-424E269A0E56}"/>
    <cellStyle name="60 % - Akzent3" xfId="2992" hidden="1" xr:uid="{24A95600-01B0-45DE-8B3E-449E4B65830C}"/>
    <cellStyle name="60 % - Akzent3 2" xfId="405" xr:uid="{E5D7A6BA-EF31-4E96-82A6-10E5EA891EE3}"/>
    <cellStyle name="60 % - Akzent3 3" xfId="274" xr:uid="{1A09E0EF-BCA7-4A1D-A5A2-0EB7B5B8CB15}"/>
    <cellStyle name="60 % - Akzent4" xfId="3991" hidden="1" xr:uid="{C03C4DEA-386E-404B-AB2A-F612D6B111A0}"/>
    <cellStyle name="60 % - Akzent4" xfId="1169" hidden="1" xr:uid="{3257C552-720A-45C3-AC45-B303AAD30DC2}"/>
    <cellStyle name="60 % - Akzent4" xfId="3487" hidden="1" xr:uid="{F2174331-0C5B-400B-8A24-2CC70E8DEDA8}"/>
    <cellStyle name="60 % - Akzent4" xfId="4005" hidden="1" xr:uid="{C8FF197A-293F-4994-9DDD-54E1AE3AF173}"/>
    <cellStyle name="60 % - Akzent4" xfId="3968" hidden="1" xr:uid="{CEFCF5C0-3644-46F1-B4E5-9EEF67B7B60D}"/>
    <cellStyle name="60 % - Akzent4" xfId="1172" hidden="1" xr:uid="{8A04C36B-3558-4F37-AAE4-B49FBFACCFA0}"/>
    <cellStyle name="60 % - Akzent4" xfId="1475" hidden="1" xr:uid="{3DE52DF5-CCC4-455D-902B-F746763F09B4}"/>
    <cellStyle name="60 % - Akzent4" xfId="2272" hidden="1" xr:uid="{1AD8E347-1240-47F2-9A7B-0B7740B09501}"/>
    <cellStyle name="60 % - Akzent4" xfId="77" hidden="1" xr:uid="{ACF660B5-C601-4EA0-A598-31124B2519F9}"/>
    <cellStyle name="60 % - Akzent4" xfId="1001" hidden="1" xr:uid="{A76C939F-6CA4-42DE-84D9-AB9855EFBE79}"/>
    <cellStyle name="60 % - Akzent4" xfId="48" hidden="1" xr:uid="{BD0FD941-D652-4424-B749-0B94447765B6}"/>
    <cellStyle name="60 % - Akzent4" xfId="3360" hidden="1" xr:uid="{53A308C6-B9B7-4F82-9B27-58B8955A8FDB}"/>
    <cellStyle name="60 % - Akzent4" xfId="2708" hidden="1" xr:uid="{34A152B4-0B58-4BB4-A0F6-6AB44D95C8B8}"/>
    <cellStyle name="60 % - Akzent4" xfId="4102" hidden="1" xr:uid="{C065BB2F-F063-4D88-8D66-E6C1A5B20770}"/>
    <cellStyle name="60 % - Akzent4" xfId="2955" hidden="1" xr:uid="{DE79D8BA-A0CB-45CE-9060-7BDF4C7D3286}"/>
    <cellStyle name="60 % - Akzent4" xfId="2879" hidden="1" xr:uid="{8E7CDA89-1DB3-4ACD-8C99-C42F6B886251}"/>
    <cellStyle name="60 % - Akzent4 2" xfId="406" xr:uid="{B2D9ED1F-B40E-48C6-BB27-112F6FDA1877}"/>
    <cellStyle name="60 % - Akzent4 3" xfId="275" xr:uid="{13DC2856-3AC4-4C9C-8075-44C1596F5842}"/>
    <cellStyle name="60 % - Akzent5" xfId="81" hidden="1" xr:uid="{14E6C93E-0984-4B4E-9C07-A477DFEC5792}"/>
    <cellStyle name="60 % - Akzent5" xfId="2734" hidden="1" xr:uid="{7863B480-3126-4091-A099-7A41F872395C}"/>
    <cellStyle name="60 % - Akzent5" xfId="3040" hidden="1" xr:uid="{F3446E62-12BA-4923-9A72-53E177E9A25E}"/>
    <cellStyle name="60 % - Akzent5" xfId="1561" hidden="1" xr:uid="{C7480DED-BB66-40E5-ABEB-5B9C500B4491}"/>
    <cellStyle name="60 % - Akzent5" xfId="1208" hidden="1" xr:uid="{F18E6307-3B2F-4BB8-BEB0-C1F411235426}"/>
    <cellStyle name="60 % - Akzent5" xfId="2274" hidden="1" xr:uid="{0EC147D7-773F-451B-B3AB-AB624CC02772}"/>
    <cellStyle name="60 % - Akzent5" xfId="2868" hidden="1" xr:uid="{82002F89-4F56-4DD1-92AE-B03AB1CA7E57}"/>
    <cellStyle name="60 % - Akzent5" xfId="3151" hidden="1" xr:uid="{C603860F-A71D-43E5-97A6-483ADF80C5AD}"/>
    <cellStyle name="60 % - Akzent5" xfId="3921" hidden="1" xr:uid="{8A2F5F7E-EE29-4CAE-8AD8-6210902AB993}"/>
    <cellStyle name="60 % - Akzent5" xfId="3272" hidden="1" xr:uid="{5A453CFE-5204-40F8-A94F-335CC287BF08}"/>
    <cellStyle name="60 % - Akzent5" xfId="2967" hidden="1" xr:uid="{AB39D127-44FB-40B4-869D-95CFD7255989}"/>
    <cellStyle name="60 % - Akzent5" xfId="3489" hidden="1" xr:uid="{A2A66ED9-3CF1-4E26-BFD5-4DD669A9A34E}"/>
    <cellStyle name="60 % - Akzent5" xfId="3945" hidden="1" xr:uid="{CBFC2BA2-D158-4890-9575-A9533235ADEC}"/>
    <cellStyle name="60 % - Akzent5" xfId="1004" hidden="1" xr:uid="{87BC91AB-B7F3-44F7-99B5-3C122BD5EF6F}"/>
    <cellStyle name="60 % - Akzent5" xfId="1680" hidden="1" xr:uid="{264EB7FD-B6A5-4C10-897B-352FD998CCBA}"/>
    <cellStyle name="60 % - Akzent5" xfId="4081" hidden="1" xr:uid="{79A74E45-FDCA-4AD5-8756-3D0523AE26BB}"/>
    <cellStyle name="60 % - Akzent5 2" xfId="407" xr:uid="{94A6D5AA-CC33-4772-9FB1-BA2B43242BA7}"/>
    <cellStyle name="60 % - Akzent5 3" xfId="276" xr:uid="{0CE0923F-24FF-463E-98DB-F930E2B2C102}"/>
    <cellStyle name="60 % - Akzent6" xfId="85" hidden="1" xr:uid="{134A744B-D7ED-4397-8280-663398A6C4A2}"/>
    <cellStyle name="60 % - Akzent6" xfId="2947" hidden="1" xr:uid="{8529439A-27A3-49DB-A6C4-01C3ACEC8215}"/>
    <cellStyle name="60 % - Akzent6" xfId="1168" hidden="1" xr:uid="{E435EB13-19FE-4F3B-A7EF-D7FAB870EE7A}"/>
    <cellStyle name="60 % - Akzent6" xfId="1424" hidden="1" xr:uid="{FB7504DA-C0E7-46D2-AFF5-6E9F8AE31241}"/>
    <cellStyle name="60 % - Akzent6" xfId="1633" hidden="1" xr:uid="{7AE7770B-E2CC-464B-8AEE-B1EB6B118909}"/>
    <cellStyle name="60 % - Akzent6" xfId="2264" hidden="1" xr:uid="{638604F4-6A77-4FB4-8669-D81DCE3C7B66}"/>
    <cellStyle name="60 % - Akzent6" xfId="2786" hidden="1" xr:uid="{23A44BAF-2DB1-4C75-AD39-8B48A5964596}"/>
    <cellStyle name="60 % - Akzent6" xfId="2851" hidden="1" xr:uid="{47908453-D3FA-4292-8DE4-0EF61EF94C1A}"/>
    <cellStyle name="60 % - Akzent6" xfId="3466" hidden="1" xr:uid="{E682F3F0-C16E-46B4-AD80-94E9DFD8F222}"/>
    <cellStyle name="60 % - Akzent6" xfId="3187" hidden="1" xr:uid="{6F552F06-A359-4B16-AEE9-C9FBCCC73F60}"/>
    <cellStyle name="60 % - Akzent6" xfId="3259" hidden="1" xr:uid="{8D3694DB-EF75-4CA7-BD35-1241E2E6954F}"/>
    <cellStyle name="60 % - Akzent6" xfId="3482" hidden="1" xr:uid="{66750061-0293-479E-9D4A-F376861132EE}"/>
    <cellStyle name="60 % - Akzent6" xfId="3975" hidden="1" xr:uid="{C9E5DDEF-4955-450D-AEFA-2E83F0F87BC6}"/>
    <cellStyle name="60 % - Akzent6" xfId="1007" hidden="1" xr:uid="{5E972E92-2CB3-4CB8-A428-A7705BA54374}"/>
    <cellStyle name="60 % - Akzent6" xfId="1707" hidden="1" xr:uid="{4611E552-7115-4727-ABDF-33D902E4BF58}"/>
    <cellStyle name="60 % - Akzent6" xfId="3980" hidden="1" xr:uid="{15A20B99-B88E-4227-9B59-FD91CBA09BBE}"/>
    <cellStyle name="60 % - Akzent6 2" xfId="408" xr:uid="{BC272C4D-A4DF-4748-8AE4-75A2C785507A}"/>
    <cellStyle name="60 % - Akzent6 3" xfId="277" xr:uid="{D234894C-4B2F-4D7E-893B-8EE52DAC261D}"/>
    <cellStyle name="60% - Accent1 2" xfId="115" xr:uid="{88269C97-F9E5-47BA-956C-9DD4F6AF363B}"/>
    <cellStyle name="60% - Accent1 3" xfId="229" xr:uid="{F7F9BAFA-5CA1-410F-BC4E-AD4893A01B05}"/>
    <cellStyle name="60% - Accent2 2" xfId="116" xr:uid="{62EA8BA3-563A-4CEB-8DD5-3C1D100B8DD5}"/>
    <cellStyle name="60% - Accent2 3" xfId="230" xr:uid="{52942860-0E76-44C5-9D6E-CF2FB7265A2D}"/>
    <cellStyle name="60% - Accent3 2" xfId="117" xr:uid="{3F147D72-0724-4986-A86C-BA01EFAEBF1C}"/>
    <cellStyle name="60% - Accent3 3" xfId="231" xr:uid="{1F8E8AAD-87BA-4ED2-89AB-DAF06EB2E99F}"/>
    <cellStyle name="60% - Accent4 2" xfId="118" xr:uid="{D56D0F10-454E-49C6-9F57-EF8243AF9178}"/>
    <cellStyle name="60% - Accent4 3" xfId="232" xr:uid="{98B6E2D1-C114-4E9B-87E9-579C62848194}"/>
    <cellStyle name="60% - Accent5 2" xfId="119" xr:uid="{0CBE82FE-1D06-4E7F-9CC2-665EB4B920DF}"/>
    <cellStyle name="60% - Accent5 3" xfId="233" xr:uid="{435DAB4A-7FAB-4965-B362-A9DCB9855717}"/>
    <cellStyle name="60% - Accent6 2" xfId="120" xr:uid="{C34FD727-C694-4241-B1FE-229D833F7812}"/>
    <cellStyle name="60% - Accent6 3" xfId="234" xr:uid="{9D4C3F79-D091-4304-A347-E1C077933B5A}"/>
    <cellStyle name="Accent1 2" xfId="121" xr:uid="{2FC101B6-CB80-473E-B302-09811218AAA4}"/>
    <cellStyle name="Accent1 3" xfId="235" xr:uid="{CAEC3F82-D966-4710-B03C-B3569680E400}"/>
    <cellStyle name="Accent1 4" xfId="368" xr:uid="{4DCA2716-BC60-4BD3-960C-CCBDFB3CC6F6}"/>
    <cellStyle name="Accent2 2" xfId="122" xr:uid="{4FC76367-E139-43B5-A3F2-A76CB8D1C674}"/>
    <cellStyle name="Accent2 3" xfId="236" xr:uid="{14E130C4-002B-4B19-9962-6FECD94325E8}"/>
    <cellStyle name="Accent2 4" xfId="369" xr:uid="{102FBE36-878E-4218-92F3-461CC00C2F74}"/>
    <cellStyle name="Accent3 2" xfId="123" xr:uid="{5E8542FC-C767-47DE-9221-F3B45E319DC9}"/>
    <cellStyle name="Accent3 3" xfId="237" xr:uid="{E8B72C06-D4E3-4F38-BC0F-46B0D1EC6E5D}"/>
    <cellStyle name="Accent3 4" xfId="370" xr:uid="{A8A98E7F-F5B6-4A57-90F4-05B724122793}"/>
    <cellStyle name="Accent4 2" xfId="124" xr:uid="{65698A9F-7D96-469C-82F4-2269AA288E79}"/>
    <cellStyle name="Accent4 3" xfId="238" xr:uid="{6525D3EE-5672-464F-87D9-3B3DD7812721}"/>
    <cellStyle name="Accent4 4" xfId="371" xr:uid="{832CB4F8-4495-4C91-B0DD-42F8E3A36478}"/>
    <cellStyle name="Accent5 2" xfId="125" xr:uid="{F34E38DD-5547-449B-B7B3-C6D3E9C0795C}"/>
    <cellStyle name="Accent5 3" xfId="239" xr:uid="{8F0BA181-3671-44FB-8E4D-F21CA198DC04}"/>
    <cellStyle name="Accent5 4" xfId="372" xr:uid="{8A8D5201-2966-4CAC-AB9F-4D283AA9A3F2}"/>
    <cellStyle name="Accent6 2" xfId="126" xr:uid="{BF334D18-5604-45DB-B0A5-93A18F8273E8}"/>
    <cellStyle name="Accent6 3" xfId="240" xr:uid="{75CF5887-E649-41DB-B6D3-32D4B313A709}"/>
    <cellStyle name="Accent6 4" xfId="373" xr:uid="{2D9DD06C-B75B-436E-9D1D-C5E19F647169}"/>
    <cellStyle name="AggblueBoldCels" xfId="127" xr:uid="{605D9513-C95B-4DC2-8DE2-561288D314BB}"/>
    <cellStyle name="AggblueBoldCels 2" xfId="128" xr:uid="{F88F876E-F283-4730-A5D7-32226C754697}"/>
    <cellStyle name="AggblueCels" xfId="35" xr:uid="{FA429053-EAFA-4CE1-94CF-3ECA6D9CB076}"/>
    <cellStyle name="AggblueCels 2" xfId="129" xr:uid="{9E143EA8-E636-4A5A-9B5C-E72419316530}"/>
    <cellStyle name="AggblueCels_1x" xfId="34" xr:uid="{3DDF3123-F311-495B-9137-FB98B42DCF45}"/>
    <cellStyle name="AggBoldCells" xfId="8" xr:uid="{8CE69C7A-DEA6-4459-AED9-7253DAF481FF}"/>
    <cellStyle name="AggBoldCells 2" xfId="130" xr:uid="{1EE7BE07-2CE1-47E9-83D8-FDA8A39E1A7B}"/>
    <cellStyle name="AggBoldCells 3" xfId="210" xr:uid="{B04968B4-16CE-46D8-950D-CC899C85DE12}"/>
    <cellStyle name="AggBoldCells 4" xfId="362" xr:uid="{6A476D34-C3F7-4076-8F6C-8E4E359D8411}"/>
    <cellStyle name="AggCels" xfId="11" xr:uid="{C3A9FAE1-0F39-4CF8-B20A-08B6B81FFE73}"/>
    <cellStyle name="AggCels 2" xfId="131" xr:uid="{2A25F7C6-8D23-4B6E-A683-8FD516D6DC39}"/>
    <cellStyle name="AggCels 3" xfId="211" xr:uid="{1CFF63A8-CEA2-494E-9205-3F556112597F}"/>
    <cellStyle name="AggCels 4" xfId="363" xr:uid="{43439D5E-0BA6-4546-B9EC-1708A9F59B8C}"/>
    <cellStyle name="AggCels_T(2)" xfId="9" xr:uid="{48E58983-13DE-4924-B47C-FA716B0DA0EF}"/>
    <cellStyle name="AggGreen" xfId="25" xr:uid="{A45B06F9-DD8C-4ADB-9006-4FC8F8CC76D2}"/>
    <cellStyle name="AggGreen 2" xfId="132" xr:uid="{B69356FC-61A8-4858-9317-AF8099B1A2CD}"/>
    <cellStyle name="AggGreen 2 2" xfId="421" xr:uid="{F4435E09-E4C4-4CEA-AD3E-0B8EED8F9D2C}"/>
    <cellStyle name="AggGreen 2 2 2" xfId="598" xr:uid="{4A732303-9712-48A0-B794-E17CE8568A69}"/>
    <cellStyle name="AggGreen 2 2 2 2" xfId="813" xr:uid="{028DE4A1-5D64-47E4-915F-DE23E7FC0FB6}"/>
    <cellStyle name="AggGreen 2 2 2 2 2" xfId="1606" xr:uid="{9A690B47-CC17-4F51-B5C3-F71A3D214291}"/>
    <cellStyle name="AggGreen 2 2 2 2 3" xfId="2144" xr:uid="{6C20B6B8-D0A7-4414-BA5D-CC546F2353F0}"/>
    <cellStyle name="AggGreen 2 2 2 2 4" xfId="2567" xr:uid="{249144C5-790D-424F-B29F-9CC2F8165543}"/>
    <cellStyle name="AggGreen 2 2 2 2 5" xfId="2824" xr:uid="{BDD30D9C-806C-4AFB-9B75-5564FE83B341}"/>
    <cellStyle name="AggGreen 2 2 2 2 6" xfId="3365" xr:uid="{76137FCA-B67A-465E-BFE0-4B5E5C4225DD}"/>
    <cellStyle name="AggGreen 2 2 2 2 7" xfId="3777" xr:uid="{400B987F-4BF9-4AF9-81B3-2AEBE1ECF9E3}"/>
    <cellStyle name="AggGreen 2 2 2 2 8" xfId="961" xr:uid="{D1A3EF6B-470B-4D44-87A7-72CDB27C7EAC}"/>
    <cellStyle name="AggGreen 2 2 2 3" xfId="1568" xr:uid="{3D39DAC2-9331-440A-A4DC-4F326897AA2C}"/>
    <cellStyle name="AggGreen 2 2 2 4" xfId="1929" xr:uid="{C0AD1AEF-BD42-40F8-9909-5625CA166D05}"/>
    <cellStyle name="AggGreen 2 2 2 5" xfId="2353" xr:uid="{E50B35B4-5A27-4550-A2B5-BF7A26102C55}"/>
    <cellStyle name="AggGreen 2 2 2 6" xfId="1211" xr:uid="{E7BC4219-C0B8-43D3-B0BF-7E734EFEB5A1}"/>
    <cellStyle name="AggGreen 2 2 2 7" xfId="3413" xr:uid="{F601962B-51C4-435B-8109-23DED1C5AC1A}"/>
    <cellStyle name="AggGreen 2 2 2 8" xfId="3565" xr:uid="{650ADF51-6357-4CCA-A6EF-E562DB76ADA6}"/>
    <cellStyle name="AggGreen 2 2 2 9" xfId="3677" xr:uid="{0C7B6487-75B4-474B-9848-464BF715EF3B}"/>
    <cellStyle name="AggGreen 2 2 3" xfId="728" xr:uid="{2BB6DB5E-21CF-483A-A4B3-11F2E7E97CB5}"/>
    <cellStyle name="AggGreen 2 2 3 2" xfId="926" xr:uid="{A3654E18-636B-4CCF-B096-7D59B09D0227}"/>
    <cellStyle name="AggGreen 2 2 3 3" xfId="2059" xr:uid="{BDD6202F-A4D8-4325-87C2-07ABD31332C6}"/>
    <cellStyle name="AggGreen 2 2 3 4" xfId="2482" xr:uid="{3575E77F-70DF-4722-BC4E-A2AEF354E68A}"/>
    <cellStyle name="AggGreen 2 2 3 5" xfId="2889" xr:uid="{D9980DEF-5900-4CF1-BEDF-AADB70997AC7}"/>
    <cellStyle name="AggGreen 2 2 3 6" xfId="3224" xr:uid="{3FA74157-6071-406D-B4DF-20A420EFF70D}"/>
    <cellStyle name="AggGreen 2 2 3 7" xfId="3692" xr:uid="{5FD87CC1-4D09-4F49-B797-307BDD2BFAF8}"/>
    <cellStyle name="AggGreen 2 2 3 8" xfId="3479" xr:uid="{583C9523-FEC4-4D88-B37E-A4360BB03D56}"/>
    <cellStyle name="AggGreen 2 3" xfId="279" xr:uid="{7839CFA6-FC8A-4B7F-B24A-AEB193F6DBD5}"/>
    <cellStyle name="AggGreen 2 3 10" xfId="3269" xr:uid="{C409BB01-F2C7-48E7-9B95-ECB5913BFC52}"/>
    <cellStyle name="AggGreen 2 3 11" xfId="2985" xr:uid="{E113F7E4-B75D-4AD4-85D1-DB7553826B5A}"/>
    <cellStyle name="AggGreen 2 3 2" xfId="618" xr:uid="{0D537261-761C-4175-A7FB-904B15BD1087}"/>
    <cellStyle name="AggGreen 2 3 2 2" xfId="833" xr:uid="{02380E93-012E-463E-91A9-1591FCBDDD78}"/>
    <cellStyle name="AggGreen 2 3 2 2 2" xfId="1029" xr:uid="{75C9A99F-6576-4CAB-A1F6-CCFB6EC335E1}"/>
    <cellStyle name="AggGreen 2 3 2 2 3" xfId="2164" xr:uid="{6FFFA4FA-E765-4461-9586-123DC7401A1C}"/>
    <cellStyle name="AggGreen 2 3 2 2 4" xfId="2587" xr:uid="{B0A70589-381A-44CF-B229-42759950E42E}"/>
    <cellStyle name="AggGreen 2 3 2 2 5" xfId="930" xr:uid="{5E325006-1481-48F9-91C3-3050AA7C1345}"/>
    <cellStyle name="AggGreen 2 3 2 2 6" xfId="1130" xr:uid="{D5E1CC28-5ACB-4153-9213-9D906ECC5413}"/>
    <cellStyle name="AggGreen 2 3 2 2 7" xfId="3797" xr:uid="{0E06D12A-8C0F-4A8D-82BD-1A025D9BCB48}"/>
    <cellStyle name="AggGreen 2 3 2 2 8" xfId="3951" xr:uid="{8EFC58FA-7847-49E5-82B9-85D6DCC0F6D1}"/>
    <cellStyle name="AggGreen 2 3 2 3" xfId="1335" xr:uid="{7AB754A1-1997-4A9E-8BF1-8F42C6E83031}"/>
    <cellStyle name="AggGreen 2 3 2 4" xfId="1949" xr:uid="{C664F71A-B6E8-4BA1-9F68-9B53BA57AEB7}"/>
    <cellStyle name="AggGreen 2 3 2 5" xfId="2373" xr:uid="{59F4507F-E09F-4533-9A54-929C91F58048}"/>
    <cellStyle name="AggGreen 2 3 2 6" xfId="2740" xr:uid="{9CEC1FF8-6047-4F8B-B13C-D13EFFE10A84}"/>
    <cellStyle name="AggGreen 2 3 2 7" xfId="2736" xr:uid="{68DF6966-9F6C-492B-A0AF-89A9E2A33749}"/>
    <cellStyle name="AggGreen 2 3 2 8" xfId="3585" xr:uid="{8D6FFCA8-4AE6-43BC-9D9B-87E06EE1B8BC}"/>
    <cellStyle name="AggGreen 2 3 2 9" xfId="4024" xr:uid="{63D57CCC-54A2-4BB1-B778-CFAA15DB17BE}"/>
    <cellStyle name="AggGreen 2 3 3" xfId="687" xr:uid="{65DD85F4-8C32-458F-962E-9075A630D542}"/>
    <cellStyle name="AggGreen 2 3 3 2" xfId="902" xr:uid="{1BB24465-10D4-4567-B06C-91AD05FB5E1C}"/>
    <cellStyle name="AggGreen 2 3 3 2 2" xfId="1800" xr:uid="{8C65FE75-C954-4091-B777-3558C0A13F63}"/>
    <cellStyle name="AggGreen 2 3 3 2 3" xfId="2233" xr:uid="{482761B3-F15C-4FD9-B0B0-282D098B97FD}"/>
    <cellStyle name="AggGreen 2 3 3 2 4" xfId="2656" xr:uid="{2B2360E4-968D-45B0-8E23-DD6CF120A935}"/>
    <cellStyle name="AggGreen 2 3 3 2 5" xfId="3072" xr:uid="{B3522E0F-7639-40DC-97E8-22C23C29538F}"/>
    <cellStyle name="AggGreen 2 3 3 2 6" xfId="3454" xr:uid="{FB42DCE8-000C-43FE-8C85-3603EEA162C3}"/>
    <cellStyle name="AggGreen 2 3 3 2 7" xfId="3866" xr:uid="{7D9DA257-5794-4C74-9D7C-68C682E663D2}"/>
    <cellStyle name="AggGreen 2 3 3 2 8" xfId="4130" xr:uid="{C9347149-5633-4C77-895E-38C6B1114753}"/>
    <cellStyle name="AggGreen 2 3 3 3" xfId="1552" xr:uid="{8D508369-F3F1-4029-8CE5-D02784A8CF47}"/>
    <cellStyle name="AggGreen 2 3 3 4" xfId="2018" xr:uid="{03C1C632-4045-4E26-BB5C-928D3F52D14F}"/>
    <cellStyle name="AggGreen 2 3 3 5" xfId="2442" xr:uid="{05ADBEDE-CB36-4146-939D-75773731F902}"/>
    <cellStyle name="AggGreen 2 3 3 6" xfId="2859" xr:uid="{6C6B0FA5-34FC-45A7-BA51-084B5E4F2A0D}"/>
    <cellStyle name="AggGreen 2 3 3 7" xfId="3141" xr:uid="{B28F53EF-304A-4520-8A71-3BD2F2F1396A}"/>
    <cellStyle name="AggGreen 2 3 3 8" xfId="3654" xr:uid="{162A9B2D-4E96-40F3-852E-502C48981C1A}"/>
    <cellStyle name="AggGreen 2 3 3 9" xfId="4103" xr:uid="{327E6F21-3078-4749-943B-3360754B5CDC}"/>
    <cellStyle name="AggGreen 2 3 4" xfId="683" xr:uid="{6B1E3EB1-F915-4505-9DF6-2E2851586E8A}"/>
    <cellStyle name="AggGreen 2 3 4 2" xfId="898" xr:uid="{838E736D-7C57-4AFF-9B65-E5C5CF1434D1}"/>
    <cellStyle name="AggGreen 2 3 4 2 2" xfId="1796" xr:uid="{EB1EDD80-EFB4-4C1C-9042-B53873C14010}"/>
    <cellStyle name="AggGreen 2 3 4 2 3" xfId="2229" xr:uid="{50139A1D-82C1-43FF-9D5E-DF8533574E8C}"/>
    <cellStyle name="AggGreen 2 3 4 2 4" xfId="2652" xr:uid="{06F74DC6-400F-4A7F-8433-725FC3EE07DD}"/>
    <cellStyle name="AggGreen 2 3 4 2 5" xfId="3068" xr:uid="{1581C1F2-4AB0-461F-B959-2AF43592AA8B}"/>
    <cellStyle name="AggGreen 2 3 4 2 6" xfId="3450" xr:uid="{DF713894-E273-48B5-93B6-E09B85590929}"/>
    <cellStyle name="AggGreen 2 3 4 2 7" xfId="3862" xr:uid="{A567DA9F-547E-413C-A249-5D48BEFF5CD2}"/>
    <cellStyle name="AggGreen 2 3 4 2 8" xfId="4126" xr:uid="{1B7EEE55-5A03-4D1A-A408-62CD6DAAD52A}"/>
    <cellStyle name="AggGreen 2 3 4 3" xfId="1513" xr:uid="{89FC8754-608B-48B6-A8F2-89C6CBD9DB25}"/>
    <cellStyle name="AggGreen 2 3 4 4" xfId="2014" xr:uid="{F6483071-A207-4EB8-B760-B0EC86EDD1A4}"/>
    <cellStyle name="AggGreen 2 3 4 5" xfId="2438" xr:uid="{49D9FC5F-F0FF-4289-BA36-97C8FE74AF04}"/>
    <cellStyle name="AggGreen 2 3 4 6" xfId="1236" xr:uid="{1CF3BD59-C463-4A6B-89B8-1DC1B3FA5FEC}"/>
    <cellStyle name="AggGreen 2 3 4 7" xfId="3417" xr:uid="{340BC092-A8AE-4F7D-BF2D-2CCDB721834E}"/>
    <cellStyle name="AggGreen 2 3 4 8" xfId="3650" xr:uid="{A27CADA5-7890-4754-90EA-42C2E5E52D67}"/>
    <cellStyle name="AggGreen 2 3 4 9" xfId="3115" xr:uid="{19E0438E-A77C-4347-88D9-06D3B39A3E85}"/>
    <cellStyle name="AggGreen 2 3 5" xfId="1248" xr:uid="{43B636F0-660F-485E-BCFD-2F720EF763EB}"/>
    <cellStyle name="AggGreen 2 3 6" xfId="1068" xr:uid="{BD2E5A43-D73C-485F-AE7D-103C68A1FA57}"/>
    <cellStyle name="AggGreen 2 3 7" xfId="1408" xr:uid="{ACF22EC5-E812-4915-85BD-DD84E8A19A05}"/>
    <cellStyle name="AggGreen 2 3 8" xfId="1442" xr:uid="{2A0BB889-95CC-4B1A-835C-A4BB27E106DD}"/>
    <cellStyle name="AggGreen 2 3 9" xfId="3096" xr:uid="{3C68946F-73E9-482B-B38A-02B93CB3C937}"/>
    <cellStyle name="AggGreen 3" xfId="420" xr:uid="{5BE6023C-9E2C-4EB1-AA1F-E597FB80354E}"/>
    <cellStyle name="AggGreen 3 2" xfId="547" xr:uid="{0719FF84-FED0-4617-AD63-C7809BD00DDB}"/>
    <cellStyle name="AggGreen 3 2 2" xfId="762" xr:uid="{61535790-9BAC-4065-8C75-B0F4C86E9EE5}"/>
    <cellStyle name="AggGreen 3 2 2 2" xfId="59" xr:uid="{6D1E4E20-E971-41BC-BD5D-DA19F3BAA0AE}"/>
    <cellStyle name="AggGreen 3 2 2 3" xfId="2093" xr:uid="{28FF91FB-01EB-4621-9465-19891E70C8D4}"/>
    <cellStyle name="AggGreen 3 2 2 4" xfId="2516" xr:uid="{80A72DEF-184D-41C1-AFFE-57366869A2A1}"/>
    <cellStyle name="AggGreen 3 2 2 5" xfId="2766" xr:uid="{6B097BBC-FE3E-4672-AC89-70FBF74A85DB}"/>
    <cellStyle name="AggGreen 3 2 2 6" xfId="2242" xr:uid="{A62A9559-9EE2-45B5-8A29-37BF1DD5A425}"/>
    <cellStyle name="AggGreen 3 2 2 7" xfId="3726" xr:uid="{07E6824E-0634-41D9-A6C4-78DF452A82E9}"/>
    <cellStyle name="AggGreen 3 2 2 8" xfId="3899" xr:uid="{0DE0EE31-9062-494D-BC17-D9D9DCBFBA9A}"/>
    <cellStyle name="AggGreen 3 2 3" xfId="1578" xr:uid="{244F8380-F1F9-4F34-ACEA-FB36E43349A4}"/>
    <cellStyle name="AggGreen 3 2 4" xfId="1878" xr:uid="{630DB3CB-BF77-413D-BA0E-DEBFAB865458}"/>
    <cellStyle name="AggGreen 3 2 5" xfId="2302" xr:uid="{C1EC6929-4C84-4170-87AD-4798D550C99A}"/>
    <cellStyle name="AggGreen 3 2 6" xfId="3043" xr:uid="{DB7E9BF7-66DF-4045-8848-D83B65CDB8A6}"/>
    <cellStyle name="AggGreen 3 2 7" xfId="3428" xr:uid="{3E8CB929-0414-4212-9931-91D22B3EF9F4}"/>
    <cellStyle name="AggGreen 3 2 8" xfId="3514" xr:uid="{016EDFAB-C82B-467D-870A-09DBBA789517}"/>
    <cellStyle name="AggGreen 3 2 9" xfId="4105" xr:uid="{2D3879C7-A390-4F56-93C3-B3CA2F99DF5C}"/>
    <cellStyle name="AggGreen 3 3" xfId="727" xr:uid="{02930390-B490-4D41-9B7E-E5DC15138721}"/>
    <cellStyle name="AggGreen 3 3 2" xfId="924" xr:uid="{BD13AAEC-676D-453D-ACCE-3BA9EEDA054D}"/>
    <cellStyle name="AggGreen 3 3 3" xfId="2058" xr:uid="{1DC9059A-3D0B-47B9-B7FB-1FB718CD9DBE}"/>
    <cellStyle name="AggGreen 3 3 4" xfId="2481" xr:uid="{34050007-D363-4F26-9E06-D18C8737FAAC}"/>
    <cellStyle name="AggGreen 3 3 5" xfId="1343" xr:uid="{FC8172A5-D879-4F46-BEFB-9A251B9FB2D6}"/>
    <cellStyle name="AggGreen 3 3 6" xfId="3406" xr:uid="{DE42330D-1F57-4B6D-BD90-6E59ED59F9BE}"/>
    <cellStyle name="AggGreen 3 3 7" xfId="3691" xr:uid="{3223DA3C-758F-4F99-B993-9BF047BC0414}"/>
    <cellStyle name="AggGreen 3 3 8" xfId="3889" xr:uid="{B8008490-A99A-4866-BDC3-B7B4E253FD8F}"/>
    <cellStyle name="AggGreen 4" xfId="278" xr:uid="{C3CC2398-8E13-4D9A-B0AF-593B0E71D145}"/>
    <cellStyle name="AggGreen 4 10" xfId="3461" xr:uid="{153902EC-6F39-42F7-AB33-7C3FE333CFB4}"/>
    <cellStyle name="AggGreen 4 11" xfId="3299" xr:uid="{B411CAC8-8252-42C0-84BD-494372F3D0B5}"/>
    <cellStyle name="AggGreen 4 2" xfId="617" xr:uid="{F81D4B57-A660-45E2-A94E-FAED2B9F9ABD}"/>
    <cellStyle name="AggGreen 4 2 2" xfId="832" xr:uid="{1ED9A3F7-84DB-4C58-AF74-228FA09F8C33}"/>
    <cellStyle name="AggGreen 4 2 2 2" xfId="1140" xr:uid="{BF60C190-EB64-4847-8FAD-C5BDDCA81EA6}"/>
    <cellStyle name="AggGreen 4 2 2 3" xfId="2163" xr:uid="{3AF7A0CD-78C1-4436-9EE3-159D889B8BD5}"/>
    <cellStyle name="AggGreen 4 2 2 4" xfId="2586" xr:uid="{59E97807-EE47-4ED3-8746-B99B236342F7}"/>
    <cellStyle name="AggGreen 4 2 2 5" xfId="2785" xr:uid="{44315DB0-8A35-4BA0-B15F-CC55C9283DCC}"/>
    <cellStyle name="AggGreen 4 2 2 6" xfId="2248" xr:uid="{9CB2DD11-6C5F-4A4F-994E-407CA6714C6C}"/>
    <cellStyle name="AggGreen 4 2 2 7" xfId="3796" xr:uid="{1A64D585-98AE-41D2-8041-CA957D694A03}"/>
    <cellStyle name="AggGreen 4 2 2 8" xfId="3882" xr:uid="{9DEA7AD3-F53F-4587-934B-3653A8BB46B6}"/>
    <cellStyle name="AggGreen 4 2 3" xfId="1439" xr:uid="{28065A09-882E-477C-B91B-3A9E5CB17FC2}"/>
    <cellStyle name="AggGreen 4 2 4" xfId="1948" xr:uid="{53271F01-BA6B-4F2C-AD21-4C7F491CD396}"/>
    <cellStyle name="AggGreen 4 2 5" xfId="2372" xr:uid="{91191A74-9755-4C91-950C-2B1188EEEBD3}"/>
    <cellStyle name="AggGreen 4 2 6" xfId="2950" xr:uid="{6BFF0A62-FB7F-47DB-8D25-FEFDF7E8C831}"/>
    <cellStyle name="AggGreen 4 2 7" xfId="2912" xr:uid="{B56EE8CE-C6D5-4D4E-BFD5-1324BFBD2B78}"/>
    <cellStyle name="AggGreen 4 2 8" xfId="3584" xr:uid="{B16CA0B0-2218-4E8C-9D1C-3FD0615B0764}"/>
    <cellStyle name="AggGreen 4 2 9" xfId="3484" xr:uid="{AB3B4A44-5CB1-4E41-B66F-710DD8D9A2CF}"/>
    <cellStyle name="AggGreen 4 3" xfId="532" xr:uid="{53C30E70-D9D1-4B53-910D-6B68A9A70BC4}"/>
    <cellStyle name="AggGreen 4 3 2" xfId="747" xr:uid="{8F727C2A-FE89-4502-883E-85EB4A03AADA}"/>
    <cellStyle name="AggGreen 4 3 2 2" xfId="1192" xr:uid="{A00967F1-0DE4-400E-8B58-533F238DC252}"/>
    <cellStyle name="AggGreen 4 3 2 3" xfId="2078" xr:uid="{9D63C43C-6535-4EAA-BF0F-2C28ED425F2C}"/>
    <cellStyle name="AggGreen 4 3 2 4" xfId="2501" xr:uid="{F9811F04-AB17-422F-83E1-380F9AD38BBC}"/>
    <cellStyle name="AggGreen 4 3 2 5" xfId="3009" xr:uid="{B9A8D04B-664A-48C5-A82F-4A4A98C2E5EF}"/>
    <cellStyle name="AggGreen 4 3 2 6" xfId="3179" xr:uid="{29EC9B42-DC21-45D7-9C4E-E0D63BD0288F}"/>
    <cellStyle name="AggGreen 4 3 2 7" xfId="3711" xr:uid="{62E5A9F1-2211-41FC-9A97-995CD784C251}"/>
    <cellStyle name="AggGreen 4 3 2 8" xfId="3208" xr:uid="{17BC601C-358E-4B9E-9FF6-C82611FC23F1}"/>
    <cellStyle name="AggGreen 4 3 3" xfId="1484" xr:uid="{8F7765A9-EC37-42DD-AAEA-F2B24B54C406}"/>
    <cellStyle name="AggGreen 4 3 4" xfId="1863" xr:uid="{1886C040-B49C-4D30-9A73-7F90B0754CF3}"/>
    <cellStyle name="AggGreen 4 3 5" xfId="2287" xr:uid="{062D66E7-A9B8-4B34-A3C8-EE588788F659}"/>
    <cellStyle name="AggGreen 4 3 6" xfId="1252" xr:uid="{5AA50A32-5A3E-4A37-916C-1C3DFC6C606D}"/>
    <cellStyle name="AggGreen 4 3 7" xfId="3366" xr:uid="{31C4F183-D4AB-4673-8A08-89AC864EC08E}"/>
    <cellStyle name="AggGreen 4 3 8" xfId="3499" xr:uid="{A68C8AEE-3081-4C33-8162-5B7276B77943}"/>
    <cellStyle name="AggGreen 4 3 9" xfId="1850" xr:uid="{0BBCA5B8-9235-4E4A-9DE7-388BF783E438}"/>
    <cellStyle name="AggGreen 4 4" xfId="650" xr:uid="{E34BE8E7-B726-4F45-9E83-B9A216AFA261}"/>
    <cellStyle name="AggGreen 4 4 2" xfId="865" xr:uid="{D8AB02AC-0404-46EC-AB96-2C78B39E5CF2}"/>
    <cellStyle name="AggGreen 4 4 2 2" xfId="1137" xr:uid="{4B089928-43AE-4758-9134-19B9456789C1}"/>
    <cellStyle name="AggGreen 4 4 2 3" xfId="2196" xr:uid="{1D1DB4AF-FF8D-4996-8604-C86216775DD9}"/>
    <cellStyle name="AggGreen 4 4 2 4" xfId="2619" xr:uid="{6B94B5CE-FDDC-4BAE-97ED-1E3C299CCEFA}"/>
    <cellStyle name="AggGreen 4 4 2 5" xfId="2867" xr:uid="{9B28B3B8-B104-462B-BE8E-2F89F7F67129}"/>
    <cellStyle name="AggGreen 4 4 2 6" xfId="1448" xr:uid="{79EA542B-DDD7-4EB8-9784-9E124D72F5D9}"/>
    <cellStyle name="AggGreen 4 4 2 7" xfId="3829" xr:uid="{30D8978D-46BF-4402-BD86-8114E7D491C3}"/>
    <cellStyle name="AggGreen 4 4 2 8" xfId="4001" xr:uid="{04BCB60F-97A9-47DC-B0C8-7A8038B769B0}"/>
    <cellStyle name="AggGreen 4 4 3" xfId="1197" xr:uid="{951F9744-0B40-4269-B810-88AD13B21A3E}"/>
    <cellStyle name="AggGreen 4 4 4" xfId="1981" xr:uid="{410F1FB5-86A8-45A4-A180-6A8186EA512D}"/>
    <cellStyle name="AggGreen 4 4 5" xfId="2405" xr:uid="{38FC8A2C-AF36-4319-BB7A-9720CFFAD10B}"/>
    <cellStyle name="AggGreen 4 4 6" xfId="2282" xr:uid="{867EAF18-1DBC-45DD-9A34-0390BFDF18DF}"/>
    <cellStyle name="AggGreen 4 4 7" xfId="3291" xr:uid="{66819363-56C6-4B91-A94A-75CA65F2CBBE}"/>
    <cellStyle name="AggGreen 4 4 8" xfId="3617" xr:uid="{728B2CE2-DA54-4E11-87D5-7ADC6E1F04DD}"/>
    <cellStyle name="AggGreen 4 4 9" xfId="4062" xr:uid="{5646EED3-0476-46CF-A7C6-C57E275D7E9A}"/>
    <cellStyle name="AggGreen 4 5" xfId="1377" xr:uid="{46A0E521-E24C-4F9F-BE28-C3F503907CE6}"/>
    <cellStyle name="AggGreen 4 6" xfId="1807" xr:uid="{D3BB45C8-5A46-4CB1-8618-35D2C29585C0}"/>
    <cellStyle name="AggGreen 4 7" xfId="1476" xr:uid="{BE5F38BF-F19F-4F84-B264-BAC36AB84A80}"/>
    <cellStyle name="AggGreen 4 8" xfId="1394" xr:uid="{0E35E57D-4266-4F1E-8511-CAEBDA22A4BC}"/>
    <cellStyle name="AggGreen 4 9" xfId="954" xr:uid="{E27C7833-24E0-4DAC-A8F1-006AB6421B29}"/>
    <cellStyle name="AggGreen 5" xfId="94" xr:uid="{4DF01D89-5467-46AC-930B-C685E2620151}"/>
    <cellStyle name="AggGreen_Bbdr" xfId="26" xr:uid="{DB3E46EC-037F-4B6C-A692-F95515654E94}"/>
    <cellStyle name="AggGreen12" xfId="23" xr:uid="{0FC5F283-FA1B-4A87-8A8C-2ADD6A4EE402}"/>
    <cellStyle name="AggGreen12 2" xfId="133" xr:uid="{05DCA5DA-BCC5-4C17-8837-F590EE88BED3}"/>
    <cellStyle name="AggGreen12 2 2" xfId="423" xr:uid="{28D38A66-B88D-4564-BFF9-E9E8868EA027}"/>
    <cellStyle name="AggGreen12 2 2 2" xfId="616" xr:uid="{73ABF7AD-A8A2-492C-8787-D52529ED853C}"/>
    <cellStyle name="AggGreen12 2 2 2 2" xfId="831" xr:uid="{74E4305A-EC43-4F10-A925-BC42B9AF61D8}"/>
    <cellStyle name="AggGreen12 2 2 2 2 2" xfId="1030" xr:uid="{745E35DA-1EA2-42DB-BDF8-90EE314EC9A6}"/>
    <cellStyle name="AggGreen12 2 2 2 2 3" xfId="2162" xr:uid="{C3C716D1-E708-4761-B73B-4F911C9B67F1}"/>
    <cellStyle name="AggGreen12 2 2 2 2 4" xfId="2585" xr:uid="{213C1034-29E7-4ABF-9BC2-11B35FA8085A}"/>
    <cellStyle name="AggGreen12 2 2 2 2 5" xfId="2693" xr:uid="{631C78BA-9592-4641-A019-E53C9B25D143}"/>
    <cellStyle name="AggGreen12 2 2 2 2 6" xfId="965" xr:uid="{8C915175-1EB9-4995-AE12-7A6ED244E6EF}"/>
    <cellStyle name="AggGreen12 2 2 2 2 7" xfId="3795" xr:uid="{D86D5F4F-C0EE-4F9B-A779-EA11D2617A1E}"/>
    <cellStyle name="AggGreen12 2 2 2 2 8" xfId="1080" xr:uid="{C6FBB474-84C9-4C7F-84BF-6385FB8ACEB4}"/>
    <cellStyle name="AggGreen12 2 2 2 3" xfId="1642" xr:uid="{4AECFBF2-2186-45E8-9169-DC5B90DE4CC8}"/>
    <cellStyle name="AggGreen12 2 2 2 4" xfId="1947" xr:uid="{D1110250-003B-4BE8-B074-F926C3CE3D48}"/>
    <cellStyle name="AggGreen12 2 2 2 5" xfId="2371" xr:uid="{FA93652E-5C46-4674-82B7-3067AB7AEE30}"/>
    <cellStyle name="AggGreen12 2 2 2 6" xfId="2243" xr:uid="{A928BB18-D728-449A-87AC-70E3EC722DFA}"/>
    <cellStyle name="AggGreen12 2 2 2 7" xfId="3140" xr:uid="{569F7D3B-FF8F-4EA5-9234-B922F203C3DF}"/>
    <cellStyle name="AggGreen12 2 2 2 8" xfId="3583" xr:uid="{183FA5ED-EAEC-44D0-A78E-DF034CEF9FCA}"/>
    <cellStyle name="AggGreen12 2 2 2 9" xfId="3977" xr:uid="{43D8E89D-45B7-4960-83A0-5796A3CFF376}"/>
    <cellStyle name="AggGreen12 2 2 3" xfId="730" xr:uid="{8DFF9153-50F3-4C71-990D-CA13195B3D8D}"/>
    <cellStyle name="AggGreen12 2 2 3 2" xfId="1744" xr:uid="{5B473A36-5256-4029-B67A-9AF0FA8CEDED}"/>
    <cellStyle name="AggGreen12 2 2 3 3" xfId="2061" xr:uid="{8EE52549-4D92-41C1-ACB1-45D20C7A7D64}"/>
    <cellStyle name="AggGreen12 2 2 3 4" xfId="2484" xr:uid="{94BB4ED2-8E51-42A3-9136-7B5D6A1F26B3}"/>
    <cellStyle name="AggGreen12 2 2 3 5" xfId="2962" xr:uid="{C34E0FBB-8C5F-4AEF-A0BA-8A1D444D996E}"/>
    <cellStyle name="AggGreen12 2 2 3 6" xfId="3132" xr:uid="{012E585E-C1A2-465A-BFA1-E69621EDBD4F}"/>
    <cellStyle name="AggGreen12 2 2 3 7" xfId="3694" xr:uid="{FBA31AA3-11EA-4046-BE0E-5C0F2A2D08D2}"/>
    <cellStyle name="AggGreen12 2 2 3 8" xfId="3995" xr:uid="{578555AC-EE31-4E96-824F-BF2E599D7968}"/>
    <cellStyle name="AggGreen12 2 3" xfId="281" xr:uid="{92305690-7FAB-4FCA-BA0F-3297FBB966BE}"/>
    <cellStyle name="AggGreen12 2 3 10" xfId="957" xr:uid="{C875DE65-ECB3-404C-B099-5397BAFE2EC6}"/>
    <cellStyle name="AggGreen12 2 3 11" xfId="4052" xr:uid="{BD0CF980-1526-498C-8773-31616EBAFA41}"/>
    <cellStyle name="AggGreen12 2 3 2" xfId="620" xr:uid="{F9C573D1-100D-4C4C-A3B0-F24F987D853E}"/>
    <cellStyle name="AggGreen12 2 3 2 2" xfId="835" xr:uid="{222CC17A-1538-4CD3-A013-898026501F25}"/>
    <cellStyle name="AggGreen12 2 3 2 2 2" xfId="1028" xr:uid="{50CE736B-A3FB-4FDA-8F2D-933D41CF27DF}"/>
    <cellStyle name="AggGreen12 2 3 2 2 3" xfId="2166" xr:uid="{F9BEAEE3-CF48-46EF-B451-E27C23F22BC8}"/>
    <cellStyle name="AggGreen12 2 3 2 2 4" xfId="2589" xr:uid="{1EECD40D-D289-404F-9335-532A56734989}"/>
    <cellStyle name="AggGreen12 2 3 2 2 5" xfId="2673" xr:uid="{116CA576-BBDD-48DF-B3C3-C91EA0F6D33E}"/>
    <cellStyle name="AggGreen12 2 3 2 2 6" xfId="1491" xr:uid="{C66AB2D1-4118-42DC-B2A3-0A968BAEDE5C}"/>
    <cellStyle name="AggGreen12 2 3 2 2 7" xfId="3799" xr:uid="{5DE850ED-E6A9-4F0C-8CD5-C5AA59222BAE}"/>
    <cellStyle name="AggGreen12 2 3 2 2 8" xfId="3926" xr:uid="{ED3E2BC3-5D1F-4008-BAA9-1915DDAC10F0}"/>
    <cellStyle name="AggGreen12 2 3 2 3" xfId="914" xr:uid="{536AA506-D295-40F8-A817-D9719E6FCCF5}"/>
    <cellStyle name="AggGreen12 2 3 2 4" xfId="1951" xr:uid="{4C9F5390-43BB-4578-8276-5CD11C653BE2}"/>
    <cellStyle name="AggGreen12 2 3 2 5" xfId="2375" xr:uid="{8C9AC1C8-74CB-4CA7-A19F-98BB2D8ABE95}"/>
    <cellStyle name="AggGreen12 2 3 2 6" xfId="2788" xr:uid="{10AB53BF-6E10-4ACD-A6A6-4004443DB045}"/>
    <cellStyle name="AggGreen12 2 3 2 7" xfId="2920" xr:uid="{4AC5308F-7FC5-48BA-9504-BFC5CC233E82}"/>
    <cellStyle name="AggGreen12 2 3 2 8" xfId="3587" xr:uid="{B2FAC814-7D71-4F59-A519-E7CA9390D579}"/>
    <cellStyle name="AggGreen12 2 3 2 9" xfId="2945" xr:uid="{8EBDFBEF-5F70-4C42-9359-B085F9DC5F0A}"/>
    <cellStyle name="AggGreen12 2 3 3" xfId="569" xr:uid="{954AD4C3-6320-470C-AE4E-113D812F2460}"/>
    <cellStyle name="AggGreen12 2 3 3 2" xfId="784" xr:uid="{F9531A64-E25F-4CBD-8BD3-DAC0FA1C7256}"/>
    <cellStyle name="AggGreen12 2 3 3 2 2" xfId="1043" xr:uid="{978EA408-79ED-4006-9135-40CC79976F07}"/>
    <cellStyle name="AggGreen12 2 3 3 2 3" xfId="2115" xr:uid="{BA03A87A-6A14-47CD-882E-E7C10D4F7C80}"/>
    <cellStyle name="AggGreen12 2 3 3 2 4" xfId="2538" xr:uid="{529014B4-F9D6-4582-81B0-74091AF9103C}"/>
    <cellStyle name="AggGreen12 2 3 3 2 5" xfId="1505" xr:uid="{3B7C4261-8D54-41F1-AE4B-B2416DD9F159}"/>
    <cellStyle name="AggGreen12 2 3 3 2 6" xfId="2467" xr:uid="{9D6D1C8F-857A-4C38-B058-8410C6528DC7}"/>
    <cellStyle name="AggGreen12 2 3 3 2 7" xfId="3748" xr:uid="{F964E664-DB7D-4D26-9630-C8C7FB226429}"/>
    <cellStyle name="AggGreen12 2 3 3 2 8" xfId="3961" xr:uid="{9027415C-5ED8-4FE7-91BF-8CE36510FED0}"/>
    <cellStyle name="AggGreen12 2 3 3 3" xfId="1156" xr:uid="{9F94C886-F2C0-4EDB-832C-74A182733B34}"/>
    <cellStyle name="AggGreen12 2 3 3 4" xfId="1900" xr:uid="{5E534758-567A-4C8D-91EB-44989030D43F}"/>
    <cellStyle name="AggGreen12 2 3 3 5" xfId="2324" xr:uid="{AA2F4CAF-9D1D-4BB8-8B6C-50F3CE05BD23}"/>
    <cellStyle name="AggGreen12 2 3 3 6" xfId="1163" xr:uid="{65D5287C-7901-4D24-B972-286F9CDB4F3B}"/>
    <cellStyle name="AggGreen12 2 3 3 7" xfId="2933" xr:uid="{F9407300-FDEB-4E20-B44B-9F620E66E1DB}"/>
    <cellStyle name="AggGreen12 2 3 3 8" xfId="3536" xr:uid="{8D2A4C1D-9BF8-41CE-ADB5-6A4603FD8A69}"/>
    <cellStyle name="AggGreen12 2 3 3 9" xfId="2710" xr:uid="{32F68C9D-5A74-4DAA-980C-3D614C93A537}"/>
    <cellStyle name="AggGreen12 2 3 4" xfId="649" xr:uid="{F040D0F1-640C-444E-8110-39812DD15C32}"/>
    <cellStyle name="AggGreen12 2 3 4 2" xfId="864" xr:uid="{1FFB048D-126F-4BE7-A087-CB7D28746F1F}"/>
    <cellStyle name="AggGreen12 2 3 4 2 2" xfId="53" xr:uid="{64855471-8B43-4B6F-8AEC-038F05CDA399}"/>
    <cellStyle name="AggGreen12 2 3 4 2 3" xfId="2195" xr:uid="{2C85B827-9F70-45E4-A401-6F0C95A7301D}"/>
    <cellStyle name="AggGreen12 2 3 4 2 4" xfId="2618" xr:uid="{90BED7D7-BD43-4C8A-94B4-7A0226E49D4D}"/>
    <cellStyle name="AggGreen12 2 3 4 2 5" xfId="977" xr:uid="{D655FE4D-3723-483E-8535-DB0DAF2333B3}"/>
    <cellStyle name="AggGreen12 2 3 4 2 6" xfId="2698" xr:uid="{65F6197C-4B23-4FBD-A465-5EFFDA54569B}"/>
    <cellStyle name="AggGreen12 2 3 4 2 7" xfId="3828" xr:uid="{9C8FCD3D-65CF-4834-94ED-72CB94AB2412}"/>
    <cellStyle name="AggGreen12 2 3 4 2 8" xfId="4096" xr:uid="{DAB7A644-121E-43C3-A473-8A1B4286D77C}"/>
    <cellStyle name="AggGreen12 2 3 4 3" xfId="1515" xr:uid="{D20947AD-4E42-4A9B-AA1D-B56195D28BF3}"/>
    <cellStyle name="AggGreen12 2 3 4 4" xfId="1980" xr:uid="{5285F1C3-6493-4564-A6D3-D8BB8D5A1F1B}"/>
    <cellStyle name="AggGreen12 2 3 4 5" xfId="2404" xr:uid="{C866AF5D-FE23-4936-95E7-D703919EB28C}"/>
    <cellStyle name="AggGreen12 2 3 4 6" xfId="2668" xr:uid="{42F5937F-B25A-4578-86B5-9C139775F571}"/>
    <cellStyle name="AggGreen12 2 3 4 7" xfId="3032" xr:uid="{C828880B-6C1C-479D-9799-DAC7BBCD6689}"/>
    <cellStyle name="AggGreen12 2 3 4 8" xfId="3616" xr:uid="{BB2781AB-F9DE-4263-80CB-CBE8C0F45571}"/>
    <cellStyle name="AggGreen12 2 3 4 9" xfId="3368" xr:uid="{179FD525-2570-41AA-B31A-B601302B31FB}"/>
    <cellStyle name="AggGreen12 2 3 5" xfId="1372" xr:uid="{A14C1C81-7EEA-47FF-BFE0-534AD3D34282}"/>
    <cellStyle name="AggGreen12 2 3 6" xfId="1131" xr:uid="{6E560FF2-7546-4A86-9ED6-C9C3C3E3617A}"/>
    <cellStyle name="AggGreen12 2 3 7" xfId="1639" xr:uid="{8F25FAD8-F7B8-4945-94FA-E25CF8D02D7C}"/>
    <cellStyle name="AggGreen12 2 3 8" xfId="1404" xr:uid="{8A38741D-1DF8-45C9-B519-ED2ACD319AEC}"/>
    <cellStyle name="AggGreen12 2 3 9" xfId="2825" xr:uid="{F8C148B8-7436-4954-9D88-4FBDAA8BAF9B}"/>
    <cellStyle name="AggGreen12 3" xfId="422" xr:uid="{21BF51D6-9EB1-43B3-B461-0A5BEDD5A0B3}"/>
    <cellStyle name="AggGreen12 3 2" xfId="546" xr:uid="{FDF68ACA-B3D7-4C62-9E1E-84B4A82E50FE}"/>
    <cellStyle name="AggGreen12 3 2 2" xfId="761" xr:uid="{2F88C866-FA56-460B-808F-231B5C4B2ACF}"/>
    <cellStyle name="AggGreen12 3 2 2 2" xfId="1051" xr:uid="{54DC16D1-4FE8-4215-A41D-22FEE9A8EEA6}"/>
    <cellStyle name="AggGreen12 3 2 2 3" xfId="2092" xr:uid="{E626B8E8-D5F0-4435-846C-A60066DBD03F}"/>
    <cellStyle name="AggGreen12 3 2 2 4" xfId="2515" xr:uid="{E8AF02CB-46A1-4277-A8EB-D326EAAF5B5A}"/>
    <cellStyle name="AggGreen12 3 2 2 5" xfId="1812" xr:uid="{85009066-3716-4DA9-9B08-3D4B31045E6A}"/>
    <cellStyle name="AggGreen12 3 2 2 6" xfId="1467" xr:uid="{C4ECE987-E7CF-42B6-AA4B-D8D07EA191F0}"/>
    <cellStyle name="AggGreen12 3 2 2 7" xfId="3725" xr:uid="{963E3290-C019-478F-AFF7-25656F78FD14}"/>
    <cellStyle name="AggGreen12 3 2 2 8" xfId="4085" xr:uid="{CA363ECA-261B-48CF-99EC-D2517C7DA4A2}"/>
    <cellStyle name="AggGreen12 3 2 3" xfId="1784" xr:uid="{4FBD4ADD-9430-4158-A984-77310F0C3FDE}"/>
    <cellStyle name="AggGreen12 3 2 4" xfId="1877" xr:uid="{12F280F9-FE53-49CA-AD11-0276D08405B1}"/>
    <cellStyle name="AggGreen12 3 2 5" xfId="2301" xr:uid="{FD94450D-BFCD-42DA-83CC-965F62FBD707}"/>
    <cellStyle name="AggGreen12 3 2 6" xfId="2796" xr:uid="{80CD7F0C-9BE5-4224-857B-66FE8A105058}"/>
    <cellStyle name="AggGreen12 3 2 7" xfId="3258" xr:uid="{CB4F66BD-4304-4552-804B-3CFD0E673023}"/>
    <cellStyle name="AggGreen12 3 2 8" xfId="3513" xr:uid="{8102E8FF-4FDF-4472-8602-9A966433055D}"/>
    <cellStyle name="AggGreen12 3 2 9" xfId="3874" xr:uid="{80EF032D-64A1-4BF5-BCA3-FB3282ED5F4E}"/>
    <cellStyle name="AggGreen12 3 3" xfId="729" xr:uid="{82FFA5C3-8A56-48F6-A9E2-D82D1A601733}"/>
    <cellStyle name="AggGreen12 3 3 2" xfId="1015" xr:uid="{8AB72850-8679-4932-91BD-18225E962B46}"/>
    <cellStyle name="AggGreen12 3 3 3" xfId="2060" xr:uid="{A9CD9D1F-AB7D-4BF3-975A-FB62640CB987}"/>
    <cellStyle name="AggGreen12 3 3 4" xfId="2483" xr:uid="{DDF507DD-9FA7-476D-BAFE-033913548388}"/>
    <cellStyle name="AggGreen12 3 3 5" xfId="2777" xr:uid="{A66EF8DE-AA82-4FE6-A09F-2F56AD594BAF}"/>
    <cellStyle name="AggGreen12 3 3 6" xfId="3302" xr:uid="{F1A3B443-FD59-452E-AEB3-ABEF61C22028}"/>
    <cellStyle name="AggGreen12 3 3 7" xfId="3693" xr:uid="{5755B760-1273-463E-9910-998062F6D717}"/>
    <cellStyle name="AggGreen12 3 3 8" xfId="4028" xr:uid="{5AC69E0A-CF60-49EF-B40B-5315F8E58DE1}"/>
    <cellStyle name="AggGreen12 4" xfId="280" xr:uid="{8B6D8F32-4856-4E6E-BC86-32C40D910985}"/>
    <cellStyle name="AggGreen12 4 10" xfId="3180" xr:uid="{8D30AACF-2CF3-4C7E-A512-9D3EDEAA9B2C}"/>
    <cellStyle name="AggGreen12 4 11" xfId="3247" xr:uid="{B827368F-4E0C-4385-9713-C8309BA45F49}"/>
    <cellStyle name="AggGreen12 4 2" xfId="619" xr:uid="{B6166F18-2389-441C-A2FC-494052530453}"/>
    <cellStyle name="AggGreen12 4 2 2" xfId="834" xr:uid="{C0D082D7-C356-4AEF-BCB6-643B00B97C24}"/>
    <cellStyle name="AggGreen12 4 2 2 2" xfId="1139" xr:uid="{68071F5B-A771-44A4-B1B5-7134AECE417D}"/>
    <cellStyle name="AggGreen12 4 2 2 3" xfId="2165" xr:uid="{F71EB262-DFD4-41F6-8E83-55F1672BCE97}"/>
    <cellStyle name="AggGreen12 4 2 2 4" xfId="2588" xr:uid="{6A20F12A-7BF1-4A81-ADB3-E33045F504BD}"/>
    <cellStyle name="AggGreen12 4 2 2 5" xfId="2964" xr:uid="{1C6E0BCA-15C5-4221-B0C7-B694A48F12B3}"/>
    <cellStyle name="AggGreen12 4 2 2 6" xfId="1678" xr:uid="{B816665F-1D7E-456A-8940-50EAD5FC0B49}"/>
    <cellStyle name="AggGreen12 4 2 2 7" xfId="3798" xr:uid="{17974FDC-D992-49B1-AE7C-14289C987843}"/>
    <cellStyle name="AggGreen12 4 2 2 8" xfId="3942" xr:uid="{6855A89B-64AB-4378-8430-B882F7CB67A5}"/>
    <cellStyle name="AggGreen12 4 2 3" xfId="1058" xr:uid="{671FFFD4-E2C8-4E1F-B22E-946460E991FF}"/>
    <cellStyle name="AggGreen12 4 2 4" xfId="1950" xr:uid="{248DF332-FEA0-4144-94F4-D8E363FC1D69}"/>
    <cellStyle name="AggGreen12 4 2 5" xfId="2374" xr:uid="{5FC2AA94-1872-4ED2-8AE5-A38D7A40F389}"/>
    <cellStyle name="AggGreen12 4 2 6" xfId="1384" xr:uid="{B1F9CEB6-609E-42F4-BC10-A58CDE285C3D}"/>
    <cellStyle name="AggGreen12 4 2 7" xfId="2857" xr:uid="{51D886AF-3D28-4051-B6E5-2BEC0B6C5A4A}"/>
    <cellStyle name="AggGreen12 4 2 8" xfId="3586" xr:uid="{E39BBE16-1748-44B8-8C40-2E65E2B13055}"/>
    <cellStyle name="AggGreen12 4 2 9" xfId="3175" xr:uid="{DD8BC692-B044-4CFD-878E-11E7AF4D668B}"/>
    <cellStyle name="AggGreen12 4 3" xfId="671" xr:uid="{30CBE7E7-5E9E-4DD3-B34E-49D0F182034C}"/>
    <cellStyle name="AggGreen12 4 3 2" xfId="886" xr:uid="{D71C6B3F-F426-4C42-80FC-6D2627D1A14B}"/>
    <cellStyle name="AggGreen12 4 3 2 2" xfId="1296" xr:uid="{68452C19-E19F-4324-884A-B9BC0A31CE75}"/>
    <cellStyle name="AggGreen12 4 3 2 3" xfId="2217" xr:uid="{D602AD68-D829-4A27-842A-9390569D814D}"/>
    <cellStyle name="AggGreen12 4 3 2 4" xfId="2640" xr:uid="{D823D7E5-66AE-499E-8CE3-CB61F820899B}"/>
    <cellStyle name="AggGreen12 4 3 2 5" xfId="2043" xr:uid="{C17FA2E9-CA8D-49CA-B91D-0B603AA30E97}"/>
    <cellStyle name="AggGreen12 4 3 2 6" xfId="3037" xr:uid="{584C3B9F-8E0F-4DC3-BB13-89CBE6A0E634}"/>
    <cellStyle name="AggGreen12 4 3 2 7" xfId="3850" xr:uid="{2DC0C402-C85E-460D-BCEC-A24E8CEBC1B7}"/>
    <cellStyle name="AggGreen12 4 3 2 8" xfId="3471" xr:uid="{38A52BDF-82C4-4887-924C-F8F56E125BB5}"/>
    <cellStyle name="AggGreen12 4 3 3" xfId="935" xr:uid="{F4636843-92E3-419C-845E-6713EC76E40E}"/>
    <cellStyle name="AggGreen12 4 3 4" xfId="2002" xr:uid="{2EAB8F94-53F5-468E-AC5B-2FA12DA31129}"/>
    <cellStyle name="AggGreen12 4 3 5" xfId="2426" xr:uid="{59B46692-251C-47E2-908B-0A45C1D2C147}"/>
    <cellStyle name="AggGreen12 4 3 6" xfId="2901" xr:uid="{592D1FE1-56CA-4F83-AC4C-654ADC213A4E}"/>
    <cellStyle name="AggGreen12 4 3 7" xfId="2717" xr:uid="{0F310B26-C11B-4616-9275-B016BBD40772}"/>
    <cellStyle name="AggGreen12 4 3 8" xfId="3638" xr:uid="{9AF01E75-9F8F-484C-8028-2C18C8837657}"/>
    <cellStyle name="AggGreen12 4 3 9" xfId="4074" xr:uid="{A61F123A-3CBE-4A49-B22E-6999502DA6F1}"/>
    <cellStyle name="AggGreen12 4 4" xfId="682" xr:uid="{0E6BA0A6-DB5E-4427-BB1F-F6996BAD50B4}"/>
    <cellStyle name="AggGreen12 4 4 2" xfId="897" xr:uid="{72CD3349-0CAB-461D-9AA9-43EC5A1B5830}"/>
    <cellStyle name="AggGreen12 4 4 2 2" xfId="1795" xr:uid="{40599A47-19F5-4720-8411-423B3C40D821}"/>
    <cellStyle name="AggGreen12 4 4 2 3" xfId="2228" xr:uid="{17B3F81A-E7A9-4EC1-95B5-14A47245CE18}"/>
    <cellStyle name="AggGreen12 4 4 2 4" xfId="2651" xr:uid="{97EB76D5-295D-4186-AB9E-6B495956FAF3}"/>
    <cellStyle name="AggGreen12 4 4 2 5" xfId="3067" xr:uid="{564AA7D2-A823-40F1-967B-96B75BD1D49B}"/>
    <cellStyle name="AggGreen12 4 4 2 6" xfId="3449" xr:uid="{919A3F26-3DA7-469D-9299-61683AAC8D35}"/>
    <cellStyle name="AggGreen12 4 4 2 7" xfId="3861" xr:uid="{1E64DB92-32CB-476E-BBDA-8245408D2E97}"/>
    <cellStyle name="AggGreen12 4 4 2 8" xfId="4125" xr:uid="{C06E77F8-C8C6-412B-9E50-4D55852D8200}"/>
    <cellStyle name="AggGreen12 4 4 3" xfId="1717" xr:uid="{B5520725-5EC5-44F9-86AA-B678C940864C}"/>
    <cellStyle name="AggGreen12 4 4 4" xfId="2013" xr:uid="{EE630059-90D1-4F24-890B-E0D2246DD4B7}"/>
    <cellStyle name="AggGreen12 4 4 5" xfId="2437" xr:uid="{4D48F069-47A5-4B35-8C15-D5A4136D4276}"/>
    <cellStyle name="AggGreen12 4 4 6" xfId="2973" xr:uid="{3202D22C-6167-4E9D-9EB9-E7724028AEFE}"/>
    <cellStyle name="AggGreen12 4 4 7" xfId="3289" xr:uid="{E3B1D4E5-D44F-4BFB-B6FF-EEACFFEB8A7D}"/>
    <cellStyle name="AggGreen12 4 4 8" xfId="3649" xr:uid="{CA156A1D-8831-4352-AE36-6C5FB1D888CD}"/>
    <cellStyle name="AggGreen12 4 4 9" xfId="3993" xr:uid="{D34687AF-F2AB-4497-9FC2-BE678E98D68C}"/>
    <cellStyle name="AggGreen12 4 5" xfId="1227" xr:uid="{5ADE5DDE-E46F-4DA4-B905-FE8EDE8D59C6}"/>
    <cellStyle name="AggGreen12 4 6" xfId="1695" xr:uid="{A9061999-8A58-4270-B42B-C06F7CC0B672}"/>
    <cellStyle name="AggGreen12 4 7" xfId="943" xr:uid="{0199C75B-766D-44F3-9228-FDAEE4D52CF4}"/>
    <cellStyle name="AggGreen12 4 8" xfId="987" xr:uid="{84059F33-B711-4490-BF09-A11DE94047FB}"/>
    <cellStyle name="AggGreen12 4 9" xfId="3097" xr:uid="{76A7637C-4687-43B3-A769-9668462E30E5}"/>
    <cellStyle name="AggGreen12 5" xfId="92" xr:uid="{34B1620F-53BB-4A5C-9D8E-4476B84A2C9F}"/>
    <cellStyle name="AggOrange" xfId="18" xr:uid="{36E0C682-2394-41DE-900F-AD450F4458B4}"/>
    <cellStyle name="AggOrange 2" xfId="134" xr:uid="{3F64A8B5-7D48-4F10-9EB3-E1707AF19025}"/>
    <cellStyle name="AggOrange 2 2" xfId="425" xr:uid="{EEA06B59-8F51-4B52-AEA6-E805D7872CFC}"/>
    <cellStyle name="AggOrange 2 2 2" xfId="545" xr:uid="{C8384272-E225-412E-9D2A-4E456E28A88E}"/>
    <cellStyle name="AggOrange 2 2 2 2" xfId="760" xr:uid="{EAB9CA04-D708-4CAD-9CF1-A8430FBE55C2}"/>
    <cellStyle name="AggOrange 2 2 2 2 2" xfId="1125" xr:uid="{AA6C7372-9F95-49FB-AD99-9717C4FD31B1}"/>
    <cellStyle name="AggOrange 2 2 2 2 3" xfId="2091" xr:uid="{44DAB283-5391-48B8-AFCA-F64BDFA944F7}"/>
    <cellStyle name="AggOrange 2 2 2 2 4" xfId="2514" xr:uid="{9457BC22-AAC8-459E-9B08-BD0F185588F4}"/>
    <cellStyle name="AggOrange 2 2 2 2 5" xfId="2713" xr:uid="{5B244AD5-1655-4486-98D2-A04C50A97E9F}"/>
    <cellStyle name="AggOrange 2 2 2 2 6" xfId="2680" xr:uid="{FC1E2F9F-76DA-4CEC-B0EB-4F0420E0A6B3}"/>
    <cellStyle name="AggOrange 2 2 2 2 7" xfId="3724" xr:uid="{E5E7DD8D-0B6B-43A8-97B5-01AD8C57CA23}"/>
    <cellStyle name="AggOrange 2 2 2 2 8" xfId="3972" xr:uid="{C9DFEA0F-6F67-40AF-B304-6494C9EC2135}"/>
    <cellStyle name="AggOrange 2 2 2 3" xfId="1583" xr:uid="{06488F7B-DD2E-497B-BAB0-E888C8B2ECC7}"/>
    <cellStyle name="AggOrange 2 2 2 4" xfId="1876" xr:uid="{36B90F52-5A41-4B4B-90EF-413E6FFD8B67}"/>
    <cellStyle name="AggOrange 2 2 2 5" xfId="2300" xr:uid="{0ECF300D-17DE-4213-97B1-3B8DE276AED6}"/>
    <cellStyle name="AggOrange 2 2 2 6" xfId="3053" xr:uid="{F9DCB60E-DF8D-45BB-A1B2-B8991BF2C252}"/>
    <cellStyle name="AggOrange 2 2 2 7" xfId="3437" xr:uid="{C6B804B7-1F01-483B-B757-0675E4C510AB}"/>
    <cellStyle name="AggOrange 2 2 2 8" xfId="3512" xr:uid="{A15E904A-E3AF-4082-8890-8C24A2A6ACF2}"/>
    <cellStyle name="AggOrange 2 2 2 9" xfId="4113" xr:uid="{06FDD34C-1D8F-4761-AF81-C3C4733B5F9D}"/>
    <cellStyle name="AggOrange 2 2 3" xfId="732" xr:uid="{8CA73DFD-978D-4DE7-993F-BA2BF4608D98}"/>
    <cellStyle name="AggOrange 2 2 3 2" xfId="1631" xr:uid="{81DA29A1-9D3E-4ACD-A97C-27C3788DF08B}"/>
    <cellStyle name="AggOrange 2 2 3 3" xfId="2063" xr:uid="{2A9114CC-B206-4421-B357-9D3A1536E6CE}"/>
    <cellStyle name="AggOrange 2 2 3 4" xfId="2486" xr:uid="{65FCCF22-3C1A-4DEE-A5D4-2D36C059CC59}"/>
    <cellStyle name="AggOrange 2 2 3 5" xfId="1128" xr:uid="{48F57B33-CB3D-4BCF-B400-B3A1AD9F593E}"/>
    <cellStyle name="AggOrange 2 2 3 6" xfId="3195" xr:uid="{DB54C508-93AE-4E6F-846C-5BB2F39BC784}"/>
    <cellStyle name="AggOrange 2 2 3 7" xfId="3696" xr:uid="{DA5C46CB-F4DC-4421-8192-231C3B58CB8D}"/>
    <cellStyle name="AggOrange 2 2 3 8" xfId="4008" xr:uid="{DF5AB866-8F07-46FC-B6EF-C81F50B139E8}"/>
    <cellStyle name="AggOrange 2 3" xfId="283" xr:uid="{C673D9F1-A253-43CA-B436-49AE9C741920}"/>
    <cellStyle name="AggOrange 2 3 10" xfId="2741" xr:uid="{866817BB-561E-452F-8B86-5ABF2E9A650D}"/>
    <cellStyle name="AggOrange 2 3 11" xfId="3341" xr:uid="{CEEDDB51-BAC5-447C-9B40-36B9AB63C2F6}"/>
    <cellStyle name="AggOrange 2 3 2" xfId="622" xr:uid="{97412BA6-05A9-4CEA-826A-5DADAC6E0929}"/>
    <cellStyle name="AggOrange 2 3 2 2" xfId="837" xr:uid="{1E3ABBA6-DCE2-415F-8225-2224B01C4674}"/>
    <cellStyle name="AggOrange 2 3 2 2 2" xfId="1027" xr:uid="{814B6BA8-207F-470A-A47D-E4FB53B6C40A}"/>
    <cellStyle name="AggOrange 2 3 2 2 3" xfId="2168" xr:uid="{57FF5550-E9B2-49A0-8FC9-E921EAE2F26B}"/>
    <cellStyle name="AggOrange 2 3 2 2 4" xfId="2591" xr:uid="{DDF29391-D6AB-4E94-8B19-1145B258111A}"/>
    <cellStyle name="AggOrange 2 3 2 2 5" xfId="2672" xr:uid="{BFB29DC8-E4AD-45F0-AB23-7F98EEF5053B}"/>
    <cellStyle name="AggOrange 2 3 2 2 6" xfId="2944" xr:uid="{9A12F903-C4E4-4277-8EED-216622F4F209}"/>
    <cellStyle name="AggOrange 2 3 2 2 7" xfId="3801" xr:uid="{59842EFE-9F46-40E0-80B8-399FC851F486}"/>
    <cellStyle name="AggOrange 2 3 2 2 8" xfId="3966" xr:uid="{D5A1B370-B2E0-4463-AEDD-4FCDA4C3B34D}"/>
    <cellStyle name="AggOrange 2 3 2 3" xfId="1596" xr:uid="{C9491D32-4B28-4BD4-882A-3D2AD6E9BBA0}"/>
    <cellStyle name="AggOrange 2 3 2 4" xfId="1953" xr:uid="{EBC1CCB7-23D5-457E-9A53-8C68548EE1A0}"/>
    <cellStyle name="AggOrange 2 3 2 5" xfId="2377" xr:uid="{B9755321-0BCB-4DE3-84C9-4FE99C1E00C1}"/>
    <cellStyle name="AggOrange 2 3 2 6" xfId="1265" xr:uid="{0D3B169E-C0E8-491D-9AD1-07AB8BD699BF}"/>
    <cellStyle name="AggOrange 2 3 2 7" xfId="3354" xr:uid="{AF3585BF-D2C7-4019-AC98-104B0AF90594}"/>
    <cellStyle name="AggOrange 2 3 2 8" xfId="3589" xr:uid="{F643354D-0B32-4EA2-A408-40CF5D397B6B}"/>
    <cellStyle name="AggOrange 2 3 2 9" xfId="2283" xr:uid="{579A7E69-99FD-44C6-A5A4-85F07CC40AB2}"/>
    <cellStyle name="AggOrange 2 3 3" xfId="529" xr:uid="{3E57F567-FA93-47CD-B0AC-991909D2E870}"/>
    <cellStyle name="AggOrange 2 3 3 2" xfId="744" xr:uid="{2A437618-BB2C-4C28-A0CA-DE25A0CE245A}"/>
    <cellStyle name="AggOrange 2 3 3 2 2" xfId="1574" xr:uid="{5858DD33-23C9-4A13-9729-63C60DBC23EF}"/>
    <cellStyle name="AggOrange 2 3 3 2 3" xfId="2075" xr:uid="{3145C411-4F5B-4DFA-974F-974E0C022BB8}"/>
    <cellStyle name="AggOrange 2 3 3 2 4" xfId="2498" xr:uid="{1C60807A-61EE-42BD-9B7B-38237CE9625C}"/>
    <cellStyle name="AggOrange 2 3 3 2 5" xfId="2669" xr:uid="{9BFC0CBB-2B03-4D06-AFA5-7A4D3EECC06E}"/>
    <cellStyle name="AggOrange 2 3 3 2 6" xfId="1621" xr:uid="{494494EB-D461-4C5C-A82B-9A364E7F0282}"/>
    <cellStyle name="AggOrange 2 3 3 2 7" xfId="3708" xr:uid="{8B40C07A-B16C-4D22-8FA5-6043E0352304}"/>
    <cellStyle name="AggOrange 2 3 3 2 8" xfId="4042" xr:uid="{AE417606-2251-4C85-88A1-E3C646407EFF}"/>
    <cellStyle name="AggOrange 2 3 3 3" xfId="1767" xr:uid="{7D5F41CE-C481-4EA3-A987-C3638F4339CC}"/>
    <cellStyle name="AggOrange 2 3 3 4" xfId="1860" xr:uid="{F116501A-FCAE-48BC-9E1E-C4820B0A18C1}"/>
    <cellStyle name="AggOrange 2 3 3 5" xfId="2284" xr:uid="{00C9CD87-BD2B-4842-85B5-C3B29A41BACE}"/>
    <cellStyle name="AggOrange 2 3 3 6" xfId="2280" xr:uid="{AC8FFAA8-C6DA-4077-A28C-13113DA197B5}"/>
    <cellStyle name="AggOrange 2 3 3 7" xfId="3244" xr:uid="{1B3E32A0-31BD-495D-946F-12992EDD2ED3}"/>
    <cellStyle name="AggOrange 2 3 3 8" xfId="3496" xr:uid="{28A59C23-8DCB-47C2-89CC-56D19B575E75}"/>
    <cellStyle name="AggOrange 2 3 3 9" xfId="3099" xr:uid="{C92B9083-4868-46CD-A2F5-2B73A408251A}"/>
    <cellStyle name="AggOrange 2 3 4" xfId="544" xr:uid="{64D25A21-C1AD-416E-AB98-3436FBF3FD2D}"/>
    <cellStyle name="AggOrange 2 3 4 2" xfId="759" xr:uid="{5F30AC09-CD9B-4390-A51B-A1D253A539C0}"/>
    <cellStyle name="AggOrange 2 3 4 2 2" xfId="1266" xr:uid="{1B397183-D3CD-405B-9BFF-7E0CF495E07C}"/>
    <cellStyle name="AggOrange 2 3 4 2 3" xfId="2090" xr:uid="{56AA528D-6105-4C7F-9E4C-B055847765D0}"/>
    <cellStyle name="AggOrange 2 3 4 2 4" xfId="2513" xr:uid="{6A1E89FB-0065-4623-B8D0-20B5D1BBA256}"/>
    <cellStyle name="AggOrange 2 3 4 2 5" xfId="1769" xr:uid="{44DD97B2-5C65-4A1A-9A62-BD8CD8CC38D9}"/>
    <cellStyle name="AggOrange 2 3 4 2 6" xfId="1425" xr:uid="{6429705E-AFF9-452F-BB22-A550055406CD}"/>
    <cellStyle name="AggOrange 2 3 4 2 7" xfId="3723" xr:uid="{6A4C3041-465F-4164-8DAA-C395EAEA673F}"/>
    <cellStyle name="AggOrange 2 3 4 2 8" xfId="3958" xr:uid="{474600FC-281B-4F2E-B44F-0CF7E9083612}"/>
    <cellStyle name="AggOrange 2 3 4 3" xfId="1066" xr:uid="{7A2CD9F3-9BA2-4896-B211-D47FBA797D93}"/>
    <cellStyle name="AggOrange 2 3 4 4" xfId="1875" xr:uid="{FADC59F1-70FA-42F3-A141-60DB23A180F2}"/>
    <cellStyle name="AggOrange 2 3 4 5" xfId="2299" xr:uid="{E454F1A2-6F22-479A-B5E4-9359BB2469DD}"/>
    <cellStyle name="AggOrange 2 3 4 6" xfId="2249" xr:uid="{7EA0F9C5-B3F7-4E72-823C-E878AFE4347F}"/>
    <cellStyle name="AggOrange 2 3 4 7" xfId="3262" xr:uid="{55E8E0D9-36FB-4C92-BBB7-E27B83868B31}"/>
    <cellStyle name="AggOrange 2 3 4 8" xfId="3511" xr:uid="{EE090297-3A15-4A29-987C-FFCE960242B3}"/>
    <cellStyle name="AggOrange 2 3 4 9" xfId="3495" xr:uid="{C0539258-D7B6-462C-8E6F-61DEDA06E158}"/>
    <cellStyle name="AggOrange 2 3 5" xfId="1246" xr:uid="{B30AEDB3-A815-4B32-83C3-22EDA3A85EEE}"/>
    <cellStyle name="AggOrange 2 3 6" xfId="1158" xr:uid="{4F3425D6-243F-45FF-B3E2-F45B3C26688B}"/>
    <cellStyle name="AggOrange 2 3 7" xfId="2049" xr:uid="{E3B71EAD-7EB7-41EE-AD2C-543444C75244}"/>
    <cellStyle name="AggOrange 2 3 8" xfId="2961" xr:uid="{A4A68CB5-932B-4B28-8140-83BE8F510C92}"/>
    <cellStyle name="AggOrange 2 3 9" xfId="3092" xr:uid="{FAAD2570-093C-4532-BCAD-34055FAE30EA}"/>
    <cellStyle name="AggOrange 3" xfId="424" xr:uid="{4E5F9982-33C5-4228-9FFA-DFB881F7EC50}"/>
    <cellStyle name="AggOrange 3 2" xfId="664" xr:uid="{DF861042-8CBD-4A8C-ADDF-299DCB74CC62}"/>
    <cellStyle name="AggOrange 3 2 2" xfId="879" xr:uid="{E19D32E5-F488-4C92-9C9D-B2C7F4D64DCF}"/>
    <cellStyle name="AggOrange 3 2 2 2" xfId="1177" xr:uid="{73FD486E-B05D-47D8-A1BF-39AA9BD71077}"/>
    <cellStyle name="AggOrange 3 2 2 3" xfId="2210" xr:uid="{1D5F041C-B98A-44B8-BFD8-5EBEC59BE174}"/>
    <cellStyle name="AggOrange 3 2 2 4" xfId="2633" xr:uid="{22BFF552-3D43-4228-A83F-859D36E0390D}"/>
    <cellStyle name="AggOrange 3 2 2 5" xfId="1766" xr:uid="{7A9BA6F7-53C5-43EF-B898-8976E18DF144}"/>
    <cellStyle name="AggOrange 3 2 2 6" xfId="2931" xr:uid="{14DC2047-DB50-45C7-8FAC-A6B5AB1D6B23}"/>
    <cellStyle name="AggOrange 3 2 2 7" xfId="3843" xr:uid="{096CAA01-109B-4D78-B9B6-9E076114FF3D}"/>
    <cellStyle name="AggOrange 3 2 2 8" xfId="3976" xr:uid="{68DA1E2C-D0D1-4B0E-AD38-8D354AC8B24C}"/>
    <cellStyle name="AggOrange 3 2 3" xfId="1551" xr:uid="{1E08110B-828A-471C-A9DF-3107739C01C3}"/>
    <cellStyle name="AggOrange 3 2 4" xfId="1995" xr:uid="{89634A08-9D65-477D-9B81-325C4F1B53B8}"/>
    <cellStyle name="AggOrange 3 2 5" xfId="2419" xr:uid="{7A9210FB-99E3-42CC-B088-56BABBBAC595}"/>
    <cellStyle name="AggOrange 3 2 6" xfId="2993" xr:uid="{607C8C8C-82AF-4644-A1D0-97C0A82CF54B}"/>
    <cellStyle name="AggOrange 3 2 7" xfId="2774" xr:uid="{D4BEC048-3ACA-4648-A2BA-92AF59F94D02}"/>
    <cellStyle name="AggOrange 3 2 8" xfId="3631" xr:uid="{DABF7156-4D6D-464E-9165-42D168815834}"/>
    <cellStyle name="AggOrange 3 2 9" xfId="4035" xr:uid="{50747E44-16B9-40A2-B652-CEDEB396031E}"/>
    <cellStyle name="AggOrange 3 3" xfId="731" xr:uid="{8CD92334-4C01-4534-B3CB-52374FC4B985}"/>
    <cellStyle name="AggOrange 3 3 2" xfId="1540" xr:uid="{714753C9-D788-4D3A-B2DC-DD40A7B59B72}"/>
    <cellStyle name="AggOrange 3 3 3" xfId="2062" xr:uid="{341B2F3C-C2E7-4DFF-81DF-2554D7D57DEA}"/>
    <cellStyle name="AggOrange 3 3 4" xfId="2485" xr:uid="{A17C1509-A9DA-4AB9-996D-1861E786FDC3}"/>
    <cellStyle name="AggOrange 3 3 5" xfId="1640" xr:uid="{84C4A5A9-F34F-412D-9872-98CC6BDAC8A0}"/>
    <cellStyle name="AggOrange 3 3 6" xfId="3379" xr:uid="{EFB82240-336F-40EB-9C32-D9122FD3AD04}"/>
    <cellStyle name="AggOrange 3 3 7" xfId="3695" xr:uid="{169BD6BE-28B2-462D-95B7-9F4A9A0A18E1}"/>
    <cellStyle name="AggOrange 3 3 8" xfId="3221" xr:uid="{D275D385-FC3C-446A-8BA2-0C089B560783}"/>
    <cellStyle name="AggOrange 4" xfId="282" xr:uid="{B8BD4645-EA8D-4C28-9C85-4AC774F5CC2A}"/>
    <cellStyle name="AggOrange 4 10" xfId="3198" xr:uid="{65132493-CB9C-49F9-BC81-6E210EA02723}"/>
    <cellStyle name="AggOrange 4 11" xfId="3121" xr:uid="{7AF76EA6-A97D-4469-B2AC-A118F2D8F81D}"/>
    <cellStyle name="AggOrange 4 2" xfId="621" xr:uid="{661D4FD5-02FB-45D3-B3D1-ACC938772D76}"/>
    <cellStyle name="AggOrange 4 2 2" xfId="836" xr:uid="{9C5A125B-FE72-4C17-9699-EE7F89EBEBC9}"/>
    <cellStyle name="AggOrange 4 2 2 2" xfId="1138" xr:uid="{A1CF6CDA-9B7E-4E5A-A8DB-C7FEE5255ED2}"/>
    <cellStyle name="AggOrange 4 2 2 3" xfId="2167" xr:uid="{59DA0B65-FBA6-468F-88E9-03184F590A32}"/>
    <cellStyle name="AggOrange 4 2 2 4" xfId="2590" xr:uid="{BCA825E4-F601-4DD5-94FC-8CC285E9D08B}"/>
    <cellStyle name="AggOrange 4 2 2 5" xfId="1257" xr:uid="{9457ADB3-95A4-412C-B7D2-F720FEDC968E}"/>
    <cellStyle name="AggOrange 4 2 2 6" xfId="1674" xr:uid="{F8CA0E35-07AE-4482-B2EF-40E21ED7A84C}"/>
    <cellStyle name="AggOrange 4 2 2 7" xfId="3800" xr:uid="{55A03578-C010-4EF3-A2CC-62E3F80834C1}"/>
    <cellStyle name="AggOrange 4 2 2 8" xfId="4092" xr:uid="{273A2AC3-62A0-41AC-9DC1-1B4E8E4F6498}"/>
    <cellStyle name="AggOrange 4 2 3" xfId="1016" xr:uid="{02D7A7E8-03B0-4ABD-B7D6-72DB95A437D8}"/>
    <cellStyle name="AggOrange 4 2 4" xfId="1952" xr:uid="{863BBA8A-8AC9-4D5F-B338-366473241184}"/>
    <cellStyle name="AggOrange 4 2 5" xfId="2376" xr:uid="{2896B0E5-7FB0-47EB-B39A-9F7EFE7C0E38}"/>
    <cellStyle name="AggOrange 4 2 6" xfId="3000" xr:uid="{834272C1-AAF3-4D2C-B309-2C1FFC895BB4}"/>
    <cellStyle name="AggOrange 4 2 7" xfId="3273" xr:uid="{D6078728-1DBB-4C23-A79A-7AC5D1F2E27B}"/>
    <cellStyle name="AggOrange 4 2 8" xfId="3588" xr:uid="{6533A407-2C8E-47D5-852B-FAE803BD742A}"/>
    <cellStyle name="AggOrange 4 2 9" xfId="2939" xr:uid="{E3AF5FEA-074B-4073-AE32-71B2A4A86BD3}"/>
    <cellStyle name="AggOrange 4 3" xfId="610" xr:uid="{C7155C93-E45A-4434-8ACD-FC91950C8BF4}"/>
    <cellStyle name="AggOrange 4 3 2" xfId="825" xr:uid="{BFC63D28-06AF-49E7-9DF7-333CA22AF53D}"/>
    <cellStyle name="AggOrange 4 3 2 2" xfId="46" xr:uid="{03F73DAB-7222-46B4-B8BF-651EE00F04C9}"/>
    <cellStyle name="AggOrange 4 3 2 3" xfId="2156" xr:uid="{6773813B-FEE1-43DD-9265-30A099232A99}"/>
    <cellStyle name="AggOrange 4 3 2 4" xfId="2579" xr:uid="{D21BE1D4-CBBD-4430-BD37-AA979E17BBDB}"/>
    <cellStyle name="AggOrange 4 3 2 5" xfId="1471" xr:uid="{0E7ED991-7B42-4554-9883-C55B482FAC67}"/>
    <cellStyle name="AggOrange 4 3 2 6" xfId="1743" xr:uid="{0C8B5A44-E893-44D9-ADB1-A0A4F147DE6E}"/>
    <cellStyle name="AggOrange 4 3 2 7" xfId="3789" xr:uid="{68261D2B-8D14-424F-A24A-53314FA8E2B2}"/>
    <cellStyle name="AggOrange 4 3 2 8" xfId="3928" xr:uid="{AA2C0A03-2481-4A5F-8120-3683952220AB}"/>
    <cellStyle name="AggOrange 4 3 3" xfId="1481" xr:uid="{6C19540F-1ACA-4866-AD67-F4EFE28A4BEC}"/>
    <cellStyle name="AggOrange 4 3 4" xfId="1941" xr:uid="{6B376015-ADC8-43D1-AF67-9695758B7E9A}"/>
    <cellStyle name="AggOrange 4 3 5" xfId="2365" xr:uid="{A2380C91-C01B-4053-A6C5-102F42272094}"/>
    <cellStyle name="AggOrange 4 3 6" xfId="1360" xr:uid="{8BD4B0EC-14CE-48B7-B2F4-6EE7D07678EA}"/>
    <cellStyle name="AggOrange 4 3 7" xfId="3367" xr:uid="{0D6556A2-2C6C-4A1D-9FE5-0766DB05593E}"/>
    <cellStyle name="AggOrange 4 3 8" xfId="3577" xr:uid="{4F686BD5-3594-451F-8723-69A41DFF8DC0}"/>
    <cellStyle name="AggOrange 4 3 9" xfId="1361" xr:uid="{E50C097E-66B9-43AC-A131-48510ACBCCF6}"/>
    <cellStyle name="AggOrange 4 4" xfId="584" xr:uid="{ADD32439-5A89-4279-B676-20E664B5BF88}"/>
    <cellStyle name="AggOrange 4 4 2" xfId="799" xr:uid="{AAB82C27-24FE-4FB2-92E4-FC2641DA83A7}"/>
    <cellStyle name="AggOrange 4 4 2 2" xfId="1036" xr:uid="{9D4845EB-DF62-4005-8FCC-F248058C7E14}"/>
    <cellStyle name="AggOrange 4 4 2 3" xfId="2130" xr:uid="{9F96C308-436F-43D2-B56F-7D395966EDDE}"/>
    <cellStyle name="AggOrange 4 4 2 4" xfId="2553" xr:uid="{7156DA09-1E8A-4020-8AA3-B66B6A60BC30}"/>
    <cellStyle name="AggOrange 4 4 2 5" xfId="1086" xr:uid="{C283BCFB-B46E-4C9A-AAC4-1CAC9C7D62F9}"/>
    <cellStyle name="AggOrange 4 4 2 6" xfId="2727" xr:uid="{40A14127-1798-4A8D-BCDB-8D4BC77FAE12}"/>
    <cellStyle name="AggOrange 4 4 2 7" xfId="3763" xr:uid="{97CC85C5-28C6-4E0A-A5B8-2C5AA9FC9484}"/>
    <cellStyle name="AggOrange 4 4 2 8" xfId="3929" xr:uid="{190A1010-1D57-4921-804D-3433F0AB1DF5}"/>
    <cellStyle name="AggOrange 4 4 3" xfId="1446" xr:uid="{7953D859-2575-4935-B7E0-3DBEFA29641F}"/>
    <cellStyle name="AggOrange 4 4 4" xfId="1915" xr:uid="{9CB2FAB0-F4E3-4002-AF3B-AB3CF018CD44}"/>
    <cellStyle name="AggOrange 4 4 5" xfId="2339" xr:uid="{3B6E9D02-5DB0-4CE1-9CC6-090ED945B8A2}"/>
    <cellStyle name="AggOrange 4 4 6" xfId="1822" xr:uid="{8089A833-F597-4445-B01B-A18E7CCE0D6F}"/>
    <cellStyle name="AggOrange 4 4 7" xfId="3418" xr:uid="{6C189EBD-62C0-448D-97F6-AA4B59B4C894}"/>
    <cellStyle name="AggOrange 4 4 8" xfId="3551" xr:uid="{4447B003-952D-4A1C-8BF1-DD757D24EECD}"/>
    <cellStyle name="AggOrange 4 4 9" xfId="3465" xr:uid="{FD4F3093-683F-4F56-99E0-7D35B8062E4C}"/>
    <cellStyle name="AggOrange 4 5" xfId="1375" xr:uid="{EA9ED2A9-9EA8-4E96-9CDA-CB0940E9BDD3}"/>
    <cellStyle name="AggOrange 4 6" xfId="1668" xr:uid="{AB2F5B0E-DFAB-4D0A-BE00-4B8961B37B7F}"/>
    <cellStyle name="AggOrange 4 7" xfId="1423" xr:uid="{2041E84F-29E9-4897-8D8A-902E88D24B5B}"/>
    <cellStyle name="AggOrange 4 8" xfId="1376" xr:uid="{80425356-1008-48A2-925D-329DAE1B1B8E}"/>
    <cellStyle name="AggOrange 4 9" xfId="2915" xr:uid="{826FE0CD-9DB0-4805-8F15-BA8C0DAD1EF4}"/>
    <cellStyle name="AggOrange 5" xfId="88" xr:uid="{C5F0E61B-E852-4939-97A1-F0F7C62F1AEF}"/>
    <cellStyle name="AggOrange_B_border" xfId="30" xr:uid="{D0642EAD-0D6B-4311-A487-FF6F86D1B826}"/>
    <cellStyle name="AggOrange9" xfId="17" xr:uid="{39E2C2FC-655B-470F-B94C-6A00700E061C}"/>
    <cellStyle name="AggOrange9 2" xfId="135" xr:uid="{90AE7200-365F-42AC-83A8-C86FFAEB68C9}"/>
    <cellStyle name="AggOrange9 2 2" xfId="427" xr:uid="{9D35BB56-B643-4C0B-AE18-8781ADE65030}"/>
    <cellStyle name="AggOrange9 2 2 2" xfId="663" xr:uid="{658FD12B-2664-48D2-AC6D-0570F6453688}"/>
    <cellStyle name="AggOrange9 2 2 2 2" xfId="878" xr:uid="{3A688142-EBA2-4BB2-883D-498B4E7EEF9A}"/>
    <cellStyle name="AggOrange9 2 2 2 2 2" xfId="1300" xr:uid="{6A9E9640-355F-4A38-936D-FC631BB64DC9}"/>
    <cellStyle name="AggOrange9 2 2 2 2 3" xfId="2209" xr:uid="{0DD4B1CA-1A0F-4527-A48D-38C5944C2D2B}"/>
    <cellStyle name="AggOrange9 2 2 2 2 4" xfId="2632" xr:uid="{0262E382-88C8-44A9-9CA8-954EFD461660}"/>
    <cellStyle name="AggOrange9 2 2 2 2 5" xfId="1094" xr:uid="{BF581D97-21AE-450A-8894-161763222173}"/>
    <cellStyle name="AggOrange9 2 2 2 2 6" xfId="2829" xr:uid="{C24E7590-5407-46D6-84E0-F682842DC895}"/>
    <cellStyle name="AggOrange9 2 2 2 2 7" xfId="3842" xr:uid="{EA5BB091-D8DF-4ABC-93A9-5A9EA3062D04}"/>
    <cellStyle name="AggOrange9 2 2 2 2 8" xfId="1499" xr:uid="{AE9B3D26-205C-4F87-A473-A7C593D2FB24}"/>
    <cellStyle name="AggOrange9 2 2 2 3" xfId="1757" xr:uid="{D5054191-51A8-4FE3-A99C-B463620C3465}"/>
    <cellStyle name="AggOrange9 2 2 2 4" xfId="1994" xr:uid="{DD73D55D-3326-4F78-A6D2-DBCB77B8E22E}"/>
    <cellStyle name="AggOrange9 2 2 2 5" xfId="2418" xr:uid="{6D9E7653-D0F7-423F-80CB-EF1025F3AB5B}"/>
    <cellStyle name="AggOrange9 2 2 2 6" xfId="2831" xr:uid="{7AC93F74-9D79-48EC-9882-BEDD1112F4AF}"/>
    <cellStyle name="AggOrange9 2 2 2 7" xfId="3235" xr:uid="{6825441D-421A-40D4-8A0D-A5F4932953AF}"/>
    <cellStyle name="AggOrange9 2 2 2 8" xfId="3630" xr:uid="{7FE89E25-E931-4C8D-BAE7-8F480ACA6695}"/>
    <cellStyle name="AggOrange9 2 2 2 9" xfId="4047" xr:uid="{0FD6ABAF-155C-4066-8480-96C95ECBCE53}"/>
    <cellStyle name="AggOrange9 2 2 3" xfId="734" xr:uid="{4745C1B4-E80F-45B6-96F1-E5EE2FB78E66}"/>
    <cellStyle name="AggOrange9 2 2 3 2" xfId="1713" xr:uid="{3CB75143-2F3B-40E2-B356-FD1EDAAC7512}"/>
    <cellStyle name="AggOrange9 2 2 3 3" xfId="2065" xr:uid="{FCB4001E-FA68-431B-A8B6-8DDD0F68099A}"/>
    <cellStyle name="AggOrange9 2 2 3 4" xfId="2488" xr:uid="{78030B00-B584-469E-BA79-00C8EB5CD9C5}"/>
    <cellStyle name="AggOrange9 2 2 3 5" xfId="3001" xr:uid="{23BD6185-6771-4147-B7CB-AB5DB971F068}"/>
    <cellStyle name="AggOrange9 2 2 3 6" xfId="3285" xr:uid="{8B81A1AF-1751-46E4-B7B2-41B3A99330A7}"/>
    <cellStyle name="AggOrange9 2 2 3 7" xfId="3698" xr:uid="{E12309FF-86D4-48E4-9331-289762B15A84}"/>
    <cellStyle name="AggOrange9 2 2 3 8" xfId="4091" xr:uid="{1FAEAE01-2B3D-4EF1-A337-77338C7C9EB3}"/>
    <cellStyle name="AggOrange9 2 3" xfId="285" xr:uid="{26FAB150-59B7-4605-B9C8-3F21F104A7FB}"/>
    <cellStyle name="AggOrange9 2 3 10" xfId="3230" xr:uid="{A6F957A2-8DBB-4E4B-A132-4572E27CB82D}"/>
    <cellStyle name="AggOrange9 2 3 11" xfId="4039" xr:uid="{13716817-8953-4852-930F-6C1E3E69B1B1}"/>
    <cellStyle name="AggOrange9 2 3 2" xfId="624" xr:uid="{CF99774A-D707-4EFF-AA3E-6D4E7FF1D76A}"/>
    <cellStyle name="AggOrange9 2 3 2 2" xfId="839" xr:uid="{775BD5B7-A739-4A56-AB50-33009E47C0BA}"/>
    <cellStyle name="AggOrange9 2 3 2 2 2" xfId="1306" xr:uid="{0FCEE972-50D1-467A-B087-4921AA4EC4D2}"/>
    <cellStyle name="AggOrange9 2 3 2 2 3" xfId="2170" xr:uid="{6AC03920-3461-4EE0-AB5E-8CDBDACD0406}"/>
    <cellStyle name="AggOrange9 2 3 2 2 4" xfId="2593" xr:uid="{251537B2-B98F-48D5-94FC-88028AC6C119}"/>
    <cellStyle name="AggOrange9 2 3 2 2 5" xfId="1282" xr:uid="{5EA73F10-8F4F-48D8-92A5-1804BAC49B68}"/>
    <cellStyle name="AggOrange9 2 3 2 2 6" xfId="1328" xr:uid="{6AF5FC92-B767-4F47-A2F6-7B3F18DD988B}"/>
    <cellStyle name="AggOrange9 2 3 2 2 7" xfId="3803" xr:uid="{1AFBFA71-C3C0-4AD8-9701-44D532B37F3C}"/>
    <cellStyle name="AggOrange9 2 3 2 2 8" xfId="4079" xr:uid="{50EF9414-E59D-4D1F-8F99-A3982B55CC69}"/>
    <cellStyle name="AggOrange9 2 3 2 3" xfId="1483" xr:uid="{299B1AE7-0497-4511-A906-7E441DC3C558}"/>
    <cellStyle name="AggOrange9 2 3 2 4" xfId="1955" xr:uid="{349A3D92-C8D0-43EF-996D-22E6A6CC42B5}"/>
    <cellStyle name="AggOrange9 2 3 2 5" xfId="2379" xr:uid="{B5854AB5-C485-431C-9A0C-643BD30AFD0B}"/>
    <cellStyle name="AggOrange9 2 3 2 6" xfId="1834" xr:uid="{015F041A-71DA-40BA-9EC2-3FAD355150D2}"/>
    <cellStyle name="AggOrange9 2 3 2 7" xfId="3334" xr:uid="{03A46A6A-F3A7-4C1E-B330-DD14DD5893B5}"/>
    <cellStyle name="AggOrange9 2 3 2 8" xfId="3591" xr:uid="{D13D4CBF-E0AF-4F1A-ADC6-D05005B77A92}"/>
    <cellStyle name="AggOrange9 2 3 2 9" xfId="3886" xr:uid="{218330AA-61DC-4D3D-9DFE-CA0B1858A3C3}"/>
    <cellStyle name="AggOrange9 2 3 3" xfId="670" xr:uid="{F58DF45D-67DF-44E0-A36C-66FA7EA7BC5F}"/>
    <cellStyle name="AggOrange9 2 3 3 2" xfId="885" xr:uid="{0DE3095B-15FF-4275-B5B3-2FF09B3BE79E}"/>
    <cellStyle name="AggOrange9 2 3 3 2 2" xfId="1174" xr:uid="{A7B532B3-0ACF-41F8-A7D0-6937CCC57D54}"/>
    <cellStyle name="AggOrange9 2 3 3 2 3" xfId="2216" xr:uid="{9F0536E2-5893-48BE-8BD9-1A4640805F34}"/>
    <cellStyle name="AggOrange9 2 3 3 2 4" xfId="2639" xr:uid="{3799102F-2977-4A41-A590-5864BB05B248}"/>
    <cellStyle name="AggOrange9 2 3 3 2 5" xfId="2757" xr:uid="{D4DFF0FF-6B6F-4E21-8AA2-CCAD08309A9E}"/>
    <cellStyle name="AggOrange9 2 3 3 2 6" xfId="1488" xr:uid="{96497554-45C4-4EA3-B503-05CB80942D27}"/>
    <cellStyle name="AggOrange9 2 3 3 2 7" xfId="3849" xr:uid="{38E8CA28-4A1E-4198-A148-946DB1F9131B}"/>
    <cellStyle name="AggOrange9 2 3 3 2 8" xfId="3920" xr:uid="{926DEE4D-EC2C-4951-98BD-0A0ECFB1E72C}"/>
    <cellStyle name="AggOrange9 2 3 3 3" xfId="939" xr:uid="{E14DE22E-40B9-43D3-823F-BBEBFDFB0583}"/>
    <cellStyle name="AggOrange9 2 3 3 4" xfId="2001" xr:uid="{950C17E0-C6C8-418B-9CC7-BD5F71BB53B1}"/>
    <cellStyle name="AggOrange9 2 3 3 5" xfId="2425" xr:uid="{191DC1D1-80AF-40DA-BB50-89611AD40E9A}"/>
    <cellStyle name="AggOrange9 2 3 3 6" xfId="921" xr:uid="{42AB5CE3-3623-4AE8-9448-AC4B16DBBE8D}"/>
    <cellStyle name="AggOrange9 2 3 3 7" xfId="1239" xr:uid="{E301E9B1-C26E-4B88-B65A-3D101EB06CDB}"/>
    <cellStyle name="AggOrange9 2 3 3 8" xfId="3637" xr:uid="{1219E5B2-E297-491F-9954-5C4F1A9BA9BE}"/>
    <cellStyle name="AggOrange9 2 3 3 9" xfId="3138" xr:uid="{49AE3EBD-1449-4B57-9F4C-845482703022}"/>
    <cellStyle name="AggOrange9 2 3 4" xfId="684" xr:uid="{FDAFB3EA-A417-4932-9E26-AEF18A16336D}"/>
    <cellStyle name="AggOrange9 2 3 4 2" xfId="899" xr:uid="{FA9470C0-169B-44BD-901F-021A63DE9694}"/>
    <cellStyle name="AggOrange9 2 3 4 2 2" xfId="1797" xr:uid="{3444987A-6828-4BA7-A6E0-F13B15F86645}"/>
    <cellStyle name="AggOrange9 2 3 4 2 3" xfId="2230" xr:uid="{049E3589-00FF-4DF8-84B9-82D76B6ABBBE}"/>
    <cellStyle name="AggOrange9 2 3 4 2 4" xfId="2653" xr:uid="{9AB16E82-14F2-4EEF-AD86-E2C2B2F64200}"/>
    <cellStyle name="AggOrange9 2 3 4 2 5" xfId="3069" xr:uid="{717D5B69-F287-4799-87F3-E1102550802E}"/>
    <cellStyle name="AggOrange9 2 3 4 2 6" xfId="3451" xr:uid="{34FEF4A4-0E0B-4604-A53A-8E489DA55EF5}"/>
    <cellStyle name="AggOrange9 2 3 4 2 7" xfId="3863" xr:uid="{6E52E4A9-3983-4B3B-A3CF-6477536B5C6A}"/>
    <cellStyle name="AggOrange9 2 3 4 2 8" xfId="4127" xr:uid="{B05E0026-A193-424F-8F33-37BE2B5EF47C}"/>
    <cellStyle name="AggOrange9 2 3 4 3" xfId="1195" xr:uid="{20BECFD0-66BF-48C6-9F49-694FEAB4D26C}"/>
    <cellStyle name="AggOrange9 2 3 4 4" xfId="2015" xr:uid="{E1F98C81-1556-43DE-9D62-C69BC8759440}"/>
    <cellStyle name="AggOrange9 2 3 4 5" xfId="2439" xr:uid="{3B04BC0F-C38C-4DA6-8428-641BC8878912}"/>
    <cellStyle name="AggOrange9 2 3 4 6" xfId="1682" xr:uid="{1695653C-4329-4BE2-BD98-CEBD12E782C3}"/>
    <cellStyle name="AggOrange9 2 3 4 7" xfId="3236" xr:uid="{91B68147-EFE7-4800-A55B-353B77FB81A3}"/>
    <cellStyle name="AggOrange9 2 3 4 8" xfId="3651" xr:uid="{0EB2E9D2-5087-4339-9678-50C91F0C4BB6}"/>
    <cellStyle name="AggOrange9 2 3 4 9" xfId="3955" xr:uid="{B158DD43-E9AC-470C-96F7-99BBB2A37AEB}"/>
    <cellStyle name="AggOrange9 2 3 5" xfId="1374" xr:uid="{F7350F9C-A8DF-44DB-9171-AF911948C8E7}"/>
    <cellStyle name="AggOrange9 2 3 6" xfId="1623" xr:uid="{5A3F0F07-803C-4778-B810-A3F2EEE242D4}"/>
    <cellStyle name="AggOrange9 2 3 7" xfId="1752" xr:uid="{562CF208-67FE-4003-A640-5DD0B8C23657}"/>
    <cellStyle name="AggOrange9 2 3 8" xfId="1316" xr:uid="{70158A36-69B9-40AE-9C37-B430ED296C88}"/>
    <cellStyle name="AggOrange9 2 3 9" xfId="2711" xr:uid="{647AB988-4F41-4FD7-8607-9535978336EB}"/>
    <cellStyle name="AggOrange9 3" xfId="426" xr:uid="{7868061D-F26D-4AF1-A51E-0F9A87E2CC35}"/>
    <cellStyle name="AggOrange9 3 2" xfId="615" xr:uid="{98D618BC-319F-490E-BB93-C21D1BBDD521}"/>
    <cellStyle name="AggOrange9 3 2 2" xfId="830" xr:uid="{4324C7A2-6BA6-43D9-86CA-62958EB1E826}"/>
    <cellStyle name="AggOrange9 3 2 2 2" xfId="1141" xr:uid="{9D163AC5-5780-4A17-812C-8955E30FE00D}"/>
    <cellStyle name="AggOrange9 3 2 2 3" xfId="2161" xr:uid="{3D197860-5FEA-45BC-87C8-042D26B78697}"/>
    <cellStyle name="AggOrange9 3 2 2 4" xfId="2584" xr:uid="{7C72724A-118A-4B99-A855-A1FB7BE292B8}"/>
    <cellStyle name="AggOrange9 3 2 2 5" xfId="51" xr:uid="{781C1E08-BB7B-415A-9F27-4D20B88D1E11}"/>
    <cellStyle name="AggOrange9 3 2 2 6" xfId="2917" xr:uid="{9F02A2D2-E82F-42E2-A5A5-D7D0F0C5DCA9}"/>
    <cellStyle name="AggOrange9 3 2 2 7" xfId="3794" xr:uid="{098EE921-9D65-4817-9EFE-D8679F17AC58}"/>
    <cellStyle name="AggOrange9 3 2 2 8" xfId="3026" xr:uid="{CC4142F7-E98A-4285-BA6F-914E6C442295}"/>
    <cellStyle name="AggOrange9 3 2 3" xfId="1202" xr:uid="{4AD285F1-7E53-4EA0-A6AD-BB917B78EBBA}"/>
    <cellStyle name="AggOrange9 3 2 4" xfId="1946" xr:uid="{7F578A0E-F38B-4747-A2FE-8BD32C4E5A61}"/>
    <cellStyle name="AggOrange9 3 2 5" xfId="2370" xr:uid="{32110DC5-6A6A-4CD5-9658-7D75DFE36B84}"/>
    <cellStyle name="AggOrange9 3 2 6" xfId="1170" xr:uid="{D2FE2DA2-E350-407F-ADCC-64B8C747E3FD}"/>
    <cellStyle name="AggOrange9 3 2 7" xfId="3311" xr:uid="{321577DD-304A-4683-B5F5-815511636A9E}"/>
    <cellStyle name="AggOrange9 3 2 8" xfId="3582" xr:uid="{7F2897BA-0889-422B-B9F8-834BE57253D5}"/>
    <cellStyle name="AggOrange9 3 2 9" xfId="2681" xr:uid="{45255FD0-B296-419C-849E-5765AC59CD88}"/>
    <cellStyle name="AggOrange9 3 3" xfId="733" xr:uid="{60EF329E-DF08-4875-A582-29FBBCACDCDC}"/>
    <cellStyle name="AggOrange9 3 3 2" xfId="1430" xr:uid="{5DF7CF7A-295C-4B5F-918E-D37749FD01AE}"/>
    <cellStyle name="AggOrange9 3 3 3" xfId="2064" xr:uid="{30CD8327-A1F2-4589-BE01-DB83E6ECE31C}"/>
    <cellStyle name="AggOrange9 3 3 4" xfId="2487" xr:uid="{7026DFBF-F845-4799-9A98-3BF31BA57D7E}"/>
    <cellStyle name="AggOrange9 3 3 5" xfId="1856" xr:uid="{A5F5B782-01A4-4BFD-82EA-F9FD686F93D7}"/>
    <cellStyle name="AggOrange9 3 3 6" xfId="82" xr:uid="{06AFBC0A-35B3-41AE-BD5E-C949C2622721}"/>
    <cellStyle name="AggOrange9 3 3 7" xfId="3697" xr:uid="{7284A670-2F26-43A2-975B-5A050883853F}"/>
    <cellStyle name="AggOrange9 3 3 8" xfId="3998" xr:uid="{86A04F8F-9D8A-4FD9-AECA-E82A79C103A3}"/>
    <cellStyle name="AggOrange9 4" xfId="284" xr:uid="{58E9B221-2D20-4A4A-BB83-3352173A67AE}"/>
    <cellStyle name="AggOrange9 4 10" xfId="3363" xr:uid="{575DFF5E-59AF-40F7-891D-28F27F2EE452}"/>
    <cellStyle name="AggOrange9 4 11" xfId="2469" xr:uid="{9100D14B-51CA-4F8E-A5AD-93621CF9F685}"/>
    <cellStyle name="AggOrange9 4 2" xfId="623" xr:uid="{6A3497DB-6710-4FFF-8523-FE2EBC764D54}"/>
    <cellStyle name="AggOrange9 4 2 2" xfId="838" xr:uid="{5FE9A371-31E8-44A1-BAEA-DE02BD5C117F}"/>
    <cellStyle name="AggOrange9 4 2 2 2" xfId="1184" xr:uid="{4AC4A99E-958C-431A-B68B-9F211F39A420}"/>
    <cellStyle name="AggOrange9 4 2 2 3" xfId="2169" xr:uid="{74945FD5-CA0E-43A7-9147-7689843DBCEB}"/>
    <cellStyle name="AggOrange9 4 2 2 4" xfId="2592" xr:uid="{2CFED00C-EF8E-4B4F-ADAA-D222D51CC117}"/>
    <cellStyle name="AggOrange9 4 2 2 5" xfId="1835" xr:uid="{D66EDCDC-48A5-45B0-A1C7-6C2B7409D275}"/>
    <cellStyle name="AggOrange9 4 2 2 6" xfId="1286" xr:uid="{F1F61B04-A390-4F26-B7D8-C79F0588C0F0}"/>
    <cellStyle name="AggOrange9 4 2 2 7" xfId="3802" xr:uid="{F98F9FFA-7B11-4405-ABD4-8899C3FD9F1E}"/>
    <cellStyle name="AggOrange9 4 2 2 8" xfId="3680" xr:uid="{17633FAF-4003-41D4-8B09-817834C6EAAD}"/>
    <cellStyle name="AggOrange9 4 2 3" xfId="1686" xr:uid="{F09017AE-386A-4D2A-AF9F-E83B3020E09C}"/>
    <cellStyle name="AggOrange9 4 2 4" xfId="1954" xr:uid="{3D7A388C-D8EA-4820-8067-85AE671A6E31}"/>
    <cellStyle name="AggOrange9 4 2 5" xfId="2378" xr:uid="{5563DE30-AC88-479D-8917-244C0F77866B}"/>
    <cellStyle name="AggOrange9 4 2 6" xfId="1120" xr:uid="{8EAFA462-8853-4BEE-95B4-0958C8EEABDE}"/>
    <cellStyle name="AggOrange9 4 2 7" xfId="3172" xr:uid="{39473574-55AB-4AF3-8358-1E7468D9DAB3}"/>
    <cellStyle name="AggOrange9 4 2 8" xfId="3590" xr:uid="{25AEAFCC-C601-4EB0-BADA-B96381CEC46D}"/>
    <cellStyle name="AggOrange9 4 2 9" xfId="47" xr:uid="{327E33D9-B1AD-47A4-851A-62B2645291F4}"/>
    <cellStyle name="AggOrange9 4 3" xfId="568" xr:uid="{B3DC69FE-773C-484E-B3FE-1CB976115F0E}"/>
    <cellStyle name="AggOrange9 4 3 2" xfId="783" xr:uid="{8B6AF6F9-1DEE-4706-95A3-962D88A9C86A}"/>
    <cellStyle name="AggOrange9 4 3 2 2" xfId="1151" xr:uid="{7EE903BC-8F8B-4E70-A973-38C9327C5D2C}"/>
    <cellStyle name="AggOrange9 4 3 2 3" xfId="2114" xr:uid="{7254E385-CF22-4A14-9323-9B7810D7143D}"/>
    <cellStyle name="AggOrange9 4 3 2 4" xfId="2537" xr:uid="{3DA95244-7116-472D-B271-0ED76D188D0D}"/>
    <cellStyle name="AggOrange9 4 3 2 5" xfId="1222" xr:uid="{5ABDDBAE-6508-4161-B836-E1502501FCC2}"/>
    <cellStyle name="AggOrange9 4 3 2 6" xfId="2699" xr:uid="{33B8CED4-7B08-42C7-8FFE-B3BFBA1FA44F}"/>
    <cellStyle name="AggOrange9 4 3 2 7" xfId="3747" xr:uid="{4D82636F-B58D-44FA-93B1-34E928E4D5AA}"/>
    <cellStyle name="AggOrange9 4 3 2 8" xfId="4095" xr:uid="{2EE6B56D-AF5A-46E2-A138-8C676FD4E507}"/>
    <cellStyle name="AggOrange9 4 3 3" xfId="1285" xr:uid="{0E785951-7109-472E-BC4B-142D5BAA5678}"/>
    <cellStyle name="AggOrange9 4 3 4" xfId="1899" xr:uid="{1B184E93-36F6-41BF-8CB1-73F0F5992231}"/>
    <cellStyle name="AggOrange9 4 3 5" xfId="2323" xr:uid="{5EEC0B91-1A89-4D6F-954E-376109DB539F}"/>
    <cellStyle name="AggOrange9 4 3 6" xfId="1527" xr:uid="{69AB7448-87A1-4F11-B7A9-E0764CB6F2FE}"/>
    <cellStyle name="AggOrange9 4 3 7" xfId="2903" xr:uid="{4E7155C4-69B3-43F0-8C61-278A476DFD0D}"/>
    <cellStyle name="AggOrange9 4 3 8" xfId="3535" xr:uid="{6869FACB-2264-4F47-8E67-5F8A217F4854}"/>
    <cellStyle name="AggOrange9 4 3 9" xfId="3296" xr:uid="{612F57FE-D9F0-49BE-A991-0F7DC5858B32}"/>
    <cellStyle name="AggOrange9 4 4" xfId="614" xr:uid="{2F0B331A-D932-4169-9583-2DB3EFB2FFF7}"/>
    <cellStyle name="AggOrange9 4 4 2" xfId="829" xr:uid="{0DC3761E-CC6D-4F56-AF99-995C6FABC2B0}"/>
    <cellStyle name="AggOrange9 4 4 2 2" xfId="1031" xr:uid="{A02D4FD2-A21B-4EA8-8834-99460B2E3D68}"/>
    <cellStyle name="AggOrange9 4 4 2 3" xfId="2160" xr:uid="{76663BE3-ECEC-4AA8-8A7C-86C7241FA1A8}"/>
    <cellStyle name="AggOrange9 4 4 2 4" xfId="2583" xr:uid="{4C1B7DA5-7D6C-4539-BB6C-B8BFEDC47C44}"/>
    <cellStyle name="AggOrange9 4 4 2 5" xfId="2694" xr:uid="{3C68A54E-6B0C-4010-ACD7-2DF0859CF156}"/>
    <cellStyle name="AggOrange9 4 4 2 6" xfId="3050" xr:uid="{9F49CD97-979F-4944-BF56-9FD24B481ED8}"/>
    <cellStyle name="AggOrange9 4 4 2 7" xfId="3793" xr:uid="{DF62FF0F-904F-4E3F-A48D-D8469FAC3AC6}"/>
    <cellStyle name="AggOrange9 4 4 2 8" xfId="4020" xr:uid="{B727DBAF-4D74-43E5-802A-61043663E143}"/>
    <cellStyle name="AggOrange9 4 4 3" xfId="1520" xr:uid="{BD68D9C1-53C0-4C78-B55D-596424C5E497}"/>
    <cellStyle name="AggOrange9 4 4 4" xfId="1945" xr:uid="{05DDC8A3-6984-4478-A171-CC66095214D3}"/>
    <cellStyle name="AggOrange9 4 4 5" xfId="2369" xr:uid="{1FBAE694-4D04-4227-893F-69C9EEA82C99}"/>
    <cellStyle name="AggOrange9 4 4 6" xfId="1851" xr:uid="{D9631AC9-9C7D-447D-B0A7-AD62EF389864}"/>
    <cellStyle name="AggOrange9 4 4 7" xfId="2045" xr:uid="{4695A31D-76A3-46DE-9871-E623133AEA20}"/>
    <cellStyle name="AggOrange9 4 4 8" xfId="3581" xr:uid="{3EA245A4-2766-4B3B-8AC5-F28EAD683EB0}"/>
    <cellStyle name="AggOrange9 4 4 9" xfId="3401" xr:uid="{319616A7-D836-443A-9A43-3371BFB5808B}"/>
    <cellStyle name="AggOrange9 4 5" xfId="1373" xr:uid="{355F5860-5B9D-4D93-8A0B-05916FEF32C1}"/>
    <cellStyle name="AggOrange9 4 6" xfId="1485" xr:uid="{5CABEB13-53C5-40D6-91C0-2C529A50B8BD}"/>
    <cellStyle name="AggOrange9 4 7" xfId="1288" xr:uid="{9AED75C1-E536-48EB-B73B-D1F627EC6FF2}"/>
    <cellStyle name="AggOrange9 4 8" xfId="2805" xr:uid="{4283F628-23F4-4D5B-9F10-15BDC959A9C8}"/>
    <cellStyle name="AggOrange9 4 9" xfId="3095" xr:uid="{2295D47A-0772-4710-B823-364130870D00}"/>
    <cellStyle name="AggOrange9 5" xfId="87" xr:uid="{1034DC56-7E58-42CA-B918-05670C648B54}"/>
    <cellStyle name="AggOrangeLB_2x" xfId="29" xr:uid="{8F4D1173-ACC6-4FCC-A7F5-5FCE429E8446}"/>
    <cellStyle name="AggOrangeLBorder" xfId="31" xr:uid="{1027B2F7-9CD3-4F67-B265-3CE52D6AFB41}"/>
    <cellStyle name="AggOrangeLBorder 2" xfId="136" xr:uid="{A900D54C-C31F-472F-8C14-F481D6A06B88}"/>
    <cellStyle name="AggOrangeLBorder 2 2" xfId="429" xr:uid="{391FF871-1706-4971-A8E6-9C8F9981B89C}"/>
    <cellStyle name="AggOrangeLBorder 2 3" xfId="287" xr:uid="{49E949C9-A71C-456C-A3E9-F70F1DCF9B84}"/>
    <cellStyle name="AggOrangeLBorder 2 3 10" xfId="3094" xr:uid="{CFFB1A60-C10B-4B60-B9CE-A47C8861470D}"/>
    <cellStyle name="AggOrangeLBorder 2 3 11" xfId="2978" xr:uid="{82C354C9-9E2E-4F02-805A-A36C0A5F6699}"/>
    <cellStyle name="AggOrangeLBorder 2 3 12" xfId="3950" xr:uid="{2F3A8A3D-688E-481B-9A2A-F5D79BAE93E1}"/>
    <cellStyle name="AggOrangeLBorder 2 3 2" xfId="626" xr:uid="{EEA1B399-FDF8-4A57-83CA-8804B70CA327}"/>
    <cellStyle name="AggOrangeLBorder 2 3 2 2" xfId="841" xr:uid="{B6447A0A-EB7E-4EC9-9A76-883D7E752B2A}"/>
    <cellStyle name="AggOrangeLBorder 2 3 2 2 2" xfId="1305" xr:uid="{66A101A5-4A22-4A95-AD0B-D636671121C3}"/>
    <cellStyle name="AggOrangeLBorder 2 3 2 2 3" xfId="2172" xr:uid="{DAD237C6-284F-4ED5-98AE-E7BA9F9091F9}"/>
    <cellStyle name="AggOrangeLBorder 2 3 2 2 4" xfId="2595" xr:uid="{DBCD69BC-1DD9-4211-B09F-CF1A740F4CA1}"/>
    <cellStyle name="AggOrangeLBorder 2 3 2 2 5" xfId="1735" xr:uid="{EF19089F-D848-4357-AA46-A2E00F03F714}"/>
    <cellStyle name="AggOrangeLBorder 2 3 2 2 6" xfId="2835" xr:uid="{1C8DC457-FDCC-4D3B-87DA-8C288110E3C5}"/>
    <cellStyle name="AggOrangeLBorder 2 3 2 2 7" xfId="3805" xr:uid="{100DB259-1F80-462C-9D2F-F077D49DCA1D}"/>
    <cellStyle name="AggOrangeLBorder 2 3 2 2 8" xfId="1115" xr:uid="{6F1526B5-1BDE-40AE-8DEB-1E9E7182334F}"/>
    <cellStyle name="AggOrangeLBorder 2 3 2 3" xfId="1462" xr:uid="{33582124-FE3A-4276-8D29-CF03A230C38D}"/>
    <cellStyle name="AggOrangeLBorder 2 3 2 4" xfId="1957" xr:uid="{980B41DF-C708-4BF4-B4E3-AF41D14CE291}"/>
    <cellStyle name="AggOrangeLBorder 2 3 2 5" xfId="2381" xr:uid="{9CC9115F-0C12-42EA-A54D-291B123E641D}"/>
    <cellStyle name="AggOrangeLBorder 2 3 2 6" xfId="1493" xr:uid="{782B3B1E-6D33-4CE7-8820-579A39CB3D66}"/>
    <cellStyle name="AggOrangeLBorder 2 3 2 7" xfId="3387" xr:uid="{80E18050-1A28-4FE7-9AE1-531A312D46B0}"/>
    <cellStyle name="AggOrangeLBorder 2 3 2 8" xfId="3593" xr:uid="{11BA1A7A-54A1-41F5-85DA-7909F928B441}"/>
    <cellStyle name="AggOrangeLBorder 2 3 2 9" xfId="3127" xr:uid="{C428D57A-45F4-47F8-BF09-F8108979EACC}"/>
    <cellStyle name="AggOrangeLBorder 2 3 3" xfId="566" xr:uid="{60C835A7-098B-41B8-9AFF-57376D98E80B}"/>
    <cellStyle name="AggOrangeLBorder 2 3 3 2" xfId="781" xr:uid="{2F9CF49A-38FD-423C-BEB7-9B7608CFA1AC}"/>
    <cellStyle name="AggOrangeLBorder 2 3 3 2 2" xfId="1044" xr:uid="{2EB4C671-CCF8-48C9-908E-6C77265AF328}"/>
    <cellStyle name="AggOrangeLBorder 2 3 3 2 3" xfId="2112" xr:uid="{4B1C2986-1643-4BEF-9920-0A04054C0D08}"/>
    <cellStyle name="AggOrangeLBorder 2 3 3 2 4" xfId="2535" xr:uid="{6ABD21D7-923E-4CEB-8E22-588327587C7A}"/>
    <cellStyle name="AggOrangeLBorder 2 3 3 2 5" xfId="1480" xr:uid="{078BB2F9-C490-4ADB-9EEF-C3FC85B44BDE}"/>
    <cellStyle name="AggOrangeLBorder 2 3 3 2 6" xfId="2861" xr:uid="{711F46D7-8894-4FC6-880C-9DE2967EAB10}"/>
    <cellStyle name="AggOrangeLBorder 2 3 3 2 7" xfId="3745" xr:uid="{44104716-A9B5-4BC5-8DB7-FF8EA49C264D}"/>
    <cellStyle name="AggOrangeLBorder 2 3 3 2 8" xfId="3209" xr:uid="{0C2E22BD-9E3D-4D02-A3AC-42B29F66E2A1}"/>
    <cellStyle name="AggOrangeLBorder 2 3 3 3" xfId="1554" xr:uid="{1D1C2529-1576-4FA2-AF76-0ED0AEF80F09}"/>
    <cellStyle name="AggOrangeLBorder 2 3 3 4" xfId="1897" xr:uid="{489E27CD-786D-427C-B16E-C7C12AD24F44}"/>
    <cellStyle name="AggOrangeLBorder 2 3 3 5" xfId="2321" xr:uid="{FEAED8C5-DEB1-427A-B64A-D793C91A5516}"/>
    <cellStyle name="AggOrangeLBorder 2 3 3 6" xfId="1729" xr:uid="{098F924F-9A9D-4F7D-94C7-A5E54C94D00B}"/>
    <cellStyle name="AggOrangeLBorder 2 3 3 7" xfId="960" xr:uid="{933AC4C6-C4DD-44A4-B1DD-D37F2C44209F}"/>
    <cellStyle name="AggOrangeLBorder 2 3 3 8" xfId="3533" xr:uid="{A9F648E0-1EDF-4D47-99FA-DAE858961FB6}"/>
    <cellStyle name="AggOrangeLBorder 2 3 3 9" xfId="2716" xr:uid="{31683549-B1E0-450A-90BC-133B16296908}"/>
    <cellStyle name="AggOrangeLBorder 2 3 4" xfId="592" xr:uid="{E64A20BF-30B0-4F98-8229-C0E446EB2C97}"/>
    <cellStyle name="AggOrangeLBorder 2 3 4 2" xfId="807" xr:uid="{B3D96D73-5D55-40A8-B3B0-5AF631A9721E}"/>
    <cellStyle name="AggOrangeLBorder 2 3 4 2 2" xfId="1309" xr:uid="{2D7371A2-866F-4DA5-A84B-D113785DB36B}"/>
    <cellStyle name="AggOrangeLBorder 2 3 4 2 3" xfId="2138" xr:uid="{91ED98C2-2EFE-4C25-96B6-691E3B2ADF8B}"/>
    <cellStyle name="AggOrangeLBorder 2 3 4 2 4" xfId="2561" xr:uid="{893C241B-244C-4DA6-9504-2D905E931ED2}"/>
    <cellStyle name="AggOrangeLBorder 2 3 4 2 5" xfId="1269" xr:uid="{0571E033-8AC3-4685-8295-ADA0112F2EAD}"/>
    <cellStyle name="AggOrangeLBorder 2 3 4 2 6" xfId="1127" xr:uid="{5465AF9B-30BF-4C23-AF37-96B60596A6E7}"/>
    <cellStyle name="AggOrangeLBorder 2 3 4 2 7" xfId="3771" xr:uid="{DF4F505F-0EFB-4842-BB49-963F36E78A74}"/>
    <cellStyle name="AggOrangeLBorder 2 3 4 2 8" xfId="3894" xr:uid="{145E7BA9-90DE-4E32-91FC-F34C48434D86}"/>
    <cellStyle name="AggOrangeLBorder 2 3 4 3" xfId="1060" xr:uid="{F3D0C280-321B-45EA-B020-1B1741662044}"/>
    <cellStyle name="AggOrangeLBorder 2 3 4 4" xfId="1923" xr:uid="{6C5B1EAA-BD11-41F7-9359-DB8A427AA4AC}"/>
    <cellStyle name="AggOrangeLBorder 2 3 4 5" xfId="2347" xr:uid="{1A2E8298-A7CA-48A4-9E6A-94FD75867760}"/>
    <cellStyle name="AggOrangeLBorder 2 3 4 6" xfId="2990" xr:uid="{35A30123-5D22-406C-801C-DFE8698BFFB3}"/>
    <cellStyle name="AggOrangeLBorder 2 3 4 7" xfId="2776" xr:uid="{F77BF959-467E-4A31-8DBE-CA638D479E1E}"/>
    <cellStyle name="AggOrangeLBorder 2 3 4 8" xfId="3559" xr:uid="{FA9AD331-FDC1-48D1-A47E-CC21594ACC94}"/>
    <cellStyle name="AggOrangeLBorder 2 3 4 9" xfId="1073" xr:uid="{26CC9A28-D3A0-4AFB-86DA-19882722A6DD}"/>
    <cellStyle name="AggOrangeLBorder 2 3 5" xfId="712" xr:uid="{4E0B0CBB-BAF2-439D-9291-D01A50BE6E1D}"/>
    <cellStyle name="AggOrangeLBorder 2 3 6" xfId="1230" xr:uid="{E9014F13-B4A3-4C6F-895A-6BA34D579972}"/>
    <cellStyle name="AggOrangeLBorder 2 3 7" xfId="984" xr:uid="{A22DFB3A-079A-4F80-B104-7920820F7597}"/>
    <cellStyle name="AggOrangeLBorder 2 3 8" xfId="2048" xr:uid="{9CB9C925-7AC1-44D8-9388-F38D7B1EEEEB}"/>
    <cellStyle name="AggOrangeLBorder 2 3 9" xfId="2986" xr:uid="{15373A15-F1E6-4D96-9141-28C44EBBEB1D}"/>
    <cellStyle name="AggOrangeLBorder 3" xfId="428" xr:uid="{37AC6B09-BE4C-48A4-90D2-1EE612E0222C}"/>
    <cellStyle name="AggOrangeLBorder 4" xfId="286" xr:uid="{FB1952A7-2492-476A-9634-5F617F993F5D}"/>
    <cellStyle name="AggOrangeLBorder 4 10" xfId="3093" xr:uid="{C14A860F-7489-42B6-9029-79637BC0BDFB}"/>
    <cellStyle name="AggOrangeLBorder 4 11" xfId="2700" xr:uid="{4417D5E5-87E9-49D4-98CF-0A45A0FC8E42}"/>
    <cellStyle name="AggOrangeLBorder 4 12" xfId="4076" xr:uid="{55E064C9-8C5F-4796-A420-B4860F5E44A9}"/>
    <cellStyle name="AggOrangeLBorder 4 2" xfId="625" xr:uid="{127BC8F6-C7D6-4A6D-BFFB-D38151DB7DFD}"/>
    <cellStyle name="AggOrangeLBorder 4 2 2" xfId="840" xr:uid="{00F1277B-3738-4DFE-AF1E-E6D7595FC0A0}"/>
    <cellStyle name="AggOrangeLBorder 4 2 2 2" xfId="1183" xr:uid="{241A50A2-ADA7-448E-B76C-785FA3F3225A}"/>
    <cellStyle name="AggOrangeLBorder 4 2 2 3" xfId="2171" xr:uid="{74B6FA20-1413-4ED7-87EE-D8C61BFAEEE8}"/>
    <cellStyle name="AggOrangeLBorder 4 2 2 4" xfId="2594" xr:uid="{B0B4CD27-9652-4A52-BF9C-23627AAB62BC}"/>
    <cellStyle name="AggOrangeLBorder 4 2 2 5" xfId="1392" xr:uid="{5CFA28F9-7C23-4AA3-9525-74F6C6AD656D}"/>
    <cellStyle name="AggOrangeLBorder 4 2 2 6" xfId="2999" xr:uid="{EB6B50EF-2457-4EFE-9952-1DA0E8EEE688}"/>
    <cellStyle name="AggOrangeLBorder 4 2 2 7" xfId="3804" xr:uid="{C3685D70-1934-48E3-BFC0-F31E7FDF5D56}"/>
    <cellStyle name="AggOrangeLBorder 4 2 2 8" xfId="3981" xr:uid="{40C6D1BC-95F0-4A56-A3E8-F98AFF328A00}"/>
    <cellStyle name="AggOrangeLBorder 4 2 3" xfId="1666" xr:uid="{45BABA92-1355-42E5-A13E-328AE0D69E8C}"/>
    <cellStyle name="AggOrangeLBorder 4 2 4" xfId="1956" xr:uid="{F53BA1AD-D320-4449-A23D-A0FD0AF4E31B}"/>
    <cellStyle name="AggOrangeLBorder 4 2 5" xfId="2380" xr:uid="{BCA24533-6329-424C-9A32-228262AAD0E0}"/>
    <cellStyle name="AggOrangeLBorder 4 2 6" xfId="1112" xr:uid="{353F624C-936F-4394-B0B8-A2F493509443}"/>
    <cellStyle name="AggOrangeLBorder 4 2 7" xfId="3159" xr:uid="{D53A5CD9-CFF5-448B-815E-12C41EF837ED}"/>
    <cellStyle name="AggOrangeLBorder 4 2 8" xfId="3592" xr:uid="{FF019A2F-8F0C-4CDA-864A-2DE88566F6D3}"/>
    <cellStyle name="AggOrangeLBorder 4 2 9" xfId="3358" xr:uid="{B24F4D61-562B-4F9E-86FF-E65637656DF5}"/>
    <cellStyle name="AggOrangeLBorder 4 3" xfId="567" xr:uid="{78732B7C-249F-4091-A41E-1DA06E2FF36F}"/>
    <cellStyle name="AggOrangeLBorder 4 3 2" xfId="782" xr:uid="{6ED8BF1A-2450-46F5-B2C0-9DA642A52C8D}"/>
    <cellStyle name="AggOrangeLBorder 4 3 2 2" xfId="1273" xr:uid="{9BF72CCA-A857-425A-896A-E631299FCF84}"/>
    <cellStyle name="AggOrangeLBorder 4 3 2 3" xfId="2113" xr:uid="{E11AB2A3-57D0-4705-B9B1-46A65D463E8A}"/>
    <cellStyle name="AggOrangeLBorder 4 3 2 4" xfId="2536" xr:uid="{40E53F6F-04E5-4840-B4D3-644A3BE2BDD8}"/>
    <cellStyle name="AggOrangeLBorder 4 3 2 5" xfId="1105" xr:uid="{DC6E900B-D9BE-4873-8DEE-AD485EDE35E7}"/>
    <cellStyle name="AggOrangeLBorder 4 3 2 6" xfId="2853" xr:uid="{509D4AAD-D0A0-4E83-8EB5-94F56A3B4DAD}"/>
    <cellStyle name="AggOrangeLBorder 4 3 2 7" xfId="3746" xr:uid="{04B8D0E4-A310-4530-A58E-911A14DE1504}"/>
    <cellStyle name="AggOrangeLBorder 4 3 2 8" xfId="2827" xr:uid="{65C64DC7-12DC-4668-8E16-CA18B8595EE4}"/>
    <cellStyle name="AggOrangeLBorder 4 3 3" xfId="1314" xr:uid="{23601BA5-A446-41EF-BB1B-5C9DAF1BFE4F}"/>
    <cellStyle name="AggOrangeLBorder 4 3 4" xfId="1898" xr:uid="{55FBF060-2E02-44FD-AD21-D2F1823818E4}"/>
    <cellStyle name="AggOrangeLBorder 4 3 5" xfId="2322" xr:uid="{514E9A42-0DCA-4FDA-831A-C8A7F4BAB3A6}"/>
    <cellStyle name="AggOrangeLBorder 4 3 6" xfId="2783" xr:uid="{F2E0C2C8-09BF-49F8-8BD8-A17B5C5C0AA0}"/>
    <cellStyle name="AggOrangeLBorder 4 3 7" xfId="1813" xr:uid="{4E324F6D-F335-4E54-A58D-987E0550CC4E}"/>
    <cellStyle name="AggOrangeLBorder 4 3 8" xfId="3534" xr:uid="{CBF08C94-8A94-4B43-9701-E56AC08252C9}"/>
    <cellStyle name="AggOrangeLBorder 4 3 9" xfId="2705" xr:uid="{5EC5DF74-8D3D-4949-8262-DBBBCE3225CF}"/>
    <cellStyle name="AggOrangeLBorder 4 4" xfId="588" xr:uid="{8B191B1E-707A-4EF1-AC87-748759A854A5}"/>
    <cellStyle name="AggOrangeLBorder 4 4 2" xfId="803" xr:uid="{E5D5542E-568E-48AC-81F6-A340328CE84A}"/>
    <cellStyle name="AggOrangeLBorder 4 4 2 2" xfId="1311" xr:uid="{E7FEAE8E-C740-4FF2-A8C6-7B394A9ADE5B}"/>
    <cellStyle name="AggOrangeLBorder 4 4 2 3" xfId="2134" xr:uid="{418A97E6-AD77-42FE-970D-D46AB0D523DE}"/>
    <cellStyle name="AggOrangeLBorder 4 4 2 4" xfId="2557" xr:uid="{19CDA8ED-A22E-426D-BD27-98122AC4DA43}"/>
    <cellStyle name="AggOrangeLBorder 4 4 2 5" xfId="1827" xr:uid="{33EB7D83-0073-4B7C-8816-5F872D82DE25}"/>
    <cellStyle name="AggOrangeLBorder 4 4 2 6" xfId="3005" xr:uid="{24F0E255-7829-41EC-955D-D5B149FF8794}"/>
    <cellStyle name="AggOrangeLBorder 4 4 2 7" xfId="3767" xr:uid="{D4E63DC6-866A-440D-B794-092F327F6C8C}"/>
    <cellStyle name="AggOrangeLBorder 4 4 2 8" xfId="3326" xr:uid="{69F0B5E2-3C93-4034-8613-399E28F198D0}"/>
    <cellStyle name="AggOrangeLBorder 4 4 3" xfId="1064" xr:uid="{F122F368-569A-403D-AF77-D654B9DF1E63}"/>
    <cellStyle name="AggOrangeLBorder 4 4 4" xfId="1919" xr:uid="{9CD4BAE2-BA87-41DE-A266-6ADC1CEF94BA}"/>
    <cellStyle name="AggOrangeLBorder 4 4 5" xfId="2343" xr:uid="{088D8678-0C5D-468D-97F9-9464BECBAC12}"/>
    <cellStyle name="AggOrangeLBorder 4 4 6" xfId="2956" xr:uid="{F4F1AE6B-3D4B-4A0D-839F-68F5E5C8E5C4}"/>
    <cellStyle name="AggOrangeLBorder 4 4 7" xfId="2471" xr:uid="{45B9718A-F52D-4633-8443-1966BAF88CC4}"/>
    <cellStyle name="AggOrangeLBorder 4 4 8" xfId="3555" xr:uid="{0BE9614B-DF4F-43D2-A2E8-C70AD80C1097}"/>
    <cellStyle name="AggOrangeLBorder 4 4 9" xfId="4064" xr:uid="{3A2703A6-E469-4639-8D26-492C35678317}"/>
    <cellStyle name="AggOrangeLBorder 4 5" xfId="711" xr:uid="{17EE5804-7968-420B-9533-877B6FA68682}"/>
    <cellStyle name="AggOrangeLBorder 4 6" xfId="1247" xr:uid="{29DCDC1D-77F8-4CE7-9943-1443BB00E2E7}"/>
    <cellStyle name="AggOrangeLBorder 4 7" xfId="1382" xr:uid="{B628607E-4D21-4B80-BFCA-273078451C17}"/>
    <cellStyle name="AggOrangeLBorder 4 8" xfId="1562" xr:uid="{4C04DCB7-E3A0-49B3-B117-FB9F773CED2B}"/>
    <cellStyle name="AggOrangeLBorder 4 9" xfId="2781" xr:uid="{B855F075-8207-4DD8-88A7-1C2CBEDCCFB3}"/>
    <cellStyle name="AggOrangeLBorder 5" xfId="95" xr:uid="{908DDD2E-E907-4ADD-A489-054D1F7923E8}"/>
    <cellStyle name="AggOrangeRBorder" xfId="20" xr:uid="{162D314A-7D4C-4985-B277-3C220A4D3F65}"/>
    <cellStyle name="AggOrangeRBorder 2" xfId="137" xr:uid="{CFDA79E4-8C1A-4C5D-85DF-5CDF1E292615}"/>
    <cellStyle name="AggOrangeRBorder 2 2" xfId="431" xr:uid="{73925AE9-B11F-4B75-BE2C-CD6C4C88C775}"/>
    <cellStyle name="AggOrangeRBorder 2 2 2" xfId="543" xr:uid="{AF6B53B4-76C9-4EAC-85C0-81794205DC03}"/>
    <cellStyle name="AggOrangeRBorder 2 2 2 2" xfId="758" xr:uid="{44F2E146-2674-450B-BBEA-2E8E667E9EC0}"/>
    <cellStyle name="AggOrangeRBorder 2 2 2 2 2" xfId="52" xr:uid="{6C5FD0D8-CDB2-497E-9ADE-D8AA4CC5D9B5}"/>
    <cellStyle name="AggOrangeRBorder 2 2 2 2 3" xfId="2089" xr:uid="{72F27CAA-59AC-434F-8FA1-3CE9448DB8F5}"/>
    <cellStyle name="AggOrangeRBorder 2 2 2 2 4" xfId="2512" xr:uid="{1A8CBC3F-72A3-4932-8E24-C83B7A35588A}"/>
    <cellStyle name="AggOrangeRBorder 2 2 2 2 5" xfId="1438" xr:uid="{EB5F3607-4220-47FB-B6BB-10B91FF2DADD}"/>
    <cellStyle name="AggOrangeRBorder 2 2 2 2 6" xfId="1433" xr:uid="{713F7F1A-3FA0-46DC-829E-829A9B760AE2}"/>
    <cellStyle name="AggOrangeRBorder 2 2 2 2 7" xfId="3722" xr:uid="{2130A2BC-56B1-4360-ACA1-986A7028B11A}"/>
    <cellStyle name="AggOrangeRBorder 2 2 2 2 8" xfId="3225" xr:uid="{DDF17A82-EDA7-42FE-A210-E852D398967C}"/>
    <cellStyle name="AggOrangeRBorder 2 2 2 3" xfId="1067" xr:uid="{49210214-E8C4-4442-8CAC-77F3C7D664DD}"/>
    <cellStyle name="AggOrangeRBorder 2 2 2 4" xfId="1874" xr:uid="{3E98CF17-4DDD-4781-AE59-C621F21ABC1D}"/>
    <cellStyle name="AggOrangeRBorder 2 2 2 5" xfId="2298" xr:uid="{70106D7A-D3BF-40A8-9F28-94B6B2F7FA1D}"/>
    <cellStyle name="AggOrangeRBorder 2 2 2 6" xfId="910" xr:uid="{B1E97FD4-32CE-4C1E-8B98-E5378B1C47D8}"/>
    <cellStyle name="AggOrangeRBorder 2 2 2 7" xfId="1818" xr:uid="{C5401867-E438-4502-A431-46483DD17B63}"/>
    <cellStyle name="AggOrangeRBorder 2 2 2 8" xfId="3510" xr:uid="{74743770-A7AC-44D3-BCC3-52328D6EEB19}"/>
    <cellStyle name="AggOrangeRBorder 2 2 2 9" xfId="3473" xr:uid="{15009640-6767-40AE-9624-FDFCB519043F}"/>
    <cellStyle name="AggOrangeRBorder 2 3" xfId="289" xr:uid="{7E75AC6B-A5E3-49F8-A739-E20A7DBEACFD}"/>
    <cellStyle name="AggOrangeRBorder 2 3 10" xfId="1101" xr:uid="{1DC3B371-2CD8-4CE8-8A26-191040A6FF0D}"/>
    <cellStyle name="AggOrangeRBorder 2 3 11" xfId="3174" xr:uid="{12222EA0-47BF-4B75-AA7A-B506E9E48242}"/>
    <cellStyle name="AggOrangeRBorder 2 3 12" xfId="3982" xr:uid="{B2F03541-3F19-4968-931C-BFF3217EF636}"/>
    <cellStyle name="AggOrangeRBorder 2 3 2" xfId="628" xr:uid="{7722D641-C52B-43BA-BC51-33BC1C0706C1}"/>
    <cellStyle name="AggOrangeRBorder 2 3 2 2" xfId="843" xr:uid="{75ECEB30-6D74-4A2D-BC3D-10F75D6143C6}"/>
    <cellStyle name="AggOrangeRBorder 2 3 2 2 2" xfId="1304" xr:uid="{3A64BAA2-B98A-44D4-8659-776457646182}"/>
    <cellStyle name="AggOrangeRBorder 2 3 2 2 3" xfId="2174" xr:uid="{654E72D7-F609-4A7C-9BFC-49BD7B9BD81F}"/>
    <cellStyle name="AggOrangeRBorder 2 3 2 2 4" xfId="2597" xr:uid="{B33BCE02-6BD2-44F2-8D12-9645AAB2F80B}"/>
    <cellStyle name="AggOrangeRBorder 2 3 2 2 5" xfId="1114" xr:uid="{662C6C70-F68E-49E1-ADE5-9586AAD21CE3}"/>
    <cellStyle name="AggOrangeRBorder 2 3 2 2 6" xfId="2780" xr:uid="{B177622D-1775-484D-831F-F5FF7A88FC0B}"/>
    <cellStyle name="AggOrangeRBorder 2 3 2 2 7" xfId="3807" xr:uid="{F1AA437E-E47C-4735-A427-E7BC30B292A3}"/>
    <cellStyle name="AggOrangeRBorder 2 3 2 2 8" xfId="3462" xr:uid="{50F428A7-A6F7-49A5-A2D0-2F21021E836D}"/>
    <cellStyle name="AggOrangeRBorder 2 3 2 3" xfId="1517" xr:uid="{B4C4BAD9-8BD6-43CF-B488-B19DDCD5B18B}"/>
    <cellStyle name="AggOrangeRBorder 2 3 2 4" xfId="1959" xr:uid="{2BF3B633-272A-4868-9141-16B0773886DE}"/>
    <cellStyle name="AggOrangeRBorder 2 3 2 5" xfId="2383" xr:uid="{CF379A8F-F959-4998-82C0-3C4CB94C4282}"/>
    <cellStyle name="AggOrangeRBorder 2 3 2 6" xfId="2666" xr:uid="{5FD47B46-C796-4183-9CC9-7E1C6FE889A5}"/>
    <cellStyle name="AggOrangeRBorder 2 3 2 7" xfId="2800" xr:uid="{6BDDAF97-3703-4946-8491-AE4350DC82A2}"/>
    <cellStyle name="AggOrangeRBorder 2 3 2 8" xfId="3595" xr:uid="{822D2507-CD58-470E-B2C9-B59CE902EB00}"/>
    <cellStyle name="AggOrangeRBorder 2 3 2 9" xfId="3468" xr:uid="{3A0DE2B0-C385-4FB1-A115-E6BF9F8402C6}"/>
    <cellStyle name="AggOrangeRBorder 2 3 3" xfId="604" xr:uid="{4DB0CAD5-DB65-49E4-90E0-DCE76B5BA8D4}"/>
    <cellStyle name="AggOrangeRBorder 2 3 3 2" xfId="819" xr:uid="{15B70EC7-136D-42FB-B7B7-1E305577AA5A}"/>
    <cellStyle name="AggOrangeRBorder 2 3 3 2 2" xfId="1543" xr:uid="{091FC438-31BA-4E49-8880-ED2CB391EE69}"/>
    <cellStyle name="AggOrangeRBorder 2 3 3 2 3" xfId="2150" xr:uid="{4599F73E-67C3-4565-89A9-93CA62947C60}"/>
    <cellStyle name="AggOrangeRBorder 2 3 3 2 4" xfId="2573" xr:uid="{A535EFB2-36DB-4783-B0D6-B60E6160F2FB}"/>
    <cellStyle name="AggOrangeRBorder 2 3 3 2 5" xfId="2940" xr:uid="{F4F60442-545A-4D9B-AB64-3611D9334C32}"/>
    <cellStyle name="AggOrangeRBorder 2 3 3 2 6" xfId="2819" xr:uid="{B729D15E-15F3-4460-B574-9A7F9684EC86}"/>
    <cellStyle name="AggOrangeRBorder 2 3 3 2 7" xfId="3783" xr:uid="{E5F86832-5B0E-48E1-B87D-E543B6235F99}"/>
    <cellStyle name="AggOrangeRBorder 2 3 3 2 8" xfId="3919" xr:uid="{1228B8F9-6133-41F8-A043-3357CEC026F4}"/>
    <cellStyle name="AggOrangeRBorder 2 3 3 3" xfId="1756" xr:uid="{67FCBE63-8816-4F66-BD4F-1731815C627F}"/>
    <cellStyle name="AggOrangeRBorder 2 3 3 4" xfId="1935" xr:uid="{35FA655D-BEDB-4FF9-97E4-C4160C243F0A}"/>
    <cellStyle name="AggOrangeRBorder 2 3 3 5" xfId="2359" xr:uid="{7FB96106-A6C4-44EE-AA0C-0424FFF14990}"/>
    <cellStyle name="AggOrangeRBorder 2 3 3 6" xfId="3012" xr:uid="{F8F33AC1-5ECF-4FA9-8574-EE334539BDAE}"/>
    <cellStyle name="AggOrangeRBorder 2 3 3 7" xfId="3234" xr:uid="{E8EA6906-71FD-4336-8E70-5092AA324FD2}"/>
    <cellStyle name="AggOrangeRBorder 2 3 3 8" xfId="3571" xr:uid="{995648C0-35EA-4200-806A-D9CFDFE61294}"/>
    <cellStyle name="AggOrangeRBorder 2 3 3 9" xfId="1565" xr:uid="{91D4A87C-234C-4042-9E11-5E8F2B63FC7C}"/>
    <cellStyle name="AggOrangeRBorder 2 3 4" xfId="586" xr:uid="{9EB8CD66-1231-4359-8D0F-A002D9636E5F}"/>
    <cellStyle name="AggOrangeRBorder 2 3 4 2" xfId="801" xr:uid="{685C05B9-2B6C-4815-9C7A-06FB6F0AB396}"/>
    <cellStyle name="AggOrangeRBorder 2 3 4 2 2" xfId="1312" xr:uid="{0DB5D092-760B-491D-9ABF-BD2D5129F62C}"/>
    <cellStyle name="AggOrangeRBorder 2 3 4 2 3" xfId="2132" xr:uid="{49C1F250-3725-482F-998A-6843D3A6DE40}"/>
    <cellStyle name="AggOrangeRBorder 2 3 4 2 4" xfId="2555" xr:uid="{B33F3B55-5C13-41F7-964A-C87A4675F545}"/>
    <cellStyle name="AggOrangeRBorder 2 3 4 2 5" xfId="1395" xr:uid="{8229E4CD-06AD-4F91-8CC9-21C97C748A09}"/>
    <cellStyle name="AggOrangeRBorder 2 3 4 2 6" xfId="2718" xr:uid="{500BECC8-82B0-47E8-882F-830073BAA9CF}"/>
    <cellStyle name="AggOrangeRBorder 2 3 4 2 7" xfId="3765" xr:uid="{145B4C11-3C11-43F7-A6B4-F3DB1F1181AA}"/>
    <cellStyle name="AggOrangeRBorder 2 3 4 2 8" xfId="4055" xr:uid="{2E95C87F-1CB6-4C9C-B835-8A1F9D9CFF8A}"/>
    <cellStyle name="AggOrangeRBorder 2 3 4 3" xfId="1553" xr:uid="{EF8B35E0-AFC5-41BC-AFA0-29ADF2A132C3}"/>
    <cellStyle name="AggOrangeRBorder 2 3 4 4" xfId="1917" xr:uid="{32D47E7A-FCA2-4750-920A-543A98BAFCDD}"/>
    <cellStyle name="AggOrangeRBorder 2 3 4 5" xfId="2341" xr:uid="{441059AD-B55D-4C81-9886-C352F309A57C}"/>
    <cellStyle name="AggOrangeRBorder 2 3 4 6" xfId="1417" xr:uid="{F32B58F2-3DB0-4F93-9F3C-C42E2D5B31B2}"/>
    <cellStyle name="AggOrangeRBorder 2 3 4 7" xfId="1398" xr:uid="{4719535D-BFDF-45FE-9139-CE080AB3A6EB}"/>
    <cellStyle name="AggOrangeRBorder 2 3 4 8" xfId="3553" xr:uid="{F125261B-BA16-47CF-908F-E11F3777B5EB}"/>
    <cellStyle name="AggOrangeRBorder 2 3 4 9" xfId="3340" xr:uid="{C7900ACD-1B45-4160-BEE0-F40654B5D03C}"/>
    <cellStyle name="AggOrangeRBorder 2 3 5" xfId="714" xr:uid="{9359F8B1-7EB3-477F-B0C6-C2A6C1FBBC59}"/>
    <cellStyle name="AggOrangeRBorder 2 3 6" xfId="1363" xr:uid="{088AABE8-C1B7-4A2C-A687-4929A9B1BFB7}"/>
    <cellStyle name="AggOrangeRBorder 2 3 7" xfId="1688" xr:uid="{6E46770E-2244-4971-9B63-9B765F2F98C2}"/>
    <cellStyle name="AggOrangeRBorder 2 3 8" xfId="1858" xr:uid="{EFC08A49-A7FF-4568-BFBD-CCA7D424F78A}"/>
    <cellStyle name="AggOrangeRBorder 2 3 9" xfId="1445" xr:uid="{193DE26C-6C49-4E64-8CCA-3142608678D3}"/>
    <cellStyle name="AggOrangeRBorder 3" xfId="430" xr:uid="{C5973364-1106-4FCC-B7FD-CE9A4689502C}"/>
    <cellStyle name="AggOrangeRBorder 3 2" xfId="45" xr:uid="{4E7B5074-5667-45B0-8E37-1F637C64D5F2}"/>
    <cellStyle name="AggOrangeRBorder 3 2 2" xfId="662" xr:uid="{BCBBC9E7-49D7-400D-AD5D-B434122E86DB}"/>
    <cellStyle name="AggOrangeRBorder 3 2 2 2" xfId="1618" xr:uid="{C1EEDDD2-0190-43CC-9E9D-8EB2F38E66EF}"/>
    <cellStyle name="AggOrangeRBorder 3 2 2 3" xfId="1993" xr:uid="{A0A8207F-E041-4F98-8D6D-CAD7143C9C95}"/>
    <cellStyle name="AggOrangeRBorder 3 2 2 4" xfId="2417" xr:uid="{948DFB3B-FD38-428B-BB36-41B76DED1305}"/>
    <cellStyle name="AggOrangeRBorder 3 2 2 5" xfId="1340" xr:uid="{41D17F32-020E-4A48-8E10-6E480601085B}"/>
    <cellStyle name="AggOrangeRBorder 3 2 2 6" xfId="3416" xr:uid="{E726E6AB-B7AD-4695-B986-AA4CFA01E1E4}"/>
    <cellStyle name="AggOrangeRBorder 3 2 2 7" xfId="3629" xr:uid="{AF3FDDF3-3E92-4AAA-8FE4-BBF186C9E718}"/>
    <cellStyle name="AggOrangeRBorder 3 2 2 8" xfId="3152" xr:uid="{3334B64D-ED78-4819-9220-94ABABC9EFD7}"/>
    <cellStyle name="AggOrangeRBorder 3 2 3" xfId="877" xr:uid="{A17BBEDF-4EF5-455E-91AA-D6150FC60623}"/>
    <cellStyle name="AggOrangeRBorder 3 2 3 2" xfId="1178" xr:uid="{568C618F-CF51-4E08-8F0F-67FFE2993EEA}"/>
    <cellStyle name="AggOrangeRBorder 3 2 3 3" xfId="2208" xr:uid="{DE59496C-5CEB-473B-9D01-33F6D70D7837}"/>
    <cellStyle name="AggOrangeRBorder 3 2 3 4" xfId="2631" xr:uid="{8DF48D4F-E1C3-443A-832C-4E9C489FA27D}"/>
    <cellStyle name="AggOrangeRBorder 3 2 3 5" xfId="1466" xr:uid="{AD7C70D0-8E4D-4BFC-ADE2-9B79EA300826}"/>
    <cellStyle name="AggOrangeRBorder 3 2 3 6" xfId="2254" xr:uid="{480649E3-60E6-4B84-A8FD-7FAE3CB2EA25}"/>
    <cellStyle name="AggOrangeRBorder 3 2 3 7" xfId="3841" xr:uid="{70D9D750-1DB7-4F0D-9AD7-26FDA340D877}"/>
    <cellStyle name="AggOrangeRBorder 3 2 3 8" xfId="3884" xr:uid="{23C5D26E-E61C-4DFF-A0E3-0BE5A4460B6E}"/>
    <cellStyle name="AggOrangeRBorder 4" xfId="288" xr:uid="{10636111-A518-4629-8511-4AE9DB8889FD}"/>
    <cellStyle name="AggOrangeRBorder 4 10" xfId="2773" xr:uid="{01457452-18C0-4F13-9EC2-AB8CD8755065}"/>
    <cellStyle name="AggOrangeRBorder 4 11" xfId="3411" xr:uid="{423079BD-0B7A-404D-9F48-3C196AC9F281}"/>
    <cellStyle name="AggOrangeRBorder 4 12" xfId="3883" xr:uid="{8E270DC6-3045-4F38-8212-FAE4FB7B6749}"/>
    <cellStyle name="AggOrangeRBorder 4 2" xfId="627" xr:uid="{A7492084-E899-4D93-85FF-1323C4AC37E1}"/>
    <cellStyle name="AggOrangeRBorder 4 2 2" xfId="842" xr:uid="{0E670423-A942-4426-BF1E-520F08BFD9EC}"/>
    <cellStyle name="AggOrangeRBorder 4 2 2 2" xfId="1182" xr:uid="{DD100B4A-105C-40BB-8000-3FA4BE13E4B4}"/>
    <cellStyle name="AggOrangeRBorder 4 2 2 3" xfId="2173" xr:uid="{95E88086-0218-44B1-911E-DE8CCDFAD52B}"/>
    <cellStyle name="AggOrangeRBorder 4 2 2 4" xfId="2596" xr:uid="{E14D251D-2BAC-4616-8BAF-D81BC20F8510}"/>
    <cellStyle name="AggOrangeRBorder 4 2 2 5" xfId="1755" xr:uid="{252C6A03-694D-4D1A-B95D-FCCED92E1295}"/>
    <cellStyle name="AggOrangeRBorder 4 2 2 6" xfId="1595" xr:uid="{58C7095C-63E6-4E2E-8DAD-BDB56245DB7C}"/>
    <cellStyle name="AggOrangeRBorder 4 2 2 7" xfId="3806" xr:uid="{CFAA64E0-0388-4098-9142-326542755B5D}"/>
    <cellStyle name="AggOrangeRBorder 4 2 2 8" xfId="3979" xr:uid="{53C990EA-21B9-42A2-AE21-07CDA64ABA90}"/>
    <cellStyle name="AggOrangeRBorder 4 2 3" xfId="1721" xr:uid="{5B660116-18AD-416B-BD8C-3E9A7B80A056}"/>
    <cellStyle name="AggOrangeRBorder 4 2 4" xfId="1958" xr:uid="{112D3A25-0E2B-47E0-BFC6-6E180D5E7149}"/>
    <cellStyle name="AggOrangeRBorder 4 2 5" xfId="2382" xr:uid="{4FD519B0-FD06-434B-93BC-A9F6E66E821E}"/>
    <cellStyle name="AggOrangeRBorder 4 2 6" xfId="2750" xr:uid="{5718436E-2D51-47F6-A066-C724530B718A}"/>
    <cellStyle name="AggOrangeRBorder 4 2 7" xfId="3203" xr:uid="{96B028B3-9647-47A0-954B-8E0073243549}"/>
    <cellStyle name="AggOrangeRBorder 4 2 8" xfId="3594" xr:uid="{38C902A4-EE08-430A-988B-DA47352B7D98}"/>
    <cellStyle name="AggOrangeRBorder 4 2 9" xfId="1388" xr:uid="{9C7B14AC-42D9-4B8B-8760-13CE34F77994}"/>
    <cellStyle name="AggOrangeRBorder 4 3" xfId="660" xr:uid="{BA6084A7-2F6D-4E22-931F-AC1749548E27}"/>
    <cellStyle name="AggOrangeRBorder 4 3 2" xfId="875" xr:uid="{CC51268C-E394-4E0D-BCB1-5BF1B8217807}"/>
    <cellStyle name="AggOrangeRBorder 4 3 2 2" xfId="1132" xr:uid="{07FA2DE5-512A-4BE5-BEDD-81FED4E70D20}"/>
    <cellStyle name="AggOrangeRBorder 4 3 2 3" xfId="2206" xr:uid="{B3F8F267-577A-42C0-B904-38FD6B540C36}"/>
    <cellStyle name="AggOrangeRBorder 4 3 2 4" xfId="2629" xr:uid="{10743E48-7464-4A55-94FA-A407ECD4BC67}"/>
    <cellStyle name="AggOrangeRBorder 4 3 2 5" xfId="1821" xr:uid="{BB7701C7-5855-4876-961C-4B25A6C5C2D9}"/>
    <cellStyle name="AggOrangeRBorder 4 3 2 6" xfId="2971" xr:uid="{B279127E-3FAB-471F-B22B-16CE7A64CC57}"/>
    <cellStyle name="AggOrangeRBorder 4 3 2 7" xfId="3839" xr:uid="{8503B707-EEBC-4CAF-8827-4185866C931E}"/>
    <cellStyle name="AggOrangeRBorder 4 3 2 8" xfId="4026" xr:uid="{5A95A983-E64B-4998-BE9D-D530116979FC}"/>
    <cellStyle name="AggOrangeRBorder 4 3 3" xfId="1516" xr:uid="{F226D9B6-114D-44C5-8004-9895E1603BF0}"/>
    <cellStyle name="AggOrangeRBorder 4 3 4" xfId="1991" xr:uid="{CDD5617F-C644-4CEC-8919-843925AEAACA}"/>
    <cellStyle name="AggOrangeRBorder 4 3 5" xfId="2415" xr:uid="{0528A245-E604-442B-A509-44B91CA52272}"/>
    <cellStyle name="AggOrangeRBorder 4 3 6" xfId="1410" xr:uid="{905B49B0-6786-49C5-8D3B-CFEE529C0688}"/>
    <cellStyle name="AggOrangeRBorder 4 3 7" xfId="922" xr:uid="{B5FF8DE3-FACF-4641-BB76-A194B1E61DE2}"/>
    <cellStyle name="AggOrangeRBorder 4 3 8" xfId="3627" xr:uid="{A7263D03-4E44-441C-A737-3585FB039637}"/>
    <cellStyle name="AggOrangeRBorder 4 3 9" xfId="2923" xr:uid="{9953CC7B-8965-4332-9917-78619E14E6E2}"/>
    <cellStyle name="AggOrangeRBorder 4 4" xfId="681" xr:uid="{F1A96C86-89A4-4A56-971A-30C0EE42CD01}"/>
    <cellStyle name="AggOrangeRBorder 4 4 2" xfId="896" xr:uid="{0C1D949A-82A8-423F-B641-C9BD6693034B}"/>
    <cellStyle name="AggOrangeRBorder 4 4 2 2" xfId="1794" xr:uid="{141495FA-C398-4881-83D4-9B84C8EE97B0}"/>
    <cellStyle name="AggOrangeRBorder 4 4 2 3" xfId="2227" xr:uid="{71E1808D-0682-45DB-9904-4290516FBED9}"/>
    <cellStyle name="AggOrangeRBorder 4 4 2 4" xfId="2650" xr:uid="{31EA709D-4A03-44D3-8F0E-66CB7FE2E15B}"/>
    <cellStyle name="AggOrangeRBorder 4 4 2 5" xfId="3066" xr:uid="{EA4AD02F-8BCE-45E5-9510-56DE045901A4}"/>
    <cellStyle name="AggOrangeRBorder 4 4 2 6" xfId="3448" xr:uid="{A5F1E033-54AD-4A28-AE13-C6654CC17633}"/>
    <cellStyle name="AggOrangeRBorder 4 4 2 7" xfId="3860" xr:uid="{E6BB0F94-87B5-41C5-90EC-CE29836CC54D}"/>
    <cellStyle name="AggOrangeRBorder 4 4 2 8" xfId="4124" xr:uid="{27459481-29F9-48F7-A20A-C0C204152485}"/>
    <cellStyle name="AggOrangeRBorder 4 4 3" xfId="1502" xr:uid="{9E8F41AA-D14A-4802-ABBF-5A420F8C3711}"/>
    <cellStyle name="AggOrangeRBorder 4 4 4" xfId="2012" xr:uid="{BB736726-3016-4EB8-BF7E-B90DF3845161}"/>
    <cellStyle name="AggOrangeRBorder 4 4 5" xfId="2436" xr:uid="{5FA333F3-69A4-4371-9C92-029880788332}"/>
    <cellStyle name="AggOrangeRBorder 4 4 6" xfId="1829" xr:uid="{3773AA75-1E86-40C7-B48C-9289E1435910}"/>
    <cellStyle name="AggOrangeRBorder 4 4 7" xfId="3028" xr:uid="{1111D8D9-63AA-4DC1-93C1-17F9948A34B9}"/>
    <cellStyle name="AggOrangeRBorder 4 4 8" xfId="3648" xr:uid="{27E2D450-7967-4C71-8B37-110F72DFD50F}"/>
    <cellStyle name="AggOrangeRBorder 4 4 9" xfId="1662" xr:uid="{A9AC35D3-C507-4D48-BB7A-BA63782FB1A5}"/>
    <cellStyle name="AggOrangeRBorder 4 5" xfId="713" xr:uid="{1785C0A1-89F8-4E0F-BB01-91A1C10A5E86}"/>
    <cellStyle name="AggOrangeRBorder 4 6" xfId="1220" xr:uid="{9088C4D2-CB50-4506-AD47-F547A9F9D7B3}"/>
    <cellStyle name="AggOrangeRBorder 4 7" xfId="1283" xr:uid="{A49DAC1C-D2EB-48D2-9D36-B35EBB07A0BC}"/>
    <cellStyle name="AggOrangeRBorder 4 8" xfId="2240" xr:uid="{07FDCBFB-DDAC-4078-9210-77F7627F8E2D}"/>
    <cellStyle name="AggOrangeRBorder 4 9" xfId="1095" xr:uid="{E92F98FD-A421-46E0-A129-7EE6BDB01637}"/>
    <cellStyle name="AggOrangeRBorder 5" xfId="90" xr:uid="{65EFF718-2285-4659-B112-865A98B7FF2E}"/>
    <cellStyle name="AggOrangeRBorder_CRFReport-template" xfId="32" xr:uid="{1E01D542-4523-4680-879D-A5E33DD79DA3}"/>
    <cellStyle name="Akzent1" xfId="138" xr:uid="{BF814E53-0007-4D79-9099-901E636DD90D}"/>
    <cellStyle name="Akzent2" xfId="139" xr:uid="{99623BF4-080A-480C-BB8F-9BC5C770788E}"/>
    <cellStyle name="Akzent3" xfId="140" xr:uid="{AFAD100E-AD78-4D3C-AE3F-9436571446F2}"/>
    <cellStyle name="Akzent4" xfId="141" xr:uid="{EE2E40F6-63B3-4CD5-8CD1-88AC3D6074DF}"/>
    <cellStyle name="Akzent5" xfId="142" xr:uid="{4DDE42F2-894E-4037-AAD9-4B953300D451}"/>
    <cellStyle name="Akzent6" xfId="143" xr:uid="{535FC53D-D863-4DAE-A3EE-CBFBCA8B7EDD}"/>
    <cellStyle name="Ausgabe" xfId="1254" hidden="1" xr:uid="{12E0CA27-A0CD-4B2E-B3B4-FD40F319E98F}"/>
    <cellStyle name="Ausgabe" xfId="979" hidden="1" xr:uid="{85375864-F913-4C06-815B-16BAD33D4C64}"/>
    <cellStyle name="Ausgabe" xfId="54" hidden="1" xr:uid="{7AAF23C3-0860-41F3-B236-AB704E206006}"/>
    <cellStyle name="Ausgabe" xfId="1258" hidden="1" xr:uid="{BB98FD7D-769F-4CB0-B597-D40F3C5DFDBD}"/>
    <cellStyle name="Ausgabe" xfId="1110" hidden="1" xr:uid="{1538DEDD-2A99-482B-8F9C-8E25FE03E461}"/>
    <cellStyle name="Ausgabe" xfId="1075" hidden="1" xr:uid="{6D2AE249-4083-41CA-8965-8D2A2849C509}"/>
    <cellStyle name="Ausgabe" xfId="3018" hidden="1" xr:uid="{A1A1554C-F685-4E6B-BEDD-088D5012FB9F}"/>
    <cellStyle name="Ausgabe" xfId="1468" hidden="1" xr:uid="{0D510342-EB6F-42A9-9F06-E8F12CB663E4}"/>
    <cellStyle name="Ausgabe" xfId="2779" hidden="1" xr:uid="{0B589964-DC0D-4F08-B35F-A1ACD042EAE2}"/>
    <cellStyle name="Ausgabe" xfId="3421" hidden="1" xr:uid="{FFE88E4A-1FBA-4325-90F9-CC24FB5D098C}"/>
    <cellStyle name="Ausgabe" xfId="3305" hidden="1" xr:uid="{EC5E8B40-4969-4194-9C04-4EBF83F11309}"/>
    <cellStyle name="Ausgabe" xfId="3123" hidden="1" xr:uid="{AFE79ED2-047A-4CEA-94A1-39B886C00A73}"/>
    <cellStyle name="Ausgabe" xfId="1317" hidden="1" xr:uid="{619FE561-9B44-4FE4-86CC-BEBB6070EFA3}"/>
    <cellStyle name="Ausgabe" xfId="3111" hidden="1" xr:uid="{43489479-46D8-4429-80FD-2665C25D8256}"/>
    <cellStyle name="Ausgabe" xfId="3167" hidden="1" xr:uid="{317C294D-A5E3-48BC-9510-E800B34BF418}"/>
    <cellStyle name="Ausgabe" xfId="3493" hidden="1" xr:uid="{D440A7DA-12CC-4920-AB7A-ED979267D8A0}"/>
    <cellStyle name="Ausgabe 2" xfId="409" xr:uid="{37EB1CEF-60E3-419F-8CD1-801A48032FCE}"/>
    <cellStyle name="Ausgabe 2 2" xfId="665" xr:uid="{172A3EC3-AC75-43B0-878B-BAA5E4CCF32E}"/>
    <cellStyle name="Ausgabe 2 2 2" xfId="880" xr:uid="{29DA8D06-2F7F-46BF-8BBE-F486DC50C0B2}"/>
    <cellStyle name="Ausgabe 2 2 2 2" xfId="1299" xr:uid="{0D1CD288-A106-496D-8E38-DEBA74C72331}"/>
    <cellStyle name="Ausgabe 2 2 2 3" xfId="2211" xr:uid="{4DFDD1E2-2FE0-4E5D-8CB0-1B5BD53299AB}"/>
    <cellStyle name="Ausgabe 2 2 2 4" xfId="2634" xr:uid="{F9E0DF76-9811-4856-8520-F425E52FC4B8}"/>
    <cellStyle name="Ausgabe 2 2 2 5" xfId="2678" xr:uid="{83190FCB-57D3-4B11-8198-0189A9801559}"/>
    <cellStyle name="Ausgabe 2 2 2 6" xfId="1213" xr:uid="{F09628EF-862A-4183-9535-620F6BAD6AE3}"/>
    <cellStyle name="Ausgabe 2 2 2 7" xfId="3844" xr:uid="{EAB8032B-DCD4-46D3-8F01-3CA105693C60}"/>
    <cellStyle name="Ausgabe 2 2 2 8" xfId="3485" xr:uid="{A08620CD-BA88-4781-8F44-B8F961894CDE}"/>
    <cellStyle name="Ausgabe 2 2 3" xfId="1331" xr:uid="{421EF728-7E2D-4E0F-9275-6C1F90752DA3}"/>
    <cellStyle name="Ausgabe 2 2 4" xfId="1996" xr:uid="{B6CC802C-A7E2-41B5-A91C-3B8878C40CBB}"/>
    <cellStyle name="Ausgabe 2 2 5" xfId="2420" xr:uid="{9E0A0451-D586-4E9C-9ECC-92034AC25B6B}"/>
    <cellStyle name="Ausgabe 2 2 6" xfId="2815" xr:uid="{F0996BF5-69FD-4691-9F3D-DB8FC73F57E5}"/>
    <cellStyle name="Ausgabe 2 2 7" xfId="2266" xr:uid="{A93DB89D-E996-41D7-AEF7-D5C1F4AC3320}"/>
    <cellStyle name="Ausgabe 2 2 8" xfId="3632" xr:uid="{86153EF5-9CC6-4151-84F4-89CD94E69DBD}"/>
    <cellStyle name="Ausgabe 2 2 9" xfId="1241" xr:uid="{581835A1-486E-4489-ADFE-1B98507ACC53}"/>
    <cellStyle name="Ausgabe 2 3" xfId="550" xr:uid="{37F9536E-5756-4C43-A87A-B3047FED8C8D}"/>
    <cellStyle name="Ausgabe 2 3 2" xfId="765" xr:uid="{71135203-C461-43E5-B532-8F17B5496B9D}"/>
    <cellStyle name="Ausgabe 2 3 2 2" xfId="946" xr:uid="{B3FC7173-62B5-406F-B08B-728EF6D2207B}"/>
    <cellStyle name="Ausgabe 2 3 2 3" xfId="2096" xr:uid="{0148DDA8-63DB-4927-AF99-5D9B1336E2A1}"/>
    <cellStyle name="Ausgabe 2 3 2 4" xfId="2519" xr:uid="{2A0390BF-2810-4D8B-902A-F6ED8964C9A5}"/>
    <cellStyle name="Ausgabe 2 3 2 5" xfId="2443" xr:uid="{38912013-5194-492F-A93E-77910E3678B3}"/>
    <cellStyle name="Ausgabe 2 3 2 6" xfId="2952" xr:uid="{1924BAEE-B93C-4108-903D-367FE19EB40A}"/>
    <cellStyle name="Ausgabe 2 3 2 7" xfId="3729" xr:uid="{DA6AFED5-F1C1-4991-B151-7AF2C7264F4D}"/>
    <cellStyle name="Ausgabe 2 3 2 8" xfId="3901" xr:uid="{CAD313FF-2440-46A4-98A0-6A8005DC7C68}"/>
    <cellStyle name="Ausgabe 2 3 3" xfId="1661" xr:uid="{B741037E-D670-43D3-AF92-D048D9E23500}"/>
    <cellStyle name="Ausgabe 2 3 4" xfId="1881" xr:uid="{053B4881-644A-480F-ABB3-E4ADD2BC7887}"/>
    <cellStyle name="Ausgabe 2 3 5" xfId="2305" xr:uid="{65D62B9A-9783-4926-B2C0-04E75DB8FE71}"/>
    <cellStyle name="Ausgabe 2 3 6" xfId="2898" xr:uid="{1642AF53-7722-4EA7-BF85-CD64315954AD}"/>
    <cellStyle name="Ausgabe 2 3 7" xfId="3155" xr:uid="{21CAB9D2-3512-4D5B-8170-FBDCE9E586A0}"/>
    <cellStyle name="Ausgabe 2 3 8" xfId="3517" xr:uid="{721B8660-5415-42D8-825A-3877381AC592}"/>
    <cellStyle name="Ausgabe 2 3 9" xfId="3987" xr:uid="{BAEBF9E6-655B-4653-BC6C-7177E5973864}"/>
    <cellStyle name="Ausgabe 2 4" xfId="723" xr:uid="{F6DFBE68-7A63-4C1A-821A-EEDCF289BE2C}"/>
    <cellStyle name="Ausgabe 2 4 2" xfId="1508" xr:uid="{58BCCEC3-D836-4174-A59C-E970CEE9BA9B}"/>
    <cellStyle name="Ausgabe 2 4 3" xfId="2054" xr:uid="{CFF507C5-4BFA-4BBC-B6F9-F1435E3463C2}"/>
    <cellStyle name="Ausgabe 2 4 4" xfId="2477" xr:uid="{57ACD567-174F-458A-8E03-D62D9F1CCAAA}"/>
    <cellStyle name="Ausgabe 2 4 5" xfId="1259" xr:uid="{0ACC7A80-A057-492C-B75E-C47891936A3B}"/>
    <cellStyle name="Ausgabe 2 4 6" xfId="1397" xr:uid="{2B425C22-7914-4209-95E6-1303833FF91B}"/>
    <cellStyle name="Ausgabe 2 4 7" xfId="3687" xr:uid="{F5998D52-A23F-4FFE-8F7E-3FF6D532EB33}"/>
    <cellStyle name="Ausgabe 2 4 8" xfId="3881" xr:uid="{249165FB-E1BC-415E-B673-9C24D4A93009}"/>
    <cellStyle name="Ausgabe 2 5" xfId="1278" xr:uid="{DBB0F220-7403-48F3-9735-1B286580733A}"/>
    <cellStyle name="Ausgabe 2 6" xfId="1464" xr:uid="{627B8E10-E537-4F0A-AF80-17EF3D1B5E68}"/>
    <cellStyle name="Ausgabe 2 7" xfId="1280" xr:uid="{447A31F6-4CB3-4ED2-907C-AD6127376CCD}"/>
    <cellStyle name="Ausgabe 2 8" xfId="1833" xr:uid="{9A184D1F-DC36-48C7-942A-9914074EF199}"/>
    <cellStyle name="Ausgabe 2 9" xfId="3116" xr:uid="{5F0E35D8-CBA4-445F-86C9-602B466A3914}"/>
    <cellStyle name="Ausgabe 3" xfId="300" xr:uid="{1ACDEB10-1DC8-48DB-AB36-8A938F3DF402}"/>
    <cellStyle name="Ausgabe 3 2" xfId="637" xr:uid="{1BF2480B-FB71-42B4-8934-66DE4743E022}"/>
    <cellStyle name="Ausgabe 3 2 2" xfId="852" xr:uid="{F39F0F00-A495-4CDC-AC90-BC21D64874AE}"/>
    <cellStyle name="Ausgabe 3 2 2 2" xfId="1749" xr:uid="{EB18E7EE-DDFD-4D7D-9EF3-2AF3B1E091E1}"/>
    <cellStyle name="Ausgabe 3 2 2 3" xfId="2183" xr:uid="{039A0A5C-8EE0-4C1F-A5BC-CACEDFFE6427}"/>
    <cellStyle name="Ausgabe 3 2 2 4" xfId="2606" xr:uid="{DDAAA53C-0881-40B0-958D-F5BDC8D9F8CA}"/>
    <cellStyle name="Ausgabe 3 2 2 5" xfId="1843" xr:uid="{CBA79A35-7A08-41BA-B5EB-64832D4EB1D4}"/>
    <cellStyle name="Ausgabe 3 2 2 6" xfId="3227" xr:uid="{AA1E8F25-3757-432D-84F5-34E160CA49A8}"/>
    <cellStyle name="Ausgabe 3 2 2 7" xfId="3816" xr:uid="{CD0DBDE9-526E-48DC-82C2-A0E9CEFF21D8}"/>
    <cellStyle name="Ausgabe 3 2 2 8" xfId="4101" xr:uid="{D5AC7325-44D9-410C-9A8F-014130DB3DCF}"/>
    <cellStyle name="Ausgabe 3 2 3" xfId="1518" xr:uid="{9D355B60-6CB8-498D-B060-AC1FA8AD5732}"/>
    <cellStyle name="Ausgabe 3 2 4" xfId="1968" xr:uid="{AF3FB146-8240-45F0-AB91-A2C2505523D4}"/>
    <cellStyle name="Ausgabe 3 2 5" xfId="2392" xr:uid="{E0B64057-8C54-4BA1-AACB-FD929AF9D5A4}"/>
    <cellStyle name="Ausgabe 3 2 6" xfId="2667" xr:uid="{BE2A47F7-36E8-4131-A273-D475187C25B8}"/>
    <cellStyle name="Ausgabe 3 2 7" xfId="3004" xr:uid="{34D3CA2C-09EE-4C5E-8314-1FD75DC19ED9}"/>
    <cellStyle name="Ausgabe 3 2 8" xfId="3604" xr:uid="{7368A1B7-1F2F-4D6D-A225-D2D257F5A500}"/>
    <cellStyle name="Ausgabe 3 2 9" xfId="1848" xr:uid="{E0E9C986-89E8-4F80-9EBB-8FF9B21C07CD}"/>
    <cellStyle name="Ausgabe 3 3" xfId="556" xr:uid="{244BDEB8-CF22-4CBA-80B1-67786D028716}"/>
    <cellStyle name="Ausgabe 3 3 2" xfId="771" xr:uid="{7ED170F5-C849-4E24-97F9-481388CAB84A}"/>
    <cellStyle name="Ausgabe 3 3 2 2" xfId="1155" xr:uid="{670EDE96-0202-4B1D-BA9C-C46998B40FC4}"/>
    <cellStyle name="Ausgabe 3 3 2 3" xfId="2102" xr:uid="{4FDA360C-C140-4372-A36B-E958E72CAD95}"/>
    <cellStyle name="Ausgabe 3 3 2 4" xfId="2525" xr:uid="{26EFBA29-38D6-4876-B01B-3F8E6A497D90}"/>
    <cellStyle name="Ausgabe 3 3 2 5" xfId="2686" xr:uid="{B68061AB-B834-478F-918C-5CBDA99FC637}"/>
    <cellStyle name="Ausgabe 3 3 2 6" xfId="2257" xr:uid="{78570D48-A8EF-4A72-8482-BE3BE456A71E}"/>
    <cellStyle name="Ausgabe 3 3 2 7" xfId="3735" xr:uid="{350A0DA8-6F48-4B6B-89B7-CD861707F94A}"/>
    <cellStyle name="Ausgabe 3 3 2 8" xfId="3997" xr:uid="{26947398-DEF9-4DEC-BF63-0AC75330ED1F}"/>
    <cellStyle name="Ausgabe 3 3 3" xfId="1460" xr:uid="{938CC995-D27B-42B1-BB96-3759AFE5AC80}"/>
    <cellStyle name="Ausgabe 3 3 4" xfId="1887" xr:uid="{D5240C1E-E112-43A4-8EC2-12C64DD3DAB4}"/>
    <cellStyle name="Ausgabe 3 3 5" xfId="2311" xr:uid="{01F2C3DE-F9E4-4996-84CC-3C0BD96A886F}"/>
    <cellStyle name="Ausgabe 3 3 6" xfId="964" xr:uid="{4D023C93-F404-4041-BC0A-956F67D18EF6}"/>
    <cellStyle name="Ausgabe 3 3 7" xfId="3391" xr:uid="{DE82BE7D-6AA7-4F1A-97C2-5119121C1012}"/>
    <cellStyle name="Ausgabe 3 3 8" xfId="3523" xr:uid="{56DF5EA0-1359-46BA-A19D-BC0D107DE110}"/>
    <cellStyle name="Ausgabe 3 3 9" xfId="3876" xr:uid="{631419F5-9B25-4183-9D99-3E39E2370C57}"/>
    <cellStyle name="Ausgabe 3 4" xfId="720" xr:uid="{14A58C6B-1DAA-4B08-9AE2-3D28C23428A7}"/>
    <cellStyle name="Ausgabe 3 4 2" xfId="1194" xr:uid="{945B54CA-83B3-4EBA-93B2-BFF86AC5FD37}"/>
    <cellStyle name="Ausgabe 3 4 3" xfId="2051" xr:uid="{086CD596-BAB0-4275-A5BA-91F057D01564}"/>
    <cellStyle name="Ausgabe 3 4 4" xfId="2474" xr:uid="{CA626274-617A-49E5-A1AA-B3D0771D71B8}"/>
    <cellStyle name="Ausgabe 3 4 5" xfId="2731" xr:uid="{D9B4B484-1833-43D7-96F2-D938765E81F3}"/>
    <cellStyle name="Ausgabe 3 4 6" xfId="3194" xr:uid="{8E328856-636E-4A56-9E0A-9B2504E78717}"/>
    <cellStyle name="Ausgabe 3 4 7" xfId="3684" xr:uid="{2703EF24-7BD0-4EA2-91F5-31C711237083}"/>
    <cellStyle name="Ausgabe 3 4 8" xfId="4084" xr:uid="{B1A05F19-6878-482D-9DAC-570378223135}"/>
    <cellStyle name="Ausgabe 3 5" xfId="1243" xr:uid="{8267D1D8-99C0-4968-9427-AC119880AE04}"/>
    <cellStyle name="Ausgabe 3 6" xfId="1546" xr:uid="{711673A3-9486-47E4-8822-E570BCA7DC79}"/>
    <cellStyle name="Ausgabe 3 7" xfId="2837" xr:uid="{D1C08606-3317-4B05-BF31-0721F6090A42}"/>
    <cellStyle name="Ausgabe 3 8" xfId="3085" xr:uid="{0146D57C-ADCF-4C8D-BD9B-806240BE1BD0}"/>
    <cellStyle name="Ausgabe 3 9" xfId="3361" xr:uid="{5D61EE3F-CD34-4FEC-83CD-DC06CC0E6170}"/>
    <cellStyle name="Ausgabe 4" xfId="561" xr:uid="{71454473-ADF3-419F-888C-2AB25F00EE4C}"/>
    <cellStyle name="Ausgabe 4 2" xfId="776" xr:uid="{B3BA0456-95F9-45A0-9B01-1D936E8B10CE}"/>
    <cellStyle name="Ausgabe 4 2 2" xfId="1275" xr:uid="{9BC6A3DC-426E-4BEE-8FB9-1396F50D3A67}"/>
    <cellStyle name="Ausgabe 4 2 3" xfId="2107" xr:uid="{5876D3D3-5C02-4047-A859-8FBABBBA9608}"/>
    <cellStyle name="Ausgabe 4 2 4" xfId="2530" xr:uid="{3F72EB0E-8CF5-4BD7-8B81-4EFA3515137A}"/>
    <cellStyle name="Ausgabe 4 2 5" xfId="1165" xr:uid="{A4399186-C9F4-411F-B8D1-5139EDB0D3D2}"/>
    <cellStyle name="Ausgabe 4 2 6" xfId="2742" xr:uid="{CC2E23CA-71D9-4473-A1E3-633DE8A1BD91}"/>
    <cellStyle name="Ausgabe 4 2 7" xfId="3740" xr:uid="{B7562662-7B73-4288-9CC9-965EBA7ABB46}"/>
    <cellStyle name="Ausgabe 4 2 8" xfId="3965" xr:uid="{ADBD6F64-FEE0-4EFB-A728-3AB1DF56CF36}"/>
    <cellStyle name="Ausgabe 4 3" xfId="1685" xr:uid="{CE94D724-6AEF-42D0-B1CB-A5FA5751BEC8}"/>
    <cellStyle name="Ausgabe 4 4" xfId="1892" xr:uid="{D885AB2F-6941-4EC4-A74C-1A781BF8B250}"/>
    <cellStyle name="Ausgabe 4 5" xfId="2316" xr:uid="{C3345811-ED87-4005-BCE5-829408CC4276}"/>
    <cellStyle name="Ausgabe 4 6" xfId="2245" xr:uid="{F9AFC1C8-25D6-4C58-8190-D304EB656568}"/>
    <cellStyle name="Ausgabe 4 7" xfId="3171" xr:uid="{C2F1A946-3D8D-4C9A-8F20-4BFEF0A3AE4F}"/>
    <cellStyle name="Ausgabe 4 8" xfId="3528" xr:uid="{7C9B5B62-BEEE-4289-85F9-F137176AE086}"/>
    <cellStyle name="Ausgabe 4 9" xfId="4040" xr:uid="{B5F2CA2E-718E-4EA8-B57F-1207D681F194}"/>
    <cellStyle name="Ausgabe 5" xfId="680" xr:uid="{96710E60-E6E2-4196-A181-4A9A00FF7E18}"/>
    <cellStyle name="Ausgabe 5 2" xfId="895" xr:uid="{4ECBC9FB-560C-4910-9014-7ED7BAFCCE2A}"/>
    <cellStyle name="Ausgabe 5 2 2" xfId="1793" xr:uid="{75F7803D-E398-4AB0-9BA8-9EB7A5AF75B7}"/>
    <cellStyle name="Ausgabe 5 2 3" xfId="2226" xr:uid="{CB210015-A264-443A-A8CA-BA49D4ED0EA8}"/>
    <cellStyle name="Ausgabe 5 2 4" xfId="2649" xr:uid="{C0F57FA0-D19B-4333-AD66-14138555FFBE}"/>
    <cellStyle name="Ausgabe 5 2 5" xfId="3065" xr:uid="{D0606BE1-1E4D-4388-BEEB-26F997B7A82C}"/>
    <cellStyle name="Ausgabe 5 2 6" xfId="3447" xr:uid="{36EF83D9-274B-48E4-93FD-1699BEEDBB2D}"/>
    <cellStyle name="Ausgabe 5 2 7" xfId="3859" xr:uid="{8D389674-3B8C-4DEA-8C5E-7455F236AA96}"/>
    <cellStyle name="Ausgabe 5 2 8" xfId="4123" xr:uid="{9952A005-5D4E-410E-9A7C-9D12B4195326}"/>
    <cellStyle name="Ausgabe 5 3" xfId="1706" xr:uid="{002CB1B2-4021-4181-BDE8-E3568E80DBE4}"/>
    <cellStyle name="Ausgabe 5 4" xfId="2011" xr:uid="{53FFB214-4D4A-44CB-BBEC-BB43AF485578}"/>
    <cellStyle name="Ausgabe 5 5" xfId="2435" xr:uid="{7E106472-015F-499E-BA9C-6803E48229EE}"/>
    <cellStyle name="Ausgabe 5 6" xfId="2870" xr:uid="{7147E05D-E185-44EC-BF6E-03D75C5B5087}"/>
    <cellStyle name="Ausgabe 5 7" xfId="3199" xr:uid="{6FA1B44B-2A1B-4E8D-8750-543A41897EBD}"/>
    <cellStyle name="Ausgabe 5 8" xfId="3647" xr:uid="{CFA98278-B6F4-4FBD-AC02-5D0CC3229D41}"/>
    <cellStyle name="Ausgabe 5 9" xfId="2721" xr:uid="{54C957A8-DFEF-47E7-9BB6-AF9280DAEA59}"/>
    <cellStyle name="Ausgabe 6" xfId="696" xr:uid="{21EE6A07-2415-4134-B7D5-174C2EA317F5}"/>
    <cellStyle name="Ausgabe 6 2" xfId="1616" xr:uid="{F2FA18DF-4C68-4560-854E-736B162CCF5B}"/>
    <cellStyle name="Ausgabe 6 3" xfId="2027" xr:uid="{8FB79A6C-CA38-4062-9DC9-ADE002A4A950}"/>
    <cellStyle name="Ausgabe 6 4" xfId="2451" xr:uid="{1899A76B-75C7-41E6-B3AE-1690ED44C8AC}"/>
    <cellStyle name="Ausgabe 6 5" xfId="2919" xr:uid="{6C173538-17F8-49EE-B5C8-17F751C7EFB3}"/>
    <cellStyle name="Ausgabe 6 6" xfId="2255" xr:uid="{4F488E24-9B38-4381-8245-8663D001D472}"/>
    <cellStyle name="Ausgabe 6 7" xfId="3662" xr:uid="{B884559A-30B3-4A5E-9131-871D798B716E}"/>
    <cellStyle name="Ausgabe 6 8" xfId="4002" xr:uid="{BF47CAF6-4A98-4D8B-B90E-F0107A878E61}"/>
    <cellStyle name="Bad 2" xfId="144" xr:uid="{29EFDA39-BD98-4793-AD95-1CC9C2F6C301}"/>
    <cellStyle name="Bad 3" xfId="241" xr:uid="{0F3C93B9-052B-4E5D-BC0C-0289E40FA7C9}"/>
    <cellStyle name="Bad 4" xfId="381" xr:uid="{EB79E898-2168-4A32-A677-269A7E29E0CA}"/>
    <cellStyle name="Berechnung" xfId="920" hidden="1" xr:uid="{4FB62C29-9404-4466-BAA7-15034ACE80D6}"/>
    <cellStyle name="Berechnung" xfId="55" hidden="1" xr:uid="{262722C5-1973-4322-B4CB-B91F90F8479D}"/>
    <cellStyle name="Berechnung" xfId="980" hidden="1" xr:uid="{B0560B39-0414-4DA5-BA6B-A10DDA8A273D}"/>
    <cellStyle name="Berechnung" xfId="1656" hidden="1" xr:uid="{EC922520-5650-4FC5-9393-58588023E590}"/>
    <cellStyle name="Berechnung" xfId="2834" hidden="1" xr:uid="{D3CBDDE7-8BF8-42EE-8B77-24E0C0F7FB9D}"/>
    <cellStyle name="Berechnung" xfId="1123" hidden="1" xr:uid="{C025199E-AA2F-4F01-9F01-D5AA2B7594DE}"/>
    <cellStyle name="Berechnung" xfId="2749" hidden="1" xr:uid="{79D4274C-8864-4C6C-876E-CD2FE06DA1B0}"/>
    <cellStyle name="Berechnung" xfId="3240" hidden="1" xr:uid="{FB5A3172-9165-4D74-86DE-E46DBE9FEF87}"/>
    <cellStyle name="Berechnung" xfId="1109" hidden="1" xr:uid="{9F84D144-5C1B-4994-B251-259BD849D003}"/>
    <cellStyle name="Berechnung" xfId="3304" hidden="1" xr:uid="{D9A93E8C-BBD0-4759-A6AC-802B92E32659}"/>
    <cellStyle name="Berechnung" xfId="4011" hidden="1" xr:uid="{0D886BDB-C052-4F7B-A20A-C98052D0BD53}"/>
    <cellStyle name="Berechnung" xfId="1420" hidden="1" xr:uid="{BC60D79F-342D-4967-98C3-A8E01C3DDF95}"/>
    <cellStyle name="Berechnung" xfId="1591" hidden="1" xr:uid="{F904BF79-7435-4A7D-AE90-8D807BBCCA28}"/>
    <cellStyle name="Berechnung" xfId="3125" hidden="1" xr:uid="{0C97EBCF-0AC8-46F0-AEE6-AB43BBCAF47B}"/>
    <cellStyle name="Berechnung" xfId="3480" hidden="1" xr:uid="{432AA08D-3582-4C3F-A5B3-C555CD2C8837}"/>
    <cellStyle name="Berechnung" xfId="3393" hidden="1" xr:uid="{1A76A1F9-B668-4D95-A463-B73F7279A2B9}"/>
    <cellStyle name="Berechnung 2" xfId="410" xr:uid="{8792B6D6-ACA2-457E-BFAE-84336CB2B68C}"/>
    <cellStyle name="Berechnung 2 10" xfId="1555" xr:uid="{2CD18F91-7CBB-4817-BCBC-05F8E61F7A9C}"/>
    <cellStyle name="Berechnung 2 11" xfId="1359" xr:uid="{9CBCA797-B797-449B-9642-EBAD28F81D62}"/>
    <cellStyle name="Berechnung 2 2" xfId="666" xr:uid="{59537088-E648-4CB3-9A35-2303288CBA33}"/>
    <cellStyle name="Berechnung 2 2 2" xfId="881" xr:uid="{54C708D6-80F0-4EE7-9CC4-0719891DE8D7}"/>
    <cellStyle name="Berechnung 2 2 2 2" xfId="1176" xr:uid="{5485AC33-0528-4FFD-94B7-0D984C0FC77F}"/>
    <cellStyle name="Berechnung 2 2 2 3" xfId="2212" xr:uid="{1E7F3819-A721-4BC5-BFA5-5E40F2521F7A}"/>
    <cellStyle name="Berechnung 2 2 2 4" xfId="2635" xr:uid="{B3460B96-3CBD-4276-A40A-BAA2B4A9399B}"/>
    <cellStyle name="Berechnung 2 2 2 5" xfId="1609" xr:uid="{60451E84-DA47-4E82-8600-2C6EA90279C4}"/>
    <cellStyle name="Berechnung 2 2 2 6" xfId="2271" xr:uid="{384CAEA3-7053-4972-B0DA-6D5AE45F14C3}"/>
    <cellStyle name="Berechnung 2 2 2 7" xfId="3845" xr:uid="{5D5D7FCC-A3CD-47CF-9ADD-D6BFF48A2F48}"/>
    <cellStyle name="Berechnung 2 2 2 8" xfId="3271" xr:uid="{5B843238-DC4E-405A-A8F5-D1923BEA763D}"/>
    <cellStyle name="Berechnung 2 2 3" xfId="1056" xr:uid="{A66AC4D7-74CA-4D0B-B5C0-5510BCB78F88}"/>
    <cellStyle name="Berechnung 2 2 4" xfId="1997" xr:uid="{4A4C0CD9-DF73-42BB-B1E1-7A6B552AA8B8}"/>
    <cellStyle name="Berechnung 2 2 5" xfId="2421" xr:uid="{53364A1D-22FC-486D-AECE-31FAC64F72EC}"/>
    <cellStyle name="Berechnung 2 2 6" xfId="1523" xr:uid="{27531AF6-2076-4632-A9F1-AE597986F5CD}"/>
    <cellStyle name="Berechnung 2 2 7" xfId="2715" xr:uid="{848CBEBF-B048-4205-B29C-3AD84EBC1C0B}"/>
    <cellStyle name="Berechnung 2 2 8" xfId="3633" xr:uid="{F5E39E0F-B1D7-4FE4-B663-1C6FF63339F9}"/>
    <cellStyle name="Berechnung 2 2 9" xfId="2276" xr:uid="{9202B54C-FD18-4592-8B74-4EFBC2FAE3CD}"/>
    <cellStyle name="Berechnung 2 3" xfId="531" xr:uid="{2DE1B1D4-1D88-4BBD-A95E-BC061A50E925}"/>
    <cellStyle name="Berechnung 2 3 2" xfId="746" xr:uid="{E04BB08D-AAD7-4236-9B9E-84B0BCD1CA6E}"/>
    <cellStyle name="Berechnung 2 3 2 2" xfId="1510" xr:uid="{038B9B5E-DF9D-4838-A751-06D88D2BEE9B}"/>
    <cellStyle name="Berechnung 2 3 2 3" xfId="2077" xr:uid="{27D7C929-879E-4CAD-A80F-94A8986CBEE0}"/>
    <cellStyle name="Berechnung 2 3 2 4" xfId="2500" xr:uid="{671A489A-8197-487B-9E7D-0F670E25AD01}"/>
    <cellStyle name="Berechnung 2 3 2 5" xfId="2960" xr:uid="{FCA8351C-32FB-4E2F-B9C0-3587ABC208DB}"/>
    <cellStyle name="Berechnung 2 3 2 6" xfId="3362" xr:uid="{2211769C-BA46-441A-883F-3C1A13AB30B1}"/>
    <cellStyle name="Berechnung 2 3 2 7" xfId="3710" xr:uid="{629FE82C-5330-4F53-9BD0-6A5E88E6CABB}"/>
    <cellStyle name="Berechnung 2 3 2 8" xfId="3103" xr:uid="{7A8565DF-EE82-48BC-81B0-4A9528FFFF12}"/>
    <cellStyle name="Berechnung 2 3 3" xfId="1687" xr:uid="{9156CA6A-E77A-4C49-BB5C-AD66CB8BD4B4}"/>
    <cellStyle name="Berechnung 2 3 4" xfId="1862" xr:uid="{0D55304A-77E0-43B4-8B45-4BC1F9BAC396}"/>
    <cellStyle name="Berechnung 2 3 5" xfId="2286" xr:uid="{466CB5D9-ED8A-4599-B199-F8007D20093D}"/>
    <cellStyle name="Berechnung 2 3 6" xfId="2246" xr:uid="{48DE0094-18CC-4CF4-98E5-83B815A48DEB}"/>
    <cellStyle name="Berechnung 2 3 7" xfId="3173" xr:uid="{189FE751-C168-42C1-82C8-60971FA843DB}"/>
    <cellStyle name="Berechnung 2 3 8" xfId="3498" xr:uid="{C8933151-5185-4EBA-B893-AFF78B580EE4}"/>
    <cellStyle name="Berechnung 2 3 9" xfId="1431" xr:uid="{DB786B38-35C5-4B51-A138-2EA30E1953CF}"/>
    <cellStyle name="Berechnung 2 4" xfId="587" xr:uid="{4ABC42B5-D70B-452F-8EF7-106A52CD94D8}"/>
    <cellStyle name="Berechnung 2 4 2" xfId="802" xr:uid="{D15333DA-BBD7-4756-BCD6-8683252525E8}"/>
    <cellStyle name="Berechnung 2 4 2 2" xfId="1189" xr:uid="{A263E1D0-5984-4F0E-8BA7-AC8AA28EC8FE}"/>
    <cellStyle name="Berechnung 2 4 2 3" xfId="2133" xr:uid="{B6017C47-20A6-433A-A3B7-AC8FB72B6E8F}"/>
    <cellStyle name="Berechnung 2 4 2 4" xfId="2556" xr:uid="{8B9F8D3E-70A6-4EAD-8930-29442CBF1265}"/>
    <cellStyle name="Berechnung 2 4 2 5" xfId="1602" xr:uid="{380B46E7-5573-4080-A2EE-5702592A1C42}"/>
    <cellStyle name="Berechnung 2 4 2 6" xfId="953" xr:uid="{68EBE2F3-F870-4241-B947-117A167AE238}"/>
    <cellStyle name="Berechnung 2 4 2 7" xfId="3766" xr:uid="{9F28152A-46B5-4D62-BD08-E2885785CAF0}"/>
    <cellStyle name="Berechnung 2 4 2 8" xfId="3124" xr:uid="{33205C25-974F-4528-B3AC-8D73564B595F}"/>
    <cellStyle name="Berechnung 2 4 3" xfId="1313" xr:uid="{BDAD84C8-9A55-4BF1-ADA4-EDF5A6C8A7AF}"/>
    <cellStyle name="Berechnung 2 4 4" xfId="1918" xr:uid="{411FEF3E-52FA-4906-AE45-2F7CBC7D9F2C}"/>
    <cellStyle name="Berechnung 2 4 5" xfId="2342" xr:uid="{0801D697-749E-43A8-8A15-05E9C9B7EE49}"/>
    <cellStyle name="Berechnung 2 4 6" xfId="2775" xr:uid="{3D9A949E-E48F-413B-8A21-CC9F45A7970E}"/>
    <cellStyle name="Berechnung 2 4 7" xfId="2977" xr:uid="{AA27706C-52A1-47CB-A220-418EF521204A}"/>
    <cellStyle name="Berechnung 2 4 8" xfId="3554" xr:uid="{2476A954-D955-4EE4-8909-5504F831C46C}"/>
    <cellStyle name="Berechnung 2 4 9" xfId="3953" xr:uid="{70837FC5-97DF-4E75-A051-821D2BF2971A}"/>
    <cellStyle name="Berechnung 2 5" xfId="724" xr:uid="{8D874579-3B44-4625-8A3B-12555C50A1BD}"/>
    <cellStyle name="Berechnung 2 5 2" xfId="1327" xr:uid="{1B6D546B-2F86-4146-A08A-EABCEB728540}"/>
    <cellStyle name="Berechnung 2 5 3" xfId="2055" xr:uid="{FB06A75E-C72D-427C-8126-AC0755B4D2E0}"/>
    <cellStyle name="Berechnung 2 5 4" xfId="2478" xr:uid="{EDCCC112-083D-4361-A0FF-9B84250DECFB}"/>
    <cellStyle name="Berechnung 2 5 5" xfId="1575" xr:uid="{0FAC6732-E1CB-4713-9FF7-F7B35615E1D6}"/>
    <cellStyle name="Berechnung 2 5 6" xfId="1164" xr:uid="{DF089E31-BCF1-45C1-ADD6-9899418881B5}"/>
    <cellStyle name="Berechnung 2 5 7" xfId="3688" xr:uid="{474DFD6D-8583-4EA1-BF57-0D9C824E8FCB}"/>
    <cellStyle name="Berechnung 2 5 8" xfId="3898" xr:uid="{93C2C50B-CDB2-4827-A88C-8528580A822B}"/>
    <cellStyle name="Berechnung 2 6" xfId="1160" xr:uid="{AC153882-D8CB-47BF-8479-8DD5DFD9480C}"/>
    <cellStyle name="Berechnung 2 7" xfId="1712" xr:uid="{3B49A51C-B1F8-402E-8014-5C472EE7A8BB}"/>
    <cellStyle name="Berechnung 2 8" xfId="1162" xr:uid="{C4CD46BE-4916-409C-B6A6-496F51123091}"/>
    <cellStyle name="Berechnung 2 9" xfId="2908" xr:uid="{273572AA-45DC-4299-A76A-57FFAF528EFE}"/>
    <cellStyle name="Berechnung 3" xfId="290" xr:uid="{B2CE85E2-F62F-44B7-BD01-8608E6BF5E89}"/>
    <cellStyle name="Berechnung 3 10" xfId="2767" xr:uid="{E27F493A-BFFE-4B21-8A38-602F8A31DB69}"/>
    <cellStyle name="Berechnung 3 11" xfId="3181" xr:uid="{A0658BCA-E39B-452C-B927-1A2163078773}"/>
    <cellStyle name="Berechnung 3 2" xfId="629" xr:uid="{7911E42E-DFA4-44FB-9798-ED4D37D8D29C}"/>
    <cellStyle name="Berechnung 3 2 2" xfId="844" xr:uid="{087207CD-C826-43D3-860C-C46481B580D4}"/>
    <cellStyle name="Berechnung 3 2 2 2" xfId="1181" xr:uid="{04F71FAF-E9F0-4D92-AAEE-86C8D190E664}"/>
    <cellStyle name="Berechnung 3 2 2 3" xfId="2175" xr:uid="{805E224E-5B03-45AC-9711-6D7AC8DC4EB1}"/>
    <cellStyle name="Berechnung 3 2 2 4" xfId="2598" xr:uid="{76A69A9C-BC65-47F0-9198-243A7FAEC6BD}"/>
    <cellStyle name="Berechnung 3 2 2 5" xfId="1524" xr:uid="{2B81670A-35D6-4F3C-B450-096376933DCB}"/>
    <cellStyle name="Berechnung 3 2 2 6" xfId="1452" xr:uid="{8E9F44BF-B21B-475E-9406-FF7F765A25CF}"/>
    <cellStyle name="Berechnung 3 2 2 7" xfId="3808" xr:uid="{98071B84-71A5-4290-BBF0-81F85BCED057}"/>
    <cellStyle name="Berechnung 3 2 2 8" xfId="3878" xr:uid="{74FEC9BC-8726-47FC-967E-75EA5C989EE6}"/>
    <cellStyle name="Berechnung 3 2 3" xfId="1199" xr:uid="{B1722776-4F12-4087-A288-23379C2E1F4F}"/>
    <cellStyle name="Berechnung 3 2 4" xfId="1960" xr:uid="{A4CD78BF-02A3-4282-ACD9-FF8E0D8CF42D}"/>
    <cellStyle name="Berechnung 3 2 5" xfId="2384" xr:uid="{40FEEAB8-3437-4B85-8FD0-7F82C07F1B47}"/>
    <cellStyle name="Berechnung 3 2 6" xfId="2812" xr:uid="{23761528-938E-459E-AD84-5672806AFB0A}"/>
    <cellStyle name="Berechnung 3 2 7" xfId="2746" xr:uid="{B35DD037-A3C4-4A4B-A734-7B24EE766F82}"/>
    <cellStyle name="Berechnung 3 2 8" xfId="3596" xr:uid="{E594B9CB-10A3-4E83-BBEC-C0F165C22BCD}"/>
    <cellStyle name="Berechnung 3 2 9" xfId="3679" xr:uid="{10EE8725-8FB2-4D22-8385-ACA39C218B04}"/>
    <cellStyle name="Berechnung 3 3" xfId="565" xr:uid="{B1486CEF-6F7E-4BF7-B559-45D043E6B4A8}"/>
    <cellStyle name="Berechnung 3 3 2" xfId="780" xr:uid="{E160E62F-4D22-47D9-A23B-D6BC531F61D1}"/>
    <cellStyle name="Berechnung 3 3 2 2" xfId="1152" xr:uid="{180D6BB6-7F48-4930-B392-27E41B756D0A}"/>
    <cellStyle name="Berechnung 3 3 2 3" xfId="2111" xr:uid="{3EEF099C-D98C-44B5-A955-B8CF6753C027}"/>
    <cellStyle name="Berechnung 3 3 2 4" xfId="2534" xr:uid="{3F9B0287-8D10-41EC-B827-95CEC2DE05A9}"/>
    <cellStyle name="Berechnung 3 3 2 5" xfId="2682" xr:uid="{F27A0025-C613-418B-AAF5-8844DC0BFEBE}"/>
    <cellStyle name="Berechnung 3 3 2 6" xfId="1171" xr:uid="{12F7FA00-3661-45DB-88C6-573C212D0FAF}"/>
    <cellStyle name="Berechnung 3 3 2 7" xfId="3744" xr:uid="{F5905914-BD17-40B7-91D9-70E43CB3849C}"/>
    <cellStyle name="Berechnung 3 3 2 8" xfId="4041" xr:uid="{15C6F339-B4DE-4120-98EA-3D96504558A5}"/>
    <cellStyle name="Berechnung 3 3 3" xfId="1760" xr:uid="{EDD018C0-F26B-426F-9377-6EC1551D337E}"/>
    <cellStyle name="Berechnung 3 3 4" xfId="1896" xr:uid="{7E94FB5C-A322-49F0-82F4-AF7EF351EA4C}"/>
    <cellStyle name="Berechnung 3 3 5" xfId="2320" xr:uid="{4C27C3C4-B0E9-42AA-B0CC-A9CD6D86EA15}"/>
    <cellStyle name="Berechnung 3 3 6" xfId="1113" xr:uid="{11F611D5-953F-4EE9-ACEB-C5B9639C0383}"/>
    <cellStyle name="Berechnung 3 3 7" xfId="3238" xr:uid="{70F96C11-9500-40F9-90A6-4DF6870AC24B}"/>
    <cellStyle name="Berechnung 3 3 8" xfId="3532" xr:uid="{7DED2DD2-877A-4835-8616-1E0DACADC48E}"/>
    <cellStyle name="Berechnung 3 3 9" xfId="3934" xr:uid="{43EEA2B2-1B76-4D38-B6E1-732DAF5171E6}"/>
    <cellStyle name="Berechnung 3 4" xfId="577" xr:uid="{82C3AE60-E7C1-4733-A022-3F69F7042B2C}"/>
    <cellStyle name="Berechnung 3 4 2" xfId="792" xr:uid="{AA7CEFEC-3C93-4F89-8EDB-09A309872596}"/>
    <cellStyle name="Berechnung 3 4 2 2" xfId="1147" xr:uid="{52757112-BFE5-4C6A-B7E7-8985B157E399}"/>
    <cellStyle name="Berechnung 3 4 2 3" xfId="2123" xr:uid="{27E64663-0067-4358-ACAB-7B2FA6BE2AEB}"/>
    <cellStyle name="Berechnung 3 4 2 4" xfId="2546" xr:uid="{C7897167-F02B-4FEE-8465-0A5341DCAB6F}"/>
    <cellStyle name="Berechnung 3 4 2 5" xfId="966" xr:uid="{DF2B7317-35CC-4F6A-AC93-C260B671C6F9}"/>
    <cellStyle name="Berechnung 3 4 2 6" xfId="3041" xr:uid="{09CEC58C-B71F-4F76-A9E4-9DB283EDAD27}"/>
    <cellStyle name="Berechnung 3 4 2 7" xfId="3756" xr:uid="{0E0981B0-6F69-44BB-A0AA-08565DFADA2D}"/>
    <cellStyle name="Berechnung 3 4 2 8" xfId="4037" xr:uid="{37282926-0CCF-4A2E-8193-FC6A17D3A9E5}"/>
    <cellStyle name="Berechnung 3 4 3" xfId="1655" xr:uid="{D67028A6-1F0D-4E33-9DA6-0DC4415C7180}"/>
    <cellStyle name="Berechnung 3 4 4" xfId="1908" xr:uid="{6EE09884-37FD-4141-94B2-CF253DB39E14}"/>
    <cellStyle name="Berechnung 3 4 5" xfId="2332" xr:uid="{FAC3BCF8-C215-417B-BD9D-661C4C55219A}"/>
    <cellStyle name="Berechnung 3 4 6" xfId="2984" xr:uid="{4C17AB04-258C-4D06-871A-1FE2A5F63CE1}"/>
    <cellStyle name="Berechnung 3 4 7" xfId="3150" xr:uid="{02DD11DC-1C94-47BA-81F7-176700283990}"/>
    <cellStyle name="Berechnung 3 4 8" xfId="3544" xr:uid="{D1D0F375-4F17-4DCC-88DF-D5099C9D05B8}"/>
    <cellStyle name="Berechnung 3 4 9" xfId="4033" xr:uid="{E7CC511B-F6C3-4024-B9E7-0FD76EDD83D6}"/>
    <cellStyle name="Berechnung 3 5" xfId="715" xr:uid="{104E6F8A-4C47-4A1A-B23F-4F8BD04AF3DA}"/>
    <cellStyle name="Berechnung 3 5 2" xfId="1539" xr:uid="{D6AFDB71-1BED-4121-BD03-3586CB89AEB6}"/>
    <cellStyle name="Berechnung 3 5 3" xfId="2046" xr:uid="{8754538A-50D7-441C-89BC-4C580B367576}"/>
    <cellStyle name="Berechnung 3 5 4" xfId="2470" xr:uid="{3A0E9155-06D0-4C27-961D-CB46614F679E}"/>
    <cellStyle name="Berechnung 3 5 5" xfId="1657" xr:uid="{6AC91E9F-E163-4545-937B-BD72DD26A4AC}"/>
    <cellStyle name="Berechnung 3 5 6" xfId="3382" xr:uid="{06BD17D4-9B1A-4315-9417-383301035F18}"/>
    <cellStyle name="Berechnung 3 5 7" xfId="3681" xr:uid="{DC30186F-06D2-4A76-B13D-4CA93A5766BE}"/>
    <cellStyle name="Berechnung 3 5 8" xfId="3405" xr:uid="{0D315EB1-E4A1-4463-AC21-BCF6145C33D2}"/>
    <cellStyle name="Berechnung 3 6" xfId="1371" xr:uid="{12FDBB79-642E-45C6-BE04-24637D935E11}"/>
    <cellStyle name="Berechnung 3 7" xfId="1545" xr:uid="{F2E1268D-781C-45E3-9BC6-662C8C95B4F5}"/>
    <cellStyle name="Berechnung 3 8" xfId="1379" xr:uid="{E558E0C1-72FE-4845-869D-BE4F07FF4258}"/>
    <cellStyle name="Berechnung 3 9" xfId="1503" xr:uid="{DD4D1DAE-1BC7-4478-A732-0A45837765BB}"/>
    <cellStyle name="Berechnung 4" xfId="562" xr:uid="{5CB2E07B-AB31-4746-9FE7-5051508464C6}"/>
    <cellStyle name="Berechnung 4 2" xfId="777" xr:uid="{7C805F53-776B-4B49-AB89-D1742A654DDA}"/>
    <cellStyle name="Berechnung 4 2 2" xfId="1153" xr:uid="{DF0B1B88-135A-465A-A4A9-6AE4C2177136}"/>
    <cellStyle name="Berechnung 4 2 3" xfId="2108" xr:uid="{43E82E15-B133-4EFC-A3BF-7D0CE21DD711}"/>
    <cellStyle name="Berechnung 4 2 4" xfId="2531" xr:uid="{815917C6-48A3-493B-8101-805D32E88D18}"/>
    <cellStyle name="Berechnung 4 2 5" xfId="2688" xr:uid="{1C70A8C7-A489-420B-AB44-5243C1FAC77E}"/>
    <cellStyle name="Berechnung 4 2 6" xfId="2841" xr:uid="{F8AA06AC-EB8C-493D-B544-ED173BD0E494}"/>
    <cellStyle name="Berechnung 4 2 7" xfId="3741" xr:uid="{52C9B5C8-D6E5-4A07-9721-5F591842BDAA}"/>
    <cellStyle name="Berechnung 4 2 8" xfId="4030" xr:uid="{FA1A1ADB-0945-44EB-8081-CD49A96D9D65}"/>
    <cellStyle name="Berechnung 4 3" xfId="1482" xr:uid="{522433B2-D0A7-4AA1-8C07-7EAE9109D00D}"/>
    <cellStyle name="Berechnung 4 4" xfId="1893" xr:uid="{DB29B10E-241D-4213-8290-9847D69AAEA0}"/>
    <cellStyle name="Berechnung 4 5" xfId="2317" xr:uid="{A6C2AA1C-1E4F-41DD-A6AE-66927076E4C0}"/>
    <cellStyle name="Berechnung 4 6" xfId="2958" xr:uid="{B5E6956B-CC36-473A-B7B9-BC1A0CEACE1D}"/>
    <cellStyle name="Berechnung 4 7" xfId="3301" xr:uid="{7766CA68-F271-4C51-94E0-02AE4E4739A6}"/>
    <cellStyle name="Berechnung 4 8" xfId="3529" xr:uid="{54BFEF77-662A-4C8F-B37A-0101611B6085}"/>
    <cellStyle name="Berechnung 4 9" xfId="3392" xr:uid="{7522CDAA-A1AE-4DD9-ADB5-D0CF3CE68D3E}"/>
    <cellStyle name="Berechnung 5" xfId="679" xr:uid="{AD3017C6-5A3A-4F6C-BD88-4C387EC3316E}"/>
    <cellStyle name="Berechnung 5 2" xfId="894" xr:uid="{ADC173EC-974C-4D8A-B13A-2ABC658E86FE}"/>
    <cellStyle name="Berechnung 5 2 2" xfId="1792" xr:uid="{7AE8E801-2AFA-4E1F-B42A-CABBB6C98AE2}"/>
    <cellStyle name="Berechnung 5 2 3" xfId="2225" xr:uid="{2F7CA022-4BFD-4BD3-8646-FDC08FF94543}"/>
    <cellStyle name="Berechnung 5 2 4" xfId="2648" xr:uid="{AE8DB2C2-4329-4F1B-BF6A-12BD83A488FB}"/>
    <cellStyle name="Berechnung 5 2 5" xfId="3064" xr:uid="{9842C0B7-F173-4495-9D52-9DC873163191}"/>
    <cellStyle name="Berechnung 5 2 6" xfId="3446" xr:uid="{2B0C2DEB-238D-40AB-A322-92D8E7DB7263}"/>
    <cellStyle name="Berechnung 5 2 7" xfId="3858" xr:uid="{DA1A962A-1C06-4AB4-BFAD-1DB61398540F}"/>
    <cellStyle name="Berechnung 5 2 8" xfId="4122" xr:uid="{86D3365E-3774-441A-A99A-D56145DEADC7}"/>
    <cellStyle name="Berechnung 5 3" xfId="1479" xr:uid="{11B8521B-81E4-4963-AEE0-470984B027C9}"/>
    <cellStyle name="Berechnung 5 4" xfId="2010" xr:uid="{B3863347-A30B-40CB-9EFC-E0DA76CCD054}"/>
    <cellStyle name="Berechnung 5 5" xfId="2434" xr:uid="{7F1FFE3D-D487-4899-8B54-C1F0D91A1E57}"/>
    <cellStyle name="Berechnung 5 6" xfId="917" xr:uid="{0214C6B9-6540-4C3A-8344-0C34A9A34DE4}"/>
    <cellStyle name="Berechnung 5 7" xfId="3383" xr:uid="{C7CD21B9-8CEC-4779-A75A-562584FA9972}"/>
    <cellStyle name="Berechnung 5 8" xfId="3646" xr:uid="{B6653277-6843-46A2-B7D9-D9B04E783378}"/>
    <cellStyle name="Berechnung 5 9" xfId="2948" xr:uid="{5AAFE2FC-D6F3-48B0-BB1C-84731F659089}"/>
    <cellStyle name="Berechnung 6" xfId="691" xr:uid="{9EB15E2E-7092-4132-BE20-0FF5B4B01DAC}"/>
    <cellStyle name="Berechnung 6 2" xfId="905" xr:uid="{DD06EDDF-6813-4595-9081-1C04668481EC}"/>
    <cellStyle name="Berechnung 6 2 2" xfId="1803" xr:uid="{1EB18D00-958B-46AA-A055-BE16607FEA31}"/>
    <cellStyle name="Berechnung 6 2 3" xfId="2236" xr:uid="{78B2631F-9F97-4137-8B50-2535E8B32100}"/>
    <cellStyle name="Berechnung 6 2 4" xfId="2659" xr:uid="{AE771737-B5E5-4D5D-8AC2-A8359196C96B}"/>
    <cellStyle name="Berechnung 6 2 5" xfId="3075" xr:uid="{7ACC4E60-303E-44BB-A9E9-FC04FFFC7A61}"/>
    <cellStyle name="Berechnung 6 2 6" xfId="3457" xr:uid="{CF9331DF-0B21-41BF-8EBD-55FA6F34F902}"/>
    <cellStyle name="Berechnung 6 2 7" xfId="3869" xr:uid="{92B77C12-04BF-481B-848E-001AE4F718A1}"/>
    <cellStyle name="Berechnung 6 2 8" xfId="4133" xr:uid="{77A59483-70AB-47D0-996C-B32FA608AD6A}"/>
    <cellStyle name="Berechnung 6 3" xfId="1628" xr:uid="{35CA3413-3227-4AF1-A68E-5BE6DCA88BBF}"/>
    <cellStyle name="Berechnung 6 4" xfId="2022" xr:uid="{F164B789-F76C-47DB-9A12-2CD789447CE7}"/>
    <cellStyle name="Berechnung 6 5" xfId="2446" xr:uid="{FB0F2691-9382-481B-94E6-2E536863F2B8}"/>
    <cellStyle name="Berechnung 6 6" xfId="2949" xr:uid="{5BD84EC3-D7B8-4F62-8661-4BCBD1D434C1}"/>
    <cellStyle name="Berechnung 6 7" xfId="3200" xr:uid="{7B6F5A69-09B7-4F31-B4DF-68800F04D6FC}"/>
    <cellStyle name="Berechnung 6 8" xfId="3657" xr:uid="{4074B8BE-D410-44A6-A7CC-FAE2D0223BCB}"/>
    <cellStyle name="Berechnung 6 9" xfId="3223" xr:uid="{6E2A12E9-A4A0-4DA8-BE1C-DBB18F816A20}"/>
    <cellStyle name="Berechnung 7" xfId="697" xr:uid="{6AB16854-C097-4943-B919-C0FCBC3528EF}"/>
    <cellStyle name="Berechnung 7 2" xfId="1644" xr:uid="{30E34DD4-FC69-4059-B996-DC28A3C88C25}"/>
    <cellStyle name="Berechnung 7 3" xfId="2028" xr:uid="{457A1943-5D86-4F08-8E28-4653D2CDFBD8}"/>
    <cellStyle name="Berechnung 7 4" xfId="2452" xr:uid="{9F47D32E-CACB-4C23-8F9B-E14AC8A5E939}"/>
    <cellStyle name="Berechnung 7 5" xfId="2995" xr:uid="{9574ECD9-6F80-4D84-83FD-29EBD31B0F49}"/>
    <cellStyle name="Berechnung 7 6" xfId="1289" xr:uid="{B142B691-5BF0-4B5B-8A49-8EF4D7421655}"/>
    <cellStyle name="Berechnung 7 7" xfId="3663" xr:uid="{EBB8F663-2D5E-44B0-88DF-A2D77816AB73}"/>
    <cellStyle name="Berechnung 7 8" xfId="3949" xr:uid="{32B3AB9F-F89A-4767-8859-30FB53A1B208}"/>
    <cellStyle name="Bold GHG Numbers (0.00)" xfId="145" xr:uid="{B57E78F8-024C-44FD-BF10-C101AD97D7CA}"/>
    <cellStyle name="Calculation 2" xfId="146" xr:uid="{9A461956-7F5A-4F56-9E9D-90837B8BE32D}"/>
    <cellStyle name="Calculation 2 10" xfId="3342" xr:uid="{BD975DF1-03E8-41B2-84B9-798A4513C020}"/>
    <cellStyle name="Calculation 2 11" xfId="1681" xr:uid="{71AEC81C-F369-4BDC-A6A5-5325079EBF96}"/>
    <cellStyle name="Calculation 2 2" xfId="564" xr:uid="{C160C64A-41D1-4D6C-851B-624CFE3B2311}"/>
    <cellStyle name="Calculation 2 2 2" xfId="779" xr:uid="{4F83EA3C-6B2F-4799-8291-B5FB3D83E939}"/>
    <cellStyle name="Calculation 2 2 2 2" xfId="1274" xr:uid="{3F5310DC-D4A3-43BC-AA85-FC45076BB444}"/>
    <cellStyle name="Calculation 2 2 2 3" xfId="2110" xr:uid="{4DE25A0E-9304-4C18-9955-843DEC564D39}"/>
    <cellStyle name="Calculation 2 2 2 4" xfId="2533" xr:uid="{B0DE9559-6464-4939-BE02-015C1682A693}"/>
    <cellStyle name="Calculation 2 2 2 5" xfId="1129" xr:uid="{29DF37E0-B05B-4F9E-97BA-25FBD4C87F68}"/>
    <cellStyle name="Calculation 2 2 2 6" xfId="2997" xr:uid="{C0F84BB7-6ED8-4FB3-827C-2BFB7A99C9B2}"/>
    <cellStyle name="Calculation 2 2 2 7" xfId="3743" xr:uid="{568364E7-0257-4B14-8FFC-C218005B084A}"/>
    <cellStyle name="Calculation 2 2 2 8" xfId="2893" xr:uid="{6086DB01-6EA3-4E25-B609-F042BDFB3FC4}"/>
    <cellStyle name="Calculation 2 2 3" xfId="1429" xr:uid="{A60CBB25-81BC-4E9F-9E67-2FE220CBB533}"/>
    <cellStyle name="Calculation 2 2 4" xfId="1895" xr:uid="{7BEF0679-6C84-465F-88FC-F0817BF65248}"/>
    <cellStyle name="Calculation 2 2 5" xfId="2319" xr:uid="{CE77817D-FD3B-4C94-9DD0-9989E51E98E9}"/>
    <cellStyle name="Calculation 2 2 6" xfId="955" xr:uid="{18E75356-0CA3-4970-B4A7-4DF9961CBA2F}"/>
    <cellStyle name="Calculation 2 2 7" xfId="3419" xr:uid="{28A6A9CA-DFCD-466F-83E8-92F1C5087110}"/>
    <cellStyle name="Calculation 2 2 8" xfId="3531" xr:uid="{441967ED-4CAF-41F6-8234-1F4CDFC58677}"/>
    <cellStyle name="Calculation 2 2 9" xfId="3880" xr:uid="{D213C1B7-08E4-4629-AD01-4FBAD75675B6}"/>
    <cellStyle name="Calculation 2 3" xfId="648" xr:uid="{3DDC901D-A6D1-479F-B4F7-47260230A8BE}"/>
    <cellStyle name="Calculation 2 3 2" xfId="863" xr:uid="{8DBC2EBA-502E-4225-B70C-8455DEF73472}"/>
    <cellStyle name="Calculation 2 3 2 2" xfId="1024" xr:uid="{9455B5FB-54D1-4F66-91A1-34FE86A45409}"/>
    <cellStyle name="Calculation 2 3 2 3" xfId="2194" xr:uid="{AD411D91-E837-4B37-937B-26FE75AA85A9}"/>
    <cellStyle name="Calculation 2 3 2 4" xfId="2617" xr:uid="{8A607879-66B7-40F2-BD47-177DFE86F537}"/>
    <cellStyle name="Calculation 2 3 2 5" xfId="2951" xr:uid="{2172B6A0-F802-436B-B762-073ECC95B405}"/>
    <cellStyle name="Calculation 2 3 2 6" xfId="1281" xr:uid="{8B85B3EA-4DE1-4702-AF3D-1335528A7749}"/>
    <cellStyle name="Calculation 2 3 2 7" xfId="3827" xr:uid="{5F02E49A-4C30-418E-A482-128CE1F2480B}"/>
    <cellStyle name="Calculation 2 3 2 8" xfId="3994" xr:uid="{A5636F27-55AF-48FF-8704-2EC5B18D5A14}"/>
    <cellStyle name="Calculation 2 3 3" xfId="1719" xr:uid="{9AE5DF86-66DB-42F4-88F4-B95D4C493BF3}"/>
    <cellStyle name="Calculation 2 3 4" xfId="1979" xr:uid="{C847AE34-55A2-4F85-A7D6-117F384D98A5}"/>
    <cellStyle name="Calculation 2 3 5" xfId="2403" xr:uid="{FA8CF49E-097C-471B-9448-B14D2B536982}"/>
    <cellStyle name="Calculation 2 3 6" xfId="2769" xr:uid="{C91689F4-55D7-4D04-88D4-4D8BA3A2C007}"/>
    <cellStyle name="Calculation 2 3 7" xfId="3201" xr:uid="{FBCBE5DA-D49C-4D04-8861-21F5E4C42E06}"/>
    <cellStyle name="Calculation 2 3 8" xfId="3615" xr:uid="{97433D18-DC4A-47CC-B4B8-D6F9F1CDE7A1}"/>
    <cellStyle name="Calculation 2 3 9" xfId="3475" xr:uid="{B5E817B4-2278-4D98-8F69-F03B4412DB26}"/>
    <cellStyle name="Calculation 2 4" xfId="554" xr:uid="{9A629CAA-E0D7-459D-90AA-C1994B3C3667}"/>
    <cellStyle name="Calculation 2 4 2" xfId="769" xr:uid="{C58F8D23-BE59-4FF9-ABDD-A55A6BDA360E}"/>
    <cellStyle name="Calculation 2 4 2 2" xfId="1048" xr:uid="{C0323765-B2A2-4F46-99F2-5E20A5CF07C1}"/>
    <cellStyle name="Calculation 2 4 2 3" xfId="2100" xr:uid="{3D3D6EB3-49EF-407D-BE88-805E2C33064B}"/>
    <cellStyle name="Calculation 2 4 2 4" xfId="2523" xr:uid="{0706190F-BED0-4CD1-81E8-765058C4D192}"/>
    <cellStyle name="Calculation 2 4 2 5" xfId="1474" xr:uid="{991832B3-8A93-43AF-AA62-B1B6371E7A32}"/>
    <cellStyle name="Calculation 2 4 2 6" xfId="3056" xr:uid="{2A4103A4-C2E4-4E59-9364-39187C0749DF}"/>
    <cellStyle name="Calculation 2 4 2 7" xfId="3733" xr:uid="{7D67BA0C-D0FE-4CE7-A552-8826A5BDF340}"/>
    <cellStyle name="Calculation 2 4 2 8" xfId="1407" xr:uid="{04977774-5220-4F5C-92B9-99E87C1996DC}"/>
    <cellStyle name="Calculation 2 4 3" xfId="1472" xr:uid="{E283E205-AE05-4308-8518-6DEB69538A11}"/>
    <cellStyle name="Calculation 2 4 4" xfId="1885" xr:uid="{589C9138-5752-46A0-BB2B-7DE564ADA2CF}"/>
    <cellStyle name="Calculation 2 4 5" xfId="2309" xr:uid="{604C496B-84B8-4485-8264-41286F46922C}"/>
    <cellStyle name="Calculation 2 4 6" xfId="1347" xr:uid="{7574217A-85E9-411D-9AC6-8DEE1B53C5A4}"/>
    <cellStyle name="Calculation 2 4 7" xfId="3332" xr:uid="{D040D8DA-223A-47CE-89FE-96748505EA87}"/>
    <cellStyle name="Calculation 2 4 8" xfId="3521" xr:uid="{05273408-BF3F-4C15-A1EC-2AC3969E0747}"/>
    <cellStyle name="Calculation 2 4 9" xfId="3322" xr:uid="{C189598D-F83C-43EF-823F-2714327E87AE}"/>
    <cellStyle name="Calculation 2 5" xfId="698" xr:uid="{678FC769-C50E-4D28-8999-719A1671C556}"/>
    <cellStyle name="Calculation 2 5 2" xfId="1441" xr:uid="{83B85E5C-8961-4885-B153-3806FB7D2583}"/>
    <cellStyle name="Calculation 2 5 3" xfId="2029" xr:uid="{C134DD33-D45A-4638-9CB9-6241F0BA123F}"/>
    <cellStyle name="Calculation 2 5 4" xfId="2453" xr:uid="{20B877AB-6EE6-40D0-B32A-EA9E2F18B2A7}"/>
    <cellStyle name="Calculation 2 5 5" xfId="1326" xr:uid="{35156F0D-4A05-4BD7-9190-D6D0DFFA411C}"/>
    <cellStyle name="Calculation 2 5 6" xfId="2818" xr:uid="{25AA66AC-38A8-417E-B5FF-C42C0D15CC16}"/>
    <cellStyle name="Calculation 2 5 7" xfId="3664" xr:uid="{3CFF6AA8-8E89-4497-B5E0-EF2779901A29}"/>
    <cellStyle name="Calculation 2 5 8" xfId="1077" xr:uid="{23636F38-1445-4D41-88FE-8256BEAFEDED}"/>
    <cellStyle name="Calculation 2 6" xfId="1696" xr:uid="{F7F1B1A8-BA14-402E-85BE-FCEFBA92A353}"/>
    <cellStyle name="Calculation 2 7" xfId="927" xr:uid="{8FC8FC34-3CA7-4F88-B9CB-6D8EAA44A482}"/>
    <cellStyle name="Calculation 2 8" xfId="945" xr:uid="{D5D295B7-BDA7-4F16-B185-8BD73214EDBD}"/>
    <cellStyle name="Calculation 2 9" xfId="1770" xr:uid="{EB6135F4-2FC8-4795-8554-8DAF4461B692}"/>
    <cellStyle name="Calculation 3" xfId="242" xr:uid="{30C2CD4D-1651-4CFE-961B-5C42B5DA8D38}"/>
    <cellStyle name="Calculation 3 10" xfId="1654" xr:uid="{9184C08A-10DF-40D5-81EB-5672B16D5C6E}"/>
    <cellStyle name="Calculation 3 11" xfId="3435" xr:uid="{95817BD8-1374-4520-B9B7-404DCD6E7DF9}"/>
    <cellStyle name="Calculation 3 2" xfId="603" xr:uid="{B8FAD979-A547-4C78-957F-A559DC3D0FE0}"/>
    <cellStyle name="Calculation 3 2 2" xfId="818" xr:uid="{E62970A5-1E10-4EFA-814B-8CA071E9C6D8}"/>
    <cellStyle name="Calculation 3 2 2 2" xfId="1748" xr:uid="{F66B044D-813B-48C6-AA72-C8791468FF2E}"/>
    <cellStyle name="Calculation 3 2 2 3" xfId="2149" xr:uid="{BB5F7AF3-6A27-4ACF-819B-28B9E2A375AC}"/>
    <cellStyle name="Calculation 3 2 2 4" xfId="2572" xr:uid="{C60F4B65-E74A-431E-9A59-D859DF7ADA74}"/>
    <cellStyle name="Calculation 3 2 2 5" xfId="2816" xr:uid="{84E39BAE-3926-448E-B807-8AE26F463F91}"/>
    <cellStyle name="Calculation 3 2 2 6" xfId="1785" xr:uid="{96A55184-FE17-4BEC-8BC4-3D974F2192ED}"/>
    <cellStyle name="Calculation 3 2 2 7" xfId="3782" xr:uid="{1C6DF90B-B117-49F1-8174-6012880C2735}"/>
    <cellStyle name="Calculation 3 2 2 8" xfId="2730" xr:uid="{41F79F36-4AC7-414C-81DB-878DFE099704}"/>
    <cellStyle name="Calculation 3 2 3" xfId="1201" xr:uid="{20990953-CCD7-4B3C-9AB0-5961D652C974}"/>
    <cellStyle name="Calculation 3 2 4" xfId="1934" xr:uid="{272FC58A-3455-47BA-8665-4FF60AD080BC}"/>
    <cellStyle name="Calculation 3 2 5" xfId="2358" xr:uid="{63CB1642-285D-46BE-9DE2-4177A1949210}"/>
    <cellStyle name="Calculation 3 2 6" xfId="1838" xr:uid="{0DE18A1A-32FE-44CF-893C-6EC80C49CF9C}"/>
    <cellStyle name="Calculation 3 2 7" xfId="3415" xr:uid="{3336DE0C-B4E2-4EC0-9909-7DE2BC3CEA84}"/>
    <cellStyle name="Calculation 3 2 8" xfId="3570" xr:uid="{2822D2DB-2AAA-41C1-8141-C3B16D55F102}"/>
    <cellStyle name="Calculation 3 2 9" xfId="3369" xr:uid="{C7084974-0095-4D68-A9B2-102278603A28}"/>
    <cellStyle name="Calculation 3 3" xfId="589" xr:uid="{B7697B55-5D9F-4F91-9152-948012A06018}"/>
    <cellStyle name="Calculation 3 3 2" xfId="804" xr:uid="{3DB01467-F713-412E-827E-9E2BDB287D3A}"/>
    <cellStyle name="Calculation 3 3 2 2" xfId="1188" xr:uid="{6EF8B704-93EB-4DA3-8A13-387F3DE2C9C9}"/>
    <cellStyle name="Calculation 3 3 2 3" xfId="2135" xr:uid="{EA6CB02F-E95E-4574-B1D9-C0371E860989}"/>
    <cellStyle name="Calculation 3 3 2 4" xfId="2558" xr:uid="{74057A88-92C2-4CF7-8D67-FBB6CE120FE9}"/>
    <cellStyle name="Calculation 3 3 2 5" xfId="1635" xr:uid="{8E8E223C-644E-44A9-9CDA-968F0C1DBDDE}"/>
    <cellStyle name="Calculation 3 3 2 6" xfId="2927" xr:uid="{0078BEA1-E1B3-4598-8133-631A2C641022}"/>
    <cellStyle name="Calculation 3 3 2 7" xfId="3768" xr:uid="{CAA1822A-9A1B-412A-8073-3B6B0CD7E68C}"/>
    <cellStyle name="Calculation 3 3 2 8" xfId="2720" xr:uid="{13281323-4D15-438E-BA51-5F4AF25B65FC}"/>
    <cellStyle name="Calculation 3 3 3" xfId="1063" xr:uid="{74D19702-EC64-4B42-AAEA-7BE76F779702}"/>
    <cellStyle name="Calculation 3 3 4" xfId="1920" xr:uid="{1B4BA03F-8198-4A15-A34B-098EF81D1B1E}"/>
    <cellStyle name="Calculation 3 3 5" xfId="2344" xr:uid="{C5F1CCAE-55EE-4568-8E5A-09B0D3966906}"/>
    <cellStyle name="Calculation 3 3 6" xfId="2894" xr:uid="{76AC2C64-398B-43A3-8DCC-39CC1F7FE28A}"/>
    <cellStyle name="Calculation 3 3 7" xfId="2842" xr:uid="{C452FCE0-EBCE-4CC1-8365-1D6D45D36D02}"/>
    <cellStyle name="Calculation 3 3 8" xfId="3556" xr:uid="{5D757CCE-33B6-498B-9CA5-E712D52139B1}"/>
    <cellStyle name="Calculation 3 3 9" xfId="4077" xr:uid="{387F72B8-DFA4-458D-81D8-F078A4A746D4}"/>
    <cellStyle name="Calculation 3 4" xfId="673" xr:uid="{F6A9A441-9C07-485E-B0F7-9463355BA56E}"/>
    <cellStyle name="Calculation 3 4 2" xfId="888" xr:uid="{4B094A96-3DFA-4541-A1A5-30F861C020D7}"/>
    <cellStyle name="Calculation 3 4 2 2" xfId="1295" xr:uid="{584DF7C6-F73C-43DA-A31A-FBE89B82806E}"/>
    <cellStyle name="Calculation 3 4 2 3" xfId="2219" xr:uid="{D0AC170E-408B-44F5-96A6-DD3F7D2A74E4}"/>
    <cellStyle name="Calculation 3 4 2 4" xfId="2642" xr:uid="{DE855053-A1DB-4A0B-AC16-C1C2472D395A}"/>
    <cellStyle name="Calculation 3 4 2 5" xfId="3058" xr:uid="{DA5E85F5-6F69-491E-8A20-31EF85A4091C}"/>
    <cellStyle name="Calculation 3 4 2 6" xfId="3440" xr:uid="{DBA7BFDB-F85B-41C9-A800-1DE467B5DD62}"/>
    <cellStyle name="Calculation 3 4 2 7" xfId="3852" xr:uid="{2DDDC3C5-FE45-43DD-8DFD-DE5E6A4AFA34}"/>
    <cellStyle name="Calculation 3 4 2 8" xfId="4116" xr:uid="{1C9A0D3B-6D0D-41F4-8B51-951595882A21}"/>
    <cellStyle name="Calculation 3 4 3" xfId="923" xr:uid="{43F1EA68-FEA1-4B47-B21E-31A28BAB4B79}"/>
    <cellStyle name="Calculation 3 4 4" xfId="2004" xr:uid="{98BE9790-9D6E-48F5-B6B3-E52AEDDE840C}"/>
    <cellStyle name="Calculation 3 4 5" xfId="2428" xr:uid="{85A8F827-2FDF-4EB1-8103-3CD0690D34BC}"/>
    <cellStyle name="Calculation 3 4 6" xfId="2935" xr:uid="{C721588A-A852-4EBE-BAE3-01F9B6C4E674}"/>
    <cellStyle name="Calculation 3 4 7" xfId="1432" xr:uid="{1876D38D-0CB1-49C6-8C93-5834DF366E1C}"/>
    <cellStyle name="Calculation 3 4 8" xfId="3640" xr:uid="{61B2C0C2-165C-44A3-8F7E-AD97A90E7EE0}"/>
    <cellStyle name="Calculation 3 4 9" xfId="4029" xr:uid="{EE41A08C-B03E-4D61-BA32-73CBA84039D4}"/>
    <cellStyle name="Calculation 3 5" xfId="706" xr:uid="{25E849D6-B940-447C-B4AB-58E9ABF65EBB}"/>
    <cellStyle name="Calculation 3 5 2" xfId="1558" xr:uid="{23E21F6E-D43B-4852-927B-580B243620DF}"/>
    <cellStyle name="Calculation 3 5 3" xfId="2037" xr:uid="{A93F84F9-5BE9-4DF4-ACC2-3D96B7F2E6C0}"/>
    <cellStyle name="Calculation 3 5 4" xfId="2461" xr:uid="{C6DD4CF2-AF7A-48B9-8ED8-A34082FBDB35}"/>
    <cellStyle name="Calculation 3 5 5" xfId="2670" xr:uid="{1E501253-5580-4814-8152-845938140231}"/>
    <cellStyle name="Calculation 3 5 6" xfId="2722" xr:uid="{45B1A391-E9B3-46B2-B6C1-2933AD7DE175}"/>
    <cellStyle name="Calculation 3 5 7" xfId="3672" xr:uid="{DAEE9771-3933-43A6-B93A-80BB5C601DB0}"/>
    <cellStyle name="Calculation 3 5 8" xfId="2683" xr:uid="{E25E4438-4B0F-453C-A602-0EA85308422D}"/>
    <cellStyle name="Calculation 3 6" xfId="1393" xr:uid="{0AEB52EA-AD9B-421B-8188-15D2122C4A2E}"/>
    <cellStyle name="Calculation 3 7" xfId="1652" xr:uid="{23331C5A-0048-4704-AEB5-C05DF696DE56}"/>
    <cellStyle name="Calculation 3 8" xfId="1409" xr:uid="{6CB23052-4C14-4538-A41B-EB8F5B0318A2}"/>
    <cellStyle name="Calculation 3 9" xfId="1525" xr:uid="{F617E374-FE09-4187-A537-FC9431AF77D5}"/>
    <cellStyle name="Check Cell 2" xfId="147" xr:uid="{2122B5F2-09F3-4B86-B03C-EF4BE9995A3D}"/>
    <cellStyle name="Check Cell 3" xfId="243" xr:uid="{6DE1BF17-9DC8-4F10-B7C3-5E02E44FD44C}"/>
    <cellStyle name="Check Cell 4" xfId="387" xr:uid="{F520991D-CB8D-4AC7-AAA0-52679BB9FCE8}"/>
    <cellStyle name="Comma 2" xfId="148" xr:uid="{B3549AAE-BFC5-4B19-A1F8-FF3E03DD964F}"/>
    <cellStyle name="Comma 2 2" xfId="149" xr:uid="{1ABF34DE-7299-465C-9BF5-8ED3976A7367}"/>
    <cellStyle name="Comma 2 2 2" xfId="432" xr:uid="{A66D3FCB-E2EB-499C-B351-7B5B628FCD9D}"/>
    <cellStyle name="Comma 3" xfId="150" xr:uid="{EEEB0B82-8A42-4D94-9D63-18A983CBE795}"/>
    <cellStyle name="Constants" xfId="5" xr:uid="{5A8526D6-FCA2-480A-B66C-D0D96F997AD7}"/>
    <cellStyle name="ContentsHyperlink" xfId="259" xr:uid="{9062597D-7B66-4202-B29D-CE64C8E60C25}"/>
    <cellStyle name="CustomCellsOrange" xfId="151" xr:uid="{7160A0A7-4012-49B4-84C9-7064B9937289}"/>
    <cellStyle name="CustomCellsOrange 2" xfId="433" xr:uid="{2B4837A1-0941-4D2D-BD2E-BC1F2A21D673}"/>
    <cellStyle name="CustomCellsOrange 2 2" xfId="456" xr:uid="{C7C8808E-CA18-4E88-8859-0BC26F3AE6AA}"/>
    <cellStyle name="CustomCellsOrange 2 2 10" xfId="3293" xr:uid="{C36E9CCB-A5FA-4901-A0B6-2F85C5F95615}"/>
    <cellStyle name="CustomCellsOrange 2 2 11" xfId="3217" xr:uid="{7B060D5B-925F-4242-99D9-78EB227551DA}"/>
    <cellStyle name="CustomCellsOrange 2 2 12" xfId="3996" xr:uid="{3CCE30A7-4CE9-4F32-BDCD-D890172569E3}"/>
    <cellStyle name="CustomCellsOrange 2 2 2" xfId="526" xr:uid="{8D2BC54A-3FF8-46D8-A5DA-3EF2132A5D8E}"/>
    <cellStyle name="CustomCellsOrange 2 2 2 2" xfId="692" xr:uid="{5963D39E-29D2-4091-84F8-F1414673EAAA}"/>
    <cellStyle name="CustomCellsOrange 2 2 2 2 2" xfId="906" xr:uid="{D3CBB2C6-C508-4928-9E2A-0F452CCB65FD}"/>
    <cellStyle name="CustomCellsOrange 2 2 2 2 2 2" xfId="1804" xr:uid="{3A7722ED-332C-439B-8718-3320C69828D9}"/>
    <cellStyle name="CustomCellsOrange 2 2 2 2 2 3" xfId="2237" xr:uid="{F1B85088-4B94-4DEC-940F-6A1EA54E5771}"/>
    <cellStyle name="CustomCellsOrange 2 2 2 2 2 4" xfId="2660" xr:uid="{DBD34929-A6D6-4B8C-A434-D9602F4133D6}"/>
    <cellStyle name="CustomCellsOrange 2 2 2 2 2 5" xfId="3076" xr:uid="{2F281C9E-8529-4A00-88F3-41297F923AD4}"/>
    <cellStyle name="CustomCellsOrange 2 2 2 2 2 6" xfId="3458" xr:uid="{2F0CBF86-2AE4-4E5D-9EDC-36B99A2A8888}"/>
    <cellStyle name="CustomCellsOrange 2 2 2 2 2 7" xfId="3870" xr:uid="{AADA3F51-636B-43EC-8F6B-7D503C3F83C6}"/>
    <cellStyle name="CustomCellsOrange 2 2 2 2 2 8" xfId="4134" xr:uid="{7C0F2CC5-148A-4114-BF1A-0799F8195C37}"/>
    <cellStyle name="CustomCellsOrange 2 2 2 2 3" xfId="1427" xr:uid="{046F2F4C-A538-4A09-A4B4-5FA8968C2F05}"/>
    <cellStyle name="CustomCellsOrange 2 2 2 2 4" xfId="2023" xr:uid="{E48AB87B-F8F9-4C4A-A3E8-CAD328CD2171}"/>
    <cellStyle name="CustomCellsOrange 2 2 2 2 5" xfId="2447" xr:uid="{BD25C0C1-9FD1-4326-9068-9417DAE2E19C}"/>
    <cellStyle name="CustomCellsOrange 2 2 2 2 6" xfId="2665" xr:uid="{267A3274-8E25-400A-A6ED-B197438F47EA}"/>
    <cellStyle name="CustomCellsOrange 2 2 2 2 7" xfId="3031" xr:uid="{47D685EA-377B-4159-85D4-A47575393058}"/>
    <cellStyle name="CustomCellsOrange 2 2 2 2 8" xfId="3658" xr:uid="{22396E9F-209B-43CA-9E4A-CDDD2D5A3373}"/>
    <cellStyle name="CustomCellsOrange 2 2 2 2 9" xfId="1084" xr:uid="{16AED6C8-4355-40C4-9B22-08EA9C6E586D}"/>
    <cellStyle name="CustomCellsOrange 2 2 3" xfId="675" xr:uid="{6920A305-D1D9-4212-B70A-0CECF3394A99}"/>
    <cellStyle name="CustomCellsOrange 2 2 3 2" xfId="890" xr:uid="{0CD4A3AD-8F4B-453F-8593-96FD01933CF7}"/>
    <cellStyle name="CustomCellsOrange 2 2 3 2 2" xfId="1788" xr:uid="{E3FF1678-6009-4856-B23A-35099FBAE4D3}"/>
    <cellStyle name="CustomCellsOrange 2 2 3 2 3" xfId="2221" xr:uid="{9B85ACBE-AD43-4A67-9F90-057379328E99}"/>
    <cellStyle name="CustomCellsOrange 2 2 3 2 4" xfId="2644" xr:uid="{15B222D2-763F-4407-87D9-607291BBFDB2}"/>
    <cellStyle name="CustomCellsOrange 2 2 3 2 5" xfId="3060" xr:uid="{730A46C9-DD54-411B-BA68-A8F46CDFCA88}"/>
    <cellStyle name="CustomCellsOrange 2 2 3 2 6" xfId="3442" xr:uid="{AB44FD32-4E88-4E29-A82C-C55A06E9B36D}"/>
    <cellStyle name="CustomCellsOrange 2 2 3 2 7" xfId="3854" xr:uid="{0A182D45-9E81-4376-9066-9BA7255B5D86}"/>
    <cellStyle name="CustomCellsOrange 2 2 3 2 8" xfId="4118" xr:uid="{C52FDE5C-1D5F-492F-9FD7-3750FC063FCC}"/>
    <cellStyle name="CustomCellsOrange 2 2 3 3" xfId="915" xr:uid="{984EF421-A53A-48B9-B35C-F65BF74783A4}"/>
    <cellStyle name="CustomCellsOrange 2 2 3 4" xfId="2006" xr:uid="{27BA94C4-F6C3-4E37-9F9B-56087A6086B1}"/>
    <cellStyle name="CustomCellsOrange 2 2 3 5" xfId="2430" xr:uid="{CD262BC8-93A4-4E0C-85D6-AD4FAA89B8CF}"/>
    <cellStyle name="CustomCellsOrange 2 2 3 6" xfId="1849" xr:uid="{85E8EB04-3E09-4F1E-A89A-1299D78BCB03}"/>
    <cellStyle name="CustomCellsOrange 2 2 3 7" xfId="3350" xr:uid="{0D415EF3-D0B1-449D-9F34-878AB34543E2}"/>
    <cellStyle name="CustomCellsOrange 2 2 3 8" xfId="3642" xr:uid="{96537FFE-F7DA-463D-8D4A-EBE183023F1D}"/>
    <cellStyle name="CustomCellsOrange 2 2 3 9" xfId="2896" xr:uid="{24DBD5EC-7C79-4F36-A2E2-743DEF73F40D}"/>
    <cellStyle name="CustomCellsOrange 2 2 4" xfId="593" xr:uid="{E16035F0-E432-4810-B60A-A5B56EF526D3}"/>
    <cellStyle name="CustomCellsOrange 2 2 4 2" xfId="808" xr:uid="{E1092BBB-BF6F-4F21-8900-2E7CFA548436}"/>
    <cellStyle name="CustomCellsOrange 2 2 4 2 2" xfId="1186" xr:uid="{1CB2F967-D30E-4261-B19F-CC5635DB5140}"/>
    <cellStyle name="CustomCellsOrange 2 2 4 2 3" xfId="2139" xr:uid="{50B4C578-827B-45B7-BDA2-01DC75352B21}"/>
    <cellStyle name="CustomCellsOrange 2 2 4 2 4" xfId="2562" xr:uid="{D3A61B85-89C9-465C-BD08-7EF7F762E430}"/>
    <cellStyle name="CustomCellsOrange 2 2 4 2 5" xfId="1727" xr:uid="{1E215608-CEDF-4D7A-8FD1-5C061844EA83}"/>
    <cellStyle name="CustomCellsOrange 2 2 4 2 6" xfId="2988" xr:uid="{8A6529B2-1512-4959-A5B9-71A69C932892}"/>
    <cellStyle name="CustomCellsOrange 2 2 4 2 7" xfId="3772" xr:uid="{8B08B2B9-4138-40B3-8362-1BDDA1A18020}"/>
    <cellStyle name="CustomCellsOrange 2 2 4 2 8" xfId="4093" xr:uid="{E1510CF4-7D60-49EE-AC8C-F3B7FF2AC6E6}"/>
    <cellStyle name="CustomCellsOrange 2 2 4 3" xfId="1059" xr:uid="{C2762237-8CBB-4FA9-9F01-36EC34985285}"/>
    <cellStyle name="CustomCellsOrange 2 2 4 4" xfId="1924" xr:uid="{B0F821E4-528C-458B-8CFE-866701A568ED}"/>
    <cellStyle name="CustomCellsOrange 2 2 4 5" xfId="2348" xr:uid="{11F07D6F-2D8A-4F87-A5C3-BF812C71BE07}"/>
    <cellStyle name="CustomCellsOrange 2 2 4 6" xfId="2817" xr:uid="{F6EEFBFD-E996-4380-858F-7DF49744024B}"/>
    <cellStyle name="CustomCellsOrange 2 2 4 7" xfId="2258" xr:uid="{60341CC3-A37A-46E0-9898-4AB19A34294E}"/>
    <cellStyle name="CustomCellsOrange 2 2 4 8" xfId="3560" xr:uid="{0C758DFE-C6F9-4EF8-82EA-E97F5CC07C77}"/>
    <cellStyle name="CustomCellsOrange 2 2 4 9" xfId="3288" xr:uid="{32DEF953-42B3-4AE3-B5A5-1913DE869BDB}"/>
    <cellStyle name="CustomCellsOrange 2 2 5" xfId="694" xr:uid="{50EBAFFD-49CF-4A6A-8944-7F1C16A3D163}"/>
    <cellStyle name="CustomCellsOrange 2 2 5 2" xfId="908" xr:uid="{ACBD2682-E5B8-4592-9ED6-5307E8B512A1}"/>
    <cellStyle name="CustomCellsOrange 2 2 5 2 2" xfId="1806" xr:uid="{073101A5-1656-4AD8-AFB0-965F1D5A28DD}"/>
    <cellStyle name="CustomCellsOrange 2 2 5 2 3" xfId="2239" xr:uid="{02A849E0-9A37-42DF-ACD9-AB7ABD8238DC}"/>
    <cellStyle name="CustomCellsOrange 2 2 5 2 4" xfId="2662" xr:uid="{6A1170FE-3F9D-4B8B-8CAE-3C80F183AB59}"/>
    <cellStyle name="CustomCellsOrange 2 2 5 2 5" xfId="3078" xr:uid="{94D82CC4-F990-4E37-B643-DA42D61FE8C8}"/>
    <cellStyle name="CustomCellsOrange 2 2 5 2 6" xfId="3460" xr:uid="{6B56C5F1-28F8-431A-8FC0-3741C7FC520A}"/>
    <cellStyle name="CustomCellsOrange 2 2 5 2 7" xfId="3872" xr:uid="{5B942492-D5A4-4551-A494-94E96CD9646D}"/>
    <cellStyle name="CustomCellsOrange 2 2 5 2 8" xfId="4136" xr:uid="{7C0140B2-632E-4B92-9E94-07A3778BE451}"/>
    <cellStyle name="CustomCellsOrange 2 2 5 3" xfId="1514" xr:uid="{A71BF02C-406F-45B6-8533-6C1D128E3AA9}"/>
    <cellStyle name="CustomCellsOrange 2 2 5 4" xfId="2025" xr:uid="{F1B8D76B-32F6-4F20-AFEC-FB67C87142BA}"/>
    <cellStyle name="CustomCellsOrange 2 2 5 5" xfId="2449" xr:uid="{F59A88D5-3666-4D78-90F4-283B99314E17}"/>
    <cellStyle name="CustomCellsOrange 2 2 5 6" xfId="1501" xr:uid="{F113AF6F-93BB-43BE-9990-CD345F31551E}"/>
    <cellStyle name="CustomCellsOrange 2 2 5 7" xfId="3313" xr:uid="{22775975-D303-4C29-B3C8-0074402FCAA3}"/>
    <cellStyle name="CustomCellsOrange 2 2 5 8" xfId="3660" xr:uid="{81293ECB-297F-4A61-8C43-4BF2D61FBC94}"/>
    <cellStyle name="CustomCellsOrange 2 2 5 9" xfId="3243" xr:uid="{D9F0C291-698D-4393-AD1C-68E2A2207676}"/>
    <cellStyle name="CustomCellsOrange 2 2 6" xfId="1206" xr:uid="{CF425872-7166-4B6C-812D-19D38EFCDAC1}"/>
    <cellStyle name="CustomCellsOrange 2 2 7" xfId="1703" xr:uid="{6945368B-33A1-458D-8245-48147F99569F}"/>
    <cellStyle name="CustomCellsOrange 2 2 8" xfId="1436" xr:uid="{63C9E204-19DE-4BAE-BAC2-B3DD5E38CB52}"/>
    <cellStyle name="CustomCellsOrange 2 2 9" xfId="2913" xr:uid="{5050AE74-4B3E-4F23-B666-1A7C6FD75915}"/>
    <cellStyle name="CustomCellsOrange 3" xfId="291" xr:uid="{06DBEFFB-B936-4EAF-9579-93B931238606}"/>
    <cellStyle name="CustomCellsOrange 3 10" xfId="3084" xr:uid="{05582124-0FCF-4E34-B977-221253AF9E96}"/>
    <cellStyle name="CustomCellsOrange 3 11" xfId="3364" xr:uid="{56990EC9-DACC-46DA-A703-27ECFCA0B563}"/>
    <cellStyle name="CustomCellsOrange 3 12" xfId="3933" xr:uid="{C69D97A1-747F-49BA-AA01-C2D55418E8EF}"/>
    <cellStyle name="CustomCellsOrange 3 2" xfId="630" xr:uid="{46AB01AD-3A13-4864-948D-2A4272CF313B}"/>
    <cellStyle name="CustomCellsOrange 3 2 2" xfId="845" xr:uid="{0501D864-27E3-4B64-880E-1B536FA46EDD}"/>
    <cellStyle name="CustomCellsOrange 3 2 2 2" xfId="1303" xr:uid="{DE350B0E-8F76-43E1-994B-49C2CFF53F10}"/>
    <cellStyle name="CustomCellsOrange 3 2 2 3" xfId="2176" xr:uid="{ECBEBBAA-3EB3-4977-B6A0-D03D6A07B8FD}"/>
    <cellStyle name="CustomCellsOrange 3 2 2 4" xfId="2599" xr:uid="{FA7A445C-7318-42E5-846C-A3A34D5AD93E}"/>
    <cellStyle name="CustomCellsOrange 3 2 2 5" xfId="951" xr:uid="{6E459C34-B1BB-46B9-960D-011D6B1449C0}"/>
    <cellStyle name="CustomCellsOrange 3 2 2 6" xfId="2758" xr:uid="{C661FE87-4EA7-4B59-B8A9-32FD60A9E70D}"/>
    <cellStyle name="CustomCellsOrange 3 2 2 7" xfId="3809" xr:uid="{C68FB582-8CAA-45DB-924D-B49459AE66FC}"/>
    <cellStyle name="CustomCellsOrange 3 2 2 8" xfId="3908" xr:uid="{3F527DB8-34E4-4325-B8E6-E79F6A3F590B}"/>
    <cellStyle name="CustomCellsOrange 3 2 3" xfId="1332" xr:uid="{772B20F9-CD34-4669-BE03-EB3D3243F3D5}"/>
    <cellStyle name="CustomCellsOrange 3 2 4" xfId="1961" xr:uid="{7490F767-977C-4341-A3A7-1DDCF242AFC6}"/>
    <cellStyle name="CustomCellsOrange 3 2 5" xfId="2385" xr:uid="{BF8B3BEB-2738-44B2-BDEE-2494E27CC231}"/>
    <cellStyle name="CustomCellsOrange 3 2 6" xfId="2820" xr:uid="{659A7305-5315-4371-AEB5-47EF3DCF4432}"/>
    <cellStyle name="CustomCellsOrange 3 2 7" xfId="3274" xr:uid="{3D508F87-F5CC-49B5-B800-752D44CE5385}"/>
    <cellStyle name="CustomCellsOrange 3 2 8" xfId="3597" xr:uid="{52842050-1C1C-446E-8DD5-632179DE0514}"/>
    <cellStyle name="CustomCellsOrange 3 2 9" xfId="3474" xr:uid="{302B2838-0C07-4C24-8D2A-E1B14E27F658}"/>
    <cellStyle name="CustomCellsOrange 3 3" xfId="563" xr:uid="{469B32B7-FCB2-4A24-9C7D-93349875F66C}"/>
    <cellStyle name="CustomCellsOrange 3 3 2" xfId="778" xr:uid="{0390E370-D436-43FA-B86B-8F617A186EDB}"/>
    <cellStyle name="CustomCellsOrange 3 3 2 2" xfId="1045" xr:uid="{94C34289-2FFA-4F27-9404-3A918D81F892}"/>
    <cellStyle name="CustomCellsOrange 3 3 2 3" xfId="2109" xr:uid="{E2C2D765-C8C4-4D1E-ADDD-83F6F2400979}"/>
    <cellStyle name="CustomCellsOrange 3 3 2 4" xfId="2532" xr:uid="{DCA64AE6-323C-4722-9F29-C7F92E626BC6}"/>
    <cellStyle name="CustomCellsOrange 3 3 2 5" xfId="1846" xr:uid="{B46EF2A6-D976-4DB5-AAE9-769A5AF4813F}"/>
    <cellStyle name="CustomCellsOrange 3 3 2 6" xfId="1339" xr:uid="{85666DCC-629C-4CB4-9E6A-D83065247676}"/>
    <cellStyle name="CustomCellsOrange 3 3 2 7" xfId="3742" xr:uid="{41B73277-F42E-476C-A7AA-E9BD38E2B0B6}"/>
    <cellStyle name="CustomCellsOrange 3 3 2 8" xfId="3902" xr:uid="{3D8173D1-8648-47ED-9B43-B078765CB119}"/>
    <cellStyle name="CustomCellsOrange 3 3 3" xfId="1630" xr:uid="{6C735CC2-0508-40F3-87EE-04E011A1D7E8}"/>
    <cellStyle name="CustomCellsOrange 3 3 4" xfId="1894" xr:uid="{A9768A2F-11F9-493A-BE42-787F42A5038F}"/>
    <cellStyle name="CustomCellsOrange 3 3 5" xfId="2318" xr:uid="{EA6AB17E-0011-4743-BA39-B400B6C0529B}"/>
    <cellStyle name="CustomCellsOrange 3 3 6" xfId="2770" xr:uid="{09A694F8-6CBD-4FB2-93CA-9742A26BE347}"/>
    <cellStyle name="CustomCellsOrange 3 3 7" xfId="3131" xr:uid="{F866BBD5-0144-465A-A2BC-8F4863CA443D}"/>
    <cellStyle name="CustomCellsOrange 3 3 8" xfId="3530" xr:uid="{B9CB4BB1-BEC4-480E-B5E3-2AFB70CEEA81}"/>
    <cellStyle name="CustomCellsOrange 3 3 9" xfId="1117" xr:uid="{45F64B24-6D5D-4CC9-B022-7B837C6B39AC}"/>
    <cellStyle name="CustomCellsOrange 3 4" xfId="576" xr:uid="{AA879F00-78CA-475B-AF61-3C72CD6B836B}"/>
    <cellStyle name="CustomCellsOrange 3 4 2" xfId="791" xr:uid="{84826C91-7261-413D-A240-097B6DDFC254}"/>
    <cellStyle name="CustomCellsOrange 3 4 2 2" xfId="1040" xr:uid="{0BCAFB62-DE9D-470D-849B-C9D4B33100DA}"/>
    <cellStyle name="CustomCellsOrange 3 4 2 3" xfId="2122" xr:uid="{9A387621-D5D2-4E00-9E84-6F4C5F3ACB90}"/>
    <cellStyle name="CustomCellsOrange 3 4 2 4" xfId="2545" xr:uid="{BDF2607D-C6F7-4767-BED7-460CFC654D67}"/>
    <cellStyle name="CustomCellsOrange 3 4 2 5" xfId="2690" xr:uid="{5751129E-256F-42C0-8753-64A180F93955}"/>
    <cellStyle name="CustomCellsOrange 3 4 2 6" xfId="1626" xr:uid="{7F2B2446-3CD2-4BC4-9C00-DE9D1DEFF44F}"/>
    <cellStyle name="CustomCellsOrange 3 4 2 7" xfId="3755" xr:uid="{E4037799-AAC0-4C96-A434-04C8E075A67C}"/>
    <cellStyle name="CustomCellsOrange 3 4 2 8" xfId="3923" xr:uid="{CD5C9F95-1AE8-4ED0-802A-15951992EF23}"/>
    <cellStyle name="CustomCellsOrange 3 4 3" xfId="1605" xr:uid="{6BA9D6E3-39B5-4737-AB23-01A56AD3782F}"/>
    <cellStyle name="CustomCellsOrange 3 4 4" xfId="1907" xr:uid="{B5453BA6-59DE-4B27-8CAC-D7E6D4F8EDF9}"/>
    <cellStyle name="CustomCellsOrange 3 4 5" xfId="2331" xr:uid="{4FF2FB1D-F004-424C-AE7B-5953A1D698C0}"/>
    <cellStyle name="CustomCellsOrange 3 4 6" xfId="1820" xr:uid="{4E443C89-2ED8-4497-AE12-743420181A92}"/>
    <cellStyle name="CustomCellsOrange 3 4 7" xfId="3323" xr:uid="{E954870C-FF55-4181-B653-93BDAAF0DD2C}"/>
    <cellStyle name="CustomCellsOrange 3 4 8" xfId="3543" xr:uid="{D5A170A3-4D89-4DD2-B359-7FA26AF1B724}"/>
    <cellStyle name="CustomCellsOrange 3 4 9" xfId="2019" xr:uid="{D335ABD3-0B6F-45D8-B79E-CD453F9A3E1F}"/>
    <cellStyle name="CustomCellsOrange 3 5" xfId="716" xr:uid="{B8639429-E26D-4002-8E2E-494A55438A5F}"/>
    <cellStyle name="CustomCellsOrange 3 6" xfId="1345" xr:uid="{2585F093-8222-430F-97EB-475E87024C51}"/>
    <cellStyle name="CustomCellsOrange 3 7" xfId="1751" xr:uid="{9C42C3D9-655B-4AB4-AA77-9346438BB98E}"/>
    <cellStyle name="CustomCellsOrange 3 8" xfId="972" xr:uid="{869FD2EF-F986-452B-8F74-A657F20FF601}"/>
    <cellStyle name="CustomCellsOrange 3 9" xfId="3020" xr:uid="{6BCC7069-2298-4783-8BB1-9EC6841DFB9A}"/>
    <cellStyle name="CustomizationCells" xfId="19" xr:uid="{BA536AF1-773A-4C3D-98C5-B911709AD5EA}"/>
    <cellStyle name="CustomizationCells 2" xfId="434" xr:uid="{16262C49-3CC9-4D7B-8990-72E2CB6CF981}"/>
    <cellStyle name="CustomizationCells 2 2" xfId="457" xr:uid="{E2718A27-9ED9-41AF-B065-4157D2A3718C}"/>
    <cellStyle name="CustomizationCells 2 2 10" xfId="3320" xr:uid="{A7FC99E3-7977-4CB7-BF57-FAC1C696E585}"/>
    <cellStyle name="CustomizationCells 2 2 11" xfId="3098" xr:uid="{39CCC0FF-9559-4A61-AAFC-7CE0E5B828C8}"/>
    <cellStyle name="CustomizationCells 2 2 12" xfId="3885" xr:uid="{1DA62C5B-1686-4937-A2A0-EB7017F07598}"/>
    <cellStyle name="CustomizationCells 2 2 2" xfId="527" xr:uid="{44273366-3B34-4BE1-A463-CA1974BACE20}"/>
    <cellStyle name="CustomizationCells 2 2 2 2" xfId="693" xr:uid="{7D105068-CAA5-4558-99FC-74F887C49CEB}"/>
    <cellStyle name="CustomizationCells 2 2 2 2 2" xfId="907" xr:uid="{817120E5-8A5D-49F3-ABDF-2200AEA46906}"/>
    <cellStyle name="CustomizationCells 2 2 2 2 2 2" xfId="1805" xr:uid="{FD645A0A-C88E-47F8-9D2A-7E2536E66DF5}"/>
    <cellStyle name="CustomizationCells 2 2 2 2 2 3" xfId="2238" xr:uid="{7C29747B-A492-4C0B-891F-F09165F4CD17}"/>
    <cellStyle name="CustomizationCells 2 2 2 2 2 4" xfId="2661" xr:uid="{2F424A30-F473-439E-9ADB-2B50E2D120BF}"/>
    <cellStyle name="CustomizationCells 2 2 2 2 2 5" xfId="3077" xr:uid="{E0E16A62-B726-48AD-891C-B680651DC8E2}"/>
    <cellStyle name="CustomizationCells 2 2 2 2 2 6" xfId="3459" xr:uid="{591B9F63-E91D-4CDA-9825-9E8ACB6F4153}"/>
    <cellStyle name="CustomizationCells 2 2 2 2 2 7" xfId="3871" xr:uid="{EDE49BF9-B5AC-4CF3-9D9A-D5407C52E625}"/>
    <cellStyle name="CustomizationCells 2 2 2 2 2 8" xfId="4135" xr:uid="{86EED2AD-E24F-4814-81AA-1AE378C10C8C}"/>
    <cellStyle name="CustomizationCells 2 2 2 2 3" xfId="1718" xr:uid="{C1D3C5BD-05A5-4F2A-B289-5AAF05C9611A}"/>
    <cellStyle name="CustomizationCells 2 2 2 2 4" xfId="2024" xr:uid="{1CD46E08-9144-48D7-9FF0-CB7D151CEBA8}"/>
    <cellStyle name="CustomizationCells 2 2 2 2 5" xfId="2448" xr:uid="{AFD0FD50-C042-4F6A-82B1-5DDDE9CFBACC}"/>
    <cellStyle name="CustomizationCells 2 2 2 2 6" xfId="2792" xr:uid="{93A4B8FA-4B30-448B-902E-A6C70710B188}"/>
    <cellStyle name="CustomizationCells 2 2 2 2 7" xfId="3290" xr:uid="{7340E34A-1AB0-4A11-A9B1-47656879CCEB}"/>
    <cellStyle name="CustomizationCells 2 2 2 2 8" xfId="3659" xr:uid="{B9AA3035-9702-4E73-8C42-0243377AC737}"/>
    <cellStyle name="CustomizationCells 2 2 2 2 9" xfId="2848" xr:uid="{E1DF3FFC-FD40-4CF0-AC69-986D10F0E803}"/>
    <cellStyle name="CustomizationCells 2 2 3" xfId="676" xr:uid="{1FC97473-E8F8-4871-AB57-2E0DE7FE540C}"/>
    <cellStyle name="CustomizationCells 2 2 3 2" xfId="891" xr:uid="{88D33B30-92BE-4541-B112-F776EAB470A3}"/>
    <cellStyle name="CustomizationCells 2 2 3 2 2" xfId="1789" xr:uid="{B742BCE2-5220-46CF-B87B-25E9F3C17CAD}"/>
    <cellStyle name="CustomizationCells 2 2 3 2 3" xfId="2222" xr:uid="{87CC6BB1-3E4A-461E-B3EF-41BCB5796503}"/>
    <cellStyle name="CustomizationCells 2 2 3 2 4" xfId="2645" xr:uid="{AD3DBA0D-EF6E-420B-A6BB-8DFB6334B9A7}"/>
    <cellStyle name="CustomizationCells 2 2 3 2 5" xfId="3061" xr:uid="{F16AEFAA-8648-4759-90E4-2A86454DB144}"/>
    <cellStyle name="CustomizationCells 2 2 3 2 6" xfId="3443" xr:uid="{F7CB56CB-E317-49BF-BEA3-B8DA0E4103FA}"/>
    <cellStyle name="CustomizationCells 2 2 3 2 7" xfId="3855" xr:uid="{55537005-75DB-42D8-A60F-087EBBF84822}"/>
    <cellStyle name="CustomizationCells 2 2 3 2 8" xfId="4119" xr:uid="{A0FE65BA-7423-47EB-8C28-F1584263B495}"/>
    <cellStyle name="CustomizationCells 2 2 3 3" xfId="932" xr:uid="{8A491BBE-1E21-4A64-9140-32D1C075066B}"/>
    <cellStyle name="CustomizationCells 2 2 3 4" xfId="2007" xr:uid="{2DDDB132-07B6-4E8B-9864-6564E4A2DA9B}"/>
    <cellStyle name="CustomizationCells 2 2 3 5" xfId="2431" xr:uid="{D30534E4-D5F2-46D7-9CFF-38F6B0EC2CB0}"/>
    <cellStyle name="CustomizationCells 2 2 3 6" xfId="3014" xr:uid="{263EC05F-6939-4ECD-A2B6-11E7BA844350}"/>
    <cellStyle name="CustomizationCells 2 2 3 7" xfId="3169" xr:uid="{F1EFC137-ECBA-477F-A9BC-88CCD11B5FEC}"/>
    <cellStyle name="CustomizationCells 2 2 3 8" xfId="3643" xr:uid="{C56FF3D6-8A9A-4764-9BCB-D8972994EC33}"/>
    <cellStyle name="CustomizationCells 2 2 3 9" xfId="3083" xr:uid="{723C77FF-2790-472A-BB72-56DF77A990B4}"/>
    <cellStyle name="CustomizationCells 2 2 4" xfId="539" xr:uid="{F3DC6596-D3E4-446B-8B7A-0E08CC7B9682}"/>
    <cellStyle name="CustomizationCells 2 2 4 2" xfId="754" xr:uid="{6A47B7D6-22DC-444C-A060-264DB10676E2}"/>
    <cellStyle name="CustomizationCells 2 2 4 2 2" xfId="57" xr:uid="{FB021C70-E9A5-41CD-8198-9D26D611AD55}"/>
    <cellStyle name="CustomizationCells 2 2 4 2 3" xfId="2085" xr:uid="{FB48521D-9C55-4FA2-B8F1-8B6019C9C565}"/>
    <cellStyle name="CustomizationCells 2 2 4 2 4" xfId="2508" xr:uid="{3265B269-6384-47C5-8746-A86123E73467}"/>
    <cellStyle name="CustomizationCells 2 2 4 2 5" xfId="1069" xr:uid="{00AAFCBB-098F-4FE3-BFCD-5CDE5E0CC164}"/>
    <cellStyle name="CustomizationCells 2 2 4 2 6" xfId="1728" xr:uid="{9A4266CF-1CFE-4E1B-9A4B-96D33DC141F9}"/>
    <cellStyle name="CustomizationCells 2 2 4 2 7" xfId="3718" xr:uid="{D56F7E7B-91D8-474B-A714-B5508E8681C5}"/>
    <cellStyle name="CustomizationCells 2 2 4 2 8" xfId="3220" xr:uid="{F642A546-C999-498B-AEB9-DAE7C4AE20D1}"/>
    <cellStyle name="CustomizationCells 2 2 4 3" xfId="1742" xr:uid="{5A48D318-BBA4-4AEF-AE3A-037C08CCC486}"/>
    <cellStyle name="CustomizationCells 2 2 4 4" xfId="1870" xr:uid="{79C7A050-42DC-4022-9A08-8F2AF275388F}"/>
    <cellStyle name="CustomizationCells 2 2 4 5" xfId="2294" xr:uid="{2F955842-9362-4834-B180-EA96C3B6CB0D}"/>
    <cellStyle name="CustomizationCells 2 2 4 6" xfId="2797" xr:uid="{E7EAE9C4-B661-4C4B-89CE-8A46E9913D5C}"/>
    <cellStyle name="CustomizationCells 2 2 4 7" xfId="3222" xr:uid="{CF16761F-E344-4746-953E-601B79E3D8E1}"/>
    <cellStyle name="CustomizationCells 2 2 4 8" xfId="3506" xr:uid="{C0FE66F8-15FB-4365-84C1-2A64BEE68830}"/>
    <cellStyle name="CustomizationCells 2 2 4 9" xfId="3029" xr:uid="{A04F8F25-5826-4703-847A-7D71338A9892}"/>
    <cellStyle name="CustomizationCells 2 2 5" xfId="695" xr:uid="{31B67FCD-DBF1-4B8F-987F-AE128E0FC586}"/>
    <cellStyle name="CustomizationCells 2 2 5 2" xfId="909" xr:uid="{517317AC-F12D-481E-826C-E83490510211}"/>
    <cellStyle name="CustomizationCells 2 2 5 2 2" xfId="2663" xr:uid="{B4BDAD2E-C4A4-4A00-B900-E0EDAE6C6CFA}"/>
    <cellStyle name="CustomizationCells 2 2 5 3" xfId="1196" xr:uid="{8D73B4C6-1868-45C3-9545-FBCA225DC1B4}"/>
    <cellStyle name="CustomizationCells 2 2 5 4" xfId="2026" xr:uid="{C8CDBB44-91A3-45D6-AD97-CCBA27027DE9}"/>
    <cellStyle name="CustomizationCells 2 2 5 5" xfId="2450" xr:uid="{2F0D8080-7A66-4C33-93FE-B995E35C5683}"/>
    <cellStyle name="CustomizationCells 2 2 5 6" xfId="3035" xr:uid="{82FF8F26-ACEC-4261-A0D2-5939D8CA7C7B}"/>
    <cellStyle name="CustomizationCells 2 2 5 7" xfId="3142" xr:uid="{1D5650F6-DDC3-4F05-ABB0-97E144F6C087}"/>
    <cellStyle name="CustomizationCells 2 2 5 8" xfId="3661" xr:uid="{7588612B-BF53-40ED-A626-DEAFDE52C6D7}"/>
    <cellStyle name="CustomizationCells 2 2 5 9" xfId="3916" xr:uid="{A3CB8A75-8F72-497F-8FC1-5F14F7A6415E}"/>
    <cellStyle name="CustomizationCells 2 2 6" xfId="1619" xr:uid="{A0FCA733-394B-4CBB-833C-708B1DE8683F}"/>
    <cellStyle name="CustomizationCells 2 2 7" xfId="1233" xr:uid="{1B0253B2-8908-40FE-BD5C-3D18E1E009E6}"/>
    <cellStyle name="CustomizationCells 2 2 8" xfId="1693" xr:uid="{0B569E6F-4377-41D4-A920-2533D262A1A0}"/>
    <cellStyle name="CustomizationCells 2 2 9" xfId="1762" xr:uid="{CAFD517E-D887-4EB4-BFA7-12326D17B534}"/>
    <cellStyle name="CustomizationCells 3" xfId="292" xr:uid="{60753045-3A60-45DC-83FE-A4D33A275C89}"/>
    <cellStyle name="CustomizationCells 3 10" xfId="3091" xr:uid="{29458519-62D9-45FE-B1DA-538A596C0EE2}"/>
    <cellStyle name="CustomizationCells 3 11" xfId="3256" xr:uid="{340A7C51-8217-4895-B13C-2B5B5F2D9B89}"/>
    <cellStyle name="CustomizationCells 3 12" xfId="3477" xr:uid="{D4EA151B-4C5F-4E1A-BAA0-AA93AC47A37D}"/>
    <cellStyle name="CustomizationCells 3 2" xfId="631" xr:uid="{27B4AF08-3281-439C-AF45-0A94AA4F8BB3}"/>
    <cellStyle name="CustomizationCells 3 2 2" xfId="846" xr:uid="{F1612E7C-ECCA-4614-8758-46B7CAE7530D}"/>
    <cellStyle name="CustomizationCells 3 2 2 2" xfId="1180" xr:uid="{CBEB8C6B-2B41-4669-AFB0-A80BCB926DCD}"/>
    <cellStyle name="CustomizationCells 3 2 2 3" xfId="2177" xr:uid="{0EE7C609-064D-49C9-938F-50064DC0F0CB}"/>
    <cellStyle name="CustomizationCells 3 2 2 4" xfId="2600" xr:uid="{65FC468B-D158-4060-8B1C-9A9156ADBEB9}"/>
    <cellStyle name="CustomizationCells 3 2 2 5" xfId="928" xr:uid="{70B7054B-A665-4D71-A345-D02D3F0B0024}"/>
    <cellStyle name="CustomizationCells 3 2 2 6" xfId="1362" xr:uid="{3D79D50D-19DA-4C09-812D-7C420DF85FE5}"/>
    <cellStyle name="CustomizationCells 3 2 2 7" xfId="3810" xr:uid="{EB8AEEA0-D1B8-4E36-9B4E-8A6EE2573EE2}"/>
    <cellStyle name="CustomizationCells 3 2 2 8" xfId="4087" xr:uid="{08DF742C-AFE3-4028-85E1-9564A2986BA7}"/>
    <cellStyle name="CustomizationCells 3 2 3" xfId="1597" xr:uid="{87DEDB67-AA26-4066-BB3F-CBA340331409}"/>
    <cellStyle name="CustomizationCells 3 2 4" xfId="1962" xr:uid="{B56CF6E6-E79A-43D5-ADF7-5A4F8C3DBBA8}"/>
    <cellStyle name="CustomizationCells 3 2 5" xfId="2386" xr:uid="{4E5B9FAA-5A9B-4B37-AAE4-A095C862462D}"/>
    <cellStyle name="CustomizationCells 3 2 6" xfId="1240" xr:uid="{89BB208C-5988-4566-998F-E02AB7A33CD9}"/>
    <cellStyle name="CustomizationCells 3 2 7" xfId="3357" xr:uid="{CC3A6DF0-4EE9-4AAC-BCBA-052014C1FE42}"/>
    <cellStyle name="CustomizationCells 3 2 8" xfId="3598" xr:uid="{D939F5DF-3581-40EE-A6A5-57145FEB3341}"/>
    <cellStyle name="CustomizationCells 3 2 9" xfId="3399" xr:uid="{614F195E-3A97-42FB-B647-F10E98EC4D9D}"/>
    <cellStyle name="CustomizationCells 3 3" xfId="658" xr:uid="{D07208B6-4273-4FDC-8428-FDD05142EF60}"/>
    <cellStyle name="CustomizationCells 3 3 2" xfId="873" xr:uid="{D13913D2-8CAD-413C-A207-E45F7C0E6B6A}"/>
    <cellStyle name="CustomizationCells 3 3 2 2" xfId="1133" xr:uid="{307FFE1B-0A0B-475B-8F20-FDBDEEC89536}"/>
    <cellStyle name="CustomizationCells 3 3 2 3" xfId="2204" xr:uid="{BE54B411-6792-416B-9FE1-D164093508F2}"/>
    <cellStyle name="CustomizationCells 3 3 2 4" xfId="2627" xr:uid="{50A74CFF-390C-4506-BB8E-8B641A101512}"/>
    <cellStyle name="CustomizationCells 3 3 2 5" xfId="2813" xr:uid="{F88FD2AC-4F06-4536-B85D-B071AB995E20}"/>
    <cellStyle name="CustomizationCells 3 3 2 6" xfId="3006" xr:uid="{7DB6ACBD-0BF0-410C-9436-E242FF2A7B07}"/>
    <cellStyle name="CustomizationCells 3 3 2 7" xfId="3837" xr:uid="{BD739731-53A3-482A-896C-D28438971695}"/>
    <cellStyle name="CustomizationCells 3 3 2 8" xfId="2946" xr:uid="{F63491C8-F986-46E1-A905-E9815C445277}"/>
    <cellStyle name="CustomizationCells 3 3 3" xfId="1557" xr:uid="{78BA634A-464E-4F5C-B306-C96C54C8315C}"/>
    <cellStyle name="CustomizationCells 3 3 4" xfId="1989" xr:uid="{81264C7E-F8E9-44A1-934D-83515753B9D1}"/>
    <cellStyle name="CustomizationCells 3 3 5" xfId="2413" xr:uid="{53B6C6A0-25ED-48B6-8725-94C4FA8D76F7}"/>
    <cellStyle name="CustomizationCells 3 3 6" xfId="1111" xr:uid="{49F63EF4-B1E3-47EF-93BD-03EED1E523AA}"/>
    <cellStyle name="CustomizationCells 3 3 7" xfId="3386" xr:uid="{488054E6-8C6C-4CCB-ADCE-4FE6D73B8CA2}"/>
    <cellStyle name="CustomizationCells 3 3 8" xfId="3625" xr:uid="{2D9FD634-8FC3-48FD-A292-1089BB64A13D}"/>
    <cellStyle name="CustomizationCells 3 3 9" xfId="3107" xr:uid="{71C3C7A9-5195-48B7-8DF4-C641F7FB8772}"/>
    <cellStyle name="CustomizationCells 3 4" xfId="578" xr:uid="{63CEB3DF-E20B-4F65-91C7-975D47670955}"/>
    <cellStyle name="CustomizationCells 3 4 2" xfId="793" xr:uid="{C5D19231-D42D-4BF2-8474-B9E31A78D680}"/>
    <cellStyle name="CustomizationCells 3 4 2 2" xfId="1039" xr:uid="{54C55336-DE8B-48B0-A780-A4E7FAE7CD47}"/>
    <cellStyle name="CustomizationCells 3 4 2 3" xfId="2124" xr:uid="{1E500920-ED0B-43A9-84BA-61077383B82D}"/>
    <cellStyle name="CustomizationCells 3 4 2 4" xfId="2547" xr:uid="{55FB7217-1649-411B-8407-458C9A097FCD}"/>
    <cellStyle name="CustomizationCells 3 4 2 5" xfId="1079" xr:uid="{7B003779-DA4D-4556-BEDB-100248514326}"/>
    <cellStyle name="CustomizationCells 3 4 2 6" xfId="2847" xr:uid="{C5F0CED9-CB2B-4CDE-900E-2405B027817C}"/>
    <cellStyle name="CustomizationCells 3 4 2 7" xfId="3757" xr:uid="{5FDBB1F2-C292-4FAC-92F5-60F5F20E7ACE}"/>
    <cellStyle name="CustomizationCells 3 4 2 8" xfId="4032" xr:uid="{124B5E10-3AE0-4753-9729-867D9BBF7AE5}"/>
    <cellStyle name="CustomizationCells 3 4 3" xfId="1451" xr:uid="{C7065C3C-4AFC-4D71-B0B9-DA0E73BDDC0A}"/>
    <cellStyle name="CustomizationCells 3 4 4" xfId="1909" xr:uid="{A7193E3D-5426-4C3F-989E-B8B553E48A1D}"/>
    <cellStyle name="CustomizationCells 3 4 5" xfId="2333" xr:uid="{47578CD4-F964-493D-8C5F-89F9042224FD}"/>
    <cellStyle name="CustomizationCells 3 4 6" xfId="2823" xr:uid="{60617EE1-B1AE-4D9D-B07F-C61D126F1B2D}"/>
    <cellStyle name="CustomizationCells 3 4 7" xfId="3397" xr:uid="{7725F3C3-6545-464A-B472-9CFDF244D28F}"/>
    <cellStyle name="CustomizationCells 3 4 8" xfId="3545" xr:uid="{56800424-D9D3-4581-A777-9432494F02B4}"/>
    <cellStyle name="CustomizationCells 3 4 9" xfId="3425" xr:uid="{40282B6F-CF35-4A1A-871F-DA92FFB65044}"/>
    <cellStyle name="CustomizationCells 3 5" xfId="717" xr:uid="{F564EA3A-715F-4AF7-A1D1-4501808A2484}"/>
    <cellStyle name="CustomizationCells 3 6" xfId="1370" xr:uid="{548A0EA3-80D0-431E-BA30-D9CF2337ED36}"/>
    <cellStyle name="CustomizationCells 3 7" xfId="1782" xr:uid="{EA0B4683-2F23-4328-8636-988186AFFC3F}"/>
    <cellStyle name="CustomizationCells 3 8" xfId="2047" xr:uid="{F2AE40A8-4B71-4269-9F2F-5B06A9036296}"/>
    <cellStyle name="CustomizationCells 3 9" xfId="2724" xr:uid="{15ACDD5F-7CBD-473E-8AA0-71D931FC5D12}"/>
    <cellStyle name="CustomizationCells 4" xfId="89" xr:uid="{50B6BE2C-28BC-4583-A3CF-6946C133D14D}"/>
    <cellStyle name="CustomizationGreenCells" xfId="152" xr:uid="{FAACF080-B5C5-48BF-A97A-8EE20AC0AA1B}"/>
    <cellStyle name="CustomizationGreenCells 2" xfId="435" xr:uid="{BFF46E33-45CB-4C7C-AF29-27D49EDA7AD2}"/>
    <cellStyle name="CustomizationGreenCells 3" xfId="293" xr:uid="{2B7C4D35-A552-43BC-AA5B-FEA11E61F010}"/>
    <cellStyle name="CustomizationGreenCells 3 10" xfId="3008" xr:uid="{6C660CFD-8E7E-49B0-9AFC-63BED647E52C}"/>
    <cellStyle name="CustomizationGreenCells 3 11" xfId="3104" xr:uid="{4EF708C8-3A4F-4CA1-BA01-F2DB5479D6E7}"/>
    <cellStyle name="CustomizationGreenCells 3 12" xfId="4022" xr:uid="{17F70A62-F715-433C-AEF7-E2DBAE0666F6}"/>
    <cellStyle name="CustomizationGreenCells 3 2" xfId="632" xr:uid="{23842668-FCFC-4EB3-8404-BF459C904FE8}"/>
    <cellStyle name="CustomizationGreenCells 3 2 2" xfId="847" xr:uid="{E684B0FD-694B-4B57-BF91-C875D1AADB58}"/>
    <cellStyle name="CustomizationGreenCells 3 2 2 2" xfId="1302" xr:uid="{F31167B9-086F-4E0F-BB78-E9C6B7DA5FD6}"/>
    <cellStyle name="CustomizationGreenCells 3 2 2 3" xfId="2178" xr:uid="{D2CC7A33-2119-43A6-96A5-618DC2B857AA}"/>
    <cellStyle name="CustomizationGreenCells 3 2 2 4" xfId="2601" xr:uid="{DC9693E0-4A9D-4A9C-BA3C-949632FBCE1B}"/>
    <cellStyle name="CustomizationGreenCells 3 2 2 5" xfId="2252" xr:uid="{FCF52EA4-95EE-4A68-9827-75A85EE72F30}"/>
    <cellStyle name="CustomizationGreenCells 3 2 2 6" xfId="3319" xr:uid="{FDC0C8C3-C5F4-469F-9CD7-FA5E7C6FD5E6}"/>
    <cellStyle name="CustomizationGreenCells 3 2 2 7" xfId="3811" xr:uid="{738ADD16-9CB4-457B-B0E2-8A63A3B2C53B}"/>
    <cellStyle name="CustomizationGreenCells 3 2 2 8" xfId="3990" xr:uid="{ABEDE436-1F10-4D91-A7D0-C4BD4CB59912}"/>
    <cellStyle name="CustomizationGreenCells 3 2 3" xfId="1689" xr:uid="{0765183F-B8A5-4AAA-AADA-78937CB2AB45}"/>
    <cellStyle name="CustomizationGreenCells 3 2 4" xfId="1963" xr:uid="{922E7CD8-BFF7-4AFB-85E8-91FB9EABDEE0}"/>
    <cellStyle name="CustomizationGreenCells 3 2 5" xfId="2387" xr:uid="{9D57FA4F-D2E1-4F0B-B001-E3D7B24B3AC3}"/>
    <cellStyle name="CustomizationGreenCells 3 2 6" xfId="1318" xr:uid="{6E80E16E-11CB-4B98-B2A9-49D8DAD4AC71}"/>
    <cellStyle name="CustomizationGreenCells 3 2 7" xfId="3176" xr:uid="{AD6EA74D-693C-472B-B5AF-E2A7ABEE095B}"/>
    <cellStyle name="CustomizationGreenCells 3 2 8" xfId="3599" xr:uid="{5EE2524A-2B54-4EA6-A404-D84D54230671}"/>
    <cellStyle name="CustomizationGreenCells 3 2 9" xfId="3003" xr:uid="{182C4143-1396-438C-AD9B-2C2A7B4E4924}"/>
    <cellStyle name="CustomizationGreenCells 3 3" xfId="602" xr:uid="{573E0471-EB49-48FB-89C0-D22A4B33FE21}"/>
    <cellStyle name="CustomizationGreenCells 3 3 2" xfId="817" xr:uid="{19034E10-0FCF-4528-AADD-59927CFFB188}"/>
    <cellStyle name="CustomizationGreenCells 3 3 2 2" xfId="1494" xr:uid="{F3A4EF02-5F1C-40D0-A4AA-7A44DAF63FCD}"/>
    <cellStyle name="CustomizationGreenCells 3 3 2 3" xfId="2148" xr:uid="{226D8C7C-2553-41FF-BB2D-911D0340C31A}"/>
    <cellStyle name="CustomizationGreenCells 3 3 2 4" xfId="2571" xr:uid="{9BCFBFEF-2117-4FAC-BCE7-1971A741D19E}"/>
    <cellStyle name="CustomizationGreenCells 3 3 2 5" xfId="2789" xr:uid="{BF67FF68-7DCD-4F22-BA4D-CA7E3A710DA7}"/>
    <cellStyle name="CustomizationGreenCells 3 3 2 6" xfId="2966" xr:uid="{DEA25144-7BA7-4B9C-9E7C-E52EDB6891CB}"/>
    <cellStyle name="CustomizationGreenCells 3 3 2 7" xfId="3781" xr:uid="{5D2E63E6-A591-4A29-ABCA-90EAB78D49EB}"/>
    <cellStyle name="CustomizationGreenCells 3 3 2 8" xfId="4094" xr:uid="{85B97144-DE1E-4876-B135-55626628D82D}"/>
    <cellStyle name="CustomizationGreenCells 3 3 3" xfId="1519" xr:uid="{B70AD042-AC2D-48A0-81A4-90008CF4B5C1}"/>
    <cellStyle name="CustomizationGreenCells 3 3 4" xfId="1933" xr:uid="{F1D51006-CA54-4AE5-AA3E-441F14CEE4B3}"/>
    <cellStyle name="CustomizationGreenCells 3 3 5" xfId="2357" xr:uid="{5ADE4EF8-13C8-4FCF-86DA-8E8F0E4F3118}"/>
    <cellStyle name="CustomizationGreenCells 3 3 6" xfId="1536" xr:uid="{7D8B0D52-78FC-44F8-812A-3DE023AB3767}"/>
    <cellStyle name="CustomizationGreenCells 3 3 7" xfId="2751" xr:uid="{E49155B0-9AB2-445D-89C4-9F0F4BF4950B}"/>
    <cellStyle name="CustomizationGreenCells 3 3 8" xfId="3569" xr:uid="{C2BC702A-37EE-4F65-AD09-965DC68E09B6}"/>
    <cellStyle name="CustomizationGreenCells 3 3 9" xfId="3017" xr:uid="{10032040-127C-41B2-9E49-09C991111ED1}"/>
    <cellStyle name="CustomizationGreenCells 3 4" xfId="535" xr:uid="{7D63CF73-2DA0-4C68-96EF-DBDE5F0C4CAD}"/>
    <cellStyle name="CustomizationGreenCells 3 4 2" xfId="750" xr:uid="{D4E7510E-DCF8-45BD-8283-9F1A6D79ED58}"/>
    <cellStyle name="CustomizationGreenCells 3 4 2 2" xfId="1492" xr:uid="{8550A953-9683-45F8-96DD-9307F5E0B5FC}"/>
    <cellStyle name="CustomizationGreenCells 3 4 2 3" xfId="2081" xr:uid="{57B5BB17-742B-4715-8E2D-47FCB706243B}"/>
    <cellStyle name="CustomizationGreenCells 3 4 2 4" xfId="2504" xr:uid="{C5318DDE-766B-4303-827E-31D6A9943FC5}"/>
    <cellStyle name="CustomizationGreenCells 3 4 2 5" xfId="969" xr:uid="{C09DB12B-13D2-4A0A-8876-E295AA9EBDB5}"/>
    <cellStyle name="CustomizationGreenCells 3 4 2 6" xfId="2679" xr:uid="{61C4F884-D911-4BB0-AB79-0F1E6400B9B7}"/>
    <cellStyle name="CustomizationGreenCells 3 4 2 7" xfId="3714" xr:uid="{47DDB768-103E-4DC3-959D-96DAE356948C}"/>
    <cellStyle name="CustomizationGreenCells 3 4 2 8" xfId="3896" xr:uid="{59AF4475-2787-42F5-9FF7-423492B1F807}"/>
    <cellStyle name="CustomizationGreenCells 3 4 3" xfId="1157" xr:uid="{45536A5D-07D8-4D14-81FF-6AB4EE70EF3F}"/>
    <cellStyle name="CustomizationGreenCells 3 4 4" xfId="1866" xr:uid="{B2BF3DA8-6087-4601-90E2-0995CB5AB5E2}"/>
    <cellStyle name="CustomizationGreenCells 3 4 5" xfId="2290" xr:uid="{31F3A129-9CBE-4B13-ABBD-C93BD63F2BF8}"/>
    <cellStyle name="CustomizationGreenCells 3 4 6" xfId="1212" xr:uid="{7276DB7C-CE25-4357-B3F8-F6A7C4A7448C}"/>
    <cellStyle name="CustomizationGreenCells 3 4 7" xfId="3263" xr:uid="{709A5C38-EC5C-4AC8-B5AE-B011E636EDF9}"/>
    <cellStyle name="CustomizationGreenCells 3 4 8" xfId="3502" xr:uid="{28B63CB8-5DEC-46FA-A1AD-B0121AD457DB}"/>
    <cellStyle name="CustomizationGreenCells 3 4 9" xfId="4072" xr:uid="{C0DD7CE2-EC91-4DB2-BAB1-1C2DEC0ECEE3}"/>
    <cellStyle name="CustomizationGreenCells 3 5" xfId="718" xr:uid="{CCFAA6F7-E95A-4032-84A0-D91A73EE4FDB}"/>
    <cellStyle name="CustomizationGreenCells 3 6" xfId="1242" xr:uid="{B5D36E39-CC8D-4B3D-BBD7-6CBCDBC890D3}"/>
    <cellStyle name="CustomizationGreenCells 3 7" xfId="1255" xr:uid="{D0D04BBB-DAFA-47AE-8108-8BD742B730ED}"/>
    <cellStyle name="CustomizationGreenCells 3 8" xfId="1857" xr:uid="{D24A3C01-09EA-4024-B65C-74E05948AA65}"/>
    <cellStyle name="CustomizationGreenCells 3 9" xfId="3034" xr:uid="{0B823BE0-CB0A-4329-9DD9-DC10DA26FEF1}"/>
    <cellStyle name="DocBox_EmptyRow" xfId="16" xr:uid="{397E005D-9EDC-42BA-B44D-05D0649D47BA}"/>
    <cellStyle name="Eingabe" xfId="3" xr:uid="{C4AD0D2F-3100-4760-A942-B76A00ED3CA0}"/>
    <cellStyle name="Eingabe 2" xfId="390" xr:uid="{15FD7A56-5D1F-44BD-9146-E000C49A0807}"/>
    <cellStyle name="Eingabe 3" xfId="436" xr:uid="{B78BB8D3-76A6-4057-82C0-01A2E5B16AF2}"/>
    <cellStyle name="Eingabe 3 10" xfId="3239" xr:uid="{79440196-A5DA-4684-BB40-9690CDAE698F}"/>
    <cellStyle name="Eingabe 3 11" xfId="2472" xr:uid="{D14CADA9-443C-49A1-8E07-344AF0F7867A}"/>
    <cellStyle name="Eingabe 3 2" xfId="672" xr:uid="{424AB8E8-CA37-469A-B382-A2C7D26B7DCF}"/>
    <cellStyle name="Eingabe 3 2 2" xfId="887" xr:uid="{BA694186-F2B9-4367-B2F1-830E634C15CE}"/>
    <cellStyle name="Eingabe 3 2 2 2" xfId="1173" xr:uid="{E2547AA2-A709-4B89-802A-E34A85850191}"/>
    <cellStyle name="Eingabe 3 2 2 3" xfId="2218" xr:uid="{2AB3AC7A-20DC-4891-902D-75CD06F61EC5}"/>
    <cellStyle name="Eingabe 3 2 2 4" xfId="2641" xr:uid="{AB296A4A-0EEF-4C29-B2D2-F84AD4704215}"/>
    <cellStyle name="Eingabe 3 2 2 5" xfId="3057" xr:uid="{79BF92C2-95B3-4179-BE80-E8048CF3FB15}"/>
    <cellStyle name="Eingabe 3 2 2 6" xfId="3439" xr:uid="{4FB4E450-44AF-459D-8AE1-81A78B45B09C}"/>
    <cellStyle name="Eingabe 3 2 2 7" xfId="3851" xr:uid="{CE9067A4-9AD7-45D3-9BF1-AD9DC1AAF3F9}"/>
    <cellStyle name="Eingabe 3 2 2 8" xfId="4115" xr:uid="{CA432C74-E14D-4259-842C-9AB1A6FD729C}"/>
    <cellStyle name="Eingabe 3 2 3" xfId="936" xr:uid="{BDF697C8-BFD6-47E0-851F-9B8373C2EE17}"/>
    <cellStyle name="Eingabe 3 2 4" xfId="2003" xr:uid="{FAB2C24E-D568-4607-ABCA-FE3DA7A49135}"/>
    <cellStyle name="Eingabe 3 2 5" xfId="2427" xr:uid="{8AB76062-1C07-4C5F-A0E9-092C983C6EC4}"/>
    <cellStyle name="Eingabe 3 2 6" xfId="1205" xr:uid="{B7AFD25B-465A-47CA-8E8B-A777376F0736}"/>
    <cellStyle name="Eingabe 3 2 7" xfId="2854" xr:uid="{045CFC6D-6CA7-47E6-A18B-72ADD16DD9EE}"/>
    <cellStyle name="Eingabe 3 2 8" xfId="3639" xr:uid="{4584DF34-D506-44B4-81EC-99D60D597E8E}"/>
    <cellStyle name="Eingabe 3 2 9" xfId="3892" xr:uid="{DDC038D3-BB9B-403F-BBC7-E49F062552C6}"/>
    <cellStyle name="Eingabe 3 3" xfId="661" xr:uid="{8356C7E0-F324-4679-B345-71132003BBC4}"/>
    <cellStyle name="Eingabe 3 3 2" xfId="876" xr:uid="{C92496EC-6F6B-4402-A216-9D4C70B765CF}"/>
    <cellStyle name="Eingabe 3 3 2 2" xfId="1018" xr:uid="{394062BE-601A-4FED-BEFA-C4F4CCE8DE9A}"/>
    <cellStyle name="Eingabe 3 3 2 3" xfId="2207" xr:uid="{610CCAD9-ED2B-4F5F-8233-64EC8FB7570C}"/>
    <cellStyle name="Eingabe 3 3 2 4" xfId="2630" xr:uid="{47019114-AA9E-4DF1-B49D-8594ECE9DEB9}"/>
    <cellStyle name="Eingabe 3 3 2 5" xfId="2676" xr:uid="{F1EDD2B2-AEA3-44C1-8235-87D7F7711F62}"/>
    <cellStyle name="Eingabe 3 3 2 6" xfId="1159" xr:uid="{CBE2C5F7-8D28-4640-AF95-16EF26BA5FF0}"/>
    <cellStyle name="Eingabe 3 3 2 7" xfId="3840" xr:uid="{DFAAC4F1-B12C-4220-9627-FD1524F48BAD}"/>
    <cellStyle name="Eingabe 3 3 2 8" xfId="4097" xr:uid="{43103570-B162-487E-89F6-B80C2A54D572}"/>
    <cellStyle name="Eingabe 3 3 3" xfId="1198" xr:uid="{3296C8A7-7288-4900-B432-C3E88AAD2E98}"/>
    <cellStyle name="Eingabe 3 3 4" xfId="1992" xr:uid="{4A13015A-2692-4C12-A026-905FBA20BFCC}"/>
    <cellStyle name="Eingabe 3 3 5" xfId="2416" xr:uid="{0A23DD05-FA02-4009-8CB1-4D19DC876F5B}"/>
    <cellStyle name="Eingabe 3 3 6" xfId="2883" xr:uid="{31BB8E51-5BD6-4525-8CFE-BC2A9B0B1DD6}"/>
    <cellStyle name="Eingabe 3 3 7" xfId="3292" xr:uid="{98A666A5-6823-4A97-B892-06FA92B90189}"/>
    <cellStyle name="Eingabe 3 3 8" xfId="3628" xr:uid="{04889A6F-D2E1-421B-8AE0-C9A3E60E7F31}"/>
    <cellStyle name="Eingabe 3 3 9" xfId="3472" xr:uid="{3929E85A-16FA-482A-A21D-1BF3C8B2950D}"/>
    <cellStyle name="Eingabe 3 4" xfId="552" xr:uid="{49FD9D52-B2E7-4978-841A-857EE82F0809}"/>
    <cellStyle name="Eingabe 3 4 2" xfId="767" xr:uid="{FCEB9CE7-C766-43BB-B016-2C613510CE5F}"/>
    <cellStyle name="Eingabe 3 4 2 2" xfId="947" xr:uid="{B213425E-82C5-43A1-A2FA-A898B9245B35}"/>
    <cellStyle name="Eingabe 3 4 2 3" xfId="2098" xr:uid="{7AF2F45F-15D5-4881-AA15-D9DF58617007}"/>
    <cellStyle name="Eingabe 3 4 2 4" xfId="2521" xr:uid="{1E7B2072-FDC2-4752-BAEE-D7AFACF2394A}"/>
    <cellStyle name="Eingabe 3 4 2 5" xfId="1092" xr:uid="{B27FE5CE-E958-403D-9305-069FEA92B7E9}"/>
    <cellStyle name="Eingabe 3 4 2 6" xfId="982" xr:uid="{7D05E220-5C50-4368-89F1-2E273AF78E29}"/>
    <cellStyle name="Eingabe 3 4 2 7" xfId="3731" xr:uid="{5DC3DAF7-591F-4AF1-B9EA-7F466537DCB1}"/>
    <cellStyle name="Eingabe 3 4 2 8" xfId="4078" xr:uid="{02D22A22-CEAC-4799-88F3-61E1CFD5CC9F}"/>
    <cellStyle name="Eingabe 3 4 3" xfId="1600" xr:uid="{283EBB4E-D04A-4E7B-A123-E7A35D9DEED1}"/>
    <cellStyle name="Eingabe 3 4 4" xfId="1883" xr:uid="{13FAFCAC-108A-4956-835A-198A16D21968}"/>
    <cellStyle name="Eingabe 3 4 5" xfId="2307" xr:uid="{3CD133F9-B475-4B2A-AA1D-8261195342E4}"/>
    <cellStyle name="Eingabe 3 4 6" xfId="2256" xr:uid="{739E7AA9-91C8-4C99-9902-433DD9AAB383}"/>
    <cellStyle name="Eingabe 3 4 7" xfId="3344" xr:uid="{3213B928-9120-4023-8818-BC8D7A439709}"/>
    <cellStyle name="Eingabe 3 4 8" xfId="3519" xr:uid="{5DD15398-7E78-4BC6-AFA8-49E7AA27848B}"/>
    <cellStyle name="Eingabe 3 4 9" xfId="2802" xr:uid="{A4EC8DB1-09BA-41B4-8F09-40D260CDEF3C}"/>
    <cellStyle name="Eingabe 3 5" xfId="735" xr:uid="{A49632CA-0E25-498C-B107-C08340633696}"/>
    <cellStyle name="Eingabe 3 5 2" xfId="1509" xr:uid="{0490EC2F-4C88-47FD-A5C4-5910FEAEF4CA}"/>
    <cellStyle name="Eingabe 3 5 3" xfId="2066" xr:uid="{F9F8A7C7-8A96-40CD-B3DC-E0DF459944BD}"/>
    <cellStyle name="Eingabe 3 5 4" xfId="2489" xr:uid="{BD81847C-6D30-41ED-B25C-BA692EAC2FBC}"/>
    <cellStyle name="Eingabe 3 5 5" xfId="1400" xr:uid="{6C4E3644-5709-44C9-931A-8308D4949030}"/>
    <cellStyle name="Eingabe 3 5 6" xfId="3315" xr:uid="{736408AF-E792-45D6-9397-D3463992F013}"/>
    <cellStyle name="Eingabe 3 5 7" xfId="3699" xr:uid="{2D6E92FF-9B8F-4EE7-A2BD-B3C830204F72}"/>
    <cellStyle name="Eingabe 3 5 8" xfId="3486" xr:uid="{736A0BAA-2551-4240-8C46-14A231CBC063}"/>
    <cellStyle name="Eingabe 3 6" xfId="1761" xr:uid="{1F9A98F6-F1EE-49CD-B4AA-8223E1E8526B}"/>
    <cellStyle name="Eingabe 3 7" xfId="1218" xr:uid="{F831A66A-A047-4091-A076-88FD6246F7B2}"/>
    <cellStyle name="Eingabe 3 8" xfId="1622" xr:uid="{F3F14196-AC56-483E-9B47-62CE89C05C85}"/>
    <cellStyle name="Eingabe 3 9" xfId="1522" xr:uid="{32E3E2FE-97FA-4F59-B6D4-9686F66ED4E3}"/>
    <cellStyle name="Eingabe 4" xfId="295" xr:uid="{EB575864-6DBB-4455-B566-B70F88CCE738}"/>
    <cellStyle name="Eingabe 4 10" xfId="2703" xr:uid="{11611159-3A0A-43E0-8827-A613963FA180}"/>
    <cellStyle name="Eingabe 4 11" xfId="3036" xr:uid="{65D0F803-9D26-4361-8672-9F8B52B96248}"/>
    <cellStyle name="Eingabe 4 2" xfId="633" xr:uid="{27C0855D-FEF6-4A5B-BEA3-7FF2291DA0FA}"/>
    <cellStyle name="Eingabe 4 2 2" xfId="848" xr:uid="{4EEB5CC0-C5EA-48EA-9BC8-23F569A0D0B1}"/>
    <cellStyle name="Eingabe 4 2 2 2" xfId="1179" xr:uid="{269E3285-3F7D-4BEA-A271-D6083FB828DF}"/>
    <cellStyle name="Eingabe 4 2 2 3" xfId="2179" xr:uid="{287BC97A-13EE-4AAE-8139-E2DFD8E72A08}"/>
    <cellStyle name="Eingabe 4 2 2 4" xfId="2602" xr:uid="{249086F5-3A62-463C-BBCE-5618E15D768B}"/>
    <cellStyle name="Eingabe 4 2 2 5" xfId="2873" xr:uid="{D8A614EC-8A49-43A2-98D6-D630DDFAD037}"/>
    <cellStyle name="Eingabe 4 2 2 6" xfId="3148" xr:uid="{51BA8D86-BE14-44C4-BF5B-836D8FD4A752}"/>
    <cellStyle name="Eingabe 4 2 2 7" xfId="3812" xr:uid="{9E83AFE6-B94E-488D-9ECB-228B7F8D4F08}"/>
    <cellStyle name="Eingabe 4 2 2 8" xfId="3267" xr:uid="{3FC7B50B-B8C8-4474-9035-CD3CF7BD0188}"/>
    <cellStyle name="Eingabe 4 2 3" xfId="1487" xr:uid="{8A456533-3A94-4543-A507-0954347E2B2A}"/>
    <cellStyle name="Eingabe 4 2 4" xfId="1964" xr:uid="{61809652-B40F-4E36-BD0E-EB8445ABB14E}"/>
    <cellStyle name="Eingabe 4 2 5" xfId="2388" xr:uid="{547E8AC4-4FF6-40FB-9A78-89B0B4C7ACEA}"/>
    <cellStyle name="Eingabe 4 2 6" xfId="2042" xr:uid="{B2323D7E-A975-4BBB-A2E3-DABFD85118C1}"/>
    <cellStyle name="Eingabe 4 2 7" xfId="3333" xr:uid="{44CA1424-2D30-458E-91F9-026A3123F485}"/>
    <cellStyle name="Eingabe 4 2 8" xfId="3600" xr:uid="{45D29666-89A9-4170-8E6A-07B0451CB7C3}"/>
    <cellStyle name="Eingabe 4 2 9" xfId="3394" xr:uid="{8F6C3756-0F97-457D-A336-7BF39E887F67}"/>
    <cellStyle name="Eingabe 4 3" xfId="560" xr:uid="{688800D0-9A6C-4A40-983E-3292C86C7888}"/>
    <cellStyle name="Eingabe 4 3 2" xfId="775" xr:uid="{7C595142-627F-4DA2-9087-87C69F8E78BB}"/>
    <cellStyle name="Eingabe 4 3 2 2" xfId="1046" xr:uid="{7BB1F5C2-3BC0-4230-9CA0-2299AA1CB177}"/>
    <cellStyle name="Eingabe 4 3 2 3" xfId="2106" xr:uid="{FE534E30-C496-4024-9CE4-8BBD7437078F}"/>
    <cellStyle name="Eingabe 4 3 2 4" xfId="2529" xr:uid="{D83015E5-B17B-48DF-93D9-0B936E381EC4}"/>
    <cellStyle name="Eingabe 4 3 2 5" xfId="962" xr:uid="{4196AB9B-C59E-4BEF-8960-DE5E3FB2BD50}"/>
    <cellStyle name="Eingabe 4 3 2 6" xfId="2733" xr:uid="{C998174A-7828-44E1-A519-A823E46BE945}"/>
    <cellStyle name="Eingabe 4 3 2 7" xfId="3739" xr:uid="{1C83CB22-F16A-42BD-92F0-1B91A08180C4}"/>
    <cellStyle name="Eingabe 4 3 2 8" xfId="2840" xr:uid="{B99AA3B4-1047-4FB2-A716-21B7D1C42F86}"/>
    <cellStyle name="Eingabe 4 3 3" xfId="1608" xr:uid="{F2B20420-1AC1-4552-A4F2-7E41D9FAB791}"/>
    <cellStyle name="Eingabe 4 3 4" xfId="1891" xr:uid="{F29C250F-126A-4989-BEB5-629EA32415B1}"/>
    <cellStyle name="Eingabe 4 3 5" xfId="2315" xr:uid="{6E0A0070-AEA6-42EB-83AE-CE0D6180B96A}"/>
    <cellStyle name="Eingabe 4 3 6" xfId="66" xr:uid="{48E64BD2-121A-4177-B94E-1754E09F92D2}"/>
    <cellStyle name="Eingabe 4 3 7" xfId="3353" xr:uid="{8B160711-1161-484C-89D9-9BE7FEFF5622}"/>
    <cellStyle name="Eingabe 4 3 8" xfId="3527" xr:uid="{FE4CE3A9-3557-4DB3-8325-5474D68373C3}"/>
    <cellStyle name="Eingabe 4 3 9" xfId="3427" xr:uid="{313519F6-AD82-4A07-A311-C5FA2F0B386F}"/>
    <cellStyle name="Eingabe 4 4" xfId="536" xr:uid="{3C2A90B4-08B7-43AE-B13B-9161533666B1}"/>
    <cellStyle name="Eingabe 4 4 2" xfId="751" xr:uid="{C6CAEB93-30ED-465D-9813-3EFF2AA88C6F}"/>
    <cellStyle name="Eingabe 4 4 2 2" xfId="1325" xr:uid="{63280E80-2E25-4E73-8534-FD1BFEE20817}"/>
    <cellStyle name="Eingabe 4 4 2 3" xfId="2082" xr:uid="{CC083B6E-164E-4D57-A353-B445F3C01544}"/>
    <cellStyle name="Eingabe 4 4 2 4" xfId="2505" xr:uid="{DCDFD67A-3E2E-4ECD-AE71-7BF18FB330B8}"/>
    <cellStyle name="Eingabe 4 4 2 5" xfId="1593" xr:uid="{0E5F6533-8107-4B57-A55E-C17D24CBA4AB}"/>
    <cellStyle name="Eingabe 4 4 2 6" xfId="2892" xr:uid="{EE2FEAD1-56C2-4C58-9172-59B07A212E09}"/>
    <cellStyle name="Eingabe 4 4 2 7" xfId="3715" xr:uid="{607C38F5-DA0F-4305-A190-7F6A2AFAB42E}"/>
    <cellStyle name="Eingabe 4 4 2 8" xfId="3957" xr:uid="{4EAFF437-07D5-459D-91DA-2B5454BA5FFB}"/>
    <cellStyle name="Eingabe 4 4 3" xfId="1584" xr:uid="{BB9D3F14-55E0-4669-B755-DA499402AADA}"/>
    <cellStyle name="Eingabe 4 4 4" xfId="1867" xr:uid="{3EBB1759-ED90-4333-BB5F-284AB7DF20C2}"/>
    <cellStyle name="Eingabe 4 4 5" xfId="2291" xr:uid="{F35EE0C4-1113-41FE-9F0E-FECBF612290A}"/>
    <cellStyle name="Eingabe 4 4 6" xfId="1291" xr:uid="{6B746DB8-9B4F-4D1B-B274-C105FABCE99D}"/>
    <cellStyle name="Eingabe 4 4 7" xfId="3321" xr:uid="{36A2A387-AE0B-4D84-9B9D-C08ADDBD41CA}"/>
    <cellStyle name="Eingabe 4 4 8" xfId="3503" xr:uid="{706F2FD6-2005-4E68-9C58-8009E773E0E0}"/>
    <cellStyle name="Eingabe 4 4 9" xfId="3153" xr:uid="{73C61591-99B4-496C-890F-D224E46EB794}"/>
    <cellStyle name="Eingabe 4 5" xfId="719" xr:uid="{710D6E76-6F71-49FE-B993-AC998A7CC22A}"/>
    <cellStyle name="Eingabe 4 5 2" xfId="1512" xr:uid="{C2A98A50-4D38-4566-B5A4-BF8F0738A595}"/>
    <cellStyle name="Eingabe 4 5 3" xfId="2050" xr:uid="{60D25AD7-BE11-463F-97C2-4EE4CE4AB0EF}"/>
    <cellStyle name="Eingabe 4 5 4" xfId="2473" xr:uid="{2E360CAF-A2D5-472D-B56D-A5CFE19109AF}"/>
    <cellStyle name="Eingabe 4 5 5" xfId="1364" xr:uid="{BE339928-ECF2-404E-A2DA-4959F1053BE1}"/>
    <cellStyle name="Eingabe 4 5 6" xfId="3378" xr:uid="{B089D3A8-9B15-49C9-88A8-FB77F818608E}"/>
    <cellStyle name="Eingabe 4 5 7" xfId="3683" xr:uid="{76333846-FE75-4100-B982-7507DFE1262F}"/>
    <cellStyle name="Eingabe 4 5 8" xfId="3913" xr:uid="{046CD0B5-79CE-47F2-9AFD-4992FB196DA7}"/>
    <cellStyle name="Eingabe 4 6" xfId="1369" xr:uid="{B21B387D-4628-4AA6-8EF3-359BB94A831F}"/>
    <cellStyle name="Eingabe 4 7" xfId="1470" xr:uid="{43B419C1-77CF-4344-933A-568866AB8782}"/>
    <cellStyle name="Eingabe 4 8" xfId="1473" xr:uid="{4EECA0A3-CFB5-4602-8C1F-8D8F442101F7}"/>
    <cellStyle name="Eingabe 4 9" xfId="1852" xr:uid="{5D56C404-EF3E-496C-95E1-65419010EFC4}"/>
    <cellStyle name="Eingabe 5" xfId="570" xr:uid="{001ED47A-79CD-45E9-AAB5-487E4383BB86}"/>
    <cellStyle name="Eingabe 5 2" xfId="785" xr:uid="{D712FB97-CC66-4411-B593-242D88B37074}"/>
    <cellStyle name="Eingabe 5 2 2" xfId="1272" xr:uid="{08552CEA-DDDA-4344-9B4C-4872659F0AFE}"/>
    <cellStyle name="Eingabe 5 2 3" xfId="2116" xr:uid="{FBA43CC9-141F-4E07-8863-E0025FECA088}"/>
    <cellStyle name="Eingabe 5 2 4" xfId="2539" xr:uid="{86D52509-876C-49DA-9EDD-099EB73A5565}"/>
    <cellStyle name="Eingabe 5 2 5" xfId="1349" xr:uid="{DAFD771C-643A-421A-A3EF-6DD5DE4DD6BA}"/>
    <cellStyle name="Eingabe 5 2 6" xfId="2900" xr:uid="{F1305B81-11B1-44BF-B9B3-774C16F78C67}"/>
    <cellStyle name="Eingabe 5 2 7" xfId="3749" xr:uid="{18FB73E8-479D-454F-A6B4-0E152877BC47}"/>
    <cellStyle name="Eingabe 5 2 8" xfId="3307" xr:uid="{A80B8016-9C2B-4197-8AA9-2A66CAC4437E}"/>
    <cellStyle name="Eingabe 5 3" xfId="1065" xr:uid="{D64C0928-0345-4A7A-ABD8-93B7049D7D3F}"/>
    <cellStyle name="Eingabe 5 4" xfId="1901" xr:uid="{D89CDC5A-C285-4BEC-88A5-8F000B7CEC80}"/>
    <cellStyle name="Eingabe 5 5" xfId="2325" xr:uid="{38DA4D31-3A83-479A-9BFD-2D27114E065B}"/>
    <cellStyle name="Eingabe 5 6" xfId="1589" xr:uid="{EBEFCCC2-8C66-403E-BB63-7E2E4C60666B}"/>
    <cellStyle name="Eingabe 5 7" xfId="3261" xr:uid="{53103B3A-9434-454C-835D-5A4A29C3CFFD}"/>
    <cellStyle name="Eingabe 5 8" xfId="3537" xr:uid="{F274296C-83E2-416A-B00E-9716406FF9FF}"/>
    <cellStyle name="Eingabe 5 9" xfId="4068" xr:uid="{0C3E9AA3-49B3-4756-9018-A2A6AF0F76B0}"/>
    <cellStyle name="Eingabe 6" xfId="647" xr:uid="{A178C4EE-77EE-4371-865E-7BCEC5F211B0}"/>
    <cellStyle name="Eingabe 6 2" xfId="862" xr:uid="{58959CC0-ABD8-4B33-9715-B256F945C1EB}"/>
    <cellStyle name="Eingabe 6 2 2" xfId="1025" xr:uid="{3BFA7BE8-306D-4418-B85B-CA2731FEF3D0}"/>
    <cellStyle name="Eingabe 6 2 3" xfId="2193" xr:uid="{F4A10EE0-099D-4C9D-99CC-0D9D5474FE68}"/>
    <cellStyle name="Eingabe 6 2 4" xfId="2616" xr:uid="{C29D9209-0794-401B-8A0C-8F733A044DA9}"/>
    <cellStyle name="Eingabe 6 2 5" xfId="2695" xr:uid="{B1F171A8-3302-468C-A6DE-B7FF1B3ABBEB}"/>
    <cellStyle name="Eingabe 6 2 6" xfId="2910" xr:uid="{43EB3812-190A-4F90-895F-9D2867935261}"/>
    <cellStyle name="Eingabe 6 2 7" xfId="3826" xr:uid="{D44A902B-9FC8-426B-9AA2-D9AEF8D4FD1D}"/>
    <cellStyle name="Eingabe 6 2 8" xfId="2972" xr:uid="{85A4A576-B574-4895-A9A0-7A1D2FE49336}"/>
    <cellStyle name="Eingabe 6 3" xfId="1463" xr:uid="{95A331A8-F82E-4138-A174-8D5A09515ED8}"/>
    <cellStyle name="Eingabe 6 4" xfId="1978" xr:uid="{9BE80ADB-48CE-4C63-997F-41D15A705BD5}"/>
    <cellStyle name="Eingabe 6 5" xfId="2402" xr:uid="{A86EE193-6648-4535-8A16-3243793FBA21}"/>
    <cellStyle name="Eingabe 6 6" xfId="1601" xr:uid="{138A4729-446E-48F6-BDD4-89AB45CF88CA}"/>
    <cellStyle name="Eingabe 6 7" xfId="3385" xr:uid="{CD88E0CE-8FFB-4C13-B662-CF19DBC8320C}"/>
    <cellStyle name="Eingabe 6 8" xfId="3614" xr:uid="{BE25A42D-C183-4260-940A-27CD0EF1F94D}"/>
    <cellStyle name="Eingabe 6 9" xfId="3191" xr:uid="{91A59F08-AC5B-45DB-B65D-4BADA25B973A}"/>
    <cellStyle name="Eingabe 7" xfId="690" xr:uid="{FF21C453-0855-4D14-BA2A-7B0ACCF38AE3}"/>
    <cellStyle name="Eingabe 7 2" xfId="904" xr:uid="{5C980A4D-AEDB-424C-9C94-D41ECF284E12}"/>
    <cellStyle name="Eingabe 7 2 2" xfId="1802" xr:uid="{D654DCAE-8ED2-4D46-B86A-A720FA72B739}"/>
    <cellStyle name="Eingabe 7 2 3" xfId="2235" xr:uid="{6CE68EEC-BC9B-4951-A613-4DBC397943B0}"/>
    <cellStyle name="Eingabe 7 2 4" xfId="2658" xr:uid="{6AC8AEA5-EA75-44B6-A7F4-9086714D4CD1}"/>
    <cellStyle name="Eingabe 7 2 5" xfId="3074" xr:uid="{FEB12467-68FB-49DB-8D09-B637E03BD015}"/>
    <cellStyle name="Eingabe 7 2 6" xfId="3456" xr:uid="{39E378C9-B478-48CE-87F3-2F89ABB72331}"/>
    <cellStyle name="Eingabe 7 2 7" xfId="3868" xr:uid="{4AC46ABD-25CD-4E3A-97FF-2597B445C0FF}"/>
    <cellStyle name="Eingabe 7 2 8" xfId="4132" xr:uid="{D167174F-55AE-47DB-8113-D5DC1573E276}"/>
    <cellStyle name="Eingabe 7 3" xfId="1440" xr:uid="{6A9B15CE-F90A-4827-8D37-4BDA4226BE90}"/>
    <cellStyle name="Eingabe 7 4" xfId="2021" xr:uid="{6F0C88E3-8D13-4609-9648-9FE825F4AC75}"/>
    <cellStyle name="Eingabe 7 5" xfId="2445" xr:uid="{806565F5-7D21-4C45-B808-CEF920D744C7}"/>
    <cellStyle name="Eingabe 7 6" xfId="1581" xr:uid="{D98A8324-F76C-42B0-B777-9AC6B1CD3589}"/>
    <cellStyle name="Eingabe 7 7" xfId="3384" xr:uid="{EDEA1CFB-5B85-419C-997B-5DF0F819BBDD}"/>
    <cellStyle name="Eingabe 7 8" xfId="3656" xr:uid="{A2190DDA-80F5-466A-AE7E-C0EA51012947}"/>
    <cellStyle name="Eingabe 7 9" xfId="3359" xr:uid="{0612737E-EDB7-4254-9A3C-9C8CA86C07F4}"/>
    <cellStyle name="Eingabe 8" xfId="699" xr:uid="{C332F11B-A37D-429D-A9DB-C89077C57A84}"/>
    <cellStyle name="Eingabe 8 2" xfId="1329" xr:uid="{7DE76758-24BF-45D1-A09E-3A5E1D9CF793}"/>
    <cellStyle name="Eingabe 8 3" xfId="2030" xr:uid="{866F260C-57B7-4844-82EC-0E116FF193E6}"/>
    <cellStyle name="Eingabe 8 4" xfId="2454" xr:uid="{651B5158-0B39-4D42-9992-F090038FAC29}"/>
    <cellStyle name="Eingabe 8 5" xfId="1772" xr:uid="{A3C2CDBA-0B0C-4857-99E8-52EE5A07FF39}"/>
    <cellStyle name="Eingabe 8 6" xfId="2885" xr:uid="{52B1286C-7FC9-4A19-B72C-7C69978DEE7F}"/>
    <cellStyle name="Eingabe 8 7" xfId="3665" xr:uid="{6D21C550-BD00-442A-A8A4-D1848A07477C}"/>
    <cellStyle name="Eingabe 8 8" xfId="4004" xr:uid="{EF7D95D5-489D-40BA-B998-1CE8A8283CA7}"/>
    <cellStyle name="Empty_B_border" xfId="22" xr:uid="{4A26EBA6-DFB7-4792-881B-DF45B495405D}"/>
    <cellStyle name="Ergebnis" xfId="61" hidden="1" xr:uid="{239929F6-6A98-4C05-A0F0-809B70FDD412}"/>
    <cellStyle name="Ergebnis" xfId="4080" hidden="1" xr:uid="{A76FF068-FD72-4424-90BE-1E0685F8AD63}"/>
    <cellStyle name="Ergebnis" xfId="3178" hidden="1" xr:uid="{A2097BEF-7180-4EE8-B4B3-44DE0E996C5C}"/>
    <cellStyle name="Ergebnis" xfId="1811" hidden="1" xr:uid="{B7FF4BC9-D7F1-4929-B584-721DFF4AE4FA}"/>
    <cellStyle name="Ergebnis" xfId="1541" hidden="1" xr:uid="{4ACABC10-28C2-4EF5-A52D-E5421C2D2D7F}"/>
    <cellStyle name="Ergebnis" xfId="2928" hidden="1" xr:uid="{1DB37662-0D8B-4ED6-B9A2-E002A18D6E82}"/>
    <cellStyle name="Ergebnis" xfId="2728" hidden="1" xr:uid="{ED8B6A9C-3E6E-45D6-BA12-F72413D1AE31}"/>
    <cellStyle name="Ergebnis" xfId="3162" hidden="1" xr:uid="{F1DA968D-7E7C-46FD-8B15-D2210563142D}"/>
    <cellStyle name="Ergebnis" xfId="1530" hidden="1" xr:uid="{871433C7-8206-4018-AA9F-53713CA646D3}"/>
    <cellStyle name="Ergebnis" xfId="3139" hidden="1" xr:uid="{3F45AD77-C541-4997-8E97-0304373FA326}"/>
    <cellStyle name="Ergebnis" xfId="1216" hidden="1" xr:uid="{B77B7FDE-94B5-40C5-A0A5-225F223D3C6A}"/>
    <cellStyle name="Ergebnis" xfId="986" hidden="1" xr:uid="{310A62CB-2F22-40E3-98A8-5C5C0D1A5700}"/>
    <cellStyle name="Ergebnis" xfId="1532" hidden="1" xr:uid="{9B7ED23F-0BD5-4406-BFDF-3256F23E7EDD}"/>
    <cellStyle name="Ergebnis" xfId="3424" hidden="1" xr:uid="{62EA1E1E-ADE0-488B-8E03-2B039195E054}"/>
    <cellStyle name="Ergebnis" xfId="1587" hidden="1" xr:uid="{52DCE568-6A30-45EB-A2F0-00712DADBA5F}"/>
    <cellStyle name="Ergebnis" xfId="4006" hidden="1" xr:uid="{EB710618-F818-4F0E-8DC0-57BFE46EE805}"/>
    <cellStyle name="Ergebnis 2" xfId="411" xr:uid="{6134084E-A583-4E57-8DDE-4013494AD7EF}"/>
    <cellStyle name="Ergebnis 2 10" xfId="2269" xr:uid="{48B05419-7F72-49B0-97DF-1F1B7A60B760}"/>
    <cellStyle name="Ergebnis 2 11" xfId="3219" xr:uid="{F72FDCB5-4489-47E3-85F9-1DDDECACC124}"/>
    <cellStyle name="Ergebnis 2 2" xfId="667" xr:uid="{4F99B633-82D3-4CA5-9FD8-01398C23FE18}"/>
    <cellStyle name="Ergebnis 2 2 2" xfId="882" xr:uid="{1BF6C0D9-686A-4427-9BCB-8B7B1FDFE333}"/>
    <cellStyle name="Ergebnis 2 2 2 2" xfId="1298" xr:uid="{10F7F229-89A8-454A-93D9-4257A5E634F0}"/>
    <cellStyle name="Ergebnis 2 2 2 3" xfId="2213" xr:uid="{E18402DD-AD87-4856-BD59-7DB4215FDE7D}"/>
    <cellStyle name="Ergebnis 2 2 2 4" xfId="2636" xr:uid="{5E592B76-43FB-4B4A-850A-C57EB8E701FB}"/>
    <cellStyle name="Ergebnis 2 2 2 5" xfId="2675" xr:uid="{4EDCDE2F-44A5-489C-A9D0-54FE3FEB44DB}"/>
    <cellStyle name="Ergebnis 2 2 2 6" xfId="3079" xr:uid="{2E4E4D3F-12E1-4A35-AF24-ACAE63824D3B}"/>
    <cellStyle name="Ergebnis 2 2 2 7" xfId="3846" xr:uid="{FCAEC111-F11C-48EA-8352-33645CA62D8A}"/>
    <cellStyle name="Ergebnis 2 2 2 8" xfId="3985" xr:uid="{C142B844-05AD-4968-94CD-4AD6BAAAC930}"/>
    <cellStyle name="Ergebnis 2 2 3" xfId="911" xr:uid="{02DAE003-91EE-4893-A5BC-230CAB67ADB1}"/>
    <cellStyle name="Ergebnis 2 2 4" xfId="1998" xr:uid="{5A08D39F-5017-4EDC-8C15-A554412E7ABD}"/>
    <cellStyle name="Ergebnis 2 2 5" xfId="2422" xr:uid="{B8C108FE-ED79-4913-9048-E007B44BE76C}"/>
    <cellStyle name="Ergebnis 2 2 6" xfId="2723" xr:uid="{BB2FBA34-3CDC-4CD6-A40C-A86600428A83}"/>
    <cellStyle name="Ergebnis 2 2 7" xfId="2839" xr:uid="{DD1CA8F8-D6B9-4777-BEAF-A1EEFC22BBC3}"/>
    <cellStyle name="Ergebnis 2 2 8" xfId="3634" xr:uid="{9B1A348C-B835-4298-9496-ADEC8C02F5F5}"/>
    <cellStyle name="Ergebnis 2 2 9" xfId="3216" xr:uid="{550E245A-0870-4B26-B3DE-FD65B046EBDD}"/>
    <cellStyle name="Ergebnis 2 3" xfId="599" xr:uid="{F8F1FB88-A27A-46F5-AC70-A2211B16E73C}"/>
    <cellStyle name="Ergebnis 2 3 2" xfId="814" xr:uid="{46321B78-C5C0-4BAC-8ABA-E48A9BE742C4}"/>
    <cellStyle name="Ergebnis 2 3 2 2" xfId="1779" xr:uid="{AD892782-9F8D-4D5B-A2B0-849A356421AA}"/>
    <cellStyle name="Ergebnis 2 3 2 3" xfId="2145" xr:uid="{6B0D3516-32F6-4AB1-91F3-5453704717E6}"/>
    <cellStyle name="Ergebnis 2 3 2 4" xfId="2568" xr:uid="{29C20D09-8C6A-48F7-95B1-477AAF39BDE6}"/>
    <cellStyle name="Ergebnis 2 3 2 5" xfId="2801" xr:uid="{DBE867C1-4749-49EA-A8BF-F68B2BAA5999}"/>
    <cellStyle name="Ergebnis 2 3 2 6" xfId="3182" xr:uid="{382314AD-801C-4C87-80CB-5C16A80BB60C}"/>
    <cellStyle name="Ergebnis 2 3 2 7" xfId="3778" xr:uid="{FF5F8BDF-B407-45CD-B493-0ABBA9CC1318}"/>
    <cellStyle name="Ergebnis 2 3 2 8" xfId="3371" xr:uid="{EC999486-F20C-454A-B1A4-BE190782B7DC}"/>
    <cellStyle name="Ergebnis 2 3 3" xfId="1754" xr:uid="{6951D16A-D45C-4981-9AAE-49C03F04F184}"/>
    <cellStyle name="Ergebnis 2 3 4" xfId="1930" xr:uid="{4A3BE566-2C28-4042-B358-910B218BA273}"/>
    <cellStyle name="Ergebnis 2 3 5" xfId="2354" xr:uid="{8AD4BAFB-A3BE-4F8A-95A8-4EA7B92B4003}"/>
    <cellStyle name="Ergebnis 2 3 6" xfId="1783" xr:uid="{28C45401-4AB9-4880-B13E-6DE4D5133795}"/>
    <cellStyle name="Ergebnis 2 3 7" xfId="3233" xr:uid="{1BDF650A-9073-4E2A-AF82-510F44475141}"/>
    <cellStyle name="Ergebnis 2 3 8" xfId="3566" xr:uid="{E6025AC2-86BB-4C66-A23F-5FE96B3AC545}"/>
    <cellStyle name="Ergebnis 2 3 9" xfId="4090" xr:uid="{D0DF08DE-A372-45A0-9E4E-E936C7B9F2F2}"/>
    <cellStyle name="Ergebnis 2 4" xfId="590" xr:uid="{CEE73CC0-5904-480C-94CC-BB990CD576F2}"/>
    <cellStyle name="Ergebnis 2 4 2" xfId="805" xr:uid="{A1DAFB5D-46B4-4567-B8CE-C04AAE100B24}"/>
    <cellStyle name="Ergebnis 2 4 2 2" xfId="1310" xr:uid="{540FACFA-EC32-440B-B616-99426AB2A175}"/>
    <cellStyle name="Ergebnis 2 4 2 3" xfId="2136" xr:uid="{087B96FF-4667-4401-8C81-EF6E1F6CDF5E}"/>
    <cellStyle name="Ergebnis 2 4 2 4" xfId="2559" xr:uid="{8640B5CD-A90E-472E-A819-5BD6A9C20B85}"/>
    <cellStyle name="Ergebnis 2 4 2 5" xfId="1346" xr:uid="{30460A7E-78ED-4740-B3C2-DC266E277CDD}"/>
    <cellStyle name="Ergebnis 2 4 2 6" xfId="2982" xr:uid="{A0102066-8201-4F8A-BFAD-32264FFC9DD9}"/>
    <cellStyle name="Ergebnis 2 4 2 7" xfId="3769" xr:uid="{D45B436F-BB3F-4096-AC79-98F370814EB9}"/>
    <cellStyle name="Ergebnis 2 4 2 8" xfId="3128" xr:uid="{B6608B2F-472A-40AD-B917-95A2CCA54A0B}"/>
    <cellStyle name="Ergebnis 2 4 3" xfId="1062" xr:uid="{B5C8B2B3-DA60-4C27-B266-561C487A0F87}"/>
    <cellStyle name="Ergebnis 2 4 4" xfId="1921" xr:uid="{2644075E-6FBE-45DC-BF7B-C87BFD012EE1}"/>
    <cellStyle name="Ergebnis 2 4 5" xfId="2345" xr:uid="{0D230B2C-6C3B-4B2F-8678-3FFED07FDB15}"/>
    <cellStyle name="Ergebnis 2 4 6" xfId="1486" xr:uid="{A128631E-AE82-4A38-8A16-36E42CA9DBE8}"/>
    <cellStyle name="Ergebnis 2 4 7" xfId="2466" xr:uid="{47129B2E-A5CF-43E7-BBF5-60269FE15393}"/>
    <cellStyle name="Ergebnis 2 4 8" xfId="3557" xr:uid="{5CD97DCC-48AA-45CB-A0B1-D38DE2C27908}"/>
    <cellStyle name="Ergebnis 2 4 9" xfId="3494" xr:uid="{78B98E9A-C505-4863-B017-CBB459C5D90E}"/>
    <cellStyle name="Ergebnis 2 5" xfId="725" xr:uid="{4B8274DB-806A-4D0D-A71F-258E9F51305E}"/>
    <cellStyle name="Ergebnis 2 5 2" xfId="1054" xr:uid="{06D18C98-9160-4F1F-AE17-2001B67CD0AA}"/>
    <cellStyle name="Ergebnis 2 5 3" xfId="2056" xr:uid="{67DE5FD9-E60A-4496-B11F-BEF187BA5D96}"/>
    <cellStyle name="Ergebnis 2 5 4" xfId="2479" xr:uid="{82F7BC8A-4964-4181-BEFD-83186BB27A5F}"/>
    <cellStyle name="Ergebnis 2 5 5" xfId="1814" xr:uid="{355539E6-77E6-4C2B-864D-FB0A872FF6A8}"/>
    <cellStyle name="Ergebnis 2 5 6" xfId="3022" xr:uid="{C8BCCD9C-1102-48E6-B708-E30CFB9013AD}"/>
    <cellStyle name="Ergebnis 2 5 7" xfId="3689" xr:uid="{AF137AB7-1C4D-43C2-8A04-582C717EA58D}"/>
    <cellStyle name="Ergebnis 2 5 8" xfId="3266" xr:uid="{39811048-AC0A-439F-874D-5E8037EBFC7C}"/>
    <cellStyle name="Ergebnis 2 6" xfId="1074" xr:uid="{E72AC6C9-E211-428B-9CBE-A529787405CE}"/>
    <cellStyle name="Ergebnis 2 7" xfId="1739" xr:uid="{BC4AFF02-7830-4396-A4D9-0BAFD6167923}"/>
    <cellStyle name="Ergebnis 2 8" xfId="1679" xr:uid="{C604796E-A1FB-459A-8255-E451D9FEA8CD}"/>
    <cellStyle name="Ergebnis 2 9" xfId="2685" xr:uid="{99CD94DB-0CEE-456B-85D9-CC06E99C76AD}"/>
    <cellStyle name="Ergebnis 3" xfId="304" xr:uid="{51A00C69-2647-4FB9-91D2-774EBB0CFCEB}"/>
    <cellStyle name="Ergebnis 3 10" xfId="3087" xr:uid="{62773CF7-ED6A-4ACA-AA15-B0098A0ABA74}"/>
    <cellStyle name="Ergebnis 3 11" xfId="3396" xr:uid="{8672E95A-AF08-43A6-BD33-DAA4E13FD475}"/>
    <cellStyle name="Ergebnis 3 2" xfId="641" xr:uid="{802B3E11-08F0-4B5F-9D56-B98C6BAB6985}"/>
    <cellStyle name="Ergebnis 3 2 2" xfId="856" xr:uid="{E185CCBE-6760-48BD-9063-03D69C747C6A}"/>
    <cellStyle name="Ergebnis 3 2 2 2" xfId="1270" xr:uid="{AB04A4F0-4674-4EBC-807B-BC34586B25E1}"/>
    <cellStyle name="Ergebnis 3 2 2 3" xfId="2187" xr:uid="{75075CCC-4945-4DE5-BD5B-49F8AE06AA2F}"/>
    <cellStyle name="Ergebnis 3 2 2 4" xfId="2610" xr:uid="{51F740AE-81A6-4CF8-BB71-181D72DD45B4}"/>
    <cellStyle name="Ergebnis 3 2 2 5" xfId="2844" xr:uid="{92AFAFA5-55AA-4A43-ABA4-69FD6C3EAAE3}"/>
    <cellStyle name="Ergebnis 3 2 2 6" xfId="3145" xr:uid="{7B14628F-40CB-496D-AD4C-5BA7543CFC09}"/>
    <cellStyle name="Ergebnis 3 2 2 7" xfId="3820" xr:uid="{61A3DFA8-4D13-49B9-AF39-98739F616093}"/>
    <cellStyle name="Ergebnis 3 2 2 8" xfId="3133" xr:uid="{C01739DE-9C1C-4299-A8BD-F3F7BCBD8B26}"/>
    <cellStyle name="Ergebnis 3 2 3" xfId="933" xr:uid="{92DCFF56-2538-4049-A81B-6008AB256B36}"/>
    <cellStyle name="Ergebnis 3 2 4" xfId="1972" xr:uid="{69D1C8F3-45B8-4E23-9A3C-756EC85D7F45}"/>
    <cellStyle name="Ergebnis 3 2 5" xfId="2396" xr:uid="{5D594FD3-77A2-4CBA-9357-5DDF3F06C175}"/>
    <cellStyle name="Ergebnis 3 2 6" xfId="2790" xr:uid="{777A9647-537E-4F19-8B6B-1587414765F6}"/>
    <cellStyle name="Ergebnis 3 2 7" xfId="1658" xr:uid="{71ADE1D5-CBDC-4446-9698-D5FB2964913A}"/>
    <cellStyle name="Ergebnis 3 2 8" xfId="3608" xr:uid="{B7AB3318-C6E8-4058-B41B-C26AC6AD26F4}"/>
    <cellStyle name="Ergebnis 3 2 9" xfId="2924" xr:uid="{7319C039-CDC7-48A0-A153-B7224829930A}"/>
    <cellStyle name="Ergebnis 3 3" xfId="555" xr:uid="{D1A95C2A-6ED5-4F9C-A53A-58D79E8BE601}"/>
    <cellStyle name="Ergebnis 3 3 2" xfId="770" xr:uid="{B54C6ED2-0C3E-4EFD-845B-308A93F06A57}"/>
    <cellStyle name="Ergebnis 3 3 2 2" xfId="1277" xr:uid="{A3D30B3B-DC30-4723-BB4F-428014D2074A}"/>
    <cellStyle name="Ergebnis 3 3 2 3" xfId="2101" xr:uid="{2877AEB5-3C22-4019-A132-E8E275A3EBAC}"/>
    <cellStyle name="Ergebnis 3 3 2 4" xfId="2524" xr:uid="{96CB505D-1A03-4162-824A-8C16916058DD}"/>
    <cellStyle name="Ergebnis 3 3 2 5" xfId="1832" xr:uid="{7B581B9A-6785-41B1-88DD-5AFD0E86F9AE}"/>
    <cellStyle name="Ergebnis 3 3 2 6" xfId="2874" xr:uid="{2E714651-D3E5-4209-A2D2-A0ACA0EB53A5}"/>
    <cellStyle name="Ergebnis 3 3 2 7" xfId="3734" xr:uid="{D5A11EE4-DE90-4DFF-A42E-3F4135D70FC7}"/>
    <cellStyle name="Ergebnis 3 3 2 8" xfId="3893" xr:uid="{04EFA85D-F349-4474-8044-96F6BA6F90BC}"/>
    <cellStyle name="Ergebnis 3 3 3" xfId="1664" xr:uid="{23373BCF-3C70-4D98-83C1-9210B7AFFF1B}"/>
    <cellStyle name="Ergebnis 3 3 4" xfId="1886" xr:uid="{01BF6F89-4E69-460E-8FF3-AF42415B3665}"/>
    <cellStyle name="Ergebnis 3 3 5" xfId="2310" xr:uid="{EFA855C0-9225-4901-8430-937A69BA5D19}"/>
    <cellStyle name="Ergebnis 3 3 6" xfId="2833" xr:uid="{C946A1D7-F986-4C85-B9E6-45624ECED090}"/>
    <cellStyle name="Ergebnis 3 3 7" xfId="3157" xr:uid="{6E0B2218-4276-46FA-86DD-90A3587F88FB}"/>
    <cellStyle name="Ergebnis 3 3 8" xfId="3522" xr:uid="{76A48FEA-05B8-4AA3-A37C-08BCBD3BACAD}"/>
    <cellStyle name="Ergebnis 3 3 9" xfId="3395" xr:uid="{705C1363-DBCF-43DC-8563-0E256E5DBE26}"/>
    <cellStyle name="Ergebnis 3 4" xfId="582" xr:uid="{1C182D13-0C75-4DCC-A11F-2564FBF19CEE}"/>
    <cellStyle name="Ergebnis 3 4 2" xfId="797" xr:uid="{8F75A9B4-2B54-43B7-BC54-E2D2F5BFFDB3}"/>
    <cellStyle name="Ergebnis 3 4 2 2" xfId="1037" xr:uid="{5DBB65BE-4DA4-4A3E-BC7A-B307E85AC016}"/>
    <cellStyle name="Ergebnis 3 4 2 3" xfId="2128" xr:uid="{4C24E79F-DDE5-4B84-B2F4-8688FE91F74A}"/>
    <cellStyle name="Ergebnis 3 4 2 4" xfId="2551" xr:uid="{3AEE8DA3-564F-4A31-95BA-A77372EE91E9}"/>
    <cellStyle name="Ergebnis 3 4 2 5" xfId="2671" xr:uid="{721F4F19-A08F-4638-A055-8D74B9BF86BB}"/>
    <cellStyle name="Ergebnis 3 4 2 6" xfId="2877" xr:uid="{F2DFA5D8-3873-4CC2-9998-95978C534330}"/>
    <cellStyle name="Ergebnis 3 4 2 7" xfId="3761" xr:uid="{6C1F0166-6308-432E-893F-CA40B4A1C814}"/>
    <cellStyle name="Ergebnis 3 4 2 8" xfId="2871" xr:uid="{61D9095E-FCA9-4F55-A9C7-152A76DEC6D2}"/>
    <cellStyle name="Ergebnis 3 4 3" xfId="1607" xr:uid="{980DE740-3C8C-49A3-8F35-AD854EF99A98}"/>
    <cellStyle name="Ergebnis 3 4 4" xfId="1913" xr:uid="{DC9F3ED2-BF8D-4E27-8A60-65180C93489D}"/>
    <cellStyle name="Ergebnis 3 4 5" xfId="2337" xr:uid="{E924C3C4-A6C4-41F1-9E39-3E683C6DD5A9}"/>
    <cellStyle name="Ergebnis 3 4 6" xfId="2253" xr:uid="{646B2D5E-9AAD-4BB7-A317-FCE973A2E679}"/>
    <cellStyle name="Ergebnis 3 4 7" xfId="3318" xr:uid="{56451410-F7BF-48F1-91B6-F7B4E414F054}"/>
    <cellStyle name="Ergebnis 3 4 8" xfId="3549" xr:uid="{FF4A604A-4583-4BD2-AD44-44D27898FDDD}"/>
    <cellStyle name="Ergebnis 3 4 9" xfId="3339" xr:uid="{F3DA56C2-3774-4425-9A62-294C0F535353}"/>
    <cellStyle name="Ergebnis 3 5" xfId="721" xr:uid="{712765A2-4A4D-4DB3-984C-F1159365C48C}"/>
    <cellStyle name="Ergebnis 3 5 2" xfId="1614" xr:uid="{8FE3EA58-5E17-4C80-9DAF-003085A36FCD}"/>
    <cellStyle name="Ergebnis 3 5 3" xfId="2052" xr:uid="{C5D41ED5-1C7B-4955-836F-A5A5DACAE554}"/>
    <cellStyle name="Ergebnis 3 5 4" xfId="2475" xr:uid="{43FE6290-0D2C-47DA-AB31-7FFE8A15A257}"/>
    <cellStyle name="Ergebnis 3 5 5" xfId="2943" xr:uid="{5AD2E48D-C123-470F-8E5A-405489F92937}"/>
    <cellStyle name="Ergebnis 3 5 6" xfId="62" xr:uid="{7F78A983-3F9A-4A35-9388-F9EEB98D5CEA}"/>
    <cellStyle name="Ergebnis 3 5 7" xfId="3685" xr:uid="{FCD303E0-FE83-4C93-9AE5-BBC2301906CD}"/>
    <cellStyle name="Ergebnis 3 5 8" xfId="3300" xr:uid="{1BFC8E04-7D6C-4FD7-85D6-0EA4BDFADD30}"/>
    <cellStyle name="Ergebnis 3 6" xfId="1229" xr:uid="{1BD971ED-ED8C-4542-8C8A-DAF3D07B9864}"/>
    <cellStyle name="Ergebnis 3 7" xfId="1209" xr:uid="{7EED7665-E116-4853-9CD4-42D0E7C3C529}"/>
    <cellStyle name="Ergebnis 3 8" xfId="1087" xr:uid="{FC71C2ED-5B4D-43B7-807F-80B8AB4E625F}"/>
    <cellStyle name="Ergebnis 3 9" xfId="959" xr:uid="{E87DDEE0-4BBE-47CA-92B4-9B191F568A30}"/>
    <cellStyle name="Ergebnis 4" xfId="571" xr:uid="{FA12E0A2-D10E-4B32-9A44-2DAF096D0A58}"/>
    <cellStyle name="Ergebnis 4 2" xfId="786" xr:uid="{25D850F6-858D-46E8-A5DE-CA0846E73575}"/>
    <cellStyle name="Ergebnis 4 2 2" xfId="1150" xr:uid="{DE4C93A6-5C15-48C5-8155-2FA41B34F0C5}"/>
    <cellStyle name="Ergebnis 4 2 3" xfId="2117" xr:uid="{18AA61DD-07B9-4B62-8D2D-B74BE3E9943F}"/>
    <cellStyle name="Ergebnis 4 2 4" xfId="2540" xr:uid="{A73EED88-C018-4BCD-AD7D-A57019783DA5}"/>
    <cellStyle name="Ergebnis 4 2 5" xfId="1477" xr:uid="{B8B1DB49-2276-4CED-B6A4-26A78B825D18}"/>
    <cellStyle name="Ergebnis 4 2 6" xfId="1810" xr:uid="{2A276297-1973-4D7C-BA82-E78A4AB21E7F}"/>
    <cellStyle name="Ergebnis 4 2 7" xfId="3750" xr:uid="{3B2880E2-FCA4-45E2-A7A3-17E156B313D9}"/>
    <cellStyle name="Ergebnis 4 2 8" xfId="4015" xr:uid="{C8140D5A-9947-4ECF-B3C2-86AC723A7742}"/>
    <cellStyle name="Ergebnis 4 3" xfId="1582" xr:uid="{91A47734-09AB-4CA5-A684-B6E947FCBE62}"/>
    <cellStyle name="Ergebnis 4 4" xfId="1902" xr:uid="{DB768BFE-54C9-459F-8A1B-535DC8BDE821}"/>
    <cellStyle name="Ergebnis 4 5" xfId="2326" xr:uid="{7CFA2901-DDA3-4E0B-8F15-13F847A67AC5}"/>
    <cellStyle name="Ergebnis 4 6" xfId="3044" xr:uid="{BA09A86F-77BC-4E45-8F4C-0A7C6EF74B36}"/>
    <cellStyle name="Ergebnis 4 7" xfId="3429" xr:uid="{903203C3-55D1-4604-B05E-398DFCF26033}"/>
    <cellStyle name="Ergebnis 4 8" xfId="3538" xr:uid="{D1BEBA32-695C-4294-A77B-2114A7EBED52}"/>
    <cellStyle name="Ergebnis 4 9" xfId="4106" xr:uid="{602392F2-CFB1-40D3-8C0D-582CC067718F}"/>
    <cellStyle name="Ergebnis 5" xfId="645" xr:uid="{208F8B3A-6400-41BF-81D6-25891CD4E121}"/>
    <cellStyle name="Ergebnis 5 2" xfId="860" xr:uid="{F5377B1D-87C5-4C74-A554-0618737BB49D}"/>
    <cellStyle name="Ergebnis 5 2 2" xfId="1322" xr:uid="{90F6C70F-F0B3-4EDA-96FC-AEC5870A640D}"/>
    <cellStyle name="Ergebnis 5 2 3" xfId="2191" xr:uid="{A147F578-0DE1-420F-8D90-8372A884AEBE}"/>
    <cellStyle name="Ergebnis 5 2 4" xfId="2614" xr:uid="{3B2538FE-005F-4BEB-9422-D8141F6663B7}"/>
    <cellStyle name="Ergebnis 5 2 5" xfId="2771" xr:uid="{0F7FB569-345A-4522-8B45-ADCEFF40D249}"/>
    <cellStyle name="Ergebnis 5 2 6" xfId="2794" xr:uid="{08B33DE1-83D8-46CE-A12C-61C9A1CB6910}"/>
    <cellStyle name="Ergebnis 5 2 7" xfId="3824" xr:uid="{A7408A71-7B3B-47CB-82E8-D1EDE754BCF2}"/>
    <cellStyle name="Ergebnis 5 2 8" xfId="3476" xr:uid="{A721D82B-C24F-48FA-A83D-D58FF16A4240}"/>
    <cellStyle name="Ergebnis 5 3" xfId="1506" xr:uid="{08B4062E-4A7D-4893-AEB0-D87AC7CE37F0}"/>
    <cellStyle name="Ergebnis 5 4" xfId="1976" xr:uid="{2C468098-FABE-44CE-8AB1-4FC671BD78FC}"/>
    <cellStyle name="Ergebnis 5 5" xfId="2400" xr:uid="{35449141-BC0D-42C4-B676-67B2C976773A}"/>
    <cellStyle name="Ergebnis 5 6" xfId="1458" xr:uid="{28C272E4-1D60-4EC6-A48F-FCCF302FA60E}"/>
    <cellStyle name="Ergebnis 5 7" xfId="3335" xr:uid="{591B212A-7256-47DB-BF8A-722964CA520B}"/>
    <cellStyle name="Ergebnis 5 8" xfId="3612" xr:uid="{761D001D-1937-4320-8305-C7DE30A578CF}"/>
    <cellStyle name="Ergebnis 5 9" xfId="3324" xr:uid="{C84C735E-A67A-4264-AD2C-817839CD2A09}"/>
    <cellStyle name="Ergebnis 6" xfId="652" xr:uid="{10023120-DE74-44EB-A3F1-54BED9C548C7}"/>
    <cellStyle name="Ergebnis 6 2" xfId="867" xr:uid="{E6BAD788-B76B-417E-9AD3-E408A02AB1D2}"/>
    <cellStyle name="Ergebnis 6 2 2" xfId="1136" xr:uid="{9F7AB52C-CDA4-44F8-AF2A-AE586A30F045}"/>
    <cellStyle name="Ergebnis 6 2 3" xfId="2198" xr:uid="{28F1E294-508D-4C83-8EBC-3C0236BABEAC}"/>
    <cellStyle name="Ergebnis 6 2 4" xfId="2621" xr:uid="{25D98063-6896-4236-83E3-2FBC2E535773}"/>
    <cellStyle name="Ergebnis 6 2 5" xfId="1579" xr:uid="{CDC314DF-84ED-437B-8A11-B870248E3EF1}"/>
    <cellStyle name="Ergebnis 6 2 6" xfId="1450" xr:uid="{001DD8AD-1DB8-411D-BE20-64C306DC4384}"/>
    <cellStyle name="Ergebnis 6 2 7" xfId="3831" xr:uid="{0C1099AC-662A-4BB0-862C-7A86FF21A1F5}"/>
    <cellStyle name="Ergebnis 6 2 8" xfId="3962" xr:uid="{1B285CD5-B449-4B8D-9BEB-8A5E8963C058}"/>
    <cellStyle name="Ergebnis 6 3" xfId="1711" xr:uid="{1D3D5A71-7664-4491-8C7C-F00E4AB75F9A}"/>
    <cellStyle name="Ergebnis 6 4" xfId="1983" xr:uid="{77D3526F-46AF-4466-91C9-0406C020248F}"/>
    <cellStyle name="Ergebnis 6 5" xfId="2407" xr:uid="{9ECB7228-E6E3-49D9-9EB8-44C2FF4C9C04}"/>
    <cellStyle name="Ergebnis 6 6" xfId="2909" xr:uid="{EE3245E9-EEFA-4210-9334-69C784A071F3}"/>
    <cellStyle name="Ergebnis 6 7" xfId="3193" xr:uid="{4C22A0DE-AA94-4709-91BF-68233229D924}"/>
    <cellStyle name="Ergebnis 6 8" xfId="3619" xr:uid="{C334A16C-E429-4590-8D31-B579260AE8E9}"/>
    <cellStyle name="Ergebnis 6 9" xfId="4088" xr:uid="{125814BD-17E7-45C1-8053-BF1A8D17CF0A}"/>
    <cellStyle name="Ergebnis 7" xfId="700" xr:uid="{C4694E46-26CB-481D-9088-2812E0ACBF9F}"/>
    <cellStyle name="Ergebnis 7 2" xfId="1055" xr:uid="{0D4CFEAB-7BC1-4816-BB8F-73D53F1EB1B8}"/>
    <cellStyle name="Ergebnis 7 3" xfId="2031" xr:uid="{0CB11FF1-EE72-4667-A152-5C7FB55D27B1}"/>
    <cellStyle name="Ergebnis 7 4" xfId="2455" xr:uid="{B8F6DF2B-C748-4724-9642-0F6D2351A12F}"/>
    <cellStyle name="Ergebnis 7 5" xfId="3046" xr:uid="{4E2E44F8-B05E-433A-83EC-93B25774113C}"/>
    <cellStyle name="Ergebnis 7 6" xfId="3431" xr:uid="{68AB0265-6470-4F64-A004-B693F5E749E9}"/>
    <cellStyle name="Ergebnis 7 7" xfId="3666" xr:uid="{BD44B39D-74F7-48B1-997E-A0F26C10A8A6}"/>
    <cellStyle name="Ergebnis 7 8" xfId="4108" xr:uid="{57BA2002-A050-4E5B-AF9B-724927A8C146}"/>
    <cellStyle name="Erklärender Text" xfId="1294" hidden="1" xr:uid="{E56A7A1E-69DB-4510-9587-B2201D2D853E}"/>
    <cellStyle name="Erklärender Text" xfId="1406" hidden="1" xr:uid="{0B114279-1615-4C5B-B5A7-C1A6A678E8B3}"/>
    <cellStyle name="Erklärender Text" xfId="1741" hidden="1" xr:uid="{A69D41A4-F510-459C-B397-96FCD3D94CDD}"/>
    <cellStyle name="Erklärender Text" xfId="985" hidden="1" xr:uid="{BD129C8E-0463-4C27-9278-41753895C6DA}"/>
    <cellStyle name="Erklärender Text" xfId="1745" hidden="1" xr:uid="{22A2E941-08F2-4A38-BA9F-57B0B96827D7}"/>
    <cellStyle name="Erklärender Text" xfId="3308" hidden="1" xr:uid="{F8ADB27F-C394-4B83-A810-47505D10F45F}"/>
    <cellStyle name="Erklärender Text" xfId="2850" hidden="1" xr:uid="{97B22802-7BC9-420E-81B2-03C1DD65091F}"/>
    <cellStyle name="Erklärender Text" xfId="60" hidden="1" xr:uid="{B9BBC5B6-632D-4C76-A139-A3DAA734B7AE}"/>
    <cellStyle name="Erklärender Text" xfId="2259" hidden="1" xr:uid="{339BA12F-7504-4027-AE82-C49F8F3B1631}"/>
    <cellStyle name="Erklärender Text" xfId="968" hidden="1" xr:uid="{DD552B9A-B202-46E0-AEFE-01828B0475D4}"/>
    <cellStyle name="Erklärender Text" xfId="2907" hidden="1" xr:uid="{E63D3B38-0A66-45EA-89BE-6097872510CF}"/>
    <cellStyle name="Erklärender Text" xfId="3986" hidden="1" xr:uid="{5F786B5B-4DF3-451E-B33B-EC0692B3762B}"/>
    <cellStyle name="Erklärender Text" xfId="4059" hidden="1" xr:uid="{4D8320ED-8000-44A3-BF75-066CDFC723C4}"/>
    <cellStyle name="Erklärender Text" xfId="3403" hidden="1" xr:uid="{8FB89FCC-7EF8-42E8-BFAC-6D80C8A6DC10}"/>
    <cellStyle name="Erklärender Text" xfId="1368" hidden="1" xr:uid="{559A3BA5-01AE-44D3-A29E-46DF21BD1CFF}"/>
    <cellStyle name="Erklärender Text" xfId="2959" hidden="1" xr:uid="{0B790A8F-48FC-440B-9E6D-F0D80E061624}"/>
    <cellStyle name="Erklärender Text 2" xfId="412" xr:uid="{23DA403B-4885-4C41-8392-0D822345DB51}"/>
    <cellStyle name="Erklärender Text 3" xfId="294" xr:uid="{0A9780B8-875D-48A7-9218-5D0B3860CD4B}"/>
    <cellStyle name="Explanatory Text 2" xfId="153" xr:uid="{5E9D43AB-32A7-4E92-99BE-E9442D5F4FFA}"/>
    <cellStyle name="Explanatory Text 3" xfId="244" xr:uid="{0F5875E9-5E57-4828-81B6-CDA0B2F25949}"/>
    <cellStyle name="Good 2" xfId="154" xr:uid="{4C1A0CD3-A91A-432E-BBF1-B18BF294A9CA}"/>
    <cellStyle name="Good 3" xfId="245" xr:uid="{1D43CE3D-0D52-4006-9AD8-D34DAC117B67}"/>
    <cellStyle name="Good 4" xfId="374" xr:uid="{62233782-90BA-406C-8258-B51844F987A8}"/>
    <cellStyle name="Gut" xfId="155" xr:uid="{2F0BAEEE-85E4-470F-AD3F-071525814F7D}"/>
    <cellStyle name="Heading 1 2" xfId="156" xr:uid="{2A21E0F4-CBE6-436B-8C7B-EB97F839B72B}"/>
    <cellStyle name="Heading 1 3" xfId="246" xr:uid="{DD6F0143-C564-4734-AE53-182A2AC25B78}"/>
    <cellStyle name="Heading 1 4" xfId="382" xr:uid="{B813CB8B-151E-4CA8-8F18-904701692CC9}"/>
    <cellStyle name="Heading 2 2" xfId="157" xr:uid="{532DE3EA-4DF3-4962-A9E2-661964159CE4}"/>
    <cellStyle name="Heading 2 3" xfId="247" xr:uid="{30227D54-6D21-4DF3-BC2E-E602146CE63C}"/>
    <cellStyle name="Heading 2 4" xfId="383" xr:uid="{113CF6C0-D938-4E58-847F-3BA26F263C7D}"/>
    <cellStyle name="Heading 3 2" xfId="158" xr:uid="{2124236B-1247-439D-BD76-598DA77702FA}"/>
    <cellStyle name="Heading 3 3" xfId="248" xr:uid="{E37FAA13-5A0B-41B3-BAEA-7AB3F466CD63}"/>
    <cellStyle name="Heading 3 4" xfId="384" xr:uid="{01BB5C34-5FA2-43C7-BF8E-775547A6C842}"/>
    <cellStyle name="Heading 4 2" xfId="159" xr:uid="{D5A45086-9EF4-4F35-BBC8-4513DDEBDA30}"/>
    <cellStyle name="Heading 4 3" xfId="249" xr:uid="{0D84AE03-9EB2-4760-9CC1-3CD9A8F641FA}"/>
    <cellStyle name="Heading 4 4" xfId="385" xr:uid="{8D1802F2-7182-4B40-BA3A-35BC9B77658B}"/>
    <cellStyle name="Headline" xfId="4" xr:uid="{65AD6610-84AF-44FC-A77D-E4B1B16CCF9A}"/>
    <cellStyle name="Input 2" xfId="160" xr:uid="{F78C63BC-F382-4474-82EF-8952ABFE3634}"/>
    <cellStyle name="Input 2 10" xfId="2922" xr:uid="{F92F440E-F6EA-42EC-B5F4-AE6A0025CFBF}"/>
    <cellStyle name="Input 2 11" xfId="3257" xr:uid="{51B27CE3-A6AA-4A4F-8B12-100764DD9079}"/>
    <cellStyle name="Input 2 2" xfId="574" xr:uid="{5CE03CA4-1055-4F90-BB7F-63247A9555B6}"/>
    <cellStyle name="Input 2 2 2" xfId="789" xr:uid="{1E3F8DF7-C5DB-43DB-8F2E-AFC8AFD427B9}"/>
    <cellStyle name="Input 2 2 2 2" xfId="1041" xr:uid="{4D85DD45-95ED-4121-B38C-E77A5D529EB3}"/>
    <cellStyle name="Input 2 2 2 3" xfId="2120" xr:uid="{F7671268-412C-42FB-B8CE-EEEFDD0E0C9A}"/>
    <cellStyle name="Input 2 2 2 4" xfId="2543" xr:uid="{57B4B0EC-6C9C-4B2B-9101-7AC70FC6E5F1}"/>
    <cellStyle name="Input 2 2 2 5" xfId="2691" xr:uid="{96E6CFF3-C41A-410A-B6B9-C1F4F741E5DC}"/>
    <cellStyle name="Input 2 2 2 6" xfId="1809" xr:uid="{5829C0C7-FE03-4973-A630-12CCDEA9E968}"/>
    <cellStyle name="Input 2 2 2 7" xfId="3753" xr:uid="{9EA3CB95-9CA8-4647-ACBB-4811F7FD8012}"/>
    <cellStyle name="Input 2 2 2 8" xfId="4007" xr:uid="{5E716515-2EBA-41D1-AC16-CAB2D1C273BF}"/>
    <cellStyle name="Input 2 2 3" xfId="1660" xr:uid="{5492C268-7389-43E9-A44C-E1246BB47780}"/>
    <cellStyle name="Input 2 2 4" xfId="1905" xr:uid="{7A9ADDD8-9BC7-449A-BB93-87BEEA9168AC}"/>
    <cellStyle name="Input 2 2 5" xfId="2329" xr:uid="{446789CB-F2DB-4B73-8FB9-6BF56C266A08}"/>
    <cellStyle name="Input 2 2 6" xfId="2768" xr:uid="{77905EB5-CE11-4C2A-A670-EE13889900F8}"/>
    <cellStyle name="Input 2 2 7" xfId="3154" xr:uid="{14299660-819E-4DEE-861C-14D995F0AB70}"/>
    <cellStyle name="Input 2 2 8" xfId="3541" xr:uid="{06E70C28-1181-46C3-B9DB-A321AC5EBD11}"/>
    <cellStyle name="Input 2 2 9" xfId="1437" xr:uid="{0F861DF0-118B-4640-800F-69683607B053}"/>
    <cellStyle name="Input 2 3" xfId="678" xr:uid="{5A209904-24A2-469D-94B1-B83FB4AD0917}"/>
    <cellStyle name="Input 2 3 2" xfId="893" xr:uid="{1B8542E2-E0F7-482D-B419-E834315DBCFC}"/>
    <cellStyle name="Input 2 3 2 2" xfId="1791" xr:uid="{613B8C25-2B1B-49C5-AC2F-9C7BA838DE2B}"/>
    <cellStyle name="Input 2 3 2 3" xfId="2224" xr:uid="{E4F36A63-36B0-4A21-8EA7-7C4EEBAD6E75}"/>
    <cellStyle name="Input 2 3 2 4" xfId="2647" xr:uid="{F42BBB1E-FFA3-4740-A8F8-D651E7DBE684}"/>
    <cellStyle name="Input 2 3 2 5" xfId="3063" xr:uid="{C052D232-3244-460E-8813-CCF0024F00E9}"/>
    <cellStyle name="Input 2 3 2 6" xfId="3445" xr:uid="{D9114618-4D53-4006-84C4-B2384673FA79}"/>
    <cellStyle name="Input 2 3 2 7" xfId="3857" xr:uid="{0CAC9440-FA16-48C0-B01E-3D50B25E2C0C}"/>
    <cellStyle name="Input 2 3 2 8" xfId="4121" xr:uid="{BEFDA3BB-F21B-46FE-87AE-ADC8F3BB72A8}"/>
    <cellStyle name="Input 2 3 3" xfId="1683" xr:uid="{F21E3161-F7D6-41AA-9111-F2979331734B}"/>
    <cellStyle name="Input 2 3 4" xfId="2009" xr:uid="{2324B303-E84B-4060-B0EF-4A0970B6C3C8}"/>
    <cellStyle name="Input 2 3 5" xfId="2433" xr:uid="{3883D413-C10B-4D46-9D77-6F42B0D9E46F}"/>
    <cellStyle name="Input 2 3 6" xfId="2963" xr:uid="{EF0B9CF6-1EF7-48DC-A718-C25E78C85981}"/>
    <cellStyle name="Input 2 3 7" xfId="3189" xr:uid="{D4ADB2B9-E76F-4AE1-9258-2CC4D7AD9AD2}"/>
    <cellStyle name="Input 2 3 8" xfId="3645" xr:uid="{4BDDE9F1-BCAA-4427-9385-B48281A2955B}"/>
    <cellStyle name="Input 2 3 9" xfId="4046" xr:uid="{BADE979A-3FF8-4420-AAFB-154DE36165A7}"/>
    <cellStyle name="Input 2 4" xfId="689" xr:uid="{D83A3268-E8E2-4034-BE2E-EF7546CE75F7}"/>
    <cellStyle name="Input 2 4 2" xfId="903" xr:uid="{E6BD8E94-BDCF-4BF9-9B1D-F85E3B6A613A}"/>
    <cellStyle name="Input 2 4 2 2" xfId="1801" xr:uid="{2C4ADACD-8BAE-4171-9150-F0B1395B9AFE}"/>
    <cellStyle name="Input 2 4 2 3" xfId="2234" xr:uid="{3414C84D-77B8-4F7F-9D6B-2767C8BC3B07}"/>
    <cellStyle name="Input 2 4 2 4" xfId="2657" xr:uid="{4EE0ADB6-CAB3-4467-B367-8428FDB01574}"/>
    <cellStyle name="Input 2 4 2 5" xfId="3073" xr:uid="{A7BC0122-1E31-4CB8-BC04-BA0C97718636}"/>
    <cellStyle name="Input 2 4 2 6" xfId="3455" xr:uid="{58C20FD0-DF79-409E-8844-4DECA40002C5}"/>
    <cellStyle name="Input 2 4 2 7" xfId="3867" xr:uid="{18F76455-1364-44AA-BB12-126AF102D97E}"/>
    <cellStyle name="Input 2 4 2 8" xfId="4131" xr:uid="{59B4D43E-E974-4054-A217-85AC0C43E028}"/>
    <cellStyle name="Input 2 4 3" xfId="1643" xr:uid="{6B345945-C9BC-4732-A9B5-0AC903293732}"/>
    <cellStyle name="Input 2 4 4" xfId="2020" xr:uid="{534B4705-CAFB-4E9A-9928-C78B4A0DE5F5}"/>
    <cellStyle name="Input 2 4 5" xfId="2444" xr:uid="{BB6C2A20-FBB0-41ED-9BB3-6862512E8D64}"/>
    <cellStyle name="Input 2 4 6" xfId="2838" xr:uid="{1477CEC6-A201-42D9-8285-996B4CF44F1A}"/>
    <cellStyle name="Input 2 4 7" xfId="3130" xr:uid="{A26B05F2-1471-42FC-BA0D-3181DF18282D}"/>
    <cellStyle name="Input 2 4 8" xfId="3655" xr:uid="{DB7A0A79-1831-4482-A3A4-473BD159DE2F}"/>
    <cellStyle name="Input 2 4 9" xfId="3420" xr:uid="{75A7042A-5B0C-4AC3-8AB6-6C41BA6DE95A}"/>
    <cellStyle name="Input 2 5" xfId="701" xr:uid="{2FEFAA14-1B18-49BD-B629-EE7884C6C87C}"/>
    <cellStyle name="Input 2 5 2" xfId="912" xr:uid="{D1179E64-AC4A-4D56-B26B-7CC4EC548919}"/>
    <cellStyle name="Input 2 5 3" xfId="2032" xr:uid="{F39ED7E2-6E28-47A8-8CF3-E038318E60BC}"/>
    <cellStyle name="Input 2 5 4" xfId="2456" xr:uid="{C3F62A6F-F99D-4AEE-9F01-D8D4EA85700E}"/>
    <cellStyle name="Input 2 5 5" xfId="2887" xr:uid="{EE489661-F84C-49E5-870A-492F9A68B52B}"/>
    <cellStyle name="Input 2 5 6" xfId="3251" xr:uid="{4947D5FA-44EC-466B-886A-2627AA6757EA}"/>
    <cellStyle name="Input 2 5 7" xfId="3667" xr:uid="{7325FB7C-F702-4D33-A0BD-966060FF61CA}"/>
    <cellStyle name="Input 2 5 8" xfId="3343" xr:uid="{F26FC7B3-11DE-4127-B3FC-AB52344929DE}"/>
    <cellStyle name="Input 2 6" xfId="1573" xr:uid="{E67D9DA7-349C-4429-8876-DE5F428184D3}"/>
    <cellStyle name="Input 2 7" xfId="1167" xr:uid="{13ABAC96-BC34-4247-89D9-D8C84ADF8424}"/>
    <cellStyle name="Input 2 8" xfId="1535" xr:uid="{BCADEE32-51EF-44F1-9FBC-CC518568031D}"/>
    <cellStyle name="Input 2 9" xfId="2468" xr:uid="{C21584AC-6C20-4D82-972B-31C77CCE09FF}"/>
    <cellStyle name="Input 3" xfId="250" xr:uid="{0A491813-3C64-47A6-8E48-54B0041DE056}"/>
    <cellStyle name="Input 3 10" xfId="3042" xr:uid="{C94642F8-3D41-4F41-9EEB-15F40B5F16AE}"/>
    <cellStyle name="Input 3 11" xfId="1705" xr:uid="{22C2C15C-0F37-44AD-8E3B-D98EBA6C5201}"/>
    <cellStyle name="Input 3 2" xfId="606" xr:uid="{4B6AB455-5AA2-44A5-B592-F0B804A0D8B7}"/>
    <cellStyle name="Input 3 2 2" xfId="821" xr:uid="{6377A464-24E0-4131-B202-867E6C5EDAD5}"/>
    <cellStyle name="Input 3 2 2 2" xfId="1323" xr:uid="{65FDCE63-F806-4B07-8BB8-5F0E659CCB80}"/>
    <cellStyle name="Input 3 2 2 3" xfId="2152" xr:uid="{ADEBA49D-2051-44AC-B825-9AE35DE0B472}"/>
    <cellStyle name="Input 3 2 2 4" xfId="2575" xr:uid="{5A7F1097-C5FE-4F00-94A0-39D12D8CB1E9}"/>
    <cellStyle name="Input 3 2 2 5" xfId="2994" xr:uid="{576D45B6-23A3-47B9-B2B2-8FDC3D8B8344}"/>
    <cellStyle name="Input 3 2 2 6" xfId="2782" xr:uid="{29AF704A-1147-423C-9A16-DF0081EA4C21}"/>
    <cellStyle name="Input 3 2 2 7" xfId="3785" xr:uid="{11C9F003-C0FE-4823-A7F3-D4EDC7923381}"/>
    <cellStyle name="Input 3 2 2 8" xfId="4063" xr:uid="{4A4F3241-854C-4531-889B-9797A619E26C}"/>
    <cellStyle name="Input 3 2 3" xfId="970" xr:uid="{92EE7D31-2A28-44EF-A654-78A5B82751F8}"/>
    <cellStyle name="Input 3 2 4" xfId="1937" xr:uid="{507DEE05-3B9A-414B-A999-B2C078286D70}"/>
    <cellStyle name="Input 3 2 5" xfId="2361" xr:uid="{81D4B423-39AA-4811-B44E-5C3FD6A8EA21}"/>
    <cellStyle name="Input 3 2 6" xfId="2882" xr:uid="{522E92F7-3E0F-4FF0-863C-EDA2F4D30FF1}"/>
    <cellStyle name="Input 3 2 7" xfId="2866" xr:uid="{150514A0-7283-4558-8F2F-623786FE7BE4}"/>
    <cellStyle name="Input 3 2 8" xfId="3573" xr:uid="{61BC4FB0-9523-44FA-A24D-FB976292FF25}"/>
    <cellStyle name="Input 3 2 9" xfId="3268" xr:uid="{47A88F31-572E-4629-B7CB-78E6EC0D19BF}"/>
    <cellStyle name="Input 3 3" xfId="605" xr:uid="{E77679CD-897B-470E-8721-1F540997B004}"/>
    <cellStyle name="Input 3 3 2" xfId="820" xr:uid="{B1DE041E-5CCB-4DEF-A086-511AEC43A8EE}"/>
    <cellStyle name="Input 3 3 2 2" xfId="1271" xr:uid="{C91CB531-2DB9-4D22-B2B9-507683CC0B1C}"/>
    <cellStyle name="Input 3 3 2 3" xfId="2151" xr:uid="{23760834-0F91-49C0-978E-61D2533DB110}"/>
    <cellStyle name="Input 3 3 2 4" xfId="2574" xr:uid="{75159EF8-AD06-436E-8A85-1304A2BB989E}"/>
    <cellStyle name="Input 3 3 2 5" xfId="2814" xr:uid="{2A1974D5-3027-4397-9F29-B54E5EA7CBEC}"/>
    <cellStyle name="Input 3 3 2 6" xfId="2957" xr:uid="{03A96F1E-9540-4299-811B-4B1A492859E6}"/>
    <cellStyle name="Input 3 3 2 7" xfId="3784" xr:uid="{33952179-DA51-46DE-A5D4-6CD7A8357C75}"/>
    <cellStyle name="Input 3 3 2 8" xfId="1768" xr:uid="{7B2AF051-C62A-415B-9B8B-855D88BE5472}"/>
    <cellStyle name="Input 3 3 3" xfId="1550" xr:uid="{FB165FF5-BDFB-4BB5-9EB2-E410B5C51F94}"/>
    <cellStyle name="Input 3 3 4" xfId="1936" xr:uid="{4BF52A4E-B2AA-46D4-9E33-52382939D699}"/>
    <cellStyle name="Input 3 3 5" xfId="2360" xr:uid="{00810341-84B8-449D-97A4-923053142580}"/>
    <cellStyle name="Input 3 3 6" xfId="2810" xr:uid="{24D12B5F-1279-486A-9409-251AEC7D3568}"/>
    <cellStyle name="Input 3 3 7" xfId="2753" xr:uid="{94781C85-B354-403F-AB64-BE77851949B2}"/>
    <cellStyle name="Input 3 3 8" xfId="3572" xr:uid="{99BDBFE9-0A71-4A57-90B1-9A5ACA0959C6}"/>
    <cellStyle name="Input 3 3 9" xfId="4010" xr:uid="{971D98F2-6EF0-4C8E-8D7B-FCB16CF70C74}"/>
    <cellStyle name="Input 3 4" xfId="549" xr:uid="{84C68C71-25AD-4CDA-B66B-28CE994C3F30}"/>
    <cellStyle name="Input 3 4 2" xfId="764" xr:uid="{1FFEBE62-4587-43DA-A6C7-CF955F83E02D}"/>
    <cellStyle name="Input 3 4 2 2" xfId="949" xr:uid="{1796E619-DD55-48D2-88E6-420D04506DEA}"/>
    <cellStyle name="Input 3 4 2 3" xfId="2095" xr:uid="{8E344CC3-C85F-4F59-AFD0-47EDE71E50C5}"/>
    <cellStyle name="Input 3 4 2 4" xfId="2518" xr:uid="{979FB50A-3895-414C-97AA-9D7B64A2156A}"/>
    <cellStyle name="Input 3 4 2 5" xfId="1161" xr:uid="{5AB40FA6-D47F-4486-903B-418FF3EEEB9D}"/>
    <cellStyle name="Input 3 4 2 6" xfId="2806" xr:uid="{7EA314D1-A930-4B3F-AF53-231B88FCD4ED}"/>
    <cellStyle name="Input 3 4 2 7" xfId="3728" xr:uid="{9A941BD3-BDF2-4CD3-9C38-629C5BF00262}"/>
    <cellStyle name="Input 3 4 2 8" xfId="3023" xr:uid="{DF0E2957-E804-4580-AE9B-CAA3BB50B697}"/>
    <cellStyle name="Input 3 4 3" xfId="1566" xr:uid="{C490E46E-B16B-4DA8-9FF0-29B78D7C38AB}"/>
    <cellStyle name="Input 3 4 4" xfId="1880" xr:uid="{3862C114-DF34-48BD-BF2C-1A85B424817C}"/>
    <cellStyle name="Input 3 4 5" xfId="2304" xr:uid="{574B0DD4-51C1-4F3B-8DCE-34E4CB84287A}"/>
    <cellStyle name="Input 3 4 6" xfId="1215" xr:uid="{6E5EC0CD-D550-42A1-9E00-42F4D744AA06}"/>
    <cellStyle name="Input 3 4 7" xfId="3329" xr:uid="{38CE6ED8-32F0-4156-B633-5A4D0974B0C7}"/>
    <cellStyle name="Input 3 4 8" xfId="3516" xr:uid="{487F675D-DB17-474E-ADED-4F2180FE289A}"/>
    <cellStyle name="Input 3 4 9" xfId="2241" xr:uid="{8E0AF8E7-C9C4-4163-9F53-F4676EDBB902}"/>
    <cellStyle name="Input 3 5" xfId="707" xr:uid="{9A1F166E-64E1-4D03-B85F-A6810FD1D771}"/>
    <cellStyle name="Input 3 5 2" xfId="1715" xr:uid="{AE5F23CC-F7A0-4B41-9B24-72377100C281}"/>
    <cellStyle name="Input 3 5 3" xfId="2038" xr:uid="{50960D5C-848B-4EFE-BB6A-76374DA38856}"/>
    <cellStyle name="Input 3 5 4" xfId="2462" xr:uid="{0B8C6784-5DA2-466D-A737-A10437C679CE}"/>
    <cellStyle name="Input 3 5 5" xfId="2899" xr:uid="{ED7A5701-902A-41E1-BFE6-C319D87595A4}"/>
    <cellStyle name="Input 3 5 6" xfId="3287" xr:uid="{630B3F51-28B0-42CE-918B-630B6B80EF77}"/>
    <cellStyle name="Input 3 5 7" xfId="3673" xr:uid="{241649ED-AE67-4814-B5C2-E9BCF9C734CE}"/>
    <cellStyle name="Input 3 5 8" xfId="4027" xr:uid="{E6F35E16-07C4-44ED-92FD-93053DC0AD62}"/>
    <cellStyle name="Input 3 6" xfId="1381" xr:uid="{702691A7-DAA1-44E1-BEB2-A82CAE34B833}"/>
    <cellStyle name="Input 3 7" xfId="1498" xr:uid="{8EE43F42-25EB-4321-95AB-804462BCA3F5}"/>
    <cellStyle name="Input 3 8" xfId="1422" xr:uid="{2CD10F7D-35F4-4065-B435-88CA9984EC0D}"/>
    <cellStyle name="Input 3 9" xfId="1737" xr:uid="{FA52B462-2021-4ED8-AE2F-BA07FCA5830D}"/>
    <cellStyle name="Input 4" xfId="361" xr:uid="{10176F24-19BE-4202-838B-D41229CE83A0}"/>
    <cellStyle name="InputCells" xfId="12" xr:uid="{DF8572F4-F70E-4DBB-BE73-50313D41A6E0}"/>
    <cellStyle name="InputCells 2" xfId="161" xr:uid="{C4638A88-9198-45C8-890F-B91E68EBA915}"/>
    <cellStyle name="InputCells 3" xfId="212" xr:uid="{16F0B8E4-C28A-463C-BA54-9126B67093A2}"/>
    <cellStyle name="InputCells 4" xfId="364" xr:uid="{4EED95DB-D006-4F0D-9CB5-6C01FB4DFC0F}"/>
    <cellStyle name="InputCells_Bborder_1" xfId="162" xr:uid="{498EE746-1510-465F-AA83-790D0CB9DA8A}"/>
    <cellStyle name="InputCells12" xfId="21" xr:uid="{99605A14-F769-4BD5-86BC-1184575D7382}"/>
    <cellStyle name="InputCells12 2" xfId="163" xr:uid="{7D06EB2D-DB24-484D-B0F6-C96F4F3D1512}"/>
    <cellStyle name="InputCells12 2 2" xfId="438" xr:uid="{EBE9D8A8-FF10-453D-91E6-5F55A8120F1D}"/>
    <cellStyle name="InputCells12 2 2 2" xfId="612" xr:uid="{EB3BF0FB-2D5B-4027-BB0D-137FAC52169B}"/>
    <cellStyle name="InputCells12 2 2 2 2" xfId="827" xr:uid="{AFCD4375-DB5F-4B0C-91DB-4F2F7382EB46}"/>
    <cellStyle name="InputCells12 2 2 2 2 2" xfId="1032" xr:uid="{E2A1CC8D-43A4-4C6E-B975-EEA601E30A77}"/>
    <cellStyle name="InputCells12 2 2 2 2 3" xfId="2158" xr:uid="{A1EE9902-8B92-4E34-B825-5C1B664B4AA8}"/>
    <cellStyle name="InputCells12 2 2 2 2 4" xfId="2581" xr:uid="{FA871C56-F2DA-46E7-9A72-59AC695C50A3}"/>
    <cellStyle name="InputCells12 2 2 2 2 5" xfId="1531" xr:uid="{199A2B52-F5F7-40BF-963D-D78ECCBCC081}"/>
    <cellStyle name="InputCells12 2 2 2 2 6" xfId="2764" xr:uid="{A24FCCA2-D24D-4AB5-B1D3-B147D9C0788C}"/>
    <cellStyle name="InputCells12 2 2 2 2 7" xfId="3791" xr:uid="{9270397D-2AAE-406E-8CB6-CC12E0177621}"/>
    <cellStyle name="InputCells12 2 2 2 2 8" xfId="3135" xr:uid="{28623149-620F-42FC-8454-99968A7FBA39}"/>
    <cellStyle name="InputCells12 2 2 2 3" xfId="1496" xr:uid="{3880704C-8CD7-4854-AE27-18B2053739E0}"/>
    <cellStyle name="InputCells12 2 2 2 4" xfId="1943" xr:uid="{179A61A4-C779-4E26-9B4E-DF12881C7F4B}"/>
    <cellStyle name="InputCells12 2 2 2 5" xfId="2367" xr:uid="{8C143EF2-468C-4CD3-86DC-DC1C1E41B10E}"/>
    <cellStyle name="InputCells12 2 2 2 6" xfId="981" xr:uid="{13477796-B04E-4455-8173-1482A0958A4D}"/>
    <cellStyle name="InputCells12 2 2 2 7" xfId="3390" xr:uid="{BA775BEF-655A-411B-BAD9-D057758C350E}"/>
    <cellStyle name="InputCells12 2 2 2 8" xfId="3579" xr:uid="{1FF87E1E-E6AA-49D5-A908-692C4B3F3F18}"/>
    <cellStyle name="InputCells12 2 2 2 9" xfId="1083" xr:uid="{0AA150D2-3871-4FE9-A7CD-E7AD76C491DC}"/>
    <cellStyle name="InputCells12 2 2 3" xfId="737" xr:uid="{5B00C51C-481B-4766-A1F9-20435E792D0D}"/>
    <cellStyle name="InputCells12 2 2 3 2" xfId="1611" xr:uid="{5F5C205A-8DDC-41CB-BF7E-FD99D8699B70}"/>
    <cellStyle name="InputCells12 2 2 3 3" xfId="2068" xr:uid="{ABB839D1-141A-41E4-B800-31AD182A4C16}"/>
    <cellStyle name="InputCells12 2 2 3 4" xfId="2491" xr:uid="{3DA9E4EC-D76B-407D-9C39-41B8088871BD}"/>
    <cellStyle name="InputCells12 2 2 3 5" xfId="2934" xr:uid="{FCFFE2F5-7241-4DBA-9FBF-3CAB7CB886CF}"/>
    <cellStyle name="InputCells12 2 2 3 6" xfId="1013" xr:uid="{97664F37-E3ED-44B2-A69C-7C3735CAD000}"/>
    <cellStyle name="InputCells12 2 2 3 7" xfId="3701" xr:uid="{03240044-6C06-4E5E-B5EB-9434AFDD799D}"/>
    <cellStyle name="InputCells12 2 2 3 8" xfId="4000" xr:uid="{8EAA78E8-1114-48E1-801D-6564137A6A13}"/>
    <cellStyle name="InputCells12 2 3" xfId="297" xr:uid="{68818058-8E87-4230-9549-A81628D77AE4}"/>
    <cellStyle name="InputCells12 2 3 10" xfId="918" xr:uid="{F14D23A8-8AE5-4ADA-8941-93C787648292}"/>
    <cellStyle name="InputCells12 2 3 11" xfId="3470" xr:uid="{E2091452-DCFF-4754-A03E-6B2E512A52F0}"/>
    <cellStyle name="InputCells12 2 3 2" xfId="635" xr:uid="{9783B6CA-F4CE-44BC-A1AC-5C64DA575643}"/>
    <cellStyle name="InputCells12 2 3 2 2" xfId="850" xr:uid="{B9FF2D82-7B32-4619-944F-54E5040CF926}"/>
    <cellStyle name="InputCells12 2 3 2 2 2" xfId="1650" xr:uid="{D784B584-3825-4248-A48A-096DA3AC9B6E}"/>
    <cellStyle name="InputCells12 2 3 2 2 3" xfId="2181" xr:uid="{B6851A99-8257-4DAD-AE8A-69A0694737DE}"/>
    <cellStyle name="InputCells12 2 3 2 2 4" xfId="2604" xr:uid="{F785FFF4-2846-4977-980B-701F02F390BF}"/>
    <cellStyle name="InputCells12 2 3 2 2 5" xfId="2849" xr:uid="{09CE8BEC-EE6F-4777-B0B2-CC7EC4D6FA70}"/>
    <cellStyle name="InputCells12 2 3 2 2 6" xfId="3229" xr:uid="{8B6ADA80-6631-4ADF-9FE1-925A3FF97288}"/>
    <cellStyle name="InputCells12 2 3 2 2 7" xfId="3814" xr:uid="{02353C5B-C014-4920-8889-5A89B2157FE3}"/>
    <cellStyle name="InputCells12 2 3 2 2 8" xfId="4098" xr:uid="{A656F4DF-3C22-41F5-ACF8-CD1530930249}"/>
    <cellStyle name="InputCells12 2 3 2 3" xfId="1461" xr:uid="{DA7C678E-43EC-4393-A417-D5C15FBDB16B}"/>
    <cellStyle name="InputCells12 2 3 2 4" xfId="1966" xr:uid="{CA1C555E-5D01-4ADC-AD9D-59FAA75E155E}"/>
    <cellStyle name="InputCells12 2 3 2 5" xfId="2390" xr:uid="{29917E5E-9224-46F8-91D1-B74769E7C7E0}"/>
    <cellStyle name="InputCells12 2 3 2 6" xfId="1336" xr:uid="{D2B15574-D582-4850-9000-AD5098EFF8ED}"/>
    <cellStyle name="InputCells12 2 3 2 7" xfId="3388" xr:uid="{1F768588-BB0B-4668-9799-95FC181999BD}"/>
    <cellStyle name="InputCells12 2 3 2 8" xfId="3602" xr:uid="{70B21C5D-9364-459C-B6D9-E8CAB5D49D79}"/>
    <cellStyle name="InputCells12 2 3 2 9" xfId="3215" xr:uid="{AD63C351-A9CB-409E-A6C5-EC3A9F669935}"/>
    <cellStyle name="InputCells12 2 3 3" xfId="558" xr:uid="{3EBBF968-FE7C-4DCA-8A32-9C55D9D0BD51}"/>
    <cellStyle name="InputCells12 2 3 3 2" xfId="773" xr:uid="{B1F01F98-04D3-4883-A586-267608A2FC8A}"/>
    <cellStyle name="InputCells12 2 3 3 2 2" xfId="1276" xr:uid="{AE630478-D519-4E4F-8834-7D55DD87347F}"/>
    <cellStyle name="InputCells12 2 3 3 2 3" xfId="2104" xr:uid="{A98DAE25-67D1-4727-96D1-25E7C247C820}"/>
    <cellStyle name="InputCells12 2 3 3 2 4" xfId="2527" xr:uid="{047BE5D5-5A6C-4254-B4E9-E4436D5687A0}"/>
    <cellStyle name="InputCells12 2 3 3 2 5" xfId="1082" xr:uid="{C76A8C1B-FDF9-4531-8EA8-2FBDA76A9D2B}"/>
    <cellStyle name="InputCells12 2 3 3 2 6" xfId="991" xr:uid="{2DE4FBDE-61B7-4978-BC08-C2C51F5E1040}"/>
    <cellStyle name="InputCells12 2 3 3 2 7" xfId="3737" xr:uid="{781AA80E-68BE-4803-BDDA-433ED22FA89B}"/>
    <cellStyle name="InputCells12 2 3 3 2 8" xfId="2719" xr:uid="{98A86E09-0CA1-43F8-81DF-C325B9AE5648}"/>
    <cellStyle name="InputCells12 2 3 3 3" xfId="1521" xr:uid="{A46CFB46-1361-4D17-88C3-53414D2D253D}"/>
    <cellStyle name="InputCells12 2 3 3 4" xfId="1889" xr:uid="{86F767E3-7739-49B8-8190-8FEEB76AEBE3}"/>
    <cellStyle name="InputCells12 2 3 3 5" xfId="2313" xr:uid="{04A29753-FA7B-494A-8F7B-3E4A292DF21E}"/>
    <cellStyle name="InputCells12 2 3 3 6" xfId="1830" xr:uid="{F730BA59-5115-442C-B335-DCFB1A9A7A03}"/>
    <cellStyle name="InputCells12 2 3 3 7" xfId="1119" xr:uid="{5E5E58A3-CC30-42B6-9C5C-13FA0E5DEAC1}"/>
    <cellStyle name="InputCells12 2 3 3 8" xfId="3525" xr:uid="{9ED31E39-132C-43E7-9F51-79CD33D8E120}"/>
    <cellStyle name="InputCells12 2 3 3 9" xfId="3295" xr:uid="{1DD50202-2789-4C36-ABE5-9F40E500EA98}"/>
    <cellStyle name="InputCells12 2 3 4" xfId="674" xr:uid="{D23221B0-326E-41A3-A874-553A6D217D89}"/>
    <cellStyle name="InputCells12 2 3 4 2" xfId="889" xr:uid="{01810B04-8511-479A-A78F-F7C743D9AEAB}"/>
    <cellStyle name="InputCells12 2 3 4 2 2" xfId="956" xr:uid="{4CE316D5-A089-48E1-AC62-150D27F95F95}"/>
    <cellStyle name="InputCells12 2 3 4 2 3" xfId="2220" xr:uid="{46978F1B-25AB-4D96-BE01-77D05B1057C1}"/>
    <cellStyle name="InputCells12 2 3 4 2 4" xfId="2643" xr:uid="{C709CFE4-259F-488D-AC6C-4588EB85C46A}"/>
    <cellStyle name="InputCells12 2 3 4 2 5" xfId="3059" xr:uid="{82B423CE-EBB7-423F-A33C-0801270EF42B}"/>
    <cellStyle name="InputCells12 2 3 4 2 6" xfId="3441" xr:uid="{7875D5E4-DA99-4171-8E3B-F8CDCBF17180}"/>
    <cellStyle name="InputCells12 2 3 4 2 7" xfId="3853" xr:uid="{AC95AB48-D762-4E12-8C25-DEB21479F93D}"/>
    <cellStyle name="InputCells12 2 3 4 2 8" xfId="4117" xr:uid="{4D95D671-7D11-43BA-BF8C-7DB49FACDEF1}"/>
    <cellStyle name="InputCells12 2 3 4 3" xfId="938" xr:uid="{C56681C8-DE0B-4099-879C-F8A7810F2E6D}"/>
    <cellStyle name="InputCells12 2 3 4 4" xfId="2005" xr:uid="{24CAF5BA-37BF-4CAD-8054-072E424CCEF4}"/>
    <cellStyle name="InputCells12 2 3 4 5" xfId="2429" xr:uid="{09145EED-1B73-41A3-9A41-A0BE136C6880}"/>
    <cellStyle name="InputCells12 2 3 4 6" xfId="3025" xr:uid="{90DF0530-5D37-4715-B89C-56A592215E47}"/>
    <cellStyle name="InputCells12 2 3 4 7" xfId="1287" xr:uid="{8C2F60CE-04FC-4BA3-8FEA-E1BD265B56B0}"/>
    <cellStyle name="InputCells12 2 3 4 8" xfId="3641" xr:uid="{8C7C6F3C-86D1-4CF4-B415-98FFA26D33D5}"/>
    <cellStyle name="InputCells12 2 3 4 9" xfId="3682" xr:uid="{664B060B-0523-44C5-A4FD-53897CB4E4AF}"/>
    <cellStyle name="InputCells12 2 3 5" xfId="1228" xr:uid="{C3055B02-A7EE-4615-AD4F-28D267E40C22}"/>
    <cellStyle name="InputCells12 2 3 6" xfId="1390" xr:uid="{C351ED27-3C5A-46BA-BF6A-033BAC8AD6F4}"/>
    <cellStyle name="InputCells12 2 3 7" xfId="1627" xr:uid="{88B91266-7D4F-4591-9EE5-77C58B4A03FC}"/>
    <cellStyle name="InputCells12 2 3 8" xfId="2875" xr:uid="{6859A00E-B86E-4748-A054-187592C79D15}"/>
    <cellStyle name="InputCells12 2 3 9" xfId="3090" xr:uid="{53E349EA-0848-428E-BD2A-66D3A058D4A2}"/>
    <cellStyle name="InputCells12 3" xfId="437" xr:uid="{14B724C1-6ACF-4503-A75F-0ADFBBC8F5AF}"/>
    <cellStyle name="InputCells12 3 2" xfId="542" xr:uid="{594C6D53-8D48-4A48-A985-3AC65D8D4176}"/>
    <cellStyle name="InputCells12 3 2 2" xfId="757" xr:uid="{E9B99A93-780B-41B5-84D1-7D6C6F7FA4F9}"/>
    <cellStyle name="InputCells12 3 2 2 2" xfId="1052" xr:uid="{0A8F665E-15B7-4DB2-956A-59444679BDF8}"/>
    <cellStyle name="InputCells12 3 2 2 3" xfId="2088" xr:uid="{FE830842-6197-49B2-AE21-AFE27DC055A2}"/>
    <cellStyle name="InputCells12 3 2 2 4" xfId="2511" xr:uid="{A6C922B8-4239-4073-8F38-80038E8C9BD2}"/>
    <cellStyle name="InputCells12 3 2 2 5" xfId="2702" xr:uid="{67FF3EE1-C834-4C9F-AC35-45BA8F016D3A}"/>
    <cellStyle name="InputCells12 3 2 2 6" xfId="1845" xr:uid="{4E4E702F-CD25-4398-950B-CBD2195F4612}"/>
    <cellStyle name="InputCells12 3 2 2 7" xfId="3721" xr:uid="{288D4E49-5860-43FB-9101-5D712191E4DC}"/>
    <cellStyle name="InputCells12 3 2 2 8" xfId="3973" xr:uid="{3E9F8CBD-62F2-41A0-BE90-324ED3EB0F56}"/>
    <cellStyle name="InputCells12 3 2 3" xfId="1459" xr:uid="{E6F83F22-F6CC-44F3-984D-7999CC53881C}"/>
    <cellStyle name="InputCells12 3 2 4" xfId="1873" xr:uid="{499675C3-AF8E-4F08-8A16-2720196B095D}"/>
    <cellStyle name="InputCells12 3 2 5" xfId="2297" xr:uid="{1400E724-ADAF-4FF0-AE26-8F04BD67F65D}"/>
    <cellStyle name="InputCells12 3 2 6" xfId="2938" xr:uid="{1BAA038B-8FC9-4A0C-B5D3-35592EFA23D0}"/>
    <cellStyle name="InputCells12 3 2 7" xfId="2890" xr:uid="{463BEE15-4F7A-409D-9E95-C338FBB33C66}"/>
    <cellStyle name="InputCells12 3 2 8" xfId="3509" xr:uid="{BB2E91C8-3F88-469F-9B49-CE012F2A5EAA}"/>
    <cellStyle name="InputCells12 3 2 9" xfId="3956" xr:uid="{93EFFC9A-379A-4A8E-B1C4-748E2D5FDB39}"/>
    <cellStyle name="InputCells12 3 3" xfId="736" xr:uid="{3E18EA79-A3E5-456E-9621-17F6F71C5432}"/>
    <cellStyle name="InputCells12 3 3 2" xfId="1191" xr:uid="{7D9AA8E2-29A3-4899-A512-22FAA077961D}"/>
    <cellStyle name="InputCells12 3 3 3" xfId="2067" xr:uid="{F505FCEE-2C62-43D4-8E9D-2FA4B23455DA}"/>
    <cellStyle name="InputCells12 3 3 4" xfId="2490" xr:uid="{7DB35910-D41F-4171-9412-F3E087466BAB}"/>
    <cellStyle name="InputCells12 3 3 5" xfId="3027" xr:uid="{DB165826-DBC6-4680-92A4-DCC31ECDFB4B}"/>
    <cellStyle name="InputCells12 3 3 6" xfId="3144" xr:uid="{66F13A23-2BA0-425C-A992-F6BFFD6BF228}"/>
    <cellStyle name="InputCells12 3 3 7" xfId="3700" xr:uid="{60B263C8-7E2F-41DF-A9AF-68C6367C0557}"/>
    <cellStyle name="InputCells12 3 3 8" xfId="4082" xr:uid="{5B7982B0-EC6B-4D83-BFA2-017895E61132}"/>
    <cellStyle name="InputCells12 4" xfId="296" xr:uid="{F3422ADD-70F5-4BD6-BA86-1A75A3E3AF83}"/>
    <cellStyle name="InputCells12 4 10" xfId="3185" xr:uid="{1A148267-E565-4692-B9B0-E89993232285}"/>
    <cellStyle name="InputCells12 4 11" xfId="3373" xr:uid="{0F7886F7-C534-4E2F-B943-71B87CDC20AF}"/>
    <cellStyle name="InputCells12 4 2" xfId="634" xr:uid="{20178DB9-2AFE-492E-B6EA-F702BFDC4708}"/>
    <cellStyle name="InputCells12 4 2 2" xfId="849" xr:uid="{9971B759-BFB2-4FFF-9840-1D270B1862FA}"/>
    <cellStyle name="InputCells12 4 2 2 2" xfId="1301" xr:uid="{059F0DE1-D32D-4343-BFA7-256DD5B6088F}"/>
    <cellStyle name="InputCells12 4 2 2 3" xfId="2180" xr:uid="{906404C3-A345-487E-99A0-8E148126B441}"/>
    <cellStyle name="InputCells12 4 2 2 4" xfId="2603" xr:uid="{3E0C8845-526F-4262-800B-490214C2E54D}"/>
    <cellStyle name="InputCells12 4 2 2 5" xfId="1716" xr:uid="{7EE5EAFF-2EE9-4094-B20D-375F83736677}"/>
    <cellStyle name="InputCells12 4 2 2 6" xfId="3410" xr:uid="{1CDECF87-A627-4D08-8E77-0AA4C37534C4}"/>
    <cellStyle name="InputCells12 4 2 2 7" xfId="3813" xr:uid="{EFDC4540-3514-4DE5-91F3-C06EE4BB1BCF}"/>
    <cellStyle name="InputCells12 4 2 2 8" xfId="4048" xr:uid="{992B3920-02E3-4AC0-A5BB-EBD19E3BD5CD}"/>
    <cellStyle name="InputCells12 4 2 3" xfId="1665" xr:uid="{C0B2233D-8DE0-4B6A-A46B-791E44D1AE4B}"/>
    <cellStyle name="InputCells12 4 2 4" xfId="1965" xr:uid="{51599CD7-990A-4A25-A032-4D6B5DA2B3F0}"/>
    <cellStyle name="InputCells12 4 2 5" xfId="2389" xr:uid="{BC6AB12B-59BD-443A-99C6-412E23FB1303}"/>
    <cellStyle name="InputCells12 4 2 6" xfId="50" xr:uid="{1CF85414-76EA-4F2D-8D2E-B6BD360FAE60}"/>
    <cellStyle name="InputCells12 4 2 7" xfId="3158" xr:uid="{480181C1-D08F-4660-A5C9-DC625D1EEFA8}"/>
    <cellStyle name="InputCells12 4 2 8" xfId="3601" xr:uid="{3AF5EEE2-B543-48F9-A6AB-6338E9D76612}"/>
    <cellStyle name="InputCells12 4 2 9" xfId="3988" xr:uid="{2BC9240C-6038-43BC-BF4D-AFA1FFC8D606}"/>
    <cellStyle name="InputCells12 4 3" xfId="559" xr:uid="{322E24D7-D586-4A34-8908-70FFBCD3F586}"/>
    <cellStyle name="InputCells12 4 3 2" xfId="774" xr:uid="{2EB4547F-944D-4BE4-85E6-8FD2A6DDFFC1}"/>
    <cellStyle name="InputCells12 4 3 2 2" xfId="1154" xr:uid="{393C69A3-9218-4754-B6CD-75A09EEDEDE9}"/>
    <cellStyle name="InputCells12 4 3 2 3" xfId="2105" xr:uid="{C1E1EE5A-E93F-4E6B-BB76-39DD434C31F7}"/>
    <cellStyle name="InputCells12 4 3 2 4" xfId="2528" xr:uid="{1B6C5685-FD1F-45F1-BAD8-3E511A71F14B}"/>
    <cellStyle name="InputCells12 4 3 2 5" xfId="1841" xr:uid="{CCFA49F1-6BFE-46D6-BBE8-9E0D487A7400}"/>
    <cellStyle name="InputCells12 4 3 2 6" xfId="1738" xr:uid="{7381B0AA-6A34-44FB-9737-28A7E7D31FCE}"/>
    <cellStyle name="InputCells12 4 3 2 7" xfId="3738" xr:uid="{A3E84D42-80AB-4EDB-9B05-2D4589D41CDC}"/>
    <cellStyle name="InputCells12 4 3 2 8" xfId="3081" xr:uid="{37BE4AEC-5AFB-4FF4-B7AA-C9FEDB5ADB75}"/>
    <cellStyle name="InputCells12 4 3 3" xfId="1203" xr:uid="{0EFC1E6B-8885-4BFB-B013-58358CC386E0}"/>
    <cellStyle name="InputCells12 4 3 4" xfId="1890" xr:uid="{64E56C0A-965C-4D71-BD9E-3F3FA304FA18}"/>
    <cellStyle name="InputCells12 4 3 5" xfId="2314" xr:uid="{94AF5548-3137-44BD-8D4A-E100FF9E93A5}"/>
    <cellStyle name="InputCells12 4 3 6" xfId="1672" xr:uid="{3234B440-7A9A-475F-BD41-131A95A0FE56}"/>
    <cellStyle name="InputCells12 4 3 7" xfId="3283" xr:uid="{27405053-39A5-472F-A69A-9A489FB89415}"/>
    <cellStyle name="InputCells12 4 3 8" xfId="3526" xr:uid="{B6B8B858-B5D5-4F90-A72F-33ABCAC24AEF}"/>
    <cellStyle name="InputCells12 4 3 9" xfId="3992" xr:uid="{3A063287-8EF9-47DD-AA18-CBC2E9873B1E}"/>
    <cellStyle name="InputCells12 4 4" xfId="533" xr:uid="{1665396A-63A5-4113-92E9-E2A28F063070}"/>
    <cellStyle name="InputCells12 4 4 2" xfId="748" xr:uid="{3DF516BA-F2DF-4D89-90D9-C5B155761BBB}"/>
    <cellStyle name="InputCells12 4 4 2 2" xfId="1612" xr:uid="{86B2F64E-EEC9-4A20-9005-99FA947AAD9A}"/>
    <cellStyle name="InputCells12 4 4 2 3" xfId="2079" xr:uid="{1D8EFA8C-5C18-425C-81F6-8D54CEA55E6C}"/>
    <cellStyle name="InputCells12 4 4 2 4" xfId="2502" xr:uid="{D11C12DA-01EA-4484-A068-AF3D39B50D33}"/>
    <cellStyle name="InputCells12 4 4 2 5" xfId="2754" xr:uid="{C705AE91-0929-4D51-B41A-96B5078DEDC8}"/>
    <cellStyle name="InputCells12 4 4 2 6" xfId="1455" xr:uid="{2901CCE6-8501-418B-B435-110A2AC0D45B}"/>
    <cellStyle name="InputCells12 4 4 2 7" xfId="3712" xr:uid="{82EA97A7-FE7B-4A5C-B9FE-6B3340552251}"/>
    <cellStyle name="InputCells12 4 4 2 8" xfId="952" xr:uid="{DCED649A-48E1-440D-B5C5-D6AF26879EBB}"/>
    <cellStyle name="InputCells12 4 4 3" xfId="1699" xr:uid="{70916466-A084-41F6-BE51-47B9258841C1}"/>
    <cellStyle name="InputCells12 4 4 4" xfId="1864" xr:uid="{445833C9-F318-4217-8963-FA3BE3BD903D}"/>
    <cellStyle name="InputCells12 4 4 5" xfId="2288" xr:uid="{A3541A01-19C3-47EF-81A9-97A0E5C2C2BD}"/>
    <cellStyle name="InputCells12 4 4 6" xfId="3011" xr:uid="{9CCAD43D-3093-48BC-B023-F4775DFBFCBA}"/>
    <cellStyle name="InputCells12 4 4 7" xfId="3183" xr:uid="{1022F568-96E3-4E47-AD07-5FF1A5E3B4E4}"/>
    <cellStyle name="InputCells12 4 4 8" xfId="3500" xr:uid="{60FA3F08-8C7E-486D-A98D-49D76AD30A5B}"/>
    <cellStyle name="InputCells12 4 4 9" xfId="2981" xr:uid="{41AFEB13-2674-4D45-9C41-64C04DB76420}"/>
    <cellStyle name="InputCells12 4 5" xfId="1245" xr:uid="{088D90AA-CD2E-45F3-A416-2B6229DA0F88}"/>
    <cellStyle name="InputCells12 4 6" xfId="1701" xr:uid="{35C9765E-8947-4B9A-AEEB-83070D94709C}"/>
    <cellStyle name="InputCells12 4 7" xfId="1097" xr:uid="{64452B72-3CDD-4D96-8150-3471F72FCC40}"/>
    <cellStyle name="InputCells12 4 8" xfId="1342" xr:uid="{7CC05898-9F9C-4A8F-A6A7-61A5B0AA58E8}"/>
    <cellStyle name="InputCells12 4 9" xfId="3089" xr:uid="{E6747396-7B23-42F0-BC90-3083DC79D0B4}"/>
    <cellStyle name="InputCells12 5" xfId="91" xr:uid="{275AF5FE-2085-41F5-A8E2-7AB9B0650650}"/>
    <cellStyle name="InputCells12_BBorder" xfId="27" xr:uid="{72FB5EF1-0FD4-439F-9ACE-704ECB306763}"/>
    <cellStyle name="IntCells" xfId="164" xr:uid="{24DFB598-2193-4209-96A9-74A88957861D}"/>
    <cellStyle name="KP_thin_border_dark_grey" xfId="37" xr:uid="{482D05DD-B1C7-474E-B5DE-9F728289E05F}"/>
    <cellStyle name="Linked Cell 2" xfId="165" xr:uid="{9B792205-42FE-4B53-8A3F-927A27694A7E}"/>
    <cellStyle name="Linked Cell 3" xfId="251" xr:uid="{C02D505E-F3CB-40F4-A7FA-EC9EED00AC2E}"/>
    <cellStyle name="Linked Cell 4" xfId="386" xr:uid="{A1477BDB-8B7D-4782-A75C-61000DA1A157}"/>
    <cellStyle name="Neutral 2" xfId="166" xr:uid="{4CFE72D1-0D95-4BA4-A13D-C1FAAE06097B}"/>
    <cellStyle name="Neutral 3" xfId="252" xr:uid="{3866B054-C179-4E3E-B180-885E71F498B9}"/>
    <cellStyle name="Normaali 2" xfId="167" xr:uid="{3F15A573-E5B0-4F3D-A0E6-0BFAA02F9635}"/>
    <cellStyle name="Normaali 2 2" xfId="168" xr:uid="{D62D5707-81A6-4F79-8E1D-AF3F0C2D72CA}"/>
    <cellStyle name="Normal" xfId="0" builtinId="0"/>
    <cellStyle name="Normal 10" xfId="389" xr:uid="{588899E3-1A5A-4A1E-8E8B-3618715CE179}"/>
    <cellStyle name="Normal 10 2" xfId="458" xr:uid="{752BDC0D-B59A-49E9-AEF2-0C4B1E56074D}"/>
    <cellStyle name="Normal 11" xfId="417" xr:uid="{B6103FED-FBD3-4B77-8F8C-C0D43621E2D2}"/>
    <cellStyle name="Normal 11 2" xfId="459" xr:uid="{A180A53F-8FD0-4372-A40A-E4C939AA6D99}"/>
    <cellStyle name="Normal 12" xfId="528" xr:uid="{EAEEB634-570A-440D-9675-2F89DF77A973}"/>
    <cellStyle name="Normal 12 2" xfId="688" xr:uid="{FB12E4E7-8F5D-4192-B5A5-4FD0AC892091}"/>
    <cellStyle name="Normal 2" xfId="6" xr:uid="{E3A6180F-D42B-4F2A-ADA6-AC37E0D251D2}"/>
    <cellStyle name="Normal 2 2" xfId="169" xr:uid="{76AF96A9-E1D7-47D0-883A-9E0B025E4945}"/>
    <cellStyle name="Normal 2 2 2" xfId="170" xr:uid="{8F53FD42-8D6A-4D32-9B9E-1633CDEFEF54}"/>
    <cellStyle name="Normal 2 3" xfId="171" xr:uid="{6852A4F6-427E-463C-9907-243B04CD5DAA}"/>
    <cellStyle name="Normal 2 3 2" xfId="439" xr:uid="{6C4D9EB3-F29F-4FEF-8756-D9B8643DE33C}"/>
    <cellStyle name="Normal 2 4" xfId="41" xr:uid="{D65B3A01-BEB6-4AD7-A0C8-93FB6EA951C9}"/>
    <cellStyle name="Normal 3" xfId="1" xr:uid="{00000000-0005-0000-0000-000001000000}"/>
    <cellStyle name="Normal 3 2" xfId="172" xr:uid="{18DAEB9D-95BB-4EBC-B963-3E18868F6974}"/>
    <cellStyle name="Normal 3 2 2" xfId="42" xr:uid="{9ACACC07-3138-467B-A3F4-7B2E3C23C7B9}"/>
    <cellStyle name="Normal 3 3" xfId="213" xr:uid="{83E2C0A1-B023-4DD6-B636-DCA801CDE33B}"/>
    <cellStyle name="Normal 3 4" xfId="375" xr:uid="{70A416AE-5778-4032-96D0-07F3207C8645}"/>
    <cellStyle name="Normal 3 5" xfId="38" xr:uid="{598BA4FC-0909-4456-B079-4C0FB12EB4B2}"/>
    <cellStyle name="Normal 4" xfId="173" xr:uid="{1186D4E6-4FC9-42B2-97E3-D17DA60FB609}"/>
    <cellStyle name="Normal 4 2" xfId="174" xr:uid="{D0AA2540-C3E9-4C43-9F6C-416B3137F62C}"/>
    <cellStyle name="Normal 4 2 2" xfId="175" xr:uid="{6CF032E4-DAA3-4A88-AEEB-3BE4F53E4F31}"/>
    <cellStyle name="Normal 4 2 3" xfId="440" xr:uid="{015EB696-5026-4FDD-A518-7D15EFDC602F}"/>
    <cellStyle name="Normal 4 3" xfId="214" xr:uid="{0077A98C-FE29-4836-8A1F-F89F138F4E76}"/>
    <cellStyle name="Normal 4 3 2" xfId="441" xr:uid="{E07C1192-65CB-4DF4-BD71-4B7E4DE4EAF1}"/>
    <cellStyle name="Normal 5" xfId="176" xr:uid="{B7516F56-324F-4AB5-AD7C-36FC1BE69AAA}"/>
    <cellStyle name="Normal 5 2" xfId="307" xr:uid="{9D5A9A56-E652-454B-837D-6B5DCC3DCE4F}"/>
    <cellStyle name="Normal 5 2 2" xfId="314" xr:uid="{C4C0AAAD-7E00-4F8B-B13D-9DEE68567776}"/>
    <cellStyle name="Normal 5 2 2 2" xfId="320" xr:uid="{472150E6-CB2D-45AE-8F3C-49D9BC7E6D30}"/>
    <cellStyle name="Normal 5 2 2 2 2" xfId="335" xr:uid="{55D9743F-DB1A-4FCA-B2D7-71C739E144D0}"/>
    <cellStyle name="Normal 5 2 2 2 2 2" xfId="464" xr:uid="{77471775-2708-4436-8CF1-3DF85971F0F7}"/>
    <cellStyle name="Normal 5 2 2 2 3" xfId="463" xr:uid="{F81EA29B-5B3F-4EBE-96A3-BD52B4AC6673}"/>
    <cellStyle name="Normal 5 2 2 3" xfId="334" xr:uid="{ACB5B057-7E8C-4735-A399-CBA8B20E993E}"/>
    <cellStyle name="Normal 5 2 2 3 2" xfId="465" xr:uid="{FF42FE34-1CAF-47B1-AA98-647E23892C93}"/>
    <cellStyle name="Normal 5 2 2 4" xfId="462" xr:uid="{A535BE91-D953-4CC5-8FC1-E9D2A1ACB080}"/>
    <cellStyle name="Normal 5 2 3" xfId="319" xr:uid="{CA23F8E6-8614-493E-AA1F-510619F9AC4F}"/>
    <cellStyle name="Normal 5 2 3 2" xfId="336" xr:uid="{FE5135DE-9A7C-413C-8AA0-92E4A9A17273}"/>
    <cellStyle name="Normal 5 2 3 2 2" xfId="467" xr:uid="{D0A8184C-B627-4D81-BB6B-3695B1E22020}"/>
    <cellStyle name="Normal 5 2 3 3" xfId="466" xr:uid="{BDCA2751-991E-42ED-8296-3DB1CD533247}"/>
    <cellStyle name="Normal 5 2 4" xfId="333" xr:uid="{2CF71D0B-A27C-4135-AC2B-650B8A1CDB6D}"/>
    <cellStyle name="Normal 5 2 4 2" xfId="468" xr:uid="{B73D0D22-9C5F-499C-A97D-284DA0481818}"/>
    <cellStyle name="Normal 5 2 5" xfId="442" xr:uid="{8C1D0BF0-8BBF-41D9-AF1F-0122BDB2B735}"/>
    <cellStyle name="Normal 5 2 5 2" xfId="469" xr:uid="{AA38FEB8-23D2-4DB2-B7F1-F60A4A5A127C}"/>
    <cellStyle name="Normal 5 2 6" xfId="461" xr:uid="{4E4A39CD-7597-4C15-AC62-2C01B7F05012}"/>
    <cellStyle name="Normal 5 3" xfId="311" xr:uid="{51AE6E73-586C-4B37-B426-7EC5D15F0ED6}"/>
    <cellStyle name="Normal 5 3 2" xfId="321" xr:uid="{C76C3256-EBC2-4604-9F5E-804356A7B8FF}"/>
    <cellStyle name="Normal 5 3 2 2" xfId="338" xr:uid="{14376875-5840-44BB-96C1-C7C3882F35C7}"/>
    <cellStyle name="Normal 5 3 2 2 2" xfId="472" xr:uid="{F1103A04-43FA-4355-951C-5C44B5791CA8}"/>
    <cellStyle name="Normal 5 3 2 3" xfId="471" xr:uid="{DC14A2DE-93F0-4EFF-97DF-3F0A60ADC2A7}"/>
    <cellStyle name="Normal 5 3 3" xfId="337" xr:uid="{1F9C615A-6B85-4EBF-A461-22C328B217E7}"/>
    <cellStyle name="Normal 5 3 3 2" xfId="473" xr:uid="{8B0D0ADD-C50E-456C-9265-684985E706B4}"/>
    <cellStyle name="Normal 5 3 4" xfId="470" xr:uid="{5E1BC2A2-3653-45B9-AC6F-088228C4870A}"/>
    <cellStyle name="Normal 5 4" xfId="318" xr:uid="{9EA27FA1-E9EA-4FB0-9AFB-31E132D766E0}"/>
    <cellStyle name="Normal 5 4 2" xfId="339" xr:uid="{3D040663-A176-4953-8E0E-5CA2502425F6}"/>
    <cellStyle name="Normal 5 4 2 2" xfId="475" xr:uid="{867055CD-920A-4644-A89A-2DDF547CEEB4}"/>
    <cellStyle name="Normal 5 4 3" xfId="474" xr:uid="{2A569DD2-63AC-4028-9B25-D66E777A6E96}"/>
    <cellStyle name="Normal 5 5" xfId="332" xr:uid="{D01150A3-0D76-4D8C-8EDC-C9A49A9DE931}"/>
    <cellStyle name="Normal 5 5 2" xfId="476" xr:uid="{CF8B1613-E4F7-4071-BBAE-FCD6C8B55100}"/>
    <cellStyle name="Normal 5 6" xfId="376" xr:uid="{BA7ADF62-E86A-44AF-A293-B8133C280769}"/>
    <cellStyle name="Normal 5 7" xfId="460" xr:uid="{B11DD143-6391-4674-8EA2-A379FA8E3444}"/>
    <cellStyle name="Normal 5 8" xfId="298" xr:uid="{22383C9B-849E-42BE-87EB-C8FF57B4F1D3}"/>
    <cellStyle name="Normal 6" xfId="177" xr:uid="{3C8841D2-D00F-44C8-A2DA-E0114FDE2912}"/>
    <cellStyle name="Normal 6 10" xfId="443" xr:uid="{3DFBF515-CAD3-466D-A358-B82179E4AA04}"/>
    <cellStyle name="Normal 6 10 2" xfId="478" xr:uid="{D9F60F35-AF29-4BCF-903B-774CB5AA21CC}"/>
    <cellStyle name="Normal 6 11" xfId="477" xr:uid="{9880D599-B240-461F-B8B6-E7FA730A42F4}"/>
    <cellStyle name="Normal 6 2" xfId="308" xr:uid="{A38E299C-86F5-42F3-A919-0B96BB13C27B}"/>
    <cellStyle name="Normal 6 2 2" xfId="315" xr:uid="{00C7E9F4-5435-4668-A2CD-8A390F3F9D9D}"/>
    <cellStyle name="Normal 6 2 2 2" xfId="324" xr:uid="{64261936-1393-4736-A5CB-00AE826A8DB5}"/>
    <cellStyle name="Normal 6 2 2 2 2" xfId="343" xr:uid="{8D686495-5ADB-47F2-9315-1F3078AE0B63}"/>
    <cellStyle name="Normal 6 2 2 2 2 2" xfId="482" xr:uid="{709BC8A7-F421-48E0-9941-7090BC67C2A0}"/>
    <cellStyle name="Normal 6 2 2 2 3" xfId="481" xr:uid="{E53CB750-FBF5-4708-8CBA-FE664F23BBF6}"/>
    <cellStyle name="Normal 6 2 2 3" xfId="342" xr:uid="{9EBAF7F2-6B2A-4D16-A26C-5FA90C75CAD9}"/>
    <cellStyle name="Normal 6 2 2 3 2" xfId="483" xr:uid="{626FF918-6C5B-4AD0-ADA1-6746D75D4256}"/>
    <cellStyle name="Normal 6 2 2 4" xfId="480" xr:uid="{B4923571-1CDA-4C66-8C4E-1F8E1BB33E1A}"/>
    <cellStyle name="Normal 6 2 3" xfId="323" xr:uid="{BA85A405-B0B7-4A1F-AC3F-9A973BC6ECEF}"/>
    <cellStyle name="Normal 6 2 3 2" xfId="344" xr:uid="{7D23DA4B-E1E9-41BE-84D1-950EAA74927B}"/>
    <cellStyle name="Normal 6 2 3 2 2" xfId="485" xr:uid="{70B03C19-C024-4259-AF5B-59550DED0A35}"/>
    <cellStyle name="Normal 6 2 3 3" xfId="484" xr:uid="{5D0842F3-F93E-4D6C-87BF-ACD736E1675C}"/>
    <cellStyle name="Normal 6 2 4" xfId="341" xr:uid="{2837C191-29E5-41FF-A03C-22C0EA45327C}"/>
    <cellStyle name="Normal 6 2 4 2" xfId="486" xr:uid="{67339A6E-1C08-47E0-A5A1-F747B167BC19}"/>
    <cellStyle name="Normal 6 2 5" xfId="444" xr:uid="{F0FE723F-F311-4910-80BF-987121C9658F}"/>
    <cellStyle name="Normal 6 2 5 2" xfId="487" xr:uid="{1D255021-5986-4463-B409-B7BDEE259332}"/>
    <cellStyle name="Normal 6 2 6" xfId="479" xr:uid="{F24296A4-31C3-461E-9ACA-8851C241241A}"/>
    <cellStyle name="Normal 6 3" xfId="310" xr:uid="{A7344A48-1C04-44B4-B9B5-6F5596F246D4}"/>
    <cellStyle name="Normal 6 3 2" xfId="317" xr:uid="{7C9AE9E3-000E-4485-8A05-988EF891E22E}"/>
    <cellStyle name="Normal 6 3 2 2" xfId="326" xr:uid="{B85F3ABD-0762-404A-96DB-EA9FF1E807FC}"/>
    <cellStyle name="Normal 6 3 2 2 2" xfId="347" xr:uid="{1BF53B83-2AD1-4C1F-A47C-2E6CC54055EF}"/>
    <cellStyle name="Normal 6 3 2 2 2 2" xfId="491" xr:uid="{4B9E053D-AFA4-482F-BE87-C56E3F48C4F0}"/>
    <cellStyle name="Normal 6 3 2 2 3" xfId="490" xr:uid="{D2148909-D770-402A-8D82-F71A6166DD0C}"/>
    <cellStyle name="Normal 6 3 2 3" xfId="346" xr:uid="{D00B4BBD-3EA0-47A8-9028-DACC3F0284FC}"/>
    <cellStyle name="Normal 6 3 2 3 2" xfId="492" xr:uid="{C5839923-55F8-4E61-8310-B58E494000F6}"/>
    <cellStyle name="Normal 6 3 2 4" xfId="489" xr:uid="{5F82DD99-F506-4C7D-AF14-6283BB37CE1D}"/>
    <cellStyle name="Normal 6 3 3" xfId="325" xr:uid="{E86791CC-121B-4F26-ADEB-5D03368FE233}"/>
    <cellStyle name="Normal 6 3 3 2" xfId="348" xr:uid="{F9247205-A602-427F-90CE-5C11C080764F}"/>
    <cellStyle name="Normal 6 3 3 2 2" xfId="494" xr:uid="{F0B97F48-8F6E-4CBE-944F-CA015FE8561A}"/>
    <cellStyle name="Normal 6 3 3 3" xfId="493" xr:uid="{328A8B39-2C5C-4202-ABBB-817C084A3F05}"/>
    <cellStyle name="Normal 6 3 4" xfId="345" xr:uid="{F660EC1D-4BBA-47C0-9E48-2B063AFA47F9}"/>
    <cellStyle name="Normal 6 3 4 2" xfId="495" xr:uid="{4BF1473A-5118-497D-96D8-698CB66A270D}"/>
    <cellStyle name="Normal 6 3 5" xfId="488" xr:uid="{C4FD380F-4266-4E6E-9C8A-AB596ED68DA9}"/>
    <cellStyle name="Normal 6 4" xfId="312" xr:uid="{2E8D5845-80B6-405A-AF8D-1EA851311277}"/>
    <cellStyle name="Normal 6 4 2" xfId="327" xr:uid="{3A3D92E7-7416-4618-8829-D6D453C952F3}"/>
    <cellStyle name="Normal 6 4 2 2" xfId="350" xr:uid="{23F50124-BD97-4D00-BA4D-931527BF1AE0}"/>
    <cellStyle name="Normal 6 4 2 2 2" xfId="498" xr:uid="{E799EB87-BDAD-4FB6-B183-DF947236D410}"/>
    <cellStyle name="Normal 6 4 2 3" xfId="497" xr:uid="{37E6A907-5BBC-483D-85B1-579A95C97A39}"/>
    <cellStyle name="Normal 6 4 3" xfId="349" xr:uid="{B6C31F37-C883-4096-9B87-962D05DF5076}"/>
    <cellStyle name="Normal 6 4 3 2" xfId="499" xr:uid="{9D731BDF-24A3-492A-9945-5F5A6D6C91EF}"/>
    <cellStyle name="Normal 6 4 4" xfId="496" xr:uid="{94323B68-2F61-4780-81BD-5334414B6AE7}"/>
    <cellStyle name="Normal 6 5" xfId="322" xr:uid="{E146075D-54AA-40F5-8F76-ED8A8CED0F10}"/>
    <cellStyle name="Normal 6 5 2" xfId="351" xr:uid="{0BA3E751-4E36-429D-ABEE-98B002B93155}"/>
    <cellStyle name="Normal 6 5 2 2" xfId="501" xr:uid="{074D044A-C851-491D-86FF-1739361B6537}"/>
    <cellStyle name="Normal 6 5 3" xfId="500" xr:uid="{66FD8FBD-9D30-4857-BA96-6CA58DBA5170}"/>
    <cellStyle name="Normal 6 6" xfId="340" xr:uid="{052EC8FF-55F1-4D67-928B-E68449773A41}"/>
    <cellStyle name="Normal 6 6 2" xfId="502" xr:uid="{43F662CC-51FC-43E2-8D69-1941079BEF72}"/>
    <cellStyle name="Normal 6 7" xfId="377" xr:uid="{449CEC61-9E8E-480F-8599-A7D84C09BCAC}"/>
    <cellStyle name="Normal 6 7 2" xfId="503" xr:uid="{DE483B67-84E0-4FAB-B3B4-3CAF1B47308F}"/>
    <cellStyle name="Normal 6 8" xfId="413" xr:uid="{F00A9F48-4C99-4EE4-B8F7-78255C444309}"/>
    <cellStyle name="Normal 6 8 2" xfId="504" xr:uid="{FC500D30-C743-40AE-B8D1-DDB31F230C96}"/>
    <cellStyle name="Normal 6 9" xfId="416" xr:uid="{0068E6E8-323D-47BC-805F-775412C6ECF6}"/>
    <cellStyle name="Normal 6 9 2" xfId="505" xr:uid="{6780D1FB-60E1-4AFA-A7AB-90AF7E5E7603}"/>
    <cellStyle name="Normal 7" xfId="36" xr:uid="{13EA928F-DE15-41EA-AA7C-42855BF38994}"/>
    <cellStyle name="Normal 7 2" xfId="309" xr:uid="{FD670E16-1CB5-4C87-81C3-9DBA3A347E78}"/>
    <cellStyle name="Normal 7 2 2" xfId="316" xr:uid="{8AB1DB61-4EE1-4925-81D7-8318B485CF80}"/>
    <cellStyle name="Normal 7 2 2 2" xfId="330" xr:uid="{79125CC1-DFC9-4812-989D-2AF864F6E8AE}"/>
    <cellStyle name="Normal 7 2 2 2 2" xfId="355" xr:uid="{B6E16F94-8E15-4552-B0DF-E958E96EC914}"/>
    <cellStyle name="Normal 7 2 2 2 2 2" xfId="510" xr:uid="{D6707A4F-C032-4918-B1BB-0D22CF0DE804}"/>
    <cellStyle name="Normal 7 2 2 2 3" xfId="509" xr:uid="{192DA531-1FC3-4849-8FA0-240C34777630}"/>
    <cellStyle name="Normal 7 2 2 3" xfId="354" xr:uid="{67C1CDCC-5710-4CA2-B718-5A21C7D19651}"/>
    <cellStyle name="Normal 7 2 2 3 2" xfId="511" xr:uid="{DD4B5E59-D73D-4E7E-9CBA-5A244ED39AE8}"/>
    <cellStyle name="Normal 7 2 2 4" xfId="508" xr:uid="{8211A79E-E39A-46A1-96F3-E10F333583C5}"/>
    <cellStyle name="Normal 7 2 3" xfId="329" xr:uid="{06AC0124-1582-45AA-8FD0-822BBE174964}"/>
    <cellStyle name="Normal 7 2 3 2" xfId="356" xr:uid="{2A2DBAFE-ED1C-4D26-AA3A-32F545310C2A}"/>
    <cellStyle name="Normal 7 2 3 2 2" xfId="513" xr:uid="{EB250ABC-7290-4A87-BAF6-F8D9B778414D}"/>
    <cellStyle name="Normal 7 2 3 3" xfId="512" xr:uid="{70E14B1E-6AF2-456C-A697-B0FF686746D1}"/>
    <cellStyle name="Normal 7 2 4" xfId="353" xr:uid="{124D9FA0-1104-40BF-A7AC-3ED077E188DD}"/>
    <cellStyle name="Normal 7 2 4 2" xfId="514" xr:uid="{E46E6F40-614F-411E-90D6-25E0923E325E}"/>
    <cellStyle name="Normal 7 2 5" xfId="445" xr:uid="{A6E9AF2C-E160-4E18-870A-6119F00341B8}"/>
    <cellStyle name="Normal 7 2 5 2" xfId="515" xr:uid="{AE7B2B02-FB13-4704-B11F-D7A2BDA17040}"/>
    <cellStyle name="Normal 7 2 6" xfId="507" xr:uid="{CF6AD742-BF40-4AF1-8D15-1E4DF9B26546}"/>
    <cellStyle name="Normal 7 3" xfId="313" xr:uid="{B8CB7B0E-3B74-4601-B593-F465BE71D21A}"/>
    <cellStyle name="Normal 7 3 2" xfId="331" xr:uid="{74450281-20B5-4E72-87BF-1052F8EB7321}"/>
    <cellStyle name="Normal 7 3 2 2" xfId="358" xr:uid="{54CBD5F0-001D-473C-9D52-9883FB636230}"/>
    <cellStyle name="Normal 7 3 2 2 2" xfId="518" xr:uid="{F7518FFD-1A25-41F0-AD70-9FC6C5CB2CBA}"/>
    <cellStyle name="Normal 7 3 2 3" xfId="517" xr:uid="{04092C65-224F-45B7-9D23-19E1BCA9C2A9}"/>
    <cellStyle name="Normal 7 3 3" xfId="357" xr:uid="{A60E2B87-A312-4195-A0E9-BEECC0F5CDCE}"/>
    <cellStyle name="Normal 7 3 3 2" xfId="519" xr:uid="{3FE1050A-D138-47D5-8D06-EA59BED13156}"/>
    <cellStyle name="Normal 7 3 4" xfId="516" xr:uid="{D3C1CE90-899C-4594-9DED-684FA3A25593}"/>
    <cellStyle name="Normal 7 4" xfId="328" xr:uid="{227FBB71-6A8E-45FB-AF67-3B017F689629}"/>
    <cellStyle name="Normal 7 4 2" xfId="359" xr:uid="{7A678F4B-5BE0-40F7-AB1B-67C01CD15000}"/>
    <cellStyle name="Normal 7 4 2 2" xfId="521" xr:uid="{1687298C-8F78-42DC-8447-DDB1A84F6B97}"/>
    <cellStyle name="Normal 7 4 3" xfId="520" xr:uid="{87E028D7-EB4D-41CB-8145-F572CC341DC7}"/>
    <cellStyle name="Normal 7 5" xfId="352" xr:uid="{BBEA722E-5FE8-401F-8217-955BF5291A44}"/>
    <cellStyle name="Normal 7 5 2" xfId="522" xr:uid="{990AF1A5-8B5F-41FC-8536-DA05B3E90AB7}"/>
    <cellStyle name="Normal 7 6" xfId="365" xr:uid="{CD193D5E-CBB6-47A1-A7E9-5F7726780ADB}"/>
    <cellStyle name="Normal 7 7" xfId="506" xr:uid="{169D3AD9-C940-4F56-8900-4C0CB1EC0C62}"/>
    <cellStyle name="Normal 7 8" xfId="306" xr:uid="{E4F43AE2-8ABF-4DFE-BCC0-3E71252A1172}"/>
    <cellStyle name="Normal 8" xfId="253" xr:uid="{9DC0C60A-A10D-483D-B6B2-812094E2E190}"/>
    <cellStyle name="Normal 8 2" xfId="447" xr:uid="{02E98EDD-19A0-4AEA-B61C-C181D02679B6}"/>
    <cellStyle name="Normal 8 3" xfId="446" xr:uid="{F64AB3F1-B71D-4A37-A2A6-5BCC7833D14D}"/>
    <cellStyle name="Normal 9" xfId="360" xr:uid="{F9156865-27B1-4957-A3BD-E510346EB80E}"/>
    <cellStyle name="Normal 9 2" xfId="523" xr:uid="{C15EAAEA-857E-417D-A3C0-01DA4B7BC054}"/>
    <cellStyle name="Normal GHG Numbers (0.00)" xfId="178" xr:uid="{3F682B4E-6C8D-4FED-B405-F221EA5ED755}"/>
    <cellStyle name="Normal GHG Numbers (0.00) 2" xfId="179" xr:uid="{ABA8D4EE-80F8-44DC-8A24-CA99D32EEAF8}"/>
    <cellStyle name="Normal GHG Numbers (0.00) 3" xfId="39" xr:uid="{F9A4BB36-1770-4600-8361-AA39D3897C56}"/>
    <cellStyle name="Normal GHG Numbers (0.00) 3 2" xfId="448" xr:uid="{F4130D93-4A21-44AF-B613-B979A9794EE2}"/>
    <cellStyle name="Normal GHG Numbers (0.00) 3 2 2" xfId="597" xr:uid="{E5B7B021-1D75-44B5-A72E-665F3402DE30}"/>
    <cellStyle name="Normal GHG Numbers (0.00) 3 2 2 2" xfId="812" xr:uid="{D2982CD3-BCCF-41B7-8463-C5B0A921910F}"/>
    <cellStyle name="Normal GHG Numbers (0.00) 3 2 2 2 2" xfId="1124" xr:uid="{A6D295DF-27CD-4FC9-9E69-8CFBED4857F0}"/>
    <cellStyle name="Normal GHG Numbers (0.00) 3 2 2 2 3" xfId="2143" xr:uid="{E5D11838-D0A8-47CC-A0F4-4A82054FF64D}"/>
    <cellStyle name="Normal GHG Numbers (0.00) 3 2 2 2 4" xfId="2566" xr:uid="{778EABC0-F078-416E-B395-C5C30D4B6A7B}"/>
    <cellStyle name="Normal GHG Numbers (0.00) 3 2 2 2 5" xfId="1844" xr:uid="{4FC53949-1709-4E15-9CB0-E649B0D85729}"/>
    <cellStyle name="Normal GHG Numbers (0.00) 3 2 2 2 6" xfId="3254" xr:uid="{BC8181AD-F96C-4515-80A0-30F52D123873}"/>
    <cellStyle name="Normal GHG Numbers (0.00) 3 2 2 2 7" xfId="3776" xr:uid="{6A8926D5-D61C-4152-9D06-CDFDE5FD18EF}"/>
    <cellStyle name="Normal GHG Numbers (0.00) 3 2 2 2 8" xfId="3161" xr:uid="{B33987DE-100C-42B4-90A5-0328A00293BD}"/>
    <cellStyle name="Normal GHG Numbers (0.00) 3 2 2 3" xfId="1775" xr:uid="{CF5FAB6C-C14A-4A54-95AC-D1052C2C6121}"/>
    <cellStyle name="Normal GHG Numbers (0.00) 3 2 2 4" xfId="1928" xr:uid="{CD0D9397-E410-4E6E-B6D3-704650855062}"/>
    <cellStyle name="Normal GHG Numbers (0.00) 3 2 2 5" xfId="2352" xr:uid="{55188E15-8892-4D80-9AC7-493AB9BE7223}"/>
    <cellStyle name="Normal GHG Numbers (0.00) 3 2 2 6" xfId="2281" xr:uid="{A9FD2899-A629-4BE5-9320-AD8D99E87078}"/>
    <cellStyle name="Normal GHG Numbers (0.00) 3 2 2 7" xfId="3250" xr:uid="{98A8FE4D-D10F-490B-928E-5995FE2688D9}"/>
    <cellStyle name="Normal GHG Numbers (0.00) 3 2 2 8" xfId="3564" xr:uid="{512E5251-51BF-4A46-9086-9B024E31198C}"/>
    <cellStyle name="Normal GHG Numbers (0.00) 3 2 2 9" xfId="4023" xr:uid="{E3160E99-D768-410C-AAD3-0F5355D0A175}"/>
    <cellStyle name="Normal GHG Numbers (0.00) 3 2 3" xfId="738" xr:uid="{16A08FDC-65BA-4E6A-9522-E54822F0E0BA}"/>
    <cellStyle name="Normal GHG Numbers (0.00) 3 2 3 2" xfId="1646" xr:uid="{3BF74086-7525-4503-9ECA-6F4C25C5D675}"/>
    <cellStyle name="Normal GHG Numbers (0.00) 3 2 3 3" xfId="2069" xr:uid="{1EF3C089-6EFA-42AC-A023-BC51D51015AD}"/>
    <cellStyle name="Normal GHG Numbers (0.00) 3 2 3 4" xfId="2492" xr:uid="{9A11C94E-4BC6-4A42-ABC7-B32B9AE24479}"/>
    <cellStyle name="Normal GHG Numbers (0.00) 3 2 3 5" xfId="3047" xr:uid="{C50EB215-2154-42FB-BC2B-B9DB7AA912E3}"/>
    <cellStyle name="Normal GHG Numbers (0.00) 3 2 3 6" xfId="3432" xr:uid="{21C8E87C-DA4E-40D6-8B41-AFAF93B3D888}"/>
    <cellStyle name="Normal GHG Numbers (0.00) 3 2 3 7" xfId="3702" xr:uid="{7301EBC8-D5ED-4B5F-A11F-266F6A222AB0}"/>
    <cellStyle name="Normal GHG Numbers (0.00) 3 2 3 8" xfId="4109" xr:uid="{A6DF344F-0628-42D7-939D-D255780DFB70}"/>
    <cellStyle name="Normal GHG Numbers (0.00) 3 3" xfId="378" xr:uid="{C3DB7C77-520F-45E2-81CE-17D3AE16595A}"/>
    <cellStyle name="Normal GHG Numbers (0.00) 3 3 10" xfId="2744" xr:uid="{D4AA244C-2867-4B73-AAA5-BE9C4427005D}"/>
    <cellStyle name="Normal GHG Numbers (0.00) 3 3 11" xfId="1284" xr:uid="{C526DB7F-072E-4CD5-A05F-558F59B684C2}"/>
    <cellStyle name="Normal GHG Numbers (0.00) 3 3 2" xfId="656" xr:uid="{76BE756B-4D33-4257-ADF1-2665D8803901}"/>
    <cellStyle name="Normal GHG Numbers (0.00) 3 3 2 2" xfId="871" xr:uid="{74FFA598-5BAF-4256-BEC1-9D104114CBE9}"/>
    <cellStyle name="Normal GHG Numbers (0.00) 3 3 2 2 2" xfId="1134" xr:uid="{E9DB5B7F-B166-47D5-8B94-97154D4C2834}"/>
    <cellStyle name="Normal GHG Numbers (0.00) 3 3 2 2 3" xfId="2202" xr:uid="{8715862D-CD59-4A5E-AACA-F5189D2FB082}"/>
    <cellStyle name="Normal GHG Numbers (0.00) 3 3 2 2 4" xfId="2625" xr:uid="{271E6BCF-6A5E-4457-91A8-381E8DE2612B}"/>
    <cellStyle name="Normal GHG Numbers (0.00) 3 3 2 2 5" xfId="2941" xr:uid="{E44381A1-8D75-4274-9C4F-81EC2065EE6F}"/>
    <cellStyle name="Normal GHG Numbers (0.00) 3 3 2 2 6" xfId="1411" xr:uid="{ACAD734E-7812-492C-A782-101D65689920}"/>
    <cellStyle name="Normal GHG Numbers (0.00) 3 3 2 2 7" xfId="3835" xr:uid="{D552B710-B238-4B6E-A45C-CB7A2EB3AB18}"/>
    <cellStyle name="Normal GHG Numbers (0.00) 3 3 2 2 8" xfId="4083" xr:uid="{C5CD9E15-914E-436B-AB47-D9C784FDACF0}"/>
    <cellStyle name="Normal GHG Numbers (0.00) 3 3 2 3" xfId="1571" xr:uid="{A19470B1-3722-4B58-90E7-887D9C319450}"/>
    <cellStyle name="Normal GHG Numbers (0.00) 3 3 2 4" xfId="1987" xr:uid="{A3D8C654-E06E-4861-8E07-4FB022D810B2}"/>
    <cellStyle name="Normal GHG Numbers (0.00) 3 3 2 5" xfId="2411" xr:uid="{5600C0EC-E828-4CB9-A116-94C903D15A52}"/>
    <cellStyle name="Normal GHG Numbers (0.00) 3 3 2 6" xfId="1837" xr:uid="{4C6E2353-EE98-48B8-BA63-EDFAC6244F8A}"/>
    <cellStyle name="Normal GHG Numbers (0.00) 3 3 2 7" xfId="3422" xr:uid="{189559A4-992A-4CAD-95E1-1826F7C3493C}"/>
    <cellStyle name="Normal GHG Numbers (0.00) 3 3 2 8" xfId="3623" xr:uid="{3DDC92DE-C242-470A-B0D8-33F30C62B9EF}"/>
    <cellStyle name="Normal GHG Numbers (0.00) 3 3 2 9" xfId="3971" xr:uid="{1725A60C-2E27-4597-8949-37C3D6A5B3A9}"/>
    <cellStyle name="Normal GHG Numbers (0.00) 3 3 3" xfId="553" xr:uid="{FCF2AC6F-815C-40CC-B976-2063A3837237}"/>
    <cellStyle name="Normal GHG Numbers (0.00) 3 3 3 2" xfId="768" xr:uid="{930E609A-C7F4-4499-BB30-713CAA7169AD}"/>
    <cellStyle name="Normal GHG Numbers (0.00) 3 3 3 2 2" xfId="1049" xr:uid="{D630B92F-9A10-41C3-897C-74C4A18DDB5B}"/>
    <cellStyle name="Normal GHG Numbers (0.00) 3 3 3 2 3" xfId="2099" xr:uid="{94284B82-740E-46DB-BB70-19A4B202B8D9}"/>
    <cellStyle name="Normal GHG Numbers (0.00) 3 3 3 2 4" xfId="2522" xr:uid="{00259417-8379-43C7-912E-44E61EF9365F}"/>
    <cellStyle name="Normal GHG Numbers (0.00) 3 3 3 2 5" xfId="2687" xr:uid="{36CD06B8-DE08-4B5C-BBE6-1B5F5212BE31}"/>
    <cellStyle name="Normal GHG Numbers (0.00) 3 3 3 2 6" xfId="3024" xr:uid="{5542E22A-8445-44FE-9BCE-CFAF966A014B}"/>
    <cellStyle name="Normal GHG Numbers (0.00) 3 3 3 2 7" xfId="3732" xr:uid="{2E4B1C67-61A1-4485-B2DA-69FCF6B8D30E}"/>
    <cellStyle name="Normal GHG Numbers (0.00) 3 3 3 2 8" xfId="3954" xr:uid="{23FC7A82-A3CA-4CB5-9924-A8A506051DD4}"/>
    <cellStyle name="Normal GHG Numbers (0.00) 3 3 3 3" xfId="1676" xr:uid="{34B13AAD-C540-4575-A0AE-62EE6CE30EE5}"/>
    <cellStyle name="Normal GHG Numbers (0.00) 3 3 3 4" xfId="1884" xr:uid="{15A86DF3-2CB3-40FB-B806-84C8F283DF90}"/>
    <cellStyle name="Normal GHG Numbers (0.00) 3 3 3 5" xfId="2308" xr:uid="{8E91FB2E-EEA3-4468-97CC-444F25DD466F}"/>
    <cellStyle name="Normal GHG Numbers (0.00) 3 3 3 6" xfId="2739" xr:uid="{9CAFAD2F-13DA-4C10-8CBE-1FB2CCC1880D}"/>
    <cellStyle name="Normal GHG Numbers (0.00) 3 3 3 7" xfId="3165" xr:uid="{8C4232EB-35D2-4079-A342-C5ED57528EE5}"/>
    <cellStyle name="Normal GHG Numbers (0.00) 3 3 3 8" xfId="3520" xr:uid="{ED4AE8E2-8049-441D-81D6-3965BEB02E1F}"/>
    <cellStyle name="Normal GHG Numbers (0.00) 3 3 3 9" xfId="3918" xr:uid="{9013D56A-89F9-4AA7-98C5-E56216F1CBB4}"/>
    <cellStyle name="Normal GHG Numbers (0.00) 3 3 4" xfId="686" xr:uid="{F339D2C6-27DD-494C-8635-504C3B31D9C9}"/>
    <cellStyle name="Normal GHG Numbers (0.00) 3 3 4 2" xfId="901" xr:uid="{7F49FD78-DFA8-4931-84D7-C57898055E6E}"/>
    <cellStyle name="Normal GHG Numbers (0.00) 3 3 4 2 2" xfId="1799" xr:uid="{AB6CDA8C-78D4-4392-A9F3-EF1B6A80BD3D}"/>
    <cellStyle name="Normal GHG Numbers (0.00) 3 3 4 2 3" xfId="2232" xr:uid="{5B9E4740-F881-400D-8FD6-48B3D6036CB1}"/>
    <cellStyle name="Normal GHG Numbers (0.00) 3 3 4 2 4" xfId="2655" xr:uid="{E82426EA-667C-4580-AC5C-B99448174657}"/>
    <cellStyle name="Normal GHG Numbers (0.00) 3 3 4 2 5" xfId="3071" xr:uid="{A47435A5-6481-4300-9A9E-02990BC9C708}"/>
    <cellStyle name="Normal GHG Numbers (0.00) 3 3 4 2 6" xfId="3453" xr:uid="{A209C48A-3BE1-46C3-BED0-76B2C91DD8DB}"/>
    <cellStyle name="Normal GHG Numbers (0.00) 3 3 4 2 7" xfId="3865" xr:uid="{0EEBEF8A-F059-4571-9A30-E47BA3D75A46}"/>
    <cellStyle name="Normal GHG Numbers (0.00) 3 3 4 2 8" xfId="4129" xr:uid="{3BC6F6B6-8637-4824-B12E-B8E4343402CF}"/>
    <cellStyle name="Normal GHG Numbers (0.00) 3 3 4 3" xfId="1758" xr:uid="{4D3D6E4F-BD9C-4395-B740-4658A3BD8069}"/>
    <cellStyle name="Normal GHG Numbers (0.00) 3 3 4 4" xfId="2017" xr:uid="{21D84E5C-F317-4C62-B087-D298257F5E94}"/>
    <cellStyle name="Normal GHG Numbers (0.00) 3 3 4 5" xfId="2441" xr:uid="{D8DDD925-7E17-4D6F-8183-DCDE31C4DD51}"/>
    <cellStyle name="Normal GHG Numbers (0.00) 3 3 4 6" xfId="1478" xr:uid="{0247F11E-FB1A-47FD-A5EF-AC760353841C}"/>
    <cellStyle name="Normal GHG Numbers (0.00) 3 3 4 7" xfId="3312" xr:uid="{7D9AC671-3F9A-4A6B-9512-A2EE9AFDEAEA}"/>
    <cellStyle name="Normal GHG Numbers (0.00) 3 3 4 8" xfId="3653" xr:uid="{6AB4CED2-3F24-4EE4-8A75-7F8D4D76F6D1}"/>
    <cellStyle name="Normal GHG Numbers (0.00) 3 3 4 9" xfId="3336" xr:uid="{5F31BFB1-4C67-4EB8-9C90-B23560B31333}"/>
    <cellStyle name="Normal GHG Numbers (0.00) 3 3 5" xfId="1592" xr:uid="{9ABEED9A-9273-418F-887E-AA4F88162A8D}"/>
    <cellStyle name="Normal GHG Numbers (0.00) 3 3 6" xfId="1102" xr:uid="{6E15F804-26FA-4DFF-B4AD-47413541AAF4}"/>
    <cellStyle name="Normal GHG Numbers (0.00) 3 3 7" xfId="1580" xr:uid="{1F83AA16-F327-4F18-AFC8-5E804D9FBE70}"/>
    <cellStyle name="Normal GHG Numbers (0.00) 3 3 8" xfId="1726" xr:uid="{9580F2F4-F192-4286-AAD3-2FC9BABA3D10}"/>
    <cellStyle name="Normal GHG Numbers (0.00) 3 3 9" xfId="3317" xr:uid="{C0FBA90A-D347-4B3A-AAEA-52330BB1558E}"/>
    <cellStyle name="Normal GHG Numbers (0.00) 3 4" xfId="180" xr:uid="{39609979-F11A-4C61-BFDB-787CF78E5EFC}"/>
    <cellStyle name="Normal GHG Textfiels Bold" xfId="7" xr:uid="{4B8D1236-24DD-48DF-BCA6-E8ED75D1E45D}"/>
    <cellStyle name="Normal GHG Textfiels Bold 2" xfId="181" xr:uid="{B3FB1560-AAA6-4001-9B6C-23C417BCBCF0}"/>
    <cellStyle name="Normal GHG Textfiels Bold 3" xfId="182" xr:uid="{6B3CC4CE-1704-471C-9C14-8A60976E4A51}"/>
    <cellStyle name="Normal GHG Textfiels Bold 3 2" xfId="449" xr:uid="{C68FCCE6-8434-4269-88AB-5FDAAAAFC908}"/>
    <cellStyle name="Normal GHG Textfiels Bold 3 2 2" xfId="541" xr:uid="{A605E51D-53F3-4747-8BFD-B8F5D768689B}"/>
    <cellStyle name="Normal GHG Textfiels Bold 3 2 2 2" xfId="756" xr:uid="{EDEBB633-7E43-4F5A-BDAB-7DFCA9170390}"/>
    <cellStyle name="Normal GHG Textfiels Bold 3 2 2 2 2" xfId="1126" xr:uid="{0BC18725-AF3F-45AA-90C1-80AA8DAA97F6}"/>
    <cellStyle name="Normal GHG Textfiels Bold 3 2 2 2 3" xfId="2087" xr:uid="{C0495AFF-BC80-4B96-9299-8710D7CE0930}"/>
    <cellStyle name="Normal GHG Textfiels Bold 3 2 2 2 4" xfId="2510" xr:uid="{3111CA86-8124-4D07-A9CE-C0650A76F6D7}"/>
    <cellStyle name="Normal GHG Textfiels Bold 3 2 2 2 5" xfId="2989" xr:uid="{0BA36D92-AA28-4CA2-9F04-AADBF4BB6968}"/>
    <cellStyle name="Normal GHG Textfiels Bold 3 2 2 2 6" xfId="2918" xr:uid="{B48B2FA9-3A57-4318-8D62-4F2D1F854982}"/>
    <cellStyle name="Normal GHG Textfiels Bold 3 2 2 2 7" xfId="3720" xr:uid="{7408A450-12FC-4C8E-9461-5CDD38F59D10}"/>
    <cellStyle name="Normal GHG Textfiels Bold 3 2 2 2 8" xfId="3338" xr:uid="{207D6B90-49A3-45A2-9793-2BA5AFFEEFFB}"/>
    <cellStyle name="Normal GHG Textfiels Bold 3 2 2 3" xfId="1663" xr:uid="{710A850B-2E41-41C0-86EB-830F2C303766}"/>
    <cellStyle name="Normal GHG Textfiels Bold 3 2 2 4" xfId="1872" xr:uid="{F665113A-0B69-4A34-9EEE-CCADCEFF0481}"/>
    <cellStyle name="Normal GHG Textfiels Bold 3 2 2 5" xfId="2296" xr:uid="{28F06E36-276F-41A2-88AA-7F321AF5284C}"/>
    <cellStyle name="Normal GHG Textfiels Bold 3 2 2 6" xfId="3015" xr:uid="{76279E6B-B16A-47C7-9B17-3C153763D788}"/>
    <cellStyle name="Normal GHG Textfiels Bold 3 2 2 7" xfId="3156" xr:uid="{F6E9AE27-5B3C-4FC0-B282-1B58030B9AB5}"/>
    <cellStyle name="Normal GHG Textfiels Bold 3 2 2 8" xfId="3508" xr:uid="{08975244-F545-4A51-A294-82572EE42CD8}"/>
    <cellStyle name="Normal GHG Textfiels Bold 3 2 2 9" xfId="3400" xr:uid="{7FF7E9E8-268D-443E-B005-C08FEB0EADA2}"/>
    <cellStyle name="Normal GHG Textfiels Bold 3 2 3" xfId="739" xr:uid="{6956ED09-59AC-459A-8CBD-EA5DDB6DBC89}"/>
    <cellStyle name="Normal GHG Textfiels Bold 3 2 3 2" xfId="1443" xr:uid="{AD6C524A-61B3-4F36-9F95-4FF23D2AAD58}"/>
    <cellStyle name="Normal GHG Textfiels Bold 3 2 3 3" xfId="2070" xr:uid="{9F8E6890-7087-4727-A0D0-D735959D7FAA}"/>
    <cellStyle name="Normal GHG Textfiels Bold 3 2 3 4" xfId="2493" xr:uid="{894E42C0-D404-478A-9DBC-43652A1FCBA2}"/>
    <cellStyle name="Normal GHG Textfiels Bold 3 2 3 5" xfId="3013" xr:uid="{15F96344-67D6-475B-93C0-7884A0250E2F}"/>
    <cellStyle name="Normal GHG Textfiels Bold 3 2 3 6" xfId="3252" xr:uid="{DF8D32AB-8617-49EA-93B9-E0146D70CA26}"/>
    <cellStyle name="Normal GHG Textfiels Bold 3 2 3 7" xfId="3703" xr:uid="{9576BCDF-D4C3-4806-B20F-C9CC947E11F2}"/>
    <cellStyle name="Normal GHG Textfiels Bold 3 2 3 8" xfId="2251" xr:uid="{6757A5FF-90B5-4828-A14A-6BEC40C54AAF}"/>
    <cellStyle name="Normal GHG Textfiels Bold 3 3" xfId="379" xr:uid="{6006AC78-97F2-4471-8D7A-573BFCC412E7}"/>
    <cellStyle name="Normal GHG Textfiels Bold 3 3 10" xfId="2860" xr:uid="{B7AEA342-631A-46B7-B5F1-2E1FFD2B9549}"/>
    <cellStyle name="Normal GHG Textfiels Bold 3 3 11" xfId="3686" xr:uid="{85BA329C-C862-4AA2-A91E-E50530AD0941}"/>
    <cellStyle name="Normal GHG Textfiels Bold 3 3 2" xfId="657" xr:uid="{00181DB2-E6A1-4BC7-8D5F-CFBC54FC2B4D}"/>
    <cellStyle name="Normal GHG Textfiels Bold 3 3 2 2" xfId="872" xr:uid="{0E997460-C493-47F5-AC87-B1582A7DF654}"/>
    <cellStyle name="Normal GHG Textfiels Bold 3 3 2 2 2" xfId="1020" xr:uid="{1ABD1174-5595-40D0-A01D-B7FC187EEA02}"/>
    <cellStyle name="Normal GHG Textfiels Bold 3 3 2 2 3" xfId="2203" xr:uid="{B40EAE2D-82E4-47BD-A380-15E038531E07}"/>
    <cellStyle name="Normal GHG Textfiels Bold 3 3 2 2 4" xfId="2626" xr:uid="{3EF00F67-6E80-4BB7-8306-476AD4B36742}"/>
    <cellStyle name="Normal GHG Textfiels Bold 3 3 2 2 5" xfId="1214" xr:uid="{D02B7F2A-14AD-48E9-B461-21BB3D035BDF}"/>
    <cellStyle name="Normal GHG Textfiels Bold 3 3 2 2 6" xfId="2880" xr:uid="{0B167A94-DDA6-4AF3-A9B5-AB11A7A74C55}"/>
    <cellStyle name="Normal GHG Textfiels Bold 3 3 2 2 7" xfId="3836" xr:uid="{7CBB7098-6DC9-4A20-99FF-30E0CD91F58D}"/>
    <cellStyle name="Normal GHG Textfiels Bold 3 3 2 2 8" xfId="4049" xr:uid="{3130A393-C3C6-4178-B623-99CD8EF85CE4}"/>
    <cellStyle name="Normal GHG Textfiels Bold 3 3 2 3" xfId="1764" xr:uid="{01F21209-6576-4EBE-A98D-CD9820CBD035}"/>
    <cellStyle name="Normal GHG Textfiels Bold 3 3 2 4" xfId="1988" xr:uid="{D6189E3E-7787-4998-ADE1-74644A55A273}"/>
    <cellStyle name="Normal GHG Textfiels Bold 3 3 2 5" xfId="2412" xr:uid="{3F4B2FED-5028-4A8D-A717-16E5C5382068}"/>
    <cellStyle name="Normal GHG Textfiels Bold 3 3 2 6" xfId="1076" xr:uid="{2AEAA996-626F-46CE-AAA1-4FDFC41A34A3}"/>
    <cellStyle name="Normal GHG Textfiels Bold 3 3 2 7" xfId="3241" xr:uid="{1DA4FEFE-E7D7-42E8-8385-754C323EBA7D}"/>
    <cellStyle name="Normal GHG Textfiels Bold 3 3 2 8" xfId="3624" xr:uid="{492114AA-194F-441D-BB78-F3077423F6E4}"/>
    <cellStyle name="Normal GHG Textfiels Bold 3 3 2 9" xfId="4045" xr:uid="{ED5C5E94-0C3F-4BA3-80CE-41EC7FC00E7A}"/>
    <cellStyle name="Normal GHG Textfiels Bold 3 3 3" xfId="600" xr:uid="{479E9CB3-1165-4FEC-B3AF-EECA2E63E328}"/>
    <cellStyle name="Normal GHG Textfiels Bold 3 3 3 2" xfId="815" xr:uid="{0A9476F3-B641-4435-A7E6-41B496BA068D}"/>
    <cellStyle name="Normal GHG Textfiels Bold 3 3 3 2 2" xfId="1572" xr:uid="{ABA3D749-819D-402C-882C-80D6F00FEFB2}"/>
    <cellStyle name="Normal GHG Textfiels Bold 3 3 3 2 3" xfId="2146" xr:uid="{AEE24EF3-91B8-43E5-A5EE-3F8024010872}"/>
    <cellStyle name="Normal GHG Textfiels Bold 3 3 3 2 4" xfId="2569" xr:uid="{4AE13101-8492-4682-9029-150960CC5F79}"/>
    <cellStyle name="Normal GHG Textfiels Bold 3 3 3 2 5" xfId="1260" xr:uid="{7EA15D25-F1AA-4EB9-9F04-D202405F7AAA}"/>
    <cellStyle name="Normal GHG Textfiels Bold 3 3 3 2 6" xfId="3409" xr:uid="{754C57E1-A9D3-44D3-86B2-DE67767EDD9D}"/>
    <cellStyle name="Normal GHG Textfiels Bold 3 3 3 2 7" xfId="3779" xr:uid="{4F3367AB-B99C-4012-ACF7-90C2144BF2EB}"/>
    <cellStyle name="Normal GHG Textfiels Bold 3 3 3 2 8" xfId="3891" xr:uid="{88F3A024-01A9-49A5-A23E-538AA7F81257}"/>
    <cellStyle name="Normal GHG Textfiels Bold 3 3 3 3" xfId="1548" xr:uid="{0AF73468-233F-40AA-BE12-CBD8B8409737}"/>
    <cellStyle name="Normal GHG Textfiels Bold 3 3 3 4" xfId="1931" xr:uid="{117C5CB4-B5F6-4CE5-94E2-1DF71C0D4B94}"/>
    <cellStyle name="Normal GHG Textfiels Bold 3 3 3 5" xfId="2355" xr:uid="{3BFE44E6-6660-45AA-812D-9DE36A792843}"/>
    <cellStyle name="Normal GHG Textfiels Bold 3 3 3 6" xfId="1671" xr:uid="{5E5B21FA-D1E5-49A5-BCD4-BC617FDEF251}"/>
    <cellStyle name="Normal GHG Textfiels Bold 3 3 3 7" xfId="3389" xr:uid="{3495D449-6F1E-4B95-AF2D-EE10CDA39D55}"/>
    <cellStyle name="Normal GHG Textfiels Bold 3 3 3 8" xfId="3567" xr:uid="{2C854254-08D9-4C0A-8B42-46CA8D5EF21B}"/>
    <cellStyle name="Normal GHG Textfiels Bold 3 3 3 9" xfId="3877" xr:uid="{B9D9E0F3-BC06-41A5-A05E-7DC0B208B13E}"/>
    <cellStyle name="Normal GHG Textfiels Bold 3 3 4" xfId="575" xr:uid="{D10E451F-469D-41AB-8721-C3ED1068728A}"/>
    <cellStyle name="Normal GHG Textfiels Bold 3 3 4 2" xfId="790" xr:uid="{DBA43687-8F38-4067-B4D3-3B8BAAE84DFD}"/>
    <cellStyle name="Normal GHG Textfiels Bold 3 3 4 2 2" xfId="1148" xr:uid="{17EDAFA2-1838-4F17-9071-183ECBEFED2A}"/>
    <cellStyle name="Normal GHG Textfiels Bold 3 3 4 2 3" xfId="2121" xr:uid="{419835E1-CFCC-4011-A1A3-69D8A40324C8}"/>
    <cellStyle name="Normal GHG Textfiels Bold 3 3 4 2 4" xfId="2544" xr:uid="{83360CD9-7E5F-42AE-BD63-F102C0C84FD6}"/>
    <cellStyle name="Normal GHG Textfiels Bold 3 3 4 2 5" xfId="1533" xr:uid="{5B684F05-63BF-453C-ACD6-BA777A9977CE}"/>
    <cellStyle name="Normal GHG Textfiels Bold 3 3 4 2 6" xfId="2765" xr:uid="{6EE6BBF9-E6F5-479A-96C9-1996F51EDE07}"/>
    <cellStyle name="Normal GHG Textfiels Bold 3 3 4 2 7" xfId="3754" xr:uid="{5B4235F6-2553-4F67-B370-CC6139CD26E3}"/>
    <cellStyle name="Normal GHG Textfiels Bold 3 3 4 2 8" xfId="3947" xr:uid="{08CC4BB8-DCD7-466C-B67C-164CE73BE2AA}"/>
    <cellStyle name="Normal GHG Textfiels Bold 3 3 4 3" xfId="1456" xr:uid="{6703E768-7631-49DD-9360-2C6D479AF3D7}"/>
    <cellStyle name="Normal GHG Textfiels Bold 3 3 4 4" xfId="1906" xr:uid="{F93AF5C6-D9C3-4317-B639-617CD28C488A}"/>
    <cellStyle name="Normal GHG Textfiels Bold 3 3 4 5" xfId="2330" xr:uid="{890FE757-5914-4CEE-9568-92F9EEF28DD9}"/>
    <cellStyle name="Normal GHG Textfiels Bold 3 3 4 6" xfId="2791" xr:uid="{71F885A0-6E4C-46E4-8262-947D63772C98}"/>
    <cellStyle name="Normal GHG Textfiels Bold 3 3 4 7" xfId="3280" xr:uid="{D91C857E-CB00-45EA-9F31-F43D586E8E1B}"/>
    <cellStyle name="Normal GHG Textfiels Bold 3 3 4 8" xfId="3542" xr:uid="{33E3A3E0-95DB-4C8C-8C18-5A03FBC578EE}"/>
    <cellStyle name="Normal GHG Textfiels Bold 3 3 4 9" xfId="4071" xr:uid="{78F7BB5A-F59B-410D-B6D0-51F21468C1E4}"/>
    <cellStyle name="Normal GHG Textfiels Bold 3 3 5" xfId="1648" xr:uid="{E6484A09-6722-47F2-927B-9D43BD5BBE00}"/>
    <cellStyle name="Normal GHG Textfiels Bold 3 3 6" xfId="916" xr:uid="{467BD846-A20E-4DEA-9924-F3F888C42BEA}"/>
    <cellStyle name="Normal GHG Textfiels Bold 3 3 7" xfId="942" xr:uid="{5DCCA4F7-EE06-43B8-830A-630D48B5145A}"/>
    <cellStyle name="Normal GHG Textfiels Bold 3 3 8" xfId="2926" xr:uid="{CFEE8582-4D50-4551-876B-1149D881AF90}"/>
    <cellStyle name="Normal GHG Textfiels Bold 3 3 9" xfId="3146" xr:uid="{930ECCE5-D417-4942-A6DE-371F404D3A3B}"/>
    <cellStyle name="Normal GHG whole table" xfId="15" xr:uid="{467F89E8-6940-4E44-A532-BE854F96544D}"/>
    <cellStyle name="Normal GHG whole table 2" xfId="450" xr:uid="{B4AF0AC3-F376-4C73-A25E-CBE4777E31D9}"/>
    <cellStyle name="Normal GHG whole table 2 2" xfId="596" xr:uid="{1A743095-8A2A-4544-9395-912A494801B2}"/>
    <cellStyle name="Normal GHG whole table 2 2 2" xfId="811" xr:uid="{45E2AF61-B059-4818-9D80-BB3B4BAA0701}"/>
    <cellStyle name="Normal GHG whole table 2 2 2 2" xfId="1307" xr:uid="{DA7DDA70-4FB6-404C-A1B2-C1CB161C43D6}"/>
    <cellStyle name="Normal GHG whole table 2 2 2 3" xfId="2142" xr:uid="{7A8B2480-7318-4849-8483-30ACAEF9E28F}"/>
    <cellStyle name="Normal GHG whole table 2 2 2 4" xfId="2565" xr:uid="{11E27EF9-4F61-42AC-BBFD-AB0856D72896}"/>
    <cellStyle name="Normal GHG whole table 2 2 2 5" xfId="3049" xr:uid="{BC555DE1-2BD3-4752-B2C8-99156B944AFA}"/>
    <cellStyle name="Normal GHG whole table 2 2 2 6" xfId="3434" xr:uid="{84FBECD9-EE5B-418F-ABC9-5DC0581A2F9F}"/>
    <cellStyle name="Normal GHG whole table 2 2 2 7" xfId="3775" xr:uid="{F5DA186B-BDC7-49AA-A4B5-DEE0EB9BB1F9}"/>
    <cellStyle name="Normal GHG whole table 2 2 2 8" xfId="4111" xr:uid="{0C181332-4A78-4457-9161-64FE20780AF2}"/>
    <cellStyle name="Normal GHG whole table 2 2 3" xfId="1598" xr:uid="{152A41CC-26D1-4B2A-8B57-4233F303EAA0}"/>
    <cellStyle name="Normal GHG whole table 2 2 4" xfId="1927" xr:uid="{4944CBB6-1C6D-4850-B9DE-C8DD0426250F}"/>
    <cellStyle name="Normal GHG whole table 2 2 5" xfId="2351" xr:uid="{8E3CC520-90D8-4B01-92D3-5ABDA8CBB6AF}"/>
    <cellStyle name="Normal GHG whole table 2 2 6" xfId="3045" xr:uid="{FBA0C2F8-1419-49C0-BEA4-09C985D0F2EC}"/>
    <cellStyle name="Normal GHG whole table 2 2 7" xfId="3430" xr:uid="{A622E547-5E32-46FF-902E-6283CABCF9D8}"/>
    <cellStyle name="Normal GHG whole table 2 2 8" xfId="3563" xr:uid="{98920BE7-F5DD-47BA-A2F2-E35A9241AE0E}"/>
    <cellStyle name="Normal GHG whole table 2 2 9" xfId="4107" xr:uid="{E0E5FB37-E9D5-466D-AE71-55BACA3FD4C1}"/>
    <cellStyle name="Normal GHG whole table 2 3" xfId="740" xr:uid="{889B616D-6361-4A16-A6CE-5C1C0952E6D1}"/>
    <cellStyle name="Normal GHG whole table 2 3 2" xfId="1324" xr:uid="{F59C51CC-8E31-4003-8EE6-75E625E65FFD}"/>
    <cellStyle name="Normal GHG whole table 2 3 3" xfId="2071" xr:uid="{E0988989-A83E-4017-A0BE-ED0A5337F74B}"/>
    <cellStyle name="Normal GHG whole table 2 3 4" xfId="2494" xr:uid="{F850D4BA-8C0E-44EA-89BD-97B447AF2DAB}"/>
    <cellStyle name="Normal GHG whole table 2 3 5" xfId="3051" xr:uid="{DBC27295-4898-41AB-9512-7C904ACB38D8}"/>
    <cellStyle name="Normal GHG whole table 2 3 6" xfId="3436" xr:uid="{D4DC13B5-27BA-412B-9016-D4C1E66A5F35}"/>
    <cellStyle name="Normal GHG whole table 2 3 7" xfId="3704" xr:uid="{AF6E1AB6-1ABA-46C3-A25A-BDC1F50C90ED}"/>
    <cellStyle name="Normal GHG whole table 2 3 8" xfId="4112" xr:uid="{A02E5A76-66CC-494E-BD55-D00AA61A97DF}"/>
    <cellStyle name="Normal GHG whole table 3" xfId="299" xr:uid="{7B52BAE3-C699-4FF4-ACA1-BF92DF5C0803}"/>
    <cellStyle name="Normal GHG whole table 3 10" xfId="3177" xr:uid="{E69C891E-1D63-4FED-B90E-5292BD3B912E}"/>
    <cellStyle name="Normal GHG whole table 3 11" xfId="3909" xr:uid="{948BCCC5-E76D-44C8-9EE1-D8843BBC7D0F}"/>
    <cellStyle name="Normal GHG whole table 3 2" xfId="636" xr:uid="{9C31ED16-83B7-490E-A63F-C54409EA60E2}"/>
    <cellStyle name="Normal GHG whole table 3 2 2" xfId="851" xr:uid="{B374E2B8-960A-40A1-98DB-CCC285D8B49C}"/>
    <cellStyle name="Normal GHG whole table 3 2 2 2" xfId="1447" xr:uid="{FCD60894-4EE9-4B23-9759-560EE25C7D87}"/>
    <cellStyle name="Normal GHG whole table 3 2 2 3" xfId="2182" xr:uid="{74562C68-B09C-4DF0-8EE1-27752F76D249}"/>
    <cellStyle name="Normal GHG whole table 3 2 2 4" xfId="2605" xr:uid="{D4DCAC1D-7847-4B7E-831B-BF0F2BBA6E99}"/>
    <cellStyle name="Normal GHG whole table 3 2 2 5" xfId="967" xr:uid="{7099970F-275F-410F-B645-028D3E651CF0}"/>
    <cellStyle name="Normal GHG whole table 3 2 2 6" xfId="3408" xr:uid="{59DC85ED-017C-4BAB-BF9F-17090BC812A5}"/>
    <cellStyle name="Normal GHG whole table 3 2 2 7" xfId="3815" xr:uid="{7F66AA45-F058-49FB-8288-ED9241BD601E}"/>
    <cellStyle name="Normal GHG whole table 3 2 2 8" xfId="3937" xr:uid="{43465C5B-781F-4BFA-A8B3-A0774DC50276}"/>
    <cellStyle name="Normal GHG whole table 3 2 3" xfId="1722" xr:uid="{6732B2CD-F0B2-4C03-9D2F-BA07363FF3FB}"/>
    <cellStyle name="Normal GHG whole table 3 2 4" xfId="1967" xr:uid="{78AA3358-54B2-422D-A7B3-6A276A22AE4E}"/>
    <cellStyle name="Normal GHG whole table 3 2 5" xfId="2391" xr:uid="{D2AD7E68-8B56-44B5-8815-3D3C0BB06EDB}"/>
    <cellStyle name="Normal GHG whole table 3 2 6" xfId="2980" xr:uid="{66EB9C78-1895-4D54-9FDE-F2A4F4E130E2}"/>
    <cellStyle name="Normal GHG whole table 3 2 7" xfId="3204" xr:uid="{5DE7F11A-0A74-44EE-8B4E-A75C1C2DBE53}"/>
    <cellStyle name="Normal GHG whole table 3 2 8" xfId="3603" xr:uid="{A716B014-4D80-4780-A79B-345446623E9B}"/>
    <cellStyle name="Normal GHG whole table 3 2 9" xfId="3021" xr:uid="{112CFB8D-773F-4A8F-BE71-5CABB8709B5C}"/>
    <cellStyle name="Normal GHG whole table 3 3" xfId="557" xr:uid="{F4037A03-6D84-43FC-90D4-D3BBDB273ED6}"/>
    <cellStyle name="Normal GHG whole table 3 3 2" xfId="772" xr:uid="{2F1BD895-1EFC-43EB-A55C-DF64866CA0BA}"/>
    <cellStyle name="Normal GHG whole table 3 3 2 2" xfId="1047" xr:uid="{642AB16B-D8F7-4726-A2DF-9A4E01EAA3E2}"/>
    <cellStyle name="Normal GHG whole table 3 3 2 3" xfId="2103" xr:uid="{00079456-581C-4FD0-81E5-DDFFF013C12E}"/>
    <cellStyle name="Normal GHG whole table 3 3 2 4" xfId="2526" xr:uid="{696968EE-DED7-40ED-96F6-6E82969C2D76}"/>
    <cellStyle name="Normal GHG whole table 3 3 2 5" xfId="2044" xr:uid="{BCF08E60-C525-4CE8-9879-8E9A98016B69}"/>
    <cellStyle name="Normal GHG whole table 3 3 2 6" xfId="1816" xr:uid="{7A3177C7-C798-413C-A669-8BCC5D976F39}"/>
    <cellStyle name="Normal GHG whole table 3 3 2 7" xfId="3736" xr:uid="{3A26391B-2C4B-4B8D-B638-A8466676A6C6}"/>
    <cellStyle name="Normal GHG whole table 3 3 2 8" xfId="3904" xr:uid="{26F2CCF4-6F46-458D-B4DA-4C719F960156}"/>
    <cellStyle name="Normal GHG whole table 3 3 3" xfId="1725" xr:uid="{7D8F6CF9-CB87-4084-99BC-04A03F299360}"/>
    <cellStyle name="Normal GHG whole table 3 3 4" xfId="1888" xr:uid="{2ED48FA5-BA07-4CAA-8DC0-B355B61B5FB4}"/>
    <cellStyle name="Normal GHG whole table 3 3 5" xfId="2312" xr:uid="{093141CA-ED8D-4BD5-9637-7EA6F2098345}"/>
    <cellStyle name="Normal GHG whole table 3 3 6" xfId="1338" xr:uid="{7403DCCD-3114-488C-8212-3037D764EF46}"/>
    <cellStyle name="Normal GHG whole table 3 3 7" xfId="3207" xr:uid="{6BF40F75-5581-43F8-A5FD-E1A4CF74DB76}"/>
    <cellStyle name="Normal GHG whole table 3 3 8" xfId="3524" xr:uid="{B9BE76B9-DB70-4683-AA0F-83F25EB429C6}"/>
    <cellStyle name="Normal GHG whole table 3 3 9" xfId="3948" xr:uid="{73CE3CE9-B6D3-4194-BB76-ED041DD37F47}"/>
    <cellStyle name="Normal GHG whole table 3 4" xfId="644" xr:uid="{ABD8B0AD-F84E-4A8E-9319-A3612AB72DBA}"/>
    <cellStyle name="Normal GHG whole table 3 4 2" xfId="859" xr:uid="{950A0811-68D1-48B9-8697-150B75889399}"/>
    <cellStyle name="Normal GHG whole table 3 4 2 2" xfId="1444" xr:uid="{BD66839B-1130-433A-B322-C33AEA760909}"/>
    <cellStyle name="Normal GHG whole table 3 4 2 3" xfId="2190" xr:uid="{28C42303-062A-4913-8216-D10F18B12502}"/>
    <cellStyle name="Normal GHG whole table 3 4 2 4" xfId="2613" xr:uid="{FDB49D96-731A-48A7-A4BA-AFA290A2FC2C}"/>
    <cellStyle name="Normal GHG whole table 3 4 2 5" xfId="2936" xr:uid="{861645C0-5858-4744-B436-4360313CA40B}"/>
    <cellStyle name="Normal GHG whole table 3 4 2 6" xfId="2881" xr:uid="{FD5B92B6-396D-44CB-9112-C99D76D9C359}"/>
    <cellStyle name="Normal GHG whole table 3 4 2 7" xfId="3823" xr:uid="{7F1132EC-4E42-4EE9-8937-3BDB2B387AA5}"/>
    <cellStyle name="Normal GHG whole table 3 4 2 8" xfId="3922" xr:uid="{BBE34254-6D1A-44BD-918D-AD94D81E2D3F}"/>
    <cellStyle name="Normal GHG whole table 3 4 3" xfId="1710" xr:uid="{033D7207-2C25-4B37-BB9A-6D195491CBFF}"/>
    <cellStyle name="Normal GHG whole table 3 4 4" xfId="1975" xr:uid="{0EDED4D5-7C92-42BC-9089-2FE8A824AF8A}"/>
    <cellStyle name="Normal GHG whole table 3 4 5" xfId="2399" xr:uid="{553566DC-AA75-4662-AF4B-7611FAFC5C9A}"/>
    <cellStyle name="Normal GHG whole table 3 4 6" xfId="1817" xr:uid="{60BBC82C-A2B0-4B0C-A6DC-03DA1384A111}"/>
    <cellStyle name="Normal GHG whole table 3 4 7" xfId="3192" xr:uid="{DCEDB522-774F-45A3-A287-4E658DF7AA9B}"/>
    <cellStyle name="Normal GHG whole table 3 4 8" xfId="3611" xr:uid="{E3D7AC88-F607-42CE-8E14-047155E7660B}"/>
    <cellStyle name="Normal GHG whole table 3 4 9" xfId="3294" xr:uid="{81554CAA-8A40-4742-AD47-3A1795ED4329}"/>
    <cellStyle name="Normal GHG whole table 3 5" xfId="1367" xr:uid="{9C8BBFC2-E77A-41F6-A32B-CEC335999C88}"/>
    <cellStyle name="Normal GHG whole table 3 6" xfId="2" xr:uid="{20C92B4F-4EEC-4D6A-9EC3-644201251161}"/>
    <cellStyle name="Normal GHG whole table 3 7" xfId="1380" xr:uid="{DE407487-7479-4F75-943E-E414774DAF43}"/>
    <cellStyle name="Normal GHG whole table 3 8" xfId="1391" xr:uid="{3B2C99B8-16B7-40B4-ACBE-6E6EDED5306D}"/>
    <cellStyle name="Normal GHG whole table 3 9" xfId="1547" xr:uid="{C5828AD4-02E8-4780-A535-EB1B3DECD276}"/>
    <cellStyle name="Normal GHG whole table 4" xfId="86" xr:uid="{F2CAB8C2-CFA5-4D7A-827C-DD31BF18B908}"/>
    <cellStyle name="Normal GHG-Shade" xfId="13" xr:uid="{56C25D43-EA33-44E7-BD1E-433B0A4CAFF7}"/>
    <cellStyle name="Normal GHG-Shade 2" xfId="183" xr:uid="{8F78A6B5-8AC5-4FD7-98F7-EB25B57CA473}"/>
    <cellStyle name="Normal GHG-Shade 2 2" xfId="184" xr:uid="{2E79154B-F89D-491E-83D1-58AECFBBB55C}"/>
    <cellStyle name="Normal GHG-Shade 2 3" xfId="185" xr:uid="{F7866962-93FA-4263-A4F4-4267AFE88A7F}"/>
    <cellStyle name="Normal GHG-Shade 2 4" xfId="215" xr:uid="{39AB736A-7DBB-4F3D-A9E9-E92C5112E3EC}"/>
    <cellStyle name="Normal GHG-Shade 2 5" xfId="380" xr:uid="{8F5B90E4-6F20-4B19-8BF2-F8692057F60D}"/>
    <cellStyle name="Normal GHG-Shade 3" xfId="186" xr:uid="{62B0170C-C495-47D9-BA4E-ABA5D8E27242}"/>
    <cellStyle name="Normal GHG-Shade 3 2" xfId="187" xr:uid="{6A2A1DF9-EC06-4C98-991A-9B25DE58A28A}"/>
    <cellStyle name="Normal GHG-Shade 4" xfId="188" xr:uid="{ADCE13C0-924A-44CE-AC74-22976E295392}"/>
    <cellStyle name="Normal GHG-Shade 4 2" xfId="451" xr:uid="{850CC8F5-143D-4D1A-B205-70C8C82BA757}"/>
    <cellStyle name="Normál_Munka1" xfId="28" xr:uid="{785CCFB7-B4BB-4DBF-80B7-5A605793BA70}"/>
    <cellStyle name="Note 2" xfId="189" xr:uid="{6A38AA19-27FE-44DE-A40D-B3D4F6A4F371}"/>
    <cellStyle name="Note 2 10" xfId="3120" xr:uid="{6F28E053-59D0-40EC-8BDE-32CC4384EA36}"/>
    <cellStyle name="Note 2 11" xfId="1526" xr:uid="{F69D7281-AE1C-40D6-A974-B45029BBE2EE}"/>
    <cellStyle name="Note 2 12" xfId="3914" xr:uid="{1B778F78-08B2-41D3-9EDE-019741E1D7AC}"/>
    <cellStyle name="Note 2 2" xfId="579" xr:uid="{5DC756C3-F0E9-4EB9-8716-13C14FB02533}"/>
    <cellStyle name="Note 2 2 2" xfId="794" xr:uid="{3C863CB9-DC72-4968-A0DA-5F686C74FD20}"/>
    <cellStyle name="Note 2 2 2 2" xfId="1146" xr:uid="{A3406788-B379-4897-A504-D8C5931DC8A3}"/>
    <cellStyle name="Note 2 2 2 3" xfId="2125" xr:uid="{0F30D825-DFB6-4D3B-A8A0-50F6BFC7A357}"/>
    <cellStyle name="Note 2 2 2 4" xfId="2548" xr:uid="{E58FCCE2-A9C8-445E-9EE7-087284C5C4E0}"/>
    <cellStyle name="Note 2 2 2 5" xfId="1651" xr:uid="{4DBF274F-E87B-4A23-A321-ECAB5A7A5AFA}"/>
    <cellStyle name="Note 2 2 2 6" xfId="2762" xr:uid="{33EA4981-6438-4548-B6F1-F613E7A8CD94}"/>
    <cellStyle name="Note 2 2 2 7" xfId="3758" xr:uid="{B2674364-A9F6-4B07-96AA-862ED99FAEF3}"/>
    <cellStyle name="Note 2 2 2 8" xfId="4057" xr:uid="{BBAA7E2F-FA69-4E8F-B451-D5C1BCE8B405}"/>
    <cellStyle name="Note 2 2 3" xfId="1733" xr:uid="{15DA5FC5-51D4-45E1-ACE8-BC2C9A070680}"/>
    <cellStyle name="Note 2 2 4" xfId="1910" xr:uid="{CED1AD2E-8AE3-494E-8451-DFECBFD9AFFD}"/>
    <cellStyle name="Note 2 2 5" xfId="2334" xr:uid="{304DBCAA-4173-409E-8F92-B59BD7FCC56C}"/>
    <cellStyle name="Note 2 2 6" xfId="1825" xr:uid="{90FE5B2E-93FB-4A9C-B09D-81FFD72936C0}"/>
    <cellStyle name="Note 2 2 7" xfId="3214" xr:uid="{6044AB39-983B-47EF-AC41-B4DC167A02F6}"/>
    <cellStyle name="Note 2 2 8" xfId="3546" xr:uid="{ABAE23D7-BC39-4133-AE7F-92790126FBE4}"/>
    <cellStyle name="Note 2 2 9" xfId="4053" xr:uid="{193C08BD-0FAB-4AA6-83B6-6187986BA1BE}"/>
    <cellStyle name="Note 2 3" xfId="643" xr:uid="{F45B2925-A5D7-4230-BBC5-083E3E207687}"/>
    <cellStyle name="Note 2 3 2" xfId="858" xr:uid="{875D2B89-B7DA-4389-94DD-FF54C91C349B}"/>
    <cellStyle name="Note 2 3 2 2" xfId="1647" xr:uid="{6CDAD59A-2E24-48B2-943F-D526533BDDCF}"/>
    <cellStyle name="Note 2 3 2 3" xfId="2189" xr:uid="{9E9F2BAB-F6D8-4B0F-BB13-A888DCF3C6B9}"/>
    <cellStyle name="Note 2 3 2 4" xfId="2612" xr:uid="{C5E37670-3B28-492C-A348-435C9811F6F3}"/>
    <cellStyle name="Note 2 3 2 5" xfId="2756" xr:uid="{AFC701C8-A0E1-491C-982D-FB91147E8BA0}"/>
    <cellStyle name="Note 2 3 2 6" xfId="2897" xr:uid="{13B25343-3DC6-43E3-8E63-264C7C38BFF3}"/>
    <cellStyle name="Note 2 3 2 7" xfId="3822" xr:uid="{0136B520-9A1C-4E6E-A479-EF2FC786B0FC}"/>
    <cellStyle name="Note 2 3 2 8" xfId="3478" xr:uid="{D257D3EA-9EE5-465B-B9A5-D994FD20D633}"/>
    <cellStyle name="Note 2 3 3" xfId="1009" xr:uid="{5FFAF9B0-9EEF-485E-A67A-1AA6657FE2C3}"/>
    <cellStyle name="Note 2 3 4" xfId="1974" xr:uid="{E01DB25E-AE1F-4BB2-A63A-48616E9A1A71}"/>
    <cellStyle name="Note 2 3 5" xfId="2398" xr:uid="{BC1BA543-1D5F-44B7-B812-D8E59F3902EF}"/>
    <cellStyle name="Note 2 3 6" xfId="1763" xr:uid="{E57633D7-E42E-461D-AF99-77C17374C863}"/>
    <cellStyle name="Note 2 3 7" xfId="3376" xr:uid="{2FFBFFEE-8CBA-451C-A2B8-EE5A8AE6919D}"/>
    <cellStyle name="Note 2 3 8" xfId="3610" xr:uid="{EB55F304-C54E-47C9-BCE8-C4EF0D17B4A8}"/>
    <cellStyle name="Note 2 3 9" xfId="4073" xr:uid="{04BBFC10-3E98-4D9E-A42F-AE1BD787B70F}"/>
    <cellStyle name="Note 2 4" xfId="538" xr:uid="{C9DF9D2B-9695-46CC-89DE-972480F9A949}"/>
    <cellStyle name="Note 2 4 2" xfId="753" xr:uid="{47172BC6-E3C0-41E4-AE9A-064F78091C95}"/>
    <cellStyle name="Note 2 4 2 2" xfId="925" xr:uid="{4F721E66-2A36-4D2A-AD5C-7D69E059D548}"/>
    <cellStyle name="Note 2 4 2 3" xfId="2084" xr:uid="{2B27F401-7A96-4452-A554-7AF241918A0A}"/>
    <cellStyle name="Note 2 4 2 4" xfId="2507" xr:uid="{DC4F170C-603C-4959-AC9A-EF9CB0EF2D59}"/>
    <cellStyle name="Note 2 4 2 5" xfId="1238" xr:uid="{F164E605-D38A-4DAD-B493-622BF69261F6}"/>
    <cellStyle name="Note 2 4 2 6" xfId="2267" xr:uid="{C454D849-CB01-441C-973C-AE647B21AC69}"/>
    <cellStyle name="Note 2 4 2 7" xfId="3717" xr:uid="{680E3AA9-1CF0-47C1-8639-B428DE8A9BED}"/>
    <cellStyle name="Note 2 4 2 8" xfId="3464" xr:uid="{51746999-B881-4F26-9AFE-C4CFAA799115}"/>
    <cellStyle name="Note 2 4 3" xfId="1449" xr:uid="{F40E786E-6F7A-44E1-9BB0-8E54621E29DE}"/>
    <cellStyle name="Note 2 4 4" xfId="1869" xr:uid="{41BD61B8-F3F9-4D1B-86A2-09D6E1E01E5C}"/>
    <cellStyle name="Note 2 4 5" xfId="2293" xr:uid="{D323DBF6-7F20-4E75-A81A-A5A1AC212B71}"/>
    <cellStyle name="Note 2 4 6" xfId="1352" xr:uid="{52FF1985-EA79-4586-AB4F-E02280965B4A}"/>
    <cellStyle name="Note 2 4 7" xfId="3404" xr:uid="{C6451CAF-351A-42EF-B5C1-F0BCF6E0CDE2}"/>
    <cellStyle name="Note 2 4 8" xfId="3505" xr:uid="{3088F603-D7F0-4CB9-B06A-F4388E694C2F}"/>
    <cellStyle name="Note 2 4 9" xfId="3890" xr:uid="{4B672FC9-C6E0-4A77-AC88-16342EAC9360}"/>
    <cellStyle name="Note 2 5" xfId="702" xr:uid="{8CEC7C1D-2D2C-4B9B-9695-7A8B692B3542}"/>
    <cellStyle name="Note 2 5 2" xfId="1014" xr:uid="{E39F8CE8-D052-4046-9D28-BDBCD6415207}"/>
    <cellStyle name="Note 2 5 3" xfId="2033" xr:uid="{880A7413-40E7-4CF2-8F58-4794EEE902DF}"/>
    <cellStyle name="Note 2 5 4" xfId="2457" xr:uid="{5B48E443-737B-40C8-9490-94E4C950B431}"/>
    <cellStyle name="Note 2 5 5" xfId="1740" xr:uid="{6EB47A5D-90EE-4FD5-8062-4904ED7FEF30}"/>
    <cellStyle name="Note 2 5 6" xfId="3423" xr:uid="{4B9CDFAE-047F-4FE7-B8C6-E0AE0B1312EE}"/>
    <cellStyle name="Note 2 5 7" xfId="3668" xr:uid="{71A05C78-9383-4407-B83C-660DFA0019B7}"/>
    <cellStyle name="Note 2 5 8" xfId="4104" xr:uid="{5ECC8095-1EE2-482F-9300-C88BB5D12F9D}"/>
    <cellStyle name="Note 2 6" xfId="1263" xr:uid="{9E356ACD-F787-4367-A101-D7C0C3A3276E}"/>
    <cellStyle name="Note 2 7" xfId="1166" xr:uid="{BDB3A871-D754-42C0-A4FD-600EDD0AE55C}"/>
    <cellStyle name="Note 2 8" xfId="1428" xr:uid="{C9D939DB-CAA2-4EB3-B4CC-983A17C1376F}"/>
    <cellStyle name="Note 2 9" xfId="1344" xr:uid="{6DE81DA8-6654-4F97-A4B6-5906DBA21C8B}"/>
    <cellStyle name="Note 3" xfId="254" xr:uid="{04238811-96E0-40FD-9A67-94B3C8DE01FD}"/>
    <cellStyle name="Note 3 10" xfId="56" xr:uid="{5752960D-A9DE-4BB7-BE1B-7386FBE11F5C}"/>
    <cellStyle name="Note 3 11" xfId="3106" xr:uid="{8045E0C0-B038-489D-A160-7A3B52D36C98}"/>
    <cellStyle name="Note 3 12" xfId="4060" xr:uid="{21E5B00F-12E3-4533-8D6E-AB061583D8B0}"/>
    <cellStyle name="Note 3 2" xfId="607" xr:uid="{CD3D36AA-93AC-4D2A-8426-66530BAB83A1}"/>
    <cellStyle name="Note 3 2 2" xfId="822" xr:uid="{7B2C0D60-85AE-4260-BD09-BEDAFD1BF17E}"/>
    <cellStyle name="Note 3 2 2 2" xfId="1035" xr:uid="{CC8C8E72-FC01-4064-8C61-32467064E1CB}"/>
    <cellStyle name="Note 3 2 2 3" xfId="2153" xr:uid="{A49B57BD-4A67-433A-AA9F-1145D5FE1BDA}"/>
    <cellStyle name="Note 3 2 2 4" xfId="2576" xr:uid="{35E0D207-E285-466E-8B88-59A2FE12C789}"/>
    <cellStyle name="Note 3 2 2 5" xfId="948" xr:uid="{D50A7185-46D6-435D-B017-8E52B4D3DA49}"/>
    <cellStyle name="Note 3 2 2 6" xfId="2856" xr:uid="{48F6AE19-8F3E-4F7A-8985-6D2365F283D1}"/>
    <cellStyle name="Note 3 2 2 7" xfId="3786" xr:uid="{9C9CB113-90AB-40AE-89AE-070FEE6EFB2B}"/>
    <cellStyle name="Note 3 2 2 8" xfId="74" xr:uid="{080AB1B6-80ED-48B4-B928-77ECF1C421B1}"/>
    <cellStyle name="Note 3 2 3" xfId="1334" xr:uid="{E1776D57-AF7E-4C31-A1CE-3AAC64F8081F}"/>
    <cellStyle name="Note 3 2 4" xfId="1938" xr:uid="{8D191C47-BC4B-45A0-82A9-E5E788C2F101}"/>
    <cellStyle name="Note 3 2 5" xfId="2362" xr:uid="{921EDA60-A231-403E-A13C-3743E3EDB374}"/>
    <cellStyle name="Note 3 2 6" xfId="2752" xr:uid="{DDE2D39B-6FBF-46D5-8049-8F5A37030C0A}"/>
    <cellStyle name="Note 3 2 7" xfId="3276" xr:uid="{239AF206-D6F0-406B-BFCD-EA5BBA8E4FB1}"/>
    <cellStyle name="Note 3 2 8" xfId="3574" xr:uid="{5B59BCFD-B8DA-41B6-A19A-A6AF81D07B9F}"/>
    <cellStyle name="Note 3 2 9" xfId="3118" xr:uid="{7FF6AAE4-DA6A-4910-BA65-6534554AA8AA}"/>
    <cellStyle name="Note 3 3" xfId="573" xr:uid="{EB108939-ACD8-4C5D-BE3D-240DE6B49DB1}"/>
    <cellStyle name="Note 3 3 2" xfId="788" xr:uid="{FBBAF621-AAB4-4757-AE5C-93E84EDFEC5A}"/>
    <cellStyle name="Note 3 3 2 2" xfId="1149" xr:uid="{CEAE728E-AFCE-40D4-83F0-4F1156DECCBE}"/>
    <cellStyle name="Note 3 3 2 3" xfId="2119" xr:uid="{840F878C-5446-4CAE-BC1A-90CEDB6A1C40}"/>
    <cellStyle name="Note 3 3 2 4" xfId="2542" xr:uid="{14705659-3C4A-4299-8858-D3770525195D}"/>
    <cellStyle name="Note 3 3 2 5" xfId="1383" xr:uid="{2340BEFA-D4AB-4DB4-953C-CF3E7CA76C08}"/>
    <cellStyle name="Note 3 3 2 6" xfId="1859" xr:uid="{35A066DB-E897-4651-B269-7800BA392833}"/>
    <cellStyle name="Note 3 3 2 7" xfId="3752" xr:uid="{A40C45BC-CD88-45ED-8049-D38BE09F7B5A}"/>
    <cellStyle name="Note 3 3 2 8" xfId="3163" xr:uid="{8008F947-2F07-4F4A-B9CD-E87DD5A34B1C}"/>
    <cellStyle name="Note 3 3 3" xfId="1567" xr:uid="{3133FD96-D9CE-403D-9DF3-2F0CED2A89D9}"/>
    <cellStyle name="Note 3 3 4" xfId="1904" xr:uid="{B5D8B19E-5D3D-4EFB-A04B-B4DF5A2AA849}"/>
    <cellStyle name="Note 3 3 5" xfId="2328" xr:uid="{79CA473C-2985-4DAB-8D32-4621634F5344}"/>
    <cellStyle name="Note 3 3 6" xfId="1386" xr:uid="{BD85BBF3-153E-4F0F-B379-D2AF32F182CC}"/>
    <cellStyle name="Note 3 3 7" xfId="3328" xr:uid="{10A3607C-3016-4894-89FF-DBACD0EA6C86}"/>
    <cellStyle name="Note 3 3 8" xfId="3540" xr:uid="{D23DBC59-0003-406B-810A-178126496792}"/>
    <cellStyle name="Note 3 3 9" xfId="3265" xr:uid="{FFD6E16E-E55B-4BAC-99AE-37696705CA83}"/>
    <cellStyle name="Note 3 4" xfId="591" xr:uid="{14908029-5492-4014-B7A7-98D68C06498D}"/>
    <cellStyle name="Note 3 4 2" xfId="806" xr:uid="{2921995C-F7C4-4882-9D6C-707B4FAB58E7}"/>
    <cellStyle name="Note 3 4 2 2" xfId="1187" xr:uid="{D73548C2-8AE2-481D-BE6B-429ABD0DDE63}"/>
    <cellStyle name="Note 3 4 2 3" xfId="2137" xr:uid="{EC2CFA3A-64B5-4133-B7E8-FD585BF6DC0B}"/>
    <cellStyle name="Note 3 4 2 4" xfId="2560" xr:uid="{92293F59-3DA8-4E7A-9E53-9EB0C5C49BE7}"/>
    <cellStyle name="Note 3 4 2 5" xfId="937" xr:uid="{49DE4AF0-46F6-4136-8784-8F881A23141A}"/>
    <cellStyle name="Note 3 4 2 6" xfId="3019" xr:uid="{6683C5E1-459E-4797-8428-2690963B73BE}"/>
    <cellStyle name="Note 3 4 2 7" xfId="3770" xr:uid="{B2F36F39-4832-44DD-B8DD-516EF5AC7F19}"/>
    <cellStyle name="Note 3 4 2 8" xfId="3678" xr:uid="{8A98D532-7DE7-4BFE-8D83-A2779CCFF942}"/>
    <cellStyle name="Note 3 4 3" xfId="1061" xr:uid="{CF2B971D-BB41-4929-AC59-0E82FAC6C35D}"/>
    <cellStyle name="Note 3 4 4" xfId="1922" xr:uid="{0595FF3F-A5CA-4D58-A206-336B19954FB4}"/>
    <cellStyle name="Note 3 4 5" xfId="2346" xr:uid="{C1938075-6A23-47E0-B17F-09493443E301}"/>
    <cellStyle name="Note 3 4 6" xfId="2808" xr:uid="{5E59D730-CE6A-457E-A146-2E9A5FE5B955}"/>
    <cellStyle name="Note 3 4 7" xfId="995" xr:uid="{8AEBCEB1-D8FC-45C7-AAA5-BF19BC60DBB8}"/>
    <cellStyle name="Note 3 4 8" xfId="3558" xr:uid="{B59CB99E-825D-4AD5-BF63-E1A5650363E7}"/>
    <cellStyle name="Note 3 4 9" xfId="3309" xr:uid="{88F8F1BD-FAA3-434D-B9D8-A5767F589B2B}"/>
    <cellStyle name="Note 3 5" xfId="708" xr:uid="{4476EA11-7F2D-4A9D-9BD0-EA993EBEE8F0}"/>
    <cellStyle name="Note 3 5 2" xfId="1511" xr:uid="{E68D8C71-FE0A-4CAF-93AD-DC494BB18EFB}"/>
    <cellStyle name="Note 3 5 3" xfId="2039" xr:uid="{8D28C6B9-DB67-48B9-9550-6FACF08672D8}"/>
    <cellStyle name="Note 3 5 4" xfId="2463" xr:uid="{362D3305-2849-4A65-8C93-DD6352D9A28E}"/>
    <cellStyle name="Note 3 5 5" xfId="1399" xr:uid="{22C29532-B701-435A-929B-A3340D3B78D2}"/>
    <cellStyle name="Note 3 5 6" xfId="3314" xr:uid="{2729EFB0-7050-4E6A-8FB2-4AA2D0E9C35C}"/>
    <cellStyle name="Note 3 5 7" xfId="3674" xr:uid="{43D84D5A-AD5B-45BC-BDE9-38277561ABBC}"/>
    <cellStyle name="Note 3 5 8" xfId="3905" xr:uid="{F7BAC195-7E5D-4BB0-BC0D-699201640686}"/>
    <cellStyle name="Note 3 6" xfId="1250" xr:uid="{2DB8CE3F-2E8D-464F-B66D-E2BB22DDE433}"/>
    <cellStyle name="Note 3 7" xfId="1235" xr:uid="{15A14561-AC89-44C3-8168-8B541429F422}"/>
    <cellStyle name="Note 3 8" xfId="1319" xr:uid="{2449DF82-13BE-4A2A-AAD9-D2FA44DD8335}"/>
    <cellStyle name="Note 3 9" xfId="2998" xr:uid="{DC91E93F-E72D-4CC3-91A0-94E7EBD18CCA}"/>
    <cellStyle name="Notiz" xfId="190" xr:uid="{35F314E6-DBC4-4A40-BAC5-A0BF22863338}"/>
    <cellStyle name="Notiz 10" xfId="3122" xr:uid="{11845970-512A-4789-ABC4-F7C2FAB35921}"/>
    <cellStyle name="Notiz 11" xfId="2886" xr:uid="{4ACF4578-080D-4545-90B7-533979B3B775}"/>
    <cellStyle name="Notiz 12" xfId="4019" xr:uid="{DE91040E-5C5B-426E-96CB-C832FD1788E0}"/>
    <cellStyle name="Notiz 2" xfId="580" xr:uid="{3C22F4EB-8C76-4FE9-84E8-E846B7088DEB}"/>
    <cellStyle name="Notiz 2 2" xfId="795" xr:uid="{B267AED8-AC1C-452F-BB6B-A5CD7B2DA73D}"/>
    <cellStyle name="Notiz 2 2 2" xfId="1038" xr:uid="{D88C97D9-A853-4005-89EF-F4B912759218}"/>
    <cellStyle name="Notiz 2 2 3" xfId="2126" xr:uid="{C8927751-9FFB-4F05-972D-106D070E36C9}"/>
    <cellStyle name="Notiz 2 2 4" xfId="2549" xr:uid="{D3ED6974-683D-47E1-8250-D418868EEEE2}"/>
    <cellStyle name="Notiz 2 2 5" xfId="2692" xr:uid="{0F66898B-4A64-4941-8E96-75584D9EDD31}"/>
    <cellStyle name="Notiz 2 2 6" xfId="2954" xr:uid="{C67094D1-68D1-41ED-A909-69A87437E3D7}"/>
    <cellStyle name="Notiz 2 2 7" xfId="3759" xr:uid="{A97288EA-6D62-4835-BABA-98475649E0C7}"/>
    <cellStyle name="Notiz 2 2 8" xfId="2247" xr:uid="{DCC4FB28-DF0B-4F80-AA8C-CC83B93E4626}"/>
    <cellStyle name="Notiz 2 3" xfId="1528" xr:uid="{12AB1604-E2FF-4EC0-8A0E-C905A015C02D}"/>
    <cellStyle name="Notiz 2 4" xfId="1911" xr:uid="{197D1F7F-C30E-46DB-9C6B-10A810177935}"/>
    <cellStyle name="Notiz 2 5" xfId="2335" xr:uid="{F99082BB-7BAB-43FF-AFCC-64C1A64526EB}"/>
    <cellStyle name="Notiz 2 6" xfId="1011" xr:uid="{2D789619-CE1F-4CF3-B791-B91EFB379666}"/>
    <cellStyle name="Notiz 2 7" xfId="975" xr:uid="{C718CD95-9FA1-4383-A953-54DFA1EE4554}"/>
    <cellStyle name="Notiz 2 8" xfId="3547" xr:uid="{1E8B78F4-6EB2-48A1-8123-0CC9BB4D419D}"/>
    <cellStyle name="Notiz 2 9" xfId="3911" xr:uid="{E266E2E6-2747-4971-9DB6-2BBBAAD2BF00}"/>
    <cellStyle name="Notiz 3" xfId="642" xr:uid="{3E656FE1-F3B2-4051-A339-F3E58CBE4D9D}"/>
    <cellStyle name="Notiz 3 2" xfId="857" xr:uid="{C6BAB678-6C40-4AE0-BED5-8760F6A65CC1}"/>
    <cellStyle name="Notiz 3 2 2" xfId="1610" xr:uid="{BEAF3B80-44FB-42E2-8ED6-D38A49748679}"/>
    <cellStyle name="Notiz 3 2 3" xfId="2188" xr:uid="{53FC5C0C-799D-4E7C-BD95-E5496E05475B}"/>
    <cellStyle name="Notiz 3 2 4" xfId="2611" xr:uid="{1F009B6D-4027-419C-8C32-B33EE9751795}"/>
    <cellStyle name="Notiz 3 2 5" xfId="2996" xr:uid="{B0423589-A292-42E1-9907-6CE8D6595A0F}"/>
    <cellStyle name="Notiz 3 2 6" xfId="49" xr:uid="{C9D31521-1DF8-4A7E-A5FA-DDBF5F2C891A}"/>
    <cellStyle name="Notiz 3 2 7" xfId="3821" xr:uid="{FC459909-B774-4664-A6BD-51C22A553360}"/>
    <cellStyle name="Notiz 3 2 8" xfId="2916" xr:uid="{DB01A162-D0D9-4927-81DB-6D714EC42B5A}"/>
    <cellStyle name="Notiz 3 3" xfId="931" xr:uid="{4FDADB9E-7FFF-4132-A7EA-14EE2224C817}"/>
    <cellStyle name="Notiz 3 4" xfId="1973" xr:uid="{67C15DA2-537C-42D6-8675-2129E6BC5861}"/>
    <cellStyle name="Notiz 3 5" xfId="2397" xr:uid="{CEDB0CDE-990D-413F-9A75-D775EF475F66}"/>
    <cellStyle name="Notiz 3 6" xfId="2864" xr:uid="{AAEFB02A-9EC6-49BB-945E-C4F0E30D436D}"/>
    <cellStyle name="Notiz 3 7" xfId="1234" xr:uid="{7B823A69-CD5A-4FAC-BE9B-2B54C22ABE14}"/>
    <cellStyle name="Notiz 3 8" xfId="3609" xr:uid="{9C745464-7F82-46AF-B556-38E91556C978}"/>
    <cellStyle name="Notiz 3 9" xfId="4099" xr:uid="{EE700457-FB00-43CC-8FBA-D90181360EBC}"/>
    <cellStyle name="Notiz 4" xfId="611" xr:uid="{86A281BA-CD06-4A29-B3A8-D0AFF3E09585}"/>
    <cellStyle name="Notiz 4 2" xfId="826" xr:uid="{D81EED9D-4AE2-4CAC-B6DE-9EBC42F5485D}"/>
    <cellStyle name="Notiz 4 2 2" xfId="1143" xr:uid="{03688D4A-4DB8-4DC9-853D-F11283F99E09}"/>
    <cellStyle name="Notiz 4 2 3" xfId="2157" xr:uid="{A97A6704-73E2-4BFB-AD34-10258AF80C86}"/>
    <cellStyle name="Notiz 4 2 4" xfId="2580" xr:uid="{4FFCF72E-7996-42F0-B51B-8C1AB6343693}"/>
    <cellStyle name="Notiz 4 2 5" xfId="2905" xr:uid="{A5490634-FEB4-402B-AEE5-6B5928D8CE41}"/>
    <cellStyle name="Notiz 4 2 6" xfId="2888" xr:uid="{5B8309F0-AFAA-4B73-AD88-D08571C58552}"/>
    <cellStyle name="Notiz 4 2 7" xfId="3790" xr:uid="{7014979E-C935-4329-B41E-B3694EF58579}"/>
    <cellStyle name="Notiz 4 2 8" xfId="3469" xr:uid="{FDB95303-ABB8-435E-948B-2E8D1E0A6B96}"/>
    <cellStyle name="Notiz 4 3" xfId="1700" xr:uid="{1A1F7820-052D-4E6A-BC92-6BE63ACEAC7F}"/>
    <cellStyle name="Notiz 4 4" xfId="1942" xr:uid="{E51A3F8C-58EF-4A2D-8390-37919486D262}"/>
    <cellStyle name="Notiz 4 5" xfId="2366" xr:uid="{9AB7259B-1CEB-4EDA-8A4C-1DFB31BA8629}"/>
    <cellStyle name="Notiz 4 6" xfId="2830" xr:uid="{E69FB22E-844F-44D8-9A5E-1981160D529D}"/>
    <cellStyle name="Notiz 4 7" xfId="3184" xr:uid="{F2800E85-3C63-41E1-9BD9-2CA8EA290AC2}"/>
    <cellStyle name="Notiz 4 8" xfId="3578" xr:uid="{1D445831-D9C8-4C97-B1F3-7F369039173B}"/>
    <cellStyle name="Notiz 4 9" xfId="4050" xr:uid="{16F07F0A-A920-4D27-833E-2DCC2D5BA309}"/>
    <cellStyle name="Notiz 5" xfId="703" xr:uid="{7869AF6C-932E-4513-91C6-E2E5FC4F3FCD}"/>
    <cellStyle name="Notiz 5 2" xfId="1776" xr:uid="{CF58D005-D120-484B-8198-89A128ADE094}"/>
    <cellStyle name="Notiz 5 3" xfId="2034" xr:uid="{0115756C-326E-4EB5-805B-8CC72F9F1325}"/>
    <cellStyle name="Notiz 5 4" xfId="2458" xr:uid="{43E47F23-125C-46C3-BD81-804D3E39B4C1}"/>
    <cellStyle name="Notiz 5 5" xfId="1586" xr:uid="{D289ECC6-5A0B-434F-96E0-C5AF5460E0E4}"/>
    <cellStyle name="Notiz 5 6" xfId="3242" xr:uid="{E45FD7BD-0E68-4613-A197-FE34427FB3F1}"/>
    <cellStyle name="Notiz 5 7" xfId="3669" xr:uid="{9A635951-B56A-47D0-A13D-5FFC4AAEEDB6}"/>
    <cellStyle name="Notiz 5 8" xfId="3327" xr:uid="{2B73BA2F-2B2D-4D54-8B83-9B49F75ACEFD}"/>
    <cellStyle name="Notiz 6" xfId="1415" xr:uid="{9EDAC8A4-6FBB-4EA2-B773-76892DD1B8B6}"/>
    <cellStyle name="Notiz 7" xfId="1559" xr:uid="{F00710DB-806C-4BB9-960D-FEBF193C69AB}"/>
    <cellStyle name="Notiz 8" xfId="1534" xr:uid="{21BC8486-5CE7-42F3-A3A8-9EC54E8A79BC}"/>
    <cellStyle name="Notiz 9" xfId="1634" xr:uid="{9A42F2C6-4052-456D-971C-EF42CBBF68CF}"/>
    <cellStyle name="Output 2" xfId="191" xr:uid="{B49760CF-9076-4DC8-B925-9C8792874EF6}"/>
    <cellStyle name="Output 2 2" xfId="581" xr:uid="{E352429E-04F8-43DF-9D0E-6C79C7F6BF8E}"/>
    <cellStyle name="Output 2 2 2" xfId="796" xr:uid="{152D5C74-D6D5-4D3B-99F0-0D71BC1725E8}"/>
    <cellStyle name="Output 2 2 2 2" xfId="1145" xr:uid="{92571C1A-3B8F-4B7B-B9BC-F6217F2C0ECF}"/>
    <cellStyle name="Output 2 2 2 3" xfId="2127" xr:uid="{085476E8-FAD9-4E0C-B6E4-0DB8F984D7EE}"/>
    <cellStyle name="Output 2 2 2 4" xfId="2550" xr:uid="{6FBA428F-C9ED-4B6D-99C8-C7089CEB330A}"/>
    <cellStyle name="Output 2 2 2 5" xfId="2760" xr:uid="{D50174A6-38FF-4593-9F94-51ED45421C0C}"/>
    <cellStyle name="Output 2 2 2 6" xfId="3055" xr:uid="{7240A8A5-487D-42B7-9551-B8868050521F}"/>
    <cellStyle name="Output 2 2 2 7" xfId="3760" xr:uid="{CAEE7062-7A00-4843-9A29-DAD0A7D2C48F}"/>
    <cellStyle name="Output 2 2 2 8" xfId="3903" xr:uid="{0927C1D2-3F5A-4C90-A76C-9A170E98F3F4}"/>
    <cellStyle name="Output 2 2 3" xfId="1210" xr:uid="{90501C90-0724-4D8A-837C-26A8FE600C61}"/>
    <cellStyle name="Output 2 2 4" xfId="1912" xr:uid="{591E282C-A60C-4A0D-B10E-39E4579158CD}"/>
    <cellStyle name="Output 2 2 5" xfId="2336" xr:uid="{24B68B46-4D73-4600-9371-D037831B9D7F}"/>
    <cellStyle name="Output 2 2 6" xfId="1088" xr:uid="{36DEAD28-2F39-478E-BC6E-61A884DC1411}"/>
    <cellStyle name="Output 2 2 7" xfId="3282" xr:uid="{700A9B63-0009-4B1B-B27A-7183B8ADB10B}"/>
    <cellStyle name="Output 2 2 8" xfId="3548" xr:uid="{43E013A2-DBCB-42FA-8B79-8190491040B9}"/>
    <cellStyle name="Output 2 2 9" xfId="3402" xr:uid="{58EDAD96-FA03-468F-9CAB-2F444F82578F}"/>
    <cellStyle name="Output 2 3" xfId="677" xr:uid="{23DA1184-A6C5-44EA-B3DD-39B097EF8F10}"/>
    <cellStyle name="Output 2 3 2" xfId="892" xr:uid="{EA5867CA-3EC0-4B00-8BC1-8ADBD91AA816}"/>
    <cellStyle name="Output 2 3 2 2" xfId="1790" xr:uid="{B9C4D7BC-0EBD-4670-A4F0-BC459198B55B}"/>
    <cellStyle name="Output 2 3 2 3" xfId="2223" xr:uid="{B422DC52-F21C-4AFE-A966-586C8A1A31EA}"/>
    <cellStyle name="Output 2 3 2 4" xfId="2646" xr:uid="{D3DFE989-996E-4D4B-816B-A4DE4816E0E1}"/>
    <cellStyle name="Output 2 3 2 5" xfId="3062" xr:uid="{08D4F23F-A259-4AAD-AD99-DF6BA1EE15C1}"/>
    <cellStyle name="Output 2 3 2 6" xfId="3444" xr:uid="{BB7D1C11-84F2-4080-B718-A483CDBBFE44}"/>
    <cellStyle name="Output 2 3 2 7" xfId="3856" xr:uid="{0A5B2AC2-7ACB-4541-9204-D9D98C2097C4}"/>
    <cellStyle name="Output 2 3 2 8" xfId="4120" xr:uid="{6AB92706-E9C8-4950-88E4-683F9F4F5D69}"/>
    <cellStyle name="Output 2 3 3" xfId="1010" xr:uid="{69E5DF2F-9982-4E44-9DE4-50BB2904E980}"/>
    <cellStyle name="Output 2 3 4" xfId="2008" xr:uid="{CD225BB6-812A-413A-84E2-34EB308A7425}"/>
    <cellStyle name="Output 2 3 5" xfId="2432" xr:uid="{BC5CCCE5-C6C1-4E43-B5A9-FF95C5B77001}"/>
    <cellStyle name="Output 2 3 6" xfId="1350" xr:uid="{33DE1262-E6E6-4E28-9C1E-9BB0C15F2D68}"/>
    <cellStyle name="Output 2 3 7" xfId="3372" xr:uid="{3A1C4A80-6D01-4299-A2F8-D01DAC8FB3E0}"/>
    <cellStyle name="Output 2 3 8" xfId="3644" xr:uid="{4875BCBE-60ED-4BB3-8AB4-D3DC439BFBC1}"/>
    <cellStyle name="Output 2 3 9" xfId="4043" xr:uid="{82A6A0A2-BDFF-4184-9F0B-3DDDE578739A}"/>
    <cellStyle name="Output 2 4" xfId="704" xr:uid="{350F9A6B-6E85-4AF7-8F09-7139D344825E}"/>
    <cellStyle name="Output 2 4 2" xfId="1569" xr:uid="{2B26810A-D7FB-4946-A980-3D5F681B99DC}"/>
    <cellStyle name="Output 2 4 3" xfId="2035" xr:uid="{6B89F410-2CB0-4942-9D91-E5882134EE89}"/>
    <cellStyle name="Output 2 4 4" xfId="2459" xr:uid="{468B914A-A4A2-4B98-8756-137EE47EE5AE}"/>
    <cellStyle name="Output 2 4 5" xfId="2261" xr:uid="{0B1870F8-B440-4234-AC53-EF3BDBBC4EEF}"/>
    <cellStyle name="Output 2 4 6" xfId="3381" xr:uid="{22599042-F1CF-4C38-9541-E2331C2BD033}"/>
    <cellStyle name="Output 2 4 7" xfId="3670" xr:uid="{EE4047DD-E173-4397-A027-D2E580644DDC}"/>
    <cellStyle name="Output 2 4 8" xfId="3109" xr:uid="{A35FF16E-4A96-4564-B158-818E9F848ED0}"/>
    <cellStyle name="Output 2 5" xfId="1416" xr:uid="{9C8277A8-FB43-416D-A857-73815BE59533}"/>
    <cellStyle name="Output 2 6" xfId="1673" xr:uid="{8718A643-EC01-46D1-84B8-9321E92D5223}"/>
    <cellStyle name="Output 2 7" xfId="1081" xr:uid="{C593B238-2613-4F55-9BB6-CA949B64EFA0}"/>
    <cellStyle name="Output 2 8" xfId="1078" xr:uid="{C93A43E4-A354-40AD-8B4F-A0A3B4F7AFFE}"/>
    <cellStyle name="Output 2 9" xfId="2803" xr:uid="{8C010708-C4A8-4F8A-AAA8-90AC24E38C24}"/>
    <cellStyle name="Output 3" xfId="255" xr:uid="{788A3E41-D7A5-4012-B873-393F45FC31E7}"/>
    <cellStyle name="Output 3 2" xfId="608" xr:uid="{FF989353-BF91-464D-943A-70F37198F6DE}"/>
    <cellStyle name="Output 3 2 2" xfId="823" xr:uid="{1845F971-D8CF-411E-8DA1-8CC56264D41F}"/>
    <cellStyle name="Output 3 2 2 2" xfId="1034" xr:uid="{DEC4E025-213E-4244-A9E7-2CC9705307A1}"/>
    <cellStyle name="Output 3 2 2 3" xfId="2154" xr:uid="{E9E839C8-1129-46E3-80B8-911DE5B41FFF}"/>
    <cellStyle name="Output 3 2 2 4" xfId="2577" xr:uid="{0B4724BD-59FC-4088-B961-A4FC11FFB379}"/>
    <cellStyle name="Output 3 2 2 5" xfId="2689" xr:uid="{ACA3FD67-C0CA-4E3F-875F-F5A9ADE99A6F}"/>
    <cellStyle name="Output 3 2 2 6" xfId="1732" xr:uid="{CD542C98-44B7-49E9-A5BC-62F1F1F624F8}"/>
    <cellStyle name="Output 3 2 2 7" xfId="3787" xr:uid="{36D5AF6A-8938-4DBA-B246-9B0057B49FC4}"/>
    <cellStyle name="Output 3 2 2 8" xfId="4066" xr:uid="{16A109B8-0D62-4BBB-A539-4A3167AF1C28}"/>
    <cellStyle name="Output 3 2 3" xfId="1599" xr:uid="{818DF8A3-684C-45F1-BDE4-7932C179C27B}"/>
    <cellStyle name="Output 3 2 4" xfId="1939" xr:uid="{9A0CA34B-EF20-450B-B1B6-CFAB36606A78}"/>
    <cellStyle name="Output 3 2 5" xfId="2363" xr:uid="{2D1848C8-B4FB-4303-A491-3C79E0748D51}"/>
    <cellStyle name="Output 3 2 6" xfId="1824" xr:uid="{FE044711-BAB3-4C4E-A114-BFDA040A38C5}"/>
    <cellStyle name="Output 3 2 7" xfId="3352" xr:uid="{9C0FB42B-2D67-4E72-B512-CE99125511F8}"/>
    <cellStyle name="Output 3 2 8" xfId="3575" xr:uid="{C272DC6D-9AE3-449B-BA7A-0FC2920B8F67}"/>
    <cellStyle name="Output 3 2 9" xfId="2914" xr:uid="{A24EADD0-A564-418F-9288-EEF73634F2B8}"/>
    <cellStyle name="Output 3 3" xfId="659" xr:uid="{BB045B5B-50EF-4FE2-B100-87FD073D6B05}"/>
    <cellStyle name="Output 3 3 2" xfId="874" xr:uid="{F52EE850-1DE5-404C-B094-9F9A32119380}"/>
    <cellStyle name="Output 3 3 2 2" xfId="1019" xr:uid="{3D1E6717-9556-44DD-8379-3F85CB5D8C6E}"/>
    <cellStyle name="Output 3 3 2 3" xfId="2205" xr:uid="{2E363A14-0AA0-4EC3-8476-7B3AB62CEC62}"/>
    <cellStyle name="Output 3 3 2 4" xfId="2628" xr:uid="{041658C6-2C3E-4A27-954F-AD87F64507EA}"/>
    <cellStyle name="Output 3 3 2 5" xfId="2677" xr:uid="{7168ECFC-88D2-471B-8418-23C684E51340}"/>
    <cellStyle name="Output 3 3 2 6" xfId="2268" xr:uid="{912704F6-3B74-44B4-92ED-A3D5900CC1A9}"/>
    <cellStyle name="Output 3 3 2 7" xfId="3838" xr:uid="{3E8C6377-D1DF-445F-BCB3-7C74F417C665}"/>
    <cellStyle name="Output 3 3 2 8" xfId="4014" xr:uid="{2BFE7D33-1D74-416A-B2AE-BE600547AD48}"/>
    <cellStyle name="Output 3 3 3" xfId="1720" xr:uid="{651EEDAF-69F8-40F3-A25A-616EDA22EFBC}"/>
    <cellStyle name="Output 3 3 4" xfId="1990" xr:uid="{C0FA3167-B91F-4B81-94BE-C6A552EAD4F7}"/>
    <cellStyle name="Output 3 3 5" xfId="2414" xr:uid="{03E3D18B-F210-4DDB-8AF8-F296755F5598}"/>
    <cellStyle name="Output 3 3 6" xfId="2930" xr:uid="{6CD466A0-3AA5-4A6B-83DA-8C2252DE4DCA}"/>
    <cellStyle name="Output 3 3 7" xfId="3202" xr:uid="{AF581B05-0D16-4991-BB1A-20730A3ED54A}"/>
    <cellStyle name="Output 3 3 8" xfId="3626" xr:uid="{1EE2569C-EBAF-4DC5-813D-94A66489AF3B}"/>
    <cellStyle name="Output 3 3 9" xfId="4089" xr:uid="{A3DCE530-C69D-4CCE-B374-E0E78E94B973}"/>
    <cellStyle name="Output 3 4" xfId="709" xr:uid="{45659FB0-3263-4676-A0D8-46538AF9839E}"/>
    <cellStyle name="Output 3 4 2" xfId="1193" xr:uid="{ED9B0302-75A4-4DCB-B045-C6C6DF7D3A6C}"/>
    <cellStyle name="Output 3 4 3" xfId="2040" xr:uid="{5190796A-659B-4E53-94C0-23088316A4E2}"/>
    <cellStyle name="Output 3 4 4" xfId="2464" xr:uid="{3A7BDD31-96E5-4372-AFCC-32DE350D8636}"/>
    <cellStyle name="Output 3 4 5" xfId="2855" xr:uid="{42DDDA09-CA4C-4178-A4DA-9A4C18406D31}"/>
    <cellStyle name="Output 3 4 6" xfId="3143" xr:uid="{ED5FCF62-845F-4658-9C9D-0D615170FB20}"/>
    <cellStyle name="Output 3 4 7" xfId="3675" xr:uid="{773B419D-82C2-46A0-B09D-8E655D7E2068}"/>
    <cellStyle name="Output 3 4 8" xfId="4100" xr:uid="{ED53094D-78FF-486E-AC98-AA357A02F818}"/>
    <cellStyle name="Output 3 5" xfId="1385" xr:uid="{B54D21FC-ED4A-417C-AA3F-09B5F6D31462}"/>
    <cellStyle name="Output 3 6" xfId="1237" xr:uid="{C243D1F5-B5DB-4493-9DAC-E6B09C8F52E9}"/>
    <cellStyle name="Output 3 7" xfId="3038" xr:uid="{074960C9-1CA7-40CC-8EDA-BF48B2A7B2D3}"/>
    <cellStyle name="Output 3 8" xfId="3101" xr:uid="{80EA22B2-2033-4A91-91E4-3658B83902D7}"/>
    <cellStyle name="Output 3 9" xfId="1118" xr:uid="{218CA4E0-41FA-496A-AB1D-24A629B04B1E}"/>
    <cellStyle name="Pattern" xfId="192" xr:uid="{250DF673-5EDE-4856-95A3-6A570C2703DB}"/>
    <cellStyle name="Pattern 2" xfId="452" xr:uid="{15AD9A33-A529-4210-9E8C-FB65B9CFCC63}"/>
    <cellStyle name="Pattern 2 2" xfId="595" xr:uid="{C4BD40E2-918D-4959-839C-CBD49EE3AE0C}"/>
    <cellStyle name="Pattern 2 2 2" xfId="810" xr:uid="{AED273DF-A86B-40AA-BDF0-D8C7B7BC46B2}"/>
    <cellStyle name="Pattern 2 2 2 2" xfId="1185" xr:uid="{DBC272AB-E66D-442D-ABED-3AE5E1EA9824}"/>
    <cellStyle name="Pattern 2 2 2 3" xfId="2141" xr:uid="{DD98B787-27B7-4AF8-B7DF-576E6B95A82F}"/>
    <cellStyle name="Pattern 2 2 2 4" xfId="2564" xr:uid="{C8917557-6FC1-48B7-B9E3-2D26BC7A7342}"/>
    <cellStyle name="Pattern 2 2 2 5" xfId="1620" xr:uid="{3F02EBEB-0DE3-48A1-8D6C-670172255E0B}"/>
    <cellStyle name="Pattern 2 2 2 6" xfId="3281" xr:uid="{DC342647-E63C-4DC4-97C1-D44D6F1A5E0D}"/>
    <cellStyle name="Pattern 2 2 2 7" xfId="3774" xr:uid="{F4F25AD1-C42C-4AC6-83C8-879138FDC9E8}"/>
    <cellStyle name="Pattern 2 2 2 8" xfId="3164" xr:uid="{B61FE726-66AE-4522-A672-EA092829198F}"/>
    <cellStyle name="Pattern 2 2 3" xfId="1012" xr:uid="{195B8BE8-3027-4474-A074-4C888839E218}"/>
    <cellStyle name="Pattern 2 2 4" xfId="1926" xr:uid="{B5D4996C-EDC4-4FC9-8EEE-18AA17807726}"/>
    <cellStyle name="Pattern 2 2 5" xfId="2350" xr:uid="{B696910A-5B68-4310-9C72-73CC94FB076B}"/>
    <cellStyle name="Pattern 2 2 6" xfId="2932" xr:uid="{D8011620-FD37-4CB9-B27E-FD6F4C10A866}"/>
    <cellStyle name="Pattern 2 2 7" xfId="3275" xr:uid="{DA1FA776-4A55-4D61-B155-E1046604CE77}"/>
    <cellStyle name="Pattern 2 2 8" xfId="3562" xr:uid="{596CFADB-299E-4F4D-B203-C6C02DED8A61}"/>
    <cellStyle name="Pattern 2 2 9" xfId="4031" xr:uid="{9ACB10D6-BA59-4DB5-A76D-86C012C976C8}"/>
    <cellStyle name="Pattern 2 3" xfId="741" xr:uid="{C142D98E-752D-45FA-9911-5BFC0D1BEAED}"/>
    <cellStyle name="Pattern 2 3 2" xfId="1777" xr:uid="{35F7E88F-B187-4FA8-A2CD-2D6A8004EC50}"/>
    <cellStyle name="Pattern 2 3 3" xfId="2072" xr:uid="{B7253586-7602-412A-9094-017F19FB09D2}"/>
    <cellStyle name="Pattern 2 3 4" xfId="2495" xr:uid="{A423B625-4F6B-4234-B390-AE826D956DE4}"/>
    <cellStyle name="Pattern 2 3 5" xfId="2732" xr:uid="{43BD4F33-7233-4604-B052-E08041B7370F}"/>
    <cellStyle name="Pattern 2 3 6" xfId="3255" xr:uid="{E2559959-5922-459D-8352-194F4186EF9F}"/>
    <cellStyle name="Pattern 2 3 7" xfId="3705" xr:uid="{08E14E60-F542-4188-A389-22FCDC94F4AB}"/>
    <cellStyle name="Pattern 2 3 8" xfId="3270" xr:uid="{C964F6B3-517C-465A-8D97-7EEB0C91FBD0}"/>
    <cellStyle name="Pattern 3" xfId="301" xr:uid="{C34771E5-A029-4D2E-9086-5780F4C81DF3}"/>
    <cellStyle name="Pattern 3 10" xfId="3297" xr:uid="{468E0E36-817E-42CD-B4AC-F65BC6730651}"/>
    <cellStyle name="Pattern 3 11" xfId="1435" xr:uid="{E11BAA92-C939-4248-A1E4-723283DFC123}"/>
    <cellStyle name="Pattern 3 2" xfId="638" xr:uid="{92A1A453-9D7E-413F-B99B-6BB1FD70EA4A}"/>
    <cellStyle name="Pattern 3 2 2" xfId="853" xr:uid="{C74180CD-71B7-4E3D-B2A3-E1B72B2A024A}"/>
    <cellStyle name="Pattern 3 2 2 2" xfId="1544" xr:uid="{07936ADA-C4F7-44B5-966F-1F0D778B90D4}"/>
    <cellStyle name="Pattern 3 2 2 3" xfId="2184" xr:uid="{D6CA04CC-1EEB-4621-B27D-27C3047E460E}"/>
    <cellStyle name="Pattern 3 2 2 4" xfId="2607" xr:uid="{CC2398C7-E857-4477-AC24-B4F477CD409E}"/>
    <cellStyle name="Pattern 3 2 2 5" xfId="2969" xr:uid="{F5DF3FB1-9354-4742-82FC-AB55551FD7E7}"/>
    <cellStyle name="Pattern 3 2 2 6" xfId="1008" xr:uid="{D7E2AE18-01CE-492E-B7A2-630BE84CCBBF}"/>
    <cellStyle name="Pattern 3 2 2 7" xfId="3817" xr:uid="{12D2F877-3443-4DFF-869E-68FCB2AF8510}"/>
    <cellStyle name="Pattern 3 2 2 8" xfId="3915" xr:uid="{12A2EA72-A09A-4963-A031-2B435266AB3D}"/>
    <cellStyle name="Pattern 3 2 3" xfId="1200" xr:uid="{8574F01F-41E9-4CFE-B2F9-A7FAD9630944}"/>
    <cellStyle name="Pattern 3 2 4" xfId="1969" xr:uid="{8C0F0A7F-E942-43D8-BFD6-252C8A1B1AC2}"/>
    <cellStyle name="Pattern 3 2 5" xfId="2393" xr:uid="{A210CC26-998F-4CCD-8F38-35955E34BF1D}"/>
    <cellStyle name="Pattern 3 2 6" xfId="1232" xr:uid="{615612A9-A3CC-4C0D-9D59-E31275C2130C}"/>
    <cellStyle name="Pattern 3 2 7" xfId="1731" xr:uid="{3FBE3F32-EF84-4200-99FA-5E4C2C1E1BE7}"/>
    <cellStyle name="Pattern 3 2 8" xfId="3605" xr:uid="{6674BA29-8BC7-450E-9A2F-4D275738CFCF}"/>
    <cellStyle name="Pattern 3 2 9" xfId="4013" xr:uid="{3346335C-86F0-4D4D-87FD-67ACDD089058}"/>
    <cellStyle name="Pattern 3 3" xfId="537" xr:uid="{61417634-1C29-4A30-8869-380F30ED0541}"/>
    <cellStyle name="Pattern 3 3 2" xfId="752" xr:uid="{52FA1CBD-227E-4A17-BE82-02F80437EABF}"/>
    <cellStyle name="Pattern 3 3 2 2" xfId="1053" xr:uid="{CF636449-A41B-4C96-81B8-FE5DAF6FA6A0}"/>
    <cellStyle name="Pattern 3 3 2 3" xfId="2083" xr:uid="{03ABB892-FEAA-4DA0-86E2-B96238CE68A3}"/>
    <cellStyle name="Pattern 3 3 2 4" xfId="2506" xr:uid="{071435CC-782F-44F3-B9A0-640196834F51}"/>
    <cellStyle name="Pattern 3 3 2 5" xfId="2807" xr:uid="{E47EB232-90C9-4993-B8DB-6D1B55378163}"/>
    <cellStyle name="Pattern 3 3 2 6" xfId="2906" xr:uid="{D50F4721-A225-493D-88E9-5B41D7806A56}"/>
    <cellStyle name="Pattern 3 3 2 7" xfId="3716" xr:uid="{7911DDC5-4E51-4968-9599-F5B6D633CC33}"/>
    <cellStyle name="Pattern 3 3 2 8" xfId="2709" xr:uid="{FADFC4BA-D29E-4F5C-8ECF-961778796177}"/>
    <cellStyle name="Pattern 3 3 3" xfId="1653" xr:uid="{F893158F-1026-4464-91A0-4872B7F03592}"/>
    <cellStyle name="Pattern 3 3 4" xfId="1868" xr:uid="{77078C20-D0A4-4D74-9D21-D40F10562015}"/>
    <cellStyle name="Pattern 3 3 5" xfId="2292" xr:uid="{2ACBD8EA-8A39-4B9E-ACBC-96233CC14338}"/>
    <cellStyle name="Pattern 3 3 6" xfId="2929" xr:uid="{9714DB60-4BA0-4BD9-B785-7427D8208256}"/>
    <cellStyle name="Pattern 3 3 7" xfId="3149" xr:uid="{151940B1-1460-48DA-A573-ED0A505D369E}"/>
    <cellStyle name="Pattern 3 3 8" xfId="3504" xr:uid="{AF058D5E-325C-4D3D-A94A-77ED2F6F8078}"/>
    <cellStyle name="Pattern 3 3 9" xfId="3348" xr:uid="{D6FCBA43-9CF4-4E4A-8D4A-C8C62A322500}"/>
    <cellStyle name="Pattern 3 4" xfId="651" xr:uid="{8F1572D6-52AE-4314-9C74-E4DD8F97C435}"/>
    <cellStyle name="Pattern 3 4 2" xfId="866" xr:uid="{85E08A03-2434-4598-ABDC-03457D7C57AD}"/>
    <cellStyle name="Pattern 3 4 2 2" xfId="1023" xr:uid="{C44A547D-1D56-45A5-AEF0-DCFB3AF3A568}"/>
    <cellStyle name="Pattern 3 4 2 3" xfId="2197" xr:uid="{33D3CE08-CC72-4623-AC8F-0BD74ECDA09F}"/>
    <cellStyle name="Pattern 3 4 2 4" xfId="2620" xr:uid="{6586AD47-9117-4DC2-9D9E-6CC27ECBB6F4}"/>
    <cellStyle name="Pattern 3 4 2 5" xfId="2696" xr:uid="{FAC8C365-35A0-4A83-84B4-C8C57F85B4ED}"/>
    <cellStyle name="Pattern 3 4 2 6" xfId="1098" xr:uid="{A80177C3-9DB7-4FD5-A723-CA70FC9A5BAC}"/>
    <cellStyle name="Pattern 3 4 2 7" xfId="3830" xr:uid="{887BD55A-21D6-4301-852F-0470EEAF0C6C}"/>
    <cellStyle name="Pattern 3 4 2 8" xfId="3943" xr:uid="{9FE18B92-DE92-44FB-9A49-3C7002B16D9E}"/>
    <cellStyle name="Pattern 3 4 3" xfId="1617" xr:uid="{9E973000-83ED-4A52-B7ED-D34B0382F42D}"/>
    <cellStyle name="Pattern 3 4 4" xfId="1982" xr:uid="{D772F8CC-D992-4C02-BFE2-605D6ED456DC}"/>
    <cellStyle name="Pattern 3 4 5" xfId="2406" xr:uid="{6F5B8E87-A5A9-43E3-B2D8-9C2305B886E9}"/>
    <cellStyle name="Pattern 3 4 6" xfId="2260" xr:uid="{8B557883-16DD-4DA5-A696-8C4CEC2700BE}"/>
    <cellStyle name="Pattern 3 4 7" xfId="3377" xr:uid="{696AD18F-8944-4725-936E-AB6E6C3DCE3F}"/>
    <cellStyle name="Pattern 3 4 8" xfId="3618" xr:uid="{0AA43BF7-2AE6-4D8F-BDD1-89E643FCBB34}"/>
    <cellStyle name="Pattern 3 4 9" xfId="3888" xr:uid="{727F4BED-335E-445C-B1F8-BA5C32A24D93}"/>
    <cellStyle name="Pattern 3 5" xfId="1365" xr:uid="{B69902F9-254D-4436-9314-18887B09AFFF}"/>
    <cellStyle name="Pattern 3 6" xfId="1490" xr:uid="{FC86DC90-48B4-4AF0-90F3-B603BED9E2FA}"/>
    <cellStyle name="Pattern 3 7" xfId="1677" xr:uid="{EAD3AF25-CEFB-4EA9-A913-A354F355E208}"/>
    <cellStyle name="Pattern 3 8" xfId="1840" xr:uid="{ACAB440B-B7A6-4B90-A77C-D0AB4C3DC27F}"/>
    <cellStyle name="Pattern 3 9" xfId="3088" xr:uid="{110C46B0-8D0A-412C-8199-2CCC596FA4CF}"/>
    <cellStyle name="Percent 2" xfId="193" xr:uid="{985D2990-5A81-49E9-B05D-265CC806B4E9}"/>
    <cellStyle name="Percent 2 2" xfId="453" xr:uid="{D2B9C223-28F3-4555-8D13-20DB90526882}"/>
    <cellStyle name="RowLevel_1 2" xfId="96" xr:uid="{8A4CC141-9C1A-4BB5-8F76-2EAB161FBFBD}"/>
    <cellStyle name="Schlecht" xfId="194" xr:uid="{76085F0E-7D5F-41AE-9BDC-0F95DBB8B3FB}"/>
    <cellStyle name="Shade" xfId="24" xr:uid="{C2BA8B6F-B38E-4B3B-B079-6ACCE836B2F5}"/>
    <cellStyle name="Shade 2" xfId="195" xr:uid="{D59AFDA7-9F06-4E58-B13E-D0A7455635C1}"/>
    <cellStyle name="Shade 2 2" xfId="455" xr:uid="{9AA0EFB7-B3D2-4CA5-85AA-A90B82D7D3B8}"/>
    <cellStyle name="Shade 2 2 2" xfId="540" xr:uid="{FE249096-051F-4A15-A6AB-5C90529E7B10}"/>
    <cellStyle name="Shade 2 2 2 2" xfId="755" xr:uid="{E5ADE445-C690-4CC3-9F58-EE5C629A6BDF}"/>
    <cellStyle name="Shade 2 2 2 2 2" xfId="1267" xr:uid="{A84EB984-79E0-4314-91A1-F2E6252C39B5}"/>
    <cellStyle name="Shade 2 2 2 2 3" xfId="2086" xr:uid="{5AFD85BC-96EF-4605-8DDC-6388E1F3976E}"/>
    <cellStyle name="Shade 2 2 2 2 4" xfId="2509" xr:uid="{C70E9173-4CDC-4C43-813F-E8499ED3C423}"/>
    <cellStyle name="Shade 2 2 2 2 5" xfId="1292" xr:uid="{CEF8263A-A6E4-4721-AAA1-821EE08631C4}"/>
    <cellStyle name="Shade 2 2 2 2 6" xfId="1412" xr:uid="{09E29893-23AC-4941-9BCD-3B6E53B33C54}"/>
    <cellStyle name="Shade 2 2 2 2 7" xfId="3719" xr:uid="{BEA33970-9DD4-4AF7-837B-55C7B9042495}"/>
    <cellStyle name="Shade 2 2 2 2 8" xfId="3932" xr:uid="{3EB17DE3-1953-4D23-B447-C234A3C830BE}"/>
    <cellStyle name="Shade 2 2 2 3" xfId="1538" xr:uid="{7EF72EEC-D337-498B-8A8D-5B40CCC3BA1E}"/>
    <cellStyle name="Shade 2 2 2 4" xfId="1871" xr:uid="{46D0A472-A1E5-4D93-8DBB-BE3F9139EDED}"/>
    <cellStyle name="Shade 2 2 2 5" xfId="2295" xr:uid="{F6EEE1F8-0DC3-4D8F-B4DC-410F7532FF78}"/>
    <cellStyle name="Shade 2 2 2 6" xfId="1264" xr:uid="{CDD863E8-A702-4DDE-9AAC-8859D02EC3F9}"/>
    <cellStyle name="Shade 2 2 2 7" xfId="3331" xr:uid="{CC5667A5-1D34-44C7-B2FF-1FE6D706DDE9}"/>
    <cellStyle name="Shade 2 2 2 8" xfId="3507" xr:uid="{48B260DB-8209-4744-A92D-AA2748BC19E9}"/>
    <cellStyle name="Shade 2 2 2 9" xfId="3887" xr:uid="{E118BE8D-378D-4FA0-ACA1-D050DAED311D}"/>
    <cellStyle name="Shade 2 2 3" xfId="743" xr:uid="{DDAC698D-40FB-4197-B830-98B86358C076}"/>
    <cellStyle name="Shade 2 2 3 2" xfId="1781" xr:uid="{D0AE892A-CEBA-4750-9215-5A235E6C453A}"/>
    <cellStyle name="Shade 2 2 3 3" xfId="2074" xr:uid="{76F0111B-357E-4304-95A1-0B2D5206140E}"/>
    <cellStyle name="Shade 2 2 3 4" xfId="2497" xr:uid="{A23BD962-2998-49B3-BD41-5F77533D068B}"/>
    <cellStyle name="Shade 2 2 3 5" xfId="1641" xr:uid="{4F49C045-E974-4038-9A19-F54A5D8702BC}"/>
    <cellStyle name="Shade 2 2 3 6" xfId="3196" xr:uid="{F0AD8FB6-EDF3-45AE-92C0-8A24CF3A8F1A}"/>
    <cellStyle name="Shade 2 2 3 7" xfId="3707" xr:uid="{B5F4DEB8-1692-4F9F-83AA-E6661CC47614}"/>
    <cellStyle name="Shade 2 2 3 8" xfId="3210" xr:uid="{93C92EB0-45A3-482D-B4AA-3F28E6650C3D}"/>
    <cellStyle name="Shade 2 3" xfId="303" xr:uid="{57165CBC-698F-4444-90CD-8BDE0E7FBFBB}"/>
    <cellStyle name="Shade 2 3 10" xfId="3213" xr:uid="{A5372839-E15D-431A-8669-AEA5C209900C}"/>
    <cellStyle name="Shade 2 3 11" xfId="3279" xr:uid="{7CD13A70-47D0-4C13-AA67-B36CFAB432D8}"/>
    <cellStyle name="Shade 2 3 2" xfId="640" xr:uid="{88AC52FA-FACA-4AC6-A626-915AFEA288C8}"/>
    <cellStyle name="Shade 2 3 2 2" xfId="855" xr:uid="{02ED276F-8AFC-43A4-930D-20FBA8BB5A69}"/>
    <cellStyle name="Shade 2 3 2 2 2" xfId="1542" xr:uid="{2AEE822D-1711-4FA3-8438-2E19AEA1E3E7}"/>
    <cellStyle name="Shade 2 3 2 2 3" xfId="2186" xr:uid="{50ACDEE2-9BCD-4767-8EC1-668F6A71CA4A}"/>
    <cellStyle name="Shade 2 3 2 2 4" xfId="2609" xr:uid="{EDE6B7E9-C8BC-4464-A85E-4E4A413E4E42}"/>
    <cellStyle name="Shade 2 3 2 2 5" xfId="1104" xr:uid="{CC39C232-C035-4B38-B47A-4D68AFD23C94}"/>
    <cellStyle name="Shade 2 3 2 2 6" xfId="3316" xr:uid="{D135DBEB-9108-494C-895B-B2716B72D5EB}"/>
    <cellStyle name="Shade 2 3 2 2 7" xfId="3819" xr:uid="{5066E041-E5F2-4DB5-8125-F75750AE467D}"/>
    <cellStyle name="Shade 2 3 2 2 8" xfId="3906" xr:uid="{04C93624-CDF9-480B-91B6-2FCEA128C9B4}"/>
    <cellStyle name="Shade 2 3 2 3" xfId="1057" xr:uid="{C5F06050-1181-401D-9BC0-F12B7D65086A}"/>
    <cellStyle name="Shade 2 3 2 4" xfId="1971" xr:uid="{14FF02FF-0644-4D15-A67B-FAF79F27D42F}"/>
    <cellStyle name="Shade 2 3 2 5" xfId="2395" xr:uid="{0DEBCB28-D1E7-4DA9-A9C7-8935EC52A173}"/>
    <cellStyle name="Shade 2 3 2 6" xfId="2755" xr:uid="{49ACAD8D-B4EC-4817-A4E9-4466533B4298}"/>
    <cellStyle name="Shade 2 3 2 7" xfId="2704" xr:uid="{C1243511-17BC-42D5-A57E-FF23C3F0BCFC}"/>
    <cellStyle name="Shade 2 3 2 8" xfId="3607" xr:uid="{32DA418D-3471-4EA1-92BD-3CCF2CA0AE32}"/>
    <cellStyle name="Shade 2 3 2 9" xfId="3108" xr:uid="{CA3519B0-9287-4E94-BB29-E2F2952B8B93}"/>
    <cellStyle name="Shade 2 3 3" xfId="669" xr:uid="{42E8DD2C-B03C-4950-BC7F-8D207ED8F145}"/>
    <cellStyle name="Shade 2 3 3 2" xfId="884" xr:uid="{AC07E47F-413E-4C1A-979E-AC470B53AD06}"/>
    <cellStyle name="Shade 2 3 3 2 2" xfId="1297" xr:uid="{22252244-D6A7-4EAD-86B7-C45EC728E813}"/>
    <cellStyle name="Shade 2 3 3 2 3" xfId="2215" xr:uid="{1E4AC419-CFA8-493B-A707-04ADF5EAC85A}"/>
    <cellStyle name="Shade 2 3 3 2 4" xfId="2638" xr:uid="{07BDA2B5-84DF-4F85-8C35-8BB651C6497D}"/>
    <cellStyle name="Shade 2 3 3 2 5" xfId="1108" xr:uid="{1DB57646-63E7-452E-A94C-F94F4C24AEF0}"/>
    <cellStyle name="Shade 2 3 3 2 6" xfId="2053" xr:uid="{4E77804E-8BDA-49B2-AB81-5CA9460AC145}"/>
    <cellStyle name="Shade 2 3 3 2 7" xfId="3848" xr:uid="{F07C361C-1C43-456D-94CE-B16242DFE46F}"/>
    <cellStyle name="Shade 2 3 3 2 8" xfId="3952" xr:uid="{03936D23-F7BC-47B7-86F0-24125E2CC83F}"/>
    <cellStyle name="Shade 2 3 3 3" xfId="941" xr:uid="{FCF16165-E5E0-48CC-9EBE-B9F65337BC78}"/>
    <cellStyle name="Shade 2 3 3 4" xfId="2000" xr:uid="{A2CFA74C-8EAF-4BE5-9F27-881B60E0737E}"/>
    <cellStyle name="Shade 2 3 3 5" xfId="2424" xr:uid="{414177F2-556E-4CBE-B05A-F31BFC21E88E}"/>
    <cellStyle name="Shade 2 3 3 6" xfId="1224" xr:uid="{8E2C6859-14A3-463A-9DEC-93699C8C7968}"/>
    <cellStyle name="Shade 2 3 3 7" xfId="2793" xr:uid="{76424B6C-F21E-4F8E-8285-64242B3016BC}"/>
    <cellStyle name="Shade 2 3 3 8" xfId="3636" xr:uid="{876CAC01-8A20-43E8-A7A1-90C34971621C}"/>
    <cellStyle name="Shade 2 3 3 9" xfId="3917" xr:uid="{8118ABCB-A351-4A39-8F8F-FE66C8024BFE}"/>
    <cellStyle name="Shade 2 3 4" xfId="583" xr:uid="{91D28327-F239-4053-A5D5-62AC9A21C394}"/>
    <cellStyle name="Shade 2 3 4 2" xfId="798" xr:uid="{56FA66CC-0C81-4A97-809E-D92A238F5300}"/>
    <cellStyle name="Shade 2 3 4 2 2" xfId="1144" xr:uid="{DACB055A-D506-448C-8052-D2A96168142D}"/>
    <cellStyle name="Shade 2 3 4 2 3" xfId="2129" xr:uid="{0871F567-8488-4E82-93D9-8159E782F7C6}"/>
    <cellStyle name="Shade 2 3 4 2 4" xfId="2552" xr:uid="{838C4A1F-C826-47B2-81BF-F8E488B74BD3}"/>
    <cellStyle name="Shade 2 3 4 2 5" xfId="1736" xr:uid="{32C0D6DA-9EAE-4219-B539-44F03CB49BE2}"/>
    <cellStyle name="Shade 2 3 4 2 6" xfId="2872" xr:uid="{E072329E-0B45-4FDD-AD3F-AED2BC61D78C}"/>
    <cellStyle name="Shade 2 3 4 2 7" xfId="3762" xr:uid="{89ADB3FE-CDD2-4243-8FE9-018D594B61F4}"/>
    <cellStyle name="Shade 2 3 4 2 8" xfId="2974" xr:uid="{0AC2E011-0D2A-49F2-BA4A-CEEEA59E43BF}"/>
    <cellStyle name="Shade 2 3 4 3" xfId="1649" xr:uid="{2EC6286C-4C4B-4055-A4D0-0D97915021E1}"/>
    <cellStyle name="Shade 2 3 4 4" xfId="1914" xr:uid="{D44F49D0-3482-4762-AE3C-71DABE3C30A7}"/>
    <cellStyle name="Shade 2 3 4 5" xfId="2338" xr:uid="{7BEE27D8-97C0-47FD-8590-CDF18D4C869A}"/>
    <cellStyle name="Shade 2 3 4 6" xfId="2745" xr:uid="{60D62F1C-6713-43E2-B234-3C98BC80C290}"/>
    <cellStyle name="Shade 2 3 4 7" xfId="3147" xr:uid="{97EFA3C8-4C6C-4726-8329-B4BE41FEDE82}"/>
    <cellStyle name="Shade 2 3 4 8" xfId="3550" xr:uid="{555ABE49-C60D-46CA-B1A1-F94379E33C21}"/>
    <cellStyle name="Shade 2 3 4 9" xfId="4061" xr:uid="{31E606F3-F7E0-4AB1-881D-DDC0AE91B938}"/>
    <cellStyle name="Shade 2 3 5" xfId="1244" xr:uid="{72544E0A-83BF-4148-B77F-31A8194ADB71}"/>
    <cellStyle name="Shade 2 3 6" xfId="1624" xr:uid="{C1DDB443-2596-4C99-BA2B-B2BABA016A5C}"/>
    <cellStyle name="Shade 2 3 7" xfId="973" xr:uid="{AEFDA22A-15A5-4930-8B8C-A5947BC1F629}"/>
    <cellStyle name="Shade 2 3 8" xfId="1730" xr:uid="{76C4B09D-402E-41F5-ABE0-51C23D9C872C}"/>
    <cellStyle name="Shade 2 3 9" xfId="3086" xr:uid="{84BB449E-19FC-4326-BD99-0DD71749424F}"/>
    <cellStyle name="Shade 3" xfId="454" xr:uid="{7280D5A0-DB77-4E24-9F4A-623168E1C399}"/>
    <cellStyle name="Shade 3 2" xfId="594" xr:uid="{6D49E7F1-09B1-4F82-AC4A-A16A64F7670E}"/>
    <cellStyle name="Shade 3 2 2" xfId="809" xr:uid="{B6CE663D-8AC4-4D06-BB1B-495E1A74204E}"/>
    <cellStyle name="Shade 3 2 2 2" xfId="1308" xr:uid="{A9972236-821E-4D2B-940E-CC41D99FD5FD}"/>
    <cellStyle name="Shade 3 2 2 3" xfId="2140" xr:uid="{50FD9E7E-81DD-48E4-9D9F-C5D50AE695B5}"/>
    <cellStyle name="Shade 3 2 2 4" xfId="2563" xr:uid="{39C23969-7916-48A4-8B2B-3A7B510D68FD}"/>
    <cellStyle name="Shade 3 2 2 5" xfId="2701" xr:uid="{9DA07118-1260-4940-A7F7-1EA9036EC275}"/>
    <cellStyle name="Shade 3 2 2 6" xfId="3052" xr:uid="{8C36B2EB-5729-40BF-97A4-93BFA452A233}"/>
    <cellStyle name="Shade 3 2 2 7" xfId="3773" xr:uid="{9B24E811-48CC-470B-82D9-9AA55DE1E35F}"/>
    <cellStyle name="Shade 3 2 2 8" xfId="3907" xr:uid="{3E0F4650-FE2B-4C63-958F-833BC558C17D}"/>
    <cellStyle name="Shade 3 2 3" xfId="944" xr:uid="{884733FE-6DC0-475F-8533-AB5CBADF7A46}"/>
    <cellStyle name="Shade 3 2 4" xfId="1925" xr:uid="{F7FDAF21-AC0C-4673-A171-041E6D5B860C}"/>
    <cellStyle name="Shade 3 2 5" xfId="2349" xr:uid="{D76A3450-392F-46E3-890A-CB5872005C19}"/>
    <cellStyle name="Shade 3 2 6" xfId="2942" xr:uid="{BC0B71B8-65F2-4425-B748-6698CA40C38B}"/>
    <cellStyle name="Shade 3 2 7" xfId="1348" xr:uid="{D38865D3-A39D-4B15-9EA3-07EC94E14AAA}"/>
    <cellStyle name="Shade 3 2 8" xfId="3561" xr:uid="{8DBE9453-A906-4E0F-BAAE-169DD459BA3E}"/>
    <cellStyle name="Shade 3 2 9" xfId="3970" xr:uid="{42077465-15CB-4E1C-B408-066306711E13}"/>
    <cellStyle name="Shade 3 3" xfId="742" xr:uid="{E0EB1247-07EF-4A29-B1A7-A7AD5C506244}"/>
    <cellStyle name="Shade 3 3 2" xfId="1570" xr:uid="{DC4B7D15-13DB-495B-9959-8A2A4F671352}"/>
    <cellStyle name="Shade 3 3 3" xfId="2073" xr:uid="{4D3542FE-8F1F-409B-8AA2-560D8498DC30}"/>
    <cellStyle name="Shade 3 3 4" xfId="2496" xr:uid="{E883009D-17C4-4933-9F00-B3A08F7B489E}"/>
    <cellStyle name="Shade 3 3 5" xfId="1815" xr:uid="{CFA61C20-A6DC-484C-9774-88CF91978B68}"/>
    <cellStyle name="Shade 3 3 6" xfId="3380" xr:uid="{A845E66E-8F1B-45F6-8641-1B4057997C56}"/>
    <cellStyle name="Shade 3 3 7" xfId="3706" xr:uid="{3C919223-F58E-44C4-B645-274BC9AE0375}"/>
    <cellStyle name="Shade 3 3 8" xfId="4018" xr:uid="{B65590FA-CCEC-475B-8D9E-4310CCBA4F8C}"/>
    <cellStyle name="Shade 4" xfId="302" xr:uid="{012722F6-21C2-4DA1-94E1-47774CB58F49}"/>
    <cellStyle name="Shade 4 10" xfId="2279" xr:uid="{42B01F0A-3A47-467B-8A7C-9FB83ADA5FCB}"/>
    <cellStyle name="Shade 4 11" xfId="2970" xr:uid="{7C97100E-CE51-41A6-831D-147C23AA98A4}"/>
    <cellStyle name="Shade 4 2" xfId="44" xr:uid="{CB70BBDC-9E2A-4A56-9AD5-91FD72336DCE}"/>
    <cellStyle name="Shade 4 2 2" xfId="639" xr:uid="{8ABCB50F-C0BA-4113-927B-498084563A4B}"/>
    <cellStyle name="Shade 4 2 2 2" xfId="1333" xr:uid="{632F9070-8419-4C84-882A-95EB2234FEA6}"/>
    <cellStyle name="Shade 4 2 2 3" xfId="1970" xr:uid="{F11D02C1-550E-4728-B96F-82D59AE461F0}"/>
    <cellStyle name="Shade 4 2 2 4" xfId="2394" xr:uid="{CD118311-3B9B-4EEC-B069-CF9DE8A9AA11}"/>
    <cellStyle name="Shade 4 2 2 5" xfId="2921" xr:uid="{1EDE57BD-FB79-447D-9744-96D162FA096E}"/>
    <cellStyle name="Shade 4 2 2 6" xfId="2979" xr:uid="{CA957F4F-6473-4309-BFB8-C20C3B10579E}"/>
    <cellStyle name="Shade 4 2 2 7" xfId="3606" xr:uid="{4BB8AAA8-70E0-497B-8340-42A2E5D4B720}"/>
    <cellStyle name="Shade 4 2 2 8" xfId="3935" xr:uid="{B5556129-51D0-4CDB-8EF9-B3CFC149570B}"/>
    <cellStyle name="Shade 4 2 3" xfId="854" xr:uid="{C53D3622-32F3-49CC-B263-7F733DA6DF0D}"/>
    <cellStyle name="Shade 4 2 3 2" xfId="1747" xr:uid="{BC471C5E-D43A-4CF7-930A-8206274E58B9}"/>
    <cellStyle name="Shade 4 2 3 3" xfId="2185" xr:uid="{E0D1A625-4804-4E4D-9DEB-B4B9F6184F7F}"/>
    <cellStyle name="Shade 4 2 3 4" xfId="2608" xr:uid="{9BD2C625-0038-4C46-93A9-29250DFC0E66}"/>
    <cellStyle name="Shade 4 2 3 5" xfId="2265" xr:uid="{73BCB819-66AE-407E-AC55-3BB5E9823F25}"/>
    <cellStyle name="Shade 4 2 3 6" xfId="3284" xr:uid="{1818B349-909F-47F3-8CEF-0EE88F007728}"/>
    <cellStyle name="Shade 4 2 3 7" xfId="3818" xr:uid="{61AB1AD1-A994-427C-A929-369BCE0F9BC4}"/>
    <cellStyle name="Shade 4 2 3 8" xfId="1831" xr:uid="{85E1E649-B9DE-42C4-831F-AF6F39EC7FA9}"/>
    <cellStyle name="Shade 4 3" xfId="668" xr:uid="{8842E859-FB68-4977-AE64-56440D35FFC1}"/>
    <cellStyle name="Shade 4 3 2" xfId="883" xr:uid="{7B8034F1-C858-4CEF-B5B9-EA2A46AB69D2}"/>
    <cellStyle name="Shade 4 3 2 2" xfId="1175" xr:uid="{100A4567-9C27-44AF-8784-A55A50F6914F}"/>
    <cellStyle name="Shade 4 3 2 3" xfId="2214" xr:uid="{E3BF3500-D407-4336-B071-F5BED1992DFD}"/>
    <cellStyle name="Shade 4 3 2 4" xfId="2637" xr:uid="{44397DEA-7507-4FC4-849F-23CB7BFC802E}"/>
    <cellStyle name="Shade 4 3 2 5" xfId="1378" xr:uid="{16679D48-5477-47B3-8894-4C669AE277B1}"/>
    <cellStyle name="Shade 4 3 2 6" xfId="2772" xr:uid="{7822364C-FA20-44B9-AD7D-FE0B753DBA4A}"/>
    <cellStyle name="Shade 4 3 2 7" xfId="3847" xr:uid="{299C065A-0688-423C-9463-53159979A943}"/>
    <cellStyle name="Shade 4 3 2 8" xfId="3345" xr:uid="{0664668A-D0A7-4702-B3FB-4B68ADBD9E16}"/>
    <cellStyle name="Shade 4 3 3" xfId="940" xr:uid="{ECF55FA5-7A95-4AA7-B8F7-46F411A54025}"/>
    <cellStyle name="Shade 4 3 4" xfId="1999" xr:uid="{B5229CB8-FA03-465D-8C67-95670B1F2F56}"/>
    <cellStyle name="Shade 4 3 5" xfId="2423" xr:uid="{221E1DBA-6338-4704-8A79-D2E5FD0E6B01}"/>
    <cellStyle name="Shade 4 3 6" xfId="2787" xr:uid="{B251855D-D7CF-4BBF-A97E-FAE28002FC68}"/>
    <cellStyle name="Shade 4 3 7" xfId="1414" xr:uid="{B4C2CC8C-0CF0-4A58-919E-7E8DD2B49A7C}"/>
    <cellStyle name="Shade 4 3 8" xfId="3635" xr:uid="{EC4E61AD-59C0-4D67-9C92-4478D8CDF38B}"/>
    <cellStyle name="Shade 4 3 9" xfId="3879" xr:uid="{51966A02-0CB4-4EF3-8C8F-62E2ACB5BEE3}"/>
    <cellStyle name="Shade 4 4" xfId="530" xr:uid="{C64B9F1C-526A-424A-AE23-8FAF8D736B6F}"/>
    <cellStyle name="Shade 4 4 2" xfId="745" xr:uid="{9DBA917A-C4D9-4F62-B0AC-FCCB23361EA2}"/>
    <cellStyle name="Shade 4 4 2 2" xfId="1714" xr:uid="{DB2FFB59-A413-48ED-833D-9C6A60AB10F4}"/>
    <cellStyle name="Shade 4 4 2 3" xfId="2076" xr:uid="{426B8EF1-608F-4716-BCE8-2CCF921183F2}"/>
    <cellStyle name="Shade 4 4 2 4" xfId="2499" xr:uid="{B80C26B2-5577-4094-882E-833B38260FEF}"/>
    <cellStyle name="Shade 4 4 2 5" xfId="2821" xr:uid="{3297CAA2-0528-43FC-A287-DBCF5F2C6EE9}"/>
    <cellStyle name="Shade 4 4 2 6" xfId="3286" xr:uid="{9FB74DF3-9CCB-4630-8085-FA80EB986CCD}"/>
    <cellStyle name="Shade 4 4 2 7" xfId="3709" xr:uid="{CF24CA51-86F6-4410-9E2D-0D547D61CD3F}"/>
    <cellStyle name="Shade 4 4 2 8" xfId="3113" xr:uid="{45B4E3A2-0598-4E89-A48F-EC6F6152AA05}"/>
    <cellStyle name="Shade 4 4 3" xfId="1560" xr:uid="{48E5F98F-433D-4437-99A6-4478FCF01A30}"/>
    <cellStyle name="Shade 4 4 4" xfId="1861" xr:uid="{61173218-D5FC-4654-8C95-E3C54BBA97A3}"/>
    <cellStyle name="Shade 4 4 5" xfId="2285" xr:uid="{1B3D90B9-004D-409B-8724-E47D796BF648}"/>
    <cellStyle name="Shade 4 4 6" xfId="1454" xr:uid="{3F016ABE-0435-4E0F-AB1A-36CB332155F6}"/>
    <cellStyle name="Shade 4 4 7" xfId="3355" xr:uid="{61AE803B-61FC-4876-8B8C-686375273518}"/>
    <cellStyle name="Shade 4 4 8" xfId="3497" xr:uid="{38B4D991-8769-446E-998E-851E92EFCE2D}"/>
    <cellStyle name="Shade 4 4 9" xfId="3875" xr:uid="{427D08C8-68E0-4235-AF3C-D3862D5005EB}"/>
    <cellStyle name="Shade 4 5" xfId="1366" xr:uid="{55162271-881A-4D46-9FB4-BF04BF041B16}"/>
    <cellStyle name="Shade 4 6" xfId="1692" xr:uid="{C68B02F7-53A3-44A4-9F9A-2290DFD95F3A}"/>
    <cellStyle name="Shade 4 7" xfId="1221" xr:uid="{08C8B69E-A1AB-435A-806A-AD4B4692999D}"/>
    <cellStyle name="Shade 4 8" xfId="1351" xr:uid="{FD44D23D-225E-4640-B0C5-AB37E7C07376}"/>
    <cellStyle name="Shade 4 9" xfId="2811" xr:uid="{A3EC615B-9283-4609-B56A-06FF642C6F25}"/>
    <cellStyle name="Shade 5" xfId="93" xr:uid="{7A2EF188-0D1A-4C43-AB07-71014C38BEA9}"/>
    <cellStyle name="Shade_B_border2" xfId="196" xr:uid="{7CBEBAE2-2DC4-4ADD-9F87-833CD8D53A3F}"/>
    <cellStyle name="Standard 2" xfId="43" xr:uid="{D45ADD2E-227A-4ADD-B287-2057422680FF}"/>
    <cellStyle name="Standard 2 2" xfId="415" xr:uid="{FA16DC27-6115-401C-B93F-E6B48219DFE5}"/>
    <cellStyle name="Standard 2 2 2" xfId="525" xr:uid="{0616CE64-2175-43E1-AD3E-347C7444E554}"/>
    <cellStyle name="Standard 2 3" xfId="524" xr:uid="{B2A25153-02CC-491F-BE3C-4E9CA95D1CD1}"/>
    <cellStyle name="Title 2" xfId="197" xr:uid="{68D8BE40-7900-40F7-ABDA-85ECDF651D75}"/>
    <cellStyle name="Title 3" xfId="256" xr:uid="{25D8E318-3104-462B-9419-6BD159733232}"/>
    <cellStyle name="Total 2" xfId="198" xr:uid="{501414B5-F922-44A7-82A7-5E8034FAF982}"/>
    <cellStyle name="Total 2 10" xfId="3119" xr:uid="{880FABEB-36E6-4D51-81F8-20262C12CB99}"/>
    <cellStyle name="Total 2 11" xfId="3264" xr:uid="{8D486555-EF3B-4E24-82B4-732BA0276AF5}"/>
    <cellStyle name="Total 2 2" xfId="585" xr:uid="{910E6B5A-2361-4F45-8D75-7D8AD2A3E509}"/>
    <cellStyle name="Total 2 2 2" xfId="800" xr:uid="{C0CCCE3B-F9AA-4AD2-9CFB-9F378FC7E8C2}"/>
    <cellStyle name="Total 2 2 2 2" xfId="1190" xr:uid="{110D2732-907C-4A83-894E-6CEF4C43C92E}"/>
    <cellStyle name="Total 2 2 2 3" xfId="2131" xr:uid="{E8422672-2E10-4614-B3F8-EB4326C69317}"/>
    <cellStyle name="Total 2 2 2 4" xfId="2554" xr:uid="{214B8C75-3370-4C51-A681-9DECA971D19E}"/>
    <cellStyle name="Total 2 2 2 5" xfId="1089" xr:uid="{CA950069-26A0-4DBD-AE83-20E1B40F00C6}"/>
    <cellStyle name="Total 2 2 2 6" xfId="2759" xr:uid="{294108C5-FCB0-4E9B-987D-A33C23C34123}"/>
    <cellStyle name="Total 2 2 2 7" xfId="3764" xr:uid="{DF5A3C2A-4FE1-4CC3-96B8-3D5D00544EC9}"/>
    <cellStyle name="Total 2 2 2 8" xfId="4025" xr:uid="{9D5732C7-0E81-4AF1-846B-EB6EAEE30D56}"/>
    <cellStyle name="Total 2 2 3" xfId="1759" xr:uid="{5C6EC5C1-AF54-4644-B036-321E3CD0681D}"/>
    <cellStyle name="Total 2 2 4" xfId="1916" xr:uid="{8405EA9B-F883-443C-B0CB-0049AFE00673}"/>
    <cellStyle name="Total 2 2 5" xfId="2340" xr:uid="{24030C6E-4CB7-499C-A9C7-E20A007597E3}"/>
    <cellStyle name="Total 2 2 6" xfId="2250" xr:uid="{8A04ECFD-5F91-4BE7-B992-26630665E619}"/>
    <cellStyle name="Total 2 2 7" xfId="3237" xr:uid="{A24B7548-30B9-4CBD-BFF1-BB48BA790578}"/>
    <cellStyle name="Total 2 2 8" xfId="3552" xr:uid="{DC1573C4-7F75-4BC1-9360-5F4722D662D7}"/>
    <cellStyle name="Total 2 2 9" xfId="1636" xr:uid="{D223E8B9-9411-4F14-A65E-D76347BA02A0}"/>
    <cellStyle name="Total 2 3" xfId="646" xr:uid="{B68477E3-A6D0-40EC-9123-756834256CF9}"/>
    <cellStyle name="Total 2 3 2" xfId="861" xr:uid="{97897581-C146-4A50-9722-5B5CCCD7057E}"/>
    <cellStyle name="Total 2 3 2 2" xfId="1026" xr:uid="{B3C4B831-3C03-4CAD-AF41-837D669CC5B8}"/>
    <cellStyle name="Total 2 3 2 3" xfId="2192" xr:uid="{B6CB94EE-9DD4-4BD2-851F-4527AFAE6A83}"/>
    <cellStyle name="Total 2 3 2 4" xfId="2615" xr:uid="{5C97E763-AD6D-4632-B245-66628C591933}"/>
    <cellStyle name="Total 2 3 2 5" xfId="1419" xr:uid="{C1280170-BF00-4703-B5D8-9415F982AB5E}"/>
    <cellStyle name="Total 2 3 2 6" xfId="2953" xr:uid="{922DE3CA-9B1D-4004-B9CC-85656469B553}"/>
    <cellStyle name="Total 2 3 2 7" xfId="3825" xr:uid="{21E9BF02-F4AB-48F2-A896-22BB4E4E1794}"/>
    <cellStyle name="Total 2 3 2 8" xfId="3939" xr:uid="{8E5D6560-3151-46AF-B68C-267290F841D1}"/>
    <cellStyle name="Total 2 3 3" xfId="1667" xr:uid="{38291EBD-2C8D-4FBA-AFC7-1AB881C7C71A}"/>
    <cellStyle name="Total 2 3 4" xfId="1977" xr:uid="{D9A1D8EA-0FB2-4AED-8B6C-249C6980C65A}"/>
    <cellStyle name="Total 2 3 5" xfId="2401" xr:uid="{1B6B2FA6-B053-41DA-B29A-13769FE86EE4}"/>
    <cellStyle name="Total 2 3 6" xfId="1698" xr:uid="{015694D1-BC42-4EB5-962A-2BF7313905FE}"/>
    <cellStyle name="Total 2 3 7" xfId="3160" xr:uid="{D525ABA0-6EDE-457F-94A8-AC7E9D24B409}"/>
    <cellStyle name="Total 2 3 8" xfId="3613" xr:uid="{ABDFF80A-A799-4F8B-A7DF-60D32595FD11}"/>
    <cellStyle name="Total 2 3 9" xfId="4054" xr:uid="{67AF5779-D644-416A-B597-B1935E40C82C}"/>
    <cellStyle name="Total 2 4" xfId="534" xr:uid="{84489131-EA44-47DB-9E28-142F8ED28FB7}"/>
    <cellStyle name="Total 2 4 2" xfId="749" xr:uid="{6B4FA6C6-4BD5-4110-B221-CAE8CF1554B0}"/>
    <cellStyle name="Total 2 4 2 2" xfId="1694" xr:uid="{6589FF0F-761C-49B8-BFA3-E2C56F218BEB}"/>
    <cellStyle name="Total 2 4 2 3" xfId="2080" xr:uid="{8BFC207F-5BC5-44F9-B303-6165B1324C74}"/>
    <cellStyle name="Total 2 4 2 4" xfId="2503" xr:uid="{E0516D89-DF1A-4E4C-9893-E8A5D4370349}"/>
    <cellStyle name="Total 2 4 2 5" xfId="1017" xr:uid="{1D1967DD-4582-4AB6-9060-C7DD215E97AC}"/>
    <cellStyle name="Total 2 4 2 6" xfId="2991" xr:uid="{8B5E2413-531F-4A27-A5C2-CEAA2559C454}"/>
    <cellStyle name="Total 2 4 2 7" xfId="3713" xr:uid="{730A36DB-3994-4710-A0CD-1319B7D5DE58}"/>
    <cellStyle name="Total 2 4 2 8" xfId="4044" xr:uid="{FC04F2CF-0C9C-46B5-BD6E-E3E2D3F8EB14}"/>
    <cellStyle name="Total 2 4 3" xfId="1495" xr:uid="{8529F1D2-A63C-4B67-A148-CD5C4ED575CC}"/>
    <cellStyle name="Total 2 4 4" xfId="1865" xr:uid="{9ECA753F-7A97-42B7-89A6-36A156734811}"/>
    <cellStyle name="Total 2 4 5" xfId="2289" xr:uid="{C5C31176-1A53-49DB-96A9-22943A6E6103}"/>
    <cellStyle name="Total 2 4 6" xfId="1223" xr:uid="{DFD39DEA-5871-4FF1-BB4B-BB860349291D}"/>
    <cellStyle name="Total 2 4 7" xfId="2747" xr:uid="{5507FE01-5919-4E8F-8F83-9E7890F6FE42}"/>
    <cellStyle name="Total 2 4 8" xfId="3501" xr:uid="{829D894C-0C0B-4131-A9B5-26DDCB1D3710}"/>
    <cellStyle name="Total 2 4 9" xfId="3983" xr:uid="{1315BA5C-5BFE-4A4B-B4F0-812A3CD2AE5A}"/>
    <cellStyle name="Total 2 5" xfId="705" xr:uid="{774A83E5-B64A-40FC-9C8D-83064536F937}"/>
    <cellStyle name="Total 2 5 2" xfId="1765" xr:uid="{F9621878-AEAE-4EBB-8C98-4035CA8C6589}"/>
    <cellStyle name="Total 2 5 3" xfId="2036" xr:uid="{28FA9127-2887-4FBE-B1A7-61E44A44287D}"/>
    <cellStyle name="Total 2 5 4" xfId="2460" xr:uid="{21700B85-7AA1-4536-BB42-24D2445E5C1C}"/>
    <cellStyle name="Total 2 5 5" xfId="1279" xr:uid="{17FB62D6-0F81-47FC-AA66-628512F71A01}"/>
    <cellStyle name="Total 2 5 6" xfId="3197" xr:uid="{82BD8DCF-0E88-4C00-96EE-6DE33E960D17}"/>
    <cellStyle name="Total 2 5 7" xfId="3671" xr:uid="{BEC9F074-18CC-4681-8B37-A93B6ACFAE8C}"/>
    <cellStyle name="Total 2 5 8" xfId="3931" xr:uid="{7F068C28-C710-49FB-B2BD-BE5C8EC9F76C}"/>
    <cellStyle name="Total 2 6" xfId="1413" xr:uid="{6493B189-FDE4-40A8-819E-20FB112676B5}"/>
    <cellStyle name="Total 2 7" xfId="1405" xr:uid="{EA171F66-08D0-4B5D-96F5-1CF24A2FD36F}"/>
    <cellStyle name="Total 2 8" xfId="1251" xr:uid="{E53484A5-CD28-4350-A0D0-0EE04DEBC810}"/>
    <cellStyle name="Total 2 9" xfId="1072" xr:uid="{70819B01-4F54-45A0-B0A6-CD71F994A193}"/>
    <cellStyle name="Total 3" xfId="257" xr:uid="{A66F95E2-8531-4FF7-AC2D-53F56F78FE5E}"/>
    <cellStyle name="Total 3 10" xfId="3100" xr:uid="{88AC0F7A-498E-48DC-AB3D-230E5784F70A}"/>
    <cellStyle name="Total 3 11" xfId="3105" xr:uid="{12692022-D7A5-4848-9837-0C15F89FEC00}"/>
    <cellStyle name="Total 3 2" xfId="609" xr:uid="{E3D6990E-9FB7-4597-976D-C9ECC9131DA5}"/>
    <cellStyle name="Total 3 2 2" xfId="824" xr:uid="{0CC36EA9-D10A-49DD-B6FD-39FA0DCF6796}"/>
    <cellStyle name="Total 3 2 2 2" xfId="1033" xr:uid="{56C9DCA8-12E9-4CB9-9CB9-08CAEEE03333}"/>
    <cellStyle name="Total 3 2 2 3" xfId="2155" xr:uid="{22EA2368-23E9-4428-B918-9949EE4AEC9C}"/>
    <cellStyle name="Total 3 2 2 4" xfId="2578" xr:uid="{59ABC8F0-08E2-4072-9CA3-93A5F8F45F1A}"/>
    <cellStyle name="Total 3 2 2 5" xfId="2726" xr:uid="{874D4E80-BF83-442C-B874-2632D06E13A8}"/>
    <cellStyle name="Total 3 2 2 6" xfId="2865" xr:uid="{89D6B1AB-83BC-4284-BAE8-13FB94D576BD}"/>
    <cellStyle name="Total 3 2 2 7" xfId="3788" xr:uid="{3F735C85-46D1-4AA8-AB05-A36657E8C5CA}"/>
    <cellStyle name="Total 3 2 2 8" xfId="1828" xr:uid="{988CDB1D-30D8-4F8E-BE66-726FD2806207}"/>
    <cellStyle name="Total 3 2 3" xfId="1684" xr:uid="{173784EF-8C35-4ED0-80A3-C3C508B26FA0}"/>
    <cellStyle name="Total 3 2 4" xfId="1940" xr:uid="{EFE64A6B-BA4B-4BEF-B635-C7D8D91CD839}"/>
    <cellStyle name="Total 3 2 5" xfId="2364" xr:uid="{4853DAB2-9B9D-4A2E-822E-1319B4A3D535}"/>
    <cellStyle name="Total 3 2 6" xfId="2476" xr:uid="{9C0AD21F-077F-4F7B-BC3B-38F31BA6ACD0}"/>
    <cellStyle name="Total 3 2 7" xfId="3170" xr:uid="{02214D20-9690-4DA1-B131-317288B0ACC8}"/>
    <cellStyle name="Total 3 2 8" xfId="3576" xr:uid="{8EEB431F-A1C4-4EDC-9FBE-1CC4C0B8C43B}"/>
    <cellStyle name="Total 3 2 9" xfId="3927" xr:uid="{703C6786-6E55-4F08-B76D-E2458997A05C}"/>
    <cellStyle name="Total 3 3" xfId="572" xr:uid="{A70C504F-6C82-46AC-B8F8-1EB588F7ECDC}"/>
    <cellStyle name="Total 3 3 2" xfId="787" xr:uid="{0E16F260-FCEE-46D7-9600-4C9E643D7A37}"/>
    <cellStyle name="Total 3 3 2 2" xfId="1042" xr:uid="{0EA12CEF-31CB-4245-BD33-5E499761ABC3}"/>
    <cellStyle name="Total 3 3 2 3" xfId="2118" xr:uid="{33749814-DDFB-4B4A-97E1-8D386F417269}"/>
    <cellStyle name="Total 3 3 2 4" xfId="2541" xr:uid="{0A8F9D27-E05C-43E5-A39E-944057536520}"/>
    <cellStyle name="Total 3 3 2 5" xfId="1387" xr:uid="{1654EF82-78D8-49B3-87C6-4969F3645FB6}"/>
    <cellStyle name="Total 3 3 2 6" xfId="1675" xr:uid="{D4BD5312-5BCB-4C74-97F0-EFE3348CFE20}"/>
    <cellStyle name="Total 3 3 2 7" xfId="3751" xr:uid="{6A3B14E6-246E-49ED-B7E4-B07CFBC59A37}"/>
    <cellStyle name="Total 3 3 2 8" xfId="3166" xr:uid="{478690FC-A873-4CF9-A94F-A704556BFA40}"/>
    <cellStyle name="Total 3 3 3" xfId="1774" xr:uid="{8C2185A1-FD79-47AB-A15D-1FFFB05C8AF1}"/>
    <cellStyle name="Total 3 3 4" xfId="1903" xr:uid="{8495D365-9429-4B9F-AE00-146B0BCC97B5}"/>
    <cellStyle name="Total 3 3 5" xfId="2327" xr:uid="{7964D76C-FE20-47FF-9076-C4288D0A09E7}"/>
    <cellStyle name="Total 3 3 6" xfId="2795" xr:uid="{046A7F1C-0DF1-4631-8175-E415743FD01F}"/>
    <cellStyle name="Total 3 3 7" xfId="3249" xr:uid="{FD79D830-8B31-4728-942B-B882E00829DA}"/>
    <cellStyle name="Total 3 3 8" xfId="3539" xr:uid="{BC1452CA-192E-4445-9C2D-1144ACB9E808}"/>
    <cellStyle name="Total 3 3 9" xfId="3873" xr:uid="{AE069C3E-CE46-4B92-B934-021E873EEC65}"/>
    <cellStyle name="Total 3 4" xfId="613" xr:uid="{CA08CD8F-F950-4C3B-99DB-AB97053CF5D5}"/>
    <cellStyle name="Total 3 4 2" xfId="828" xr:uid="{B86D8CD4-5A41-40AA-BB01-71B023C1FC3B}"/>
    <cellStyle name="Total 3 4 2 2" xfId="1142" xr:uid="{696C39BB-75CA-4F4E-BF4F-3B380861EA2C}"/>
    <cellStyle name="Total 3 4 2 3" xfId="2159" xr:uid="{C4328BEC-37EF-4E1B-9752-4C3439BFD85B}"/>
    <cellStyle name="Total 3 4 2 4" xfId="2582" xr:uid="{42999557-03BC-4075-A62D-3F6C97B1BCE4}"/>
    <cellStyle name="Total 3 4 2 5" xfId="2862" xr:uid="{0E23F2AF-DE04-4C33-8467-614D41650327}"/>
    <cellStyle name="Total 3 4 2 6" xfId="1122" xr:uid="{AEA996EE-3A1F-46E4-9CF8-6CC4B9D4FEE4}"/>
    <cellStyle name="Total 3 4 2 7" xfId="3792" xr:uid="{415BDEA1-6AB6-4146-BAE2-A13312111AE6}"/>
    <cellStyle name="Total 3 4 2 8" xfId="3033" xr:uid="{FA372257-8F8D-4BE2-AA92-09FD54D1241C}"/>
    <cellStyle name="Total 3 4 3" xfId="1724" xr:uid="{3DEE22FB-AF67-40F6-A8C9-7B3F5CC27B6B}"/>
    <cellStyle name="Total 3 4 4" xfId="1944" xr:uid="{59650A90-706B-475E-9C93-04983C3870B8}"/>
    <cellStyle name="Total 3 4 5" xfId="2368" xr:uid="{35AFF06B-A8A6-4AC5-AC42-D9EDA3720655}"/>
    <cellStyle name="Total 3 4 6" xfId="1604" xr:uid="{87B5D9B4-E08A-4565-9DAC-B0546A89F396}"/>
    <cellStyle name="Total 3 4 7" xfId="3206" xr:uid="{1A9EEBD9-CE06-4A95-890E-DFD9AAFEF1DD}"/>
    <cellStyle name="Total 3 4 8" xfId="3580" xr:uid="{BB47505F-3E1D-44D6-9696-A946F7B169A4}"/>
    <cellStyle name="Total 3 4 9" xfId="3936" xr:uid="{DAE540D5-E597-49AD-B97A-4031E70D4C83}"/>
    <cellStyle name="Total 3 5" xfId="710" xr:uid="{CD09BEDD-2D1C-411E-94F6-500D307CC07C}"/>
    <cellStyle name="Total 3 5 2" xfId="1613" xr:uid="{DD6D4F24-752D-454D-8E25-2963238EDB55}"/>
    <cellStyle name="Total 3 5 3" xfId="2041" xr:uid="{980372CF-3028-4EB9-8EFB-0BEBBE9E23EB}"/>
    <cellStyle name="Total 3 5 4" xfId="2465" xr:uid="{035FAAC1-6F36-4664-B69B-4020086D34A7}"/>
    <cellStyle name="Total 3 5 5" xfId="2878" xr:uid="{BB61CA8E-79E5-42CD-87F4-1A9FC5197AD8}"/>
    <cellStyle name="Total 3 5 6" xfId="1556" xr:uid="{58691FA2-8274-4314-8AE9-2B6E86ABF483}"/>
    <cellStyle name="Total 3 5 7" xfId="3676" xr:uid="{954368D3-0041-44F9-8832-07A174AF1C5C}"/>
    <cellStyle name="Total 3 5 8" xfId="3412" xr:uid="{2A0639A8-9F23-44F5-BB25-1598D03D3E5F}"/>
    <cellStyle name="Total 3 6" xfId="1253" xr:uid="{057942A3-CFE2-43B1-AE12-D0C4126EF2DF}"/>
    <cellStyle name="Total 3 7" xfId="1256" xr:uid="{87A6D357-07F1-4BBD-9278-9B9094B5D8FE}"/>
    <cellStyle name="Total 3 8" xfId="1389" xr:uid="{F8650815-9ABE-4077-B3A2-4C2E422BCA55}"/>
    <cellStyle name="Total 3 9" xfId="2804" xr:uid="{135E3D2D-5592-4777-8C92-76132B1F5271}"/>
    <cellStyle name="Verknüpfte Zelle" xfId="204" xr:uid="{B673C828-D21E-44CC-89B8-5A4D3BBB271F}"/>
    <cellStyle name="Warnender Text" xfId="1355" hidden="1" xr:uid="{3F4FBB61-D4C3-48EE-BA30-9B6CA4E4D7D3}"/>
    <cellStyle name="Warnender Text" xfId="1465" hidden="1" xr:uid="{BD2BFD00-E5F9-4C3E-9FA7-F352B6C145B1}"/>
    <cellStyle name="Warnender Text" xfId="983" hidden="1" xr:uid="{C8647816-F560-44BF-8849-64A10AF8BE63}"/>
    <cellStyle name="Warnender Text" xfId="58" hidden="1" xr:uid="{AD826730-5BE3-4F4F-A8D3-D17211EE2983}"/>
    <cellStyle name="Warnender Text" xfId="1670" hidden="1" xr:uid="{BC36496E-F2DA-4334-B5C6-D5342B015CD5}"/>
    <cellStyle name="Warnender Text" xfId="1091" hidden="1" xr:uid="{DD614A15-E1F3-4C00-A659-F6AB240866C9}"/>
    <cellStyle name="Warnender Text" xfId="1808" hidden="1" xr:uid="{918CC68A-AEB2-4739-ADE6-A687CCF41685}"/>
    <cellStyle name="Warnender Text" xfId="78" hidden="1" xr:uid="{0551A2B8-8E0C-4A7A-B4C1-299CE046AC65}"/>
    <cellStyle name="Warnender Text" xfId="2748" hidden="1" xr:uid="{030B81DE-B895-402E-8ACE-38FBE27A394F}"/>
    <cellStyle name="Warnender Text" xfId="3134" hidden="1" xr:uid="{0D0A2AD2-D8AF-4348-9E86-29EB558EB611}"/>
    <cellStyle name="Warnender Text" xfId="2845" hidden="1" xr:uid="{1FBCB3D5-0023-4468-ABF2-16FAD36C51F8}"/>
    <cellStyle name="Warnender Text" xfId="2270" hidden="1" xr:uid="{E0250F79-6A41-4394-AD8C-E8512A2B12A1}"/>
    <cellStyle name="Warnender Text" xfId="4016" hidden="1" xr:uid="{8AEB2E4A-AEC7-43DD-BE66-2B8D7862E4B5}"/>
    <cellStyle name="Warnender Text" xfId="3946" hidden="1" xr:uid="{9C9D549D-EF41-4674-BF3A-75B1037853C4}"/>
    <cellStyle name="Warnender Text" xfId="3940" hidden="1" xr:uid="{3F222BD1-EAA9-43CD-9F1D-17DD30C196AA}"/>
    <cellStyle name="Warnender Text" xfId="3414" hidden="1" xr:uid="{02AB67A6-B685-4063-AB2F-45C1FCAAA510}"/>
    <cellStyle name="Warnender Text 2" xfId="414" xr:uid="{BD669CB5-879A-4009-92B6-FDFBD20EE5C3}"/>
    <cellStyle name="Warnender Text 3" xfId="305" xr:uid="{0701C195-83A6-42E8-982A-A123DFF7518E}"/>
    <cellStyle name="Warning Text 2" xfId="205" xr:uid="{86E07DAC-BBC4-405D-98EA-F72BA4188173}"/>
    <cellStyle name="Warning Text 3" xfId="258" xr:uid="{056C2C99-2C71-4F5B-9753-FF0C2E4F7C89}"/>
    <cellStyle name="Überschrift" xfId="199" xr:uid="{B4ED59F8-6435-4AED-BB18-15E2FF0670B5}"/>
    <cellStyle name="Überschrift 1" xfId="200" xr:uid="{C22AFCE4-9400-4E9F-878A-786E20DABA84}"/>
    <cellStyle name="Überschrift 2" xfId="201" xr:uid="{6F3612E4-299C-49C3-AEBE-AFE76E1181DA}"/>
    <cellStyle name="Überschrift 3" xfId="202" xr:uid="{2F93F2A6-4A95-47E5-B68F-3784B022FD24}"/>
    <cellStyle name="Überschrift 4" xfId="203" xr:uid="{F9F629F7-279D-450C-BF19-58AFB044CAE9}"/>
    <cellStyle name="Zelle überprüfen" xfId="206" xr:uid="{4302B1A3-97AA-45FF-99CF-F2D958E12818}"/>
    <cellStyle name="Гиперссылка" xfId="207" xr:uid="{4F2FC06C-953C-4707-89A9-DF785CC69661}"/>
    <cellStyle name="Гиперссылка 2" xfId="208" xr:uid="{7B61EE4E-4CAF-4BE0-85CD-1AAA5219B6C7}"/>
    <cellStyle name="Гиперссылка 3" xfId="216" xr:uid="{7C2CFB88-5940-4FC2-8565-6FD422DA0C2E}"/>
    <cellStyle name="Гиперссылка 4" xfId="388" xr:uid="{494FEF9C-0752-4A3C-B4E8-00958FC2B8E0}"/>
    <cellStyle name="Обычный_2++" xfId="33" xr:uid="{DDFC7B7D-7F74-4A5A-B07B-13850C8878E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strLit>
              <c:ptCount val="11"/>
              <c:pt idx="0">
                <c:v>Denmark </c:v>
              </c:pt>
              <c:pt idx="1">
                <c:v>France</c:v>
              </c:pt>
              <c:pt idx="2">
                <c:v>Germany</c:v>
              </c:pt>
              <c:pt idx="3">
                <c:v>Greece</c:v>
              </c:pt>
              <c:pt idx="4">
                <c:v>Hungary </c:v>
              </c:pt>
              <c:pt idx="5">
                <c:v>Ireland</c:v>
              </c:pt>
              <c:pt idx="6">
                <c:v>Italy</c:v>
              </c:pt>
              <c:pt idx="7">
                <c:v>Netherlands</c:v>
              </c:pt>
              <c:pt idx="8">
                <c:v>Poland</c:v>
              </c:pt>
              <c:pt idx="9">
                <c:v>Spain</c:v>
              </c:pt>
              <c:pt idx="10">
                <c:v>Sweden</c:v>
              </c:pt>
            </c:strLit>
          </c:cat>
          <c:val>
            <c:numLit>
              <c:formatCode>General</c:formatCode>
              <c:ptCount val="11"/>
              <c:pt idx="0">
                <c:v>0.34945446776871281</c:v>
              </c:pt>
              <c:pt idx="1">
                <c:v>0.47801158608010952</c:v>
              </c:pt>
              <c:pt idx="2">
                <c:v>0.35489832798949456</c:v>
              </c:pt>
              <c:pt idx="3">
                <c:v>0.38101451541952891</c:v>
              </c:pt>
              <c:pt idx="4">
                <c:v>0.34634087786915252</c:v>
              </c:pt>
              <c:pt idx="5">
                <c:v>0.33400348040348815</c:v>
              </c:pt>
              <c:pt idx="6">
                <c:v>0.68514742122479899</c:v>
              </c:pt>
              <c:pt idx="7">
                <c:v>0.47153216234734419</c:v>
              </c:pt>
              <c:pt idx="8">
                <c:v>0.34621615899915614</c:v>
              </c:pt>
              <c:pt idx="9">
                <c:v>1.2637785926789111</c:v>
              </c:pt>
              <c:pt idx="10">
                <c:v>0.33340768901182843</c:v>
              </c:pt>
            </c:numLit>
          </c:val>
          <c:extLst>
            <c:ext xmlns:c16="http://schemas.microsoft.com/office/drawing/2014/chart" uri="{C3380CC4-5D6E-409C-BE32-E72D297353CC}">
              <c16:uniqueId val="{00000000-9C6A-4944-AF46-8823FC084F45}"/>
            </c:ext>
          </c:extLst>
        </c:ser>
        <c:dLbls>
          <c:showLegendKey val="0"/>
          <c:showVal val="0"/>
          <c:showCatName val="0"/>
          <c:showSerName val="0"/>
          <c:showPercent val="0"/>
          <c:showBubbleSize val="0"/>
        </c:dLbls>
        <c:gapWidth val="150"/>
        <c:overlap val="100"/>
        <c:axId val="1103850959"/>
        <c:axId val="1103849519"/>
      </c:barChart>
      <c:catAx>
        <c:axId val="11038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49519"/>
        <c:crosses val="autoZero"/>
        <c:auto val="1"/>
        <c:lblAlgn val="ctr"/>
        <c:lblOffset val="100"/>
        <c:noMultiLvlLbl val="0"/>
      </c:catAx>
      <c:valAx>
        <c:axId val="11038495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Blue</a:t>
                </a:r>
                <a:r>
                  <a:rPr lang="sv-SE" baseline="0"/>
                  <a:t> water use, m3 per kg bonefree meat</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38509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Figures!$B$6</c:f>
              <c:strCache>
                <c:ptCount val="1"/>
                <c:pt idx="0">
                  <c:v>Production of mineral fertilizer</c:v>
                </c:pt>
              </c:strCache>
            </c:strRef>
          </c:tx>
          <c:spPr>
            <a:solidFill>
              <a:schemeClr val="accent1"/>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Figures!$B$7:$B$16</c:f>
              <c:numCache>
                <c:formatCode>General</c:formatCode>
                <c:ptCount val="10"/>
                <c:pt idx="0">
                  <c:v>0.31772435319632419</c:v>
                </c:pt>
                <c:pt idx="1">
                  <c:v>0.29989085129223159</c:v>
                </c:pt>
                <c:pt idx="2">
                  <c:v>0.32400122579010515</c:v>
                </c:pt>
                <c:pt idx="3">
                  <c:v>0.25920766758911762</c:v>
                </c:pt>
                <c:pt idx="4">
                  <c:v>0.26775501697367021</c:v>
                </c:pt>
                <c:pt idx="5">
                  <c:v>0.31981991040067181</c:v>
                </c:pt>
                <c:pt idx="6">
                  <c:v>0.29514819745625159</c:v>
                </c:pt>
                <c:pt idx="7">
                  <c:v>0.27968121936356982</c:v>
                </c:pt>
                <c:pt idx="8">
                  <c:v>0.27571801351388125</c:v>
                </c:pt>
                <c:pt idx="9">
                  <c:v>0.20901590723988875</c:v>
                </c:pt>
              </c:numCache>
            </c:numRef>
          </c:val>
          <c:extLst>
            <c:ext xmlns:c16="http://schemas.microsoft.com/office/drawing/2014/chart" uri="{C3380CC4-5D6E-409C-BE32-E72D297353CC}">
              <c16:uniqueId val="{00000000-FE29-4F20-8CD3-8AC8FC4D256D}"/>
            </c:ext>
          </c:extLst>
        </c:ser>
        <c:ser>
          <c:idx val="1"/>
          <c:order val="1"/>
          <c:tx>
            <c:strRef>
              <c:f>Figures!$C$6</c:f>
              <c:strCache>
                <c:ptCount val="1"/>
                <c:pt idx="0">
                  <c:v>Production of capital goods </c:v>
                </c:pt>
              </c:strCache>
            </c:strRef>
          </c:tx>
          <c:spPr>
            <a:solidFill>
              <a:schemeClr val="accent2"/>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Figures!$C$7:$C$16</c:f>
              <c:numCache>
                <c:formatCode>General</c:formatCode>
                <c:ptCount val="10"/>
                <c:pt idx="0">
                  <c:v>7.2429493028055958E-2</c:v>
                </c:pt>
                <c:pt idx="1">
                  <c:v>6.9210201509453687E-2</c:v>
                </c:pt>
                <c:pt idx="2">
                  <c:v>6.9644821411994295E-2</c:v>
                </c:pt>
                <c:pt idx="3">
                  <c:v>7.0493008166755175E-2</c:v>
                </c:pt>
                <c:pt idx="4">
                  <c:v>6.9121216544868025E-2</c:v>
                </c:pt>
                <c:pt idx="5">
                  <c:v>6.9665015834992836E-2</c:v>
                </c:pt>
                <c:pt idx="6">
                  <c:v>7.1167222768011101E-2</c:v>
                </c:pt>
                <c:pt idx="7">
                  <c:v>6.9806193340515493E-2</c:v>
                </c:pt>
                <c:pt idx="8">
                  <c:v>6.8714143591310672E-2</c:v>
                </c:pt>
                <c:pt idx="9">
                  <c:v>6.5489090601167296E-2</c:v>
                </c:pt>
              </c:numCache>
            </c:numRef>
          </c:val>
          <c:extLst>
            <c:ext xmlns:c16="http://schemas.microsoft.com/office/drawing/2014/chart" uri="{C3380CC4-5D6E-409C-BE32-E72D297353CC}">
              <c16:uniqueId val="{00000001-FE29-4F20-8CD3-8AC8FC4D256D}"/>
            </c:ext>
          </c:extLst>
        </c:ser>
        <c:ser>
          <c:idx val="2"/>
          <c:order val="2"/>
          <c:tx>
            <c:strRef>
              <c:f>Figures!$D$6</c:f>
              <c:strCache>
                <c:ptCount val="1"/>
                <c:pt idx="0">
                  <c:v>Emissions from soil </c:v>
                </c:pt>
              </c:strCache>
            </c:strRef>
          </c:tx>
          <c:spPr>
            <a:solidFill>
              <a:schemeClr val="accent3"/>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Figures!$D$7:$D$16</c:f>
              <c:numCache>
                <c:formatCode>General</c:formatCode>
                <c:ptCount val="10"/>
                <c:pt idx="0">
                  <c:v>0.35610297311441641</c:v>
                </c:pt>
                <c:pt idx="1">
                  <c:v>0.40251660689625546</c:v>
                </c:pt>
                <c:pt idx="2">
                  <c:v>0.34007761191971114</c:v>
                </c:pt>
                <c:pt idx="3">
                  <c:v>0.44792662536245165</c:v>
                </c:pt>
                <c:pt idx="4">
                  <c:v>0.16606043827267669</c:v>
                </c:pt>
                <c:pt idx="5">
                  <c:v>0.3378068067814271</c:v>
                </c:pt>
                <c:pt idx="6">
                  <c:v>0.17835392254655832</c:v>
                </c:pt>
                <c:pt idx="7">
                  <c:v>0.15771078442250491</c:v>
                </c:pt>
                <c:pt idx="8">
                  <c:v>0.1613958771274546</c:v>
                </c:pt>
                <c:pt idx="9">
                  <c:v>0.29712122949883751</c:v>
                </c:pt>
              </c:numCache>
            </c:numRef>
          </c:val>
          <c:extLst>
            <c:ext xmlns:c16="http://schemas.microsoft.com/office/drawing/2014/chart" uri="{C3380CC4-5D6E-409C-BE32-E72D297353CC}">
              <c16:uniqueId val="{00000002-FE29-4F20-8CD3-8AC8FC4D256D}"/>
            </c:ext>
          </c:extLst>
        </c:ser>
        <c:ser>
          <c:idx val="3"/>
          <c:order val="3"/>
          <c:tx>
            <c:strRef>
              <c:f>Figures!$E$6</c:f>
              <c:strCache>
                <c:ptCount val="1"/>
                <c:pt idx="0">
                  <c:v>Diesel use field machinary</c:v>
                </c:pt>
              </c:strCache>
            </c:strRef>
          </c:tx>
          <c:spPr>
            <a:solidFill>
              <a:schemeClr val="accent4"/>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Figures!$E$7:$E$16</c:f>
              <c:numCache>
                <c:formatCode>General</c:formatCode>
                <c:ptCount val="10"/>
                <c:pt idx="0">
                  <c:v>0.10135403065899436</c:v>
                </c:pt>
                <c:pt idx="1">
                  <c:v>6.3325867124984364E-2</c:v>
                </c:pt>
                <c:pt idx="2">
                  <c:v>6.5109196681542608E-2</c:v>
                </c:pt>
                <c:pt idx="3">
                  <c:v>8.5867729075297564E-2</c:v>
                </c:pt>
                <c:pt idx="4">
                  <c:v>0.10096735639292988</c:v>
                </c:pt>
                <c:pt idx="5">
                  <c:v>6.6613877016322043E-2</c:v>
                </c:pt>
                <c:pt idx="6">
                  <c:v>0.10322704652224746</c:v>
                </c:pt>
                <c:pt idx="7">
                  <c:v>7.958184828163388E-2</c:v>
                </c:pt>
                <c:pt idx="8">
                  <c:v>7.5702673380882643E-2</c:v>
                </c:pt>
                <c:pt idx="9">
                  <c:v>8.3658394379326192E-2</c:v>
                </c:pt>
              </c:numCache>
            </c:numRef>
          </c:val>
          <c:extLst>
            <c:ext xmlns:c16="http://schemas.microsoft.com/office/drawing/2014/chart" uri="{C3380CC4-5D6E-409C-BE32-E72D297353CC}">
              <c16:uniqueId val="{00000003-FE29-4F20-8CD3-8AC8FC4D256D}"/>
            </c:ext>
          </c:extLst>
        </c:ser>
        <c:ser>
          <c:idx val="4"/>
          <c:order val="4"/>
          <c:tx>
            <c:strRef>
              <c:f>Figures!$F$6</c:f>
              <c:strCache>
                <c:ptCount val="1"/>
                <c:pt idx="0">
                  <c:v>Energy use for feed processing</c:v>
                </c:pt>
              </c:strCache>
            </c:strRef>
          </c:tx>
          <c:spPr>
            <a:solidFill>
              <a:schemeClr val="accent5"/>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Figures!$F$7:$F$16</c:f>
              <c:numCache>
                <c:formatCode>General</c:formatCode>
                <c:ptCount val="10"/>
                <c:pt idx="0">
                  <c:v>0.13033695395384529</c:v>
                </c:pt>
                <c:pt idx="1">
                  <c:v>0.10317800679493419</c:v>
                </c:pt>
                <c:pt idx="2">
                  <c:v>0.10131858128729614</c:v>
                </c:pt>
                <c:pt idx="3">
                  <c:v>8.4052215088759541E-2</c:v>
                </c:pt>
                <c:pt idx="4">
                  <c:v>0.10369532716752318</c:v>
                </c:pt>
                <c:pt idx="5">
                  <c:v>8.3733828870431806E-2</c:v>
                </c:pt>
                <c:pt idx="6">
                  <c:v>9.234269823068976E-2</c:v>
                </c:pt>
                <c:pt idx="7">
                  <c:v>9.6820937031071308E-2</c:v>
                </c:pt>
                <c:pt idx="8">
                  <c:v>9.2486583287699597E-2</c:v>
                </c:pt>
                <c:pt idx="9">
                  <c:v>9.4748907825481135E-2</c:v>
                </c:pt>
              </c:numCache>
            </c:numRef>
          </c:val>
          <c:extLst>
            <c:ext xmlns:c16="http://schemas.microsoft.com/office/drawing/2014/chart" uri="{C3380CC4-5D6E-409C-BE32-E72D297353CC}">
              <c16:uniqueId val="{00000004-FE29-4F20-8CD3-8AC8FC4D256D}"/>
            </c:ext>
          </c:extLst>
        </c:ser>
        <c:ser>
          <c:idx val="5"/>
          <c:order val="5"/>
          <c:tx>
            <c:strRef>
              <c:f>Figures!$G$6</c:f>
              <c:strCache>
                <c:ptCount val="1"/>
                <c:pt idx="0">
                  <c:v>Land use change emissions</c:v>
                </c:pt>
              </c:strCache>
            </c:strRef>
          </c:tx>
          <c:spPr>
            <a:solidFill>
              <a:schemeClr val="accent6"/>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Figures!$G$7:$G$16</c:f>
              <c:numCache>
                <c:formatCode>General</c:formatCode>
                <c:ptCount val="10"/>
                <c:pt idx="0">
                  <c:v>1.6103122626304013E-2</c:v>
                </c:pt>
                <c:pt idx="1">
                  <c:v>5.2232875382168927E-2</c:v>
                </c:pt>
                <c:pt idx="2">
                  <c:v>4.6487699084400473E-2</c:v>
                </c:pt>
                <c:pt idx="3">
                  <c:v>2.6297592751658386E-2</c:v>
                </c:pt>
                <c:pt idx="4">
                  <c:v>7.7892427157059047E-2</c:v>
                </c:pt>
                <c:pt idx="5">
                  <c:v>3.0458144645566822E-2</c:v>
                </c:pt>
                <c:pt idx="6">
                  <c:v>6.5589530485947137E-2</c:v>
                </c:pt>
                <c:pt idx="7">
                  <c:v>5.7450605971812778E-2</c:v>
                </c:pt>
                <c:pt idx="8">
                  <c:v>6.1785673484235748E-2</c:v>
                </c:pt>
                <c:pt idx="9">
                  <c:v>1.5640961634728032E-2</c:v>
                </c:pt>
              </c:numCache>
            </c:numRef>
          </c:val>
          <c:extLst>
            <c:ext xmlns:c16="http://schemas.microsoft.com/office/drawing/2014/chart" uri="{C3380CC4-5D6E-409C-BE32-E72D297353CC}">
              <c16:uniqueId val="{00000005-FE29-4F20-8CD3-8AC8FC4D256D}"/>
            </c:ext>
          </c:extLst>
        </c:ser>
        <c:ser>
          <c:idx val="6"/>
          <c:order val="6"/>
          <c:tx>
            <c:strRef>
              <c:f>Figures!$H$6</c:f>
              <c:strCache>
                <c:ptCount val="1"/>
                <c:pt idx="0">
                  <c:v>Feed transports</c:v>
                </c:pt>
              </c:strCache>
            </c:strRef>
          </c:tx>
          <c:spPr>
            <a:solidFill>
              <a:schemeClr val="accent1">
                <a:lumMod val="60000"/>
              </a:schemeClr>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Figures!$H$7:$H$16</c:f>
              <c:numCache>
                <c:formatCode>General</c:formatCode>
                <c:ptCount val="10"/>
                <c:pt idx="0">
                  <c:v>1.4379836532459413E-2</c:v>
                </c:pt>
                <c:pt idx="1">
                  <c:v>5.138357527838544E-2</c:v>
                </c:pt>
                <c:pt idx="2">
                  <c:v>4.8481418401685683E-2</c:v>
                </c:pt>
                <c:pt idx="3">
                  <c:v>2.6366678389495184E-2</c:v>
                </c:pt>
                <c:pt idx="4">
                  <c:v>7.0067522786461348E-2</c:v>
                </c:pt>
                <c:pt idx="5">
                  <c:v>3.2433879248606065E-2</c:v>
                </c:pt>
                <c:pt idx="6">
                  <c:v>5.8458754607718919E-2</c:v>
                </c:pt>
                <c:pt idx="7">
                  <c:v>4.7563306782144994E-2</c:v>
                </c:pt>
                <c:pt idx="8">
                  <c:v>5.9190211960295648E-2</c:v>
                </c:pt>
                <c:pt idx="9">
                  <c:v>1.6006185691050289E-2</c:v>
                </c:pt>
              </c:numCache>
            </c:numRef>
          </c:val>
          <c:extLst>
            <c:ext xmlns:c16="http://schemas.microsoft.com/office/drawing/2014/chart" uri="{C3380CC4-5D6E-409C-BE32-E72D297353CC}">
              <c16:uniqueId val="{00000006-FE29-4F20-8CD3-8AC8FC4D256D}"/>
            </c:ext>
          </c:extLst>
        </c:ser>
        <c:ser>
          <c:idx val="7"/>
          <c:order val="7"/>
          <c:tx>
            <c:strRef>
              <c:f>Figures!$I$6</c:f>
              <c:strCache>
                <c:ptCount val="1"/>
                <c:pt idx="0">
                  <c:v>Enteric fermentation</c:v>
                </c:pt>
              </c:strCache>
            </c:strRef>
          </c:tx>
          <c:spPr>
            <a:solidFill>
              <a:schemeClr val="accent2">
                <a:lumMod val="60000"/>
              </a:schemeClr>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Figures!$I$7:$I$16</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7-FE29-4F20-8CD3-8AC8FC4D256D}"/>
            </c:ext>
          </c:extLst>
        </c:ser>
        <c:ser>
          <c:idx val="8"/>
          <c:order val="8"/>
          <c:tx>
            <c:strRef>
              <c:f>Figures!$J$6</c:f>
              <c:strCache>
                <c:ptCount val="1"/>
                <c:pt idx="0">
                  <c:v>Manure management</c:v>
                </c:pt>
              </c:strCache>
            </c:strRef>
          </c:tx>
          <c:spPr>
            <a:solidFill>
              <a:schemeClr val="accent3">
                <a:lumMod val="60000"/>
              </a:schemeClr>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Figures!$J$7:$J$16</c:f>
              <c:numCache>
                <c:formatCode>General</c:formatCode>
                <c:ptCount val="10"/>
                <c:pt idx="0">
                  <c:v>5.4156646831670513E-2</c:v>
                </c:pt>
                <c:pt idx="1">
                  <c:v>5.0489021770238063E-2</c:v>
                </c:pt>
                <c:pt idx="2">
                  <c:v>4.5352890912164191E-2</c:v>
                </c:pt>
                <c:pt idx="3">
                  <c:v>5.2545830082210997E-2</c:v>
                </c:pt>
                <c:pt idx="4">
                  <c:v>5.6401489349818548E-2</c:v>
                </c:pt>
                <c:pt idx="5">
                  <c:v>3.012745711438326E-2</c:v>
                </c:pt>
                <c:pt idx="6">
                  <c:v>4.4388543993779707E-2</c:v>
                </c:pt>
                <c:pt idx="7">
                  <c:v>3.817735503980494E-2</c:v>
                </c:pt>
                <c:pt idx="8">
                  <c:v>4.8798559260302646E-2</c:v>
                </c:pt>
                <c:pt idx="9">
                  <c:v>2.970352060907135E-2</c:v>
                </c:pt>
              </c:numCache>
            </c:numRef>
          </c:val>
          <c:extLst>
            <c:ext xmlns:c16="http://schemas.microsoft.com/office/drawing/2014/chart" uri="{C3380CC4-5D6E-409C-BE32-E72D297353CC}">
              <c16:uniqueId val="{00000008-FE29-4F20-8CD3-8AC8FC4D256D}"/>
            </c:ext>
          </c:extLst>
        </c:ser>
        <c:ser>
          <c:idx val="9"/>
          <c:order val="9"/>
          <c:tx>
            <c:strRef>
              <c:f>Figures!$K$6</c:f>
              <c:strCache>
                <c:ptCount val="1"/>
                <c:pt idx="0">
                  <c:v>Energy use in stables</c:v>
                </c:pt>
              </c:strCache>
            </c:strRef>
          </c:tx>
          <c:spPr>
            <a:solidFill>
              <a:schemeClr val="accent4">
                <a:lumMod val="60000"/>
              </a:schemeClr>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Figures!$K$7:$K$16</c:f>
              <c:numCache>
                <c:formatCode>General</c:formatCode>
                <c:ptCount val="10"/>
                <c:pt idx="0">
                  <c:v>0.10362621395994066</c:v>
                </c:pt>
                <c:pt idx="1">
                  <c:v>5.3148365626410336E-2</c:v>
                </c:pt>
                <c:pt idx="2">
                  <c:v>4.9559220951342312E-2</c:v>
                </c:pt>
                <c:pt idx="3">
                  <c:v>9.3610105902267021E-3</c:v>
                </c:pt>
                <c:pt idx="4">
                  <c:v>6.8383359838018007E-2</c:v>
                </c:pt>
                <c:pt idx="5">
                  <c:v>9.7389846101688712E-3</c:v>
                </c:pt>
                <c:pt idx="6">
                  <c:v>2.9612656825806084E-2</c:v>
                </c:pt>
                <c:pt idx="7">
                  <c:v>4.7422491295135871E-2</c:v>
                </c:pt>
                <c:pt idx="8">
                  <c:v>4.3143256987221247E-2</c:v>
                </c:pt>
                <c:pt idx="9">
                  <c:v>4.0838708515026745E-2</c:v>
                </c:pt>
              </c:numCache>
            </c:numRef>
          </c:val>
          <c:extLst>
            <c:ext xmlns:c16="http://schemas.microsoft.com/office/drawing/2014/chart" uri="{C3380CC4-5D6E-409C-BE32-E72D297353CC}">
              <c16:uniqueId val="{00000009-FE29-4F20-8CD3-8AC8FC4D256D}"/>
            </c:ext>
          </c:extLst>
        </c:ser>
        <c:ser>
          <c:idx val="10"/>
          <c:order val="10"/>
          <c:tx>
            <c:strRef>
              <c:f>Figures!$L$6</c:f>
              <c:strCache>
                <c:ptCount val="1"/>
                <c:pt idx="0">
                  <c:v>Energy use for slaughter</c:v>
                </c:pt>
              </c:strCache>
            </c:strRef>
          </c:tx>
          <c:spPr>
            <a:solidFill>
              <a:schemeClr val="accent5">
                <a:lumMod val="60000"/>
              </a:schemeClr>
            </a:solidFill>
            <a:ln>
              <a:noFill/>
            </a:ln>
            <a:effectLst/>
          </c:spPr>
          <c:invertIfNegative val="0"/>
          <c:cat>
            <c:strRef>
              <c:f>Figures!$A$7:$A$16</c:f>
              <c:strCache>
                <c:ptCount val="10"/>
                <c:pt idx="0">
                  <c:v>Poland</c:v>
                </c:pt>
                <c:pt idx="1">
                  <c:v>Netherlands</c:v>
                </c:pt>
                <c:pt idx="2">
                  <c:v>Germany</c:v>
                </c:pt>
                <c:pt idx="3">
                  <c:v>Sweden</c:v>
                </c:pt>
                <c:pt idx="4">
                  <c:v>Greece</c:v>
                </c:pt>
                <c:pt idx="5">
                  <c:v>France</c:v>
                </c:pt>
                <c:pt idx="6">
                  <c:v>Spain</c:v>
                </c:pt>
                <c:pt idx="7">
                  <c:v>Hungary </c:v>
                </c:pt>
                <c:pt idx="8">
                  <c:v>Italy</c:v>
                </c:pt>
                <c:pt idx="9">
                  <c:v>Ireland</c:v>
                </c:pt>
              </c:strCache>
            </c:strRef>
          </c:cat>
          <c:val>
            <c:numRef>
              <c:f>Figures!$L$7:$L$16</c:f>
              <c:numCache>
                <c:formatCode>General</c:formatCode>
                <c:ptCount val="10"/>
                <c:pt idx="0">
                  <c:v>2.7684228109262347E-2</c:v>
                </c:pt>
                <c:pt idx="1">
                  <c:v>1.3992590300838987E-2</c:v>
                </c:pt>
                <c:pt idx="2">
                  <c:v>1.1262156979859252E-2</c:v>
                </c:pt>
                <c:pt idx="3">
                  <c:v>2.7769374918496098E-3</c:v>
                </c:pt>
                <c:pt idx="4">
                  <c:v>1.9296822117464352E-2</c:v>
                </c:pt>
                <c:pt idx="5">
                  <c:v>2.4661093403864371E-3</c:v>
                </c:pt>
                <c:pt idx="6">
                  <c:v>7.4118457548344634E-3</c:v>
                </c:pt>
                <c:pt idx="7">
                  <c:v>1.3507303960824545E-2</c:v>
                </c:pt>
                <c:pt idx="8">
                  <c:v>1.0637207682027246E-2</c:v>
                </c:pt>
                <c:pt idx="9">
                  <c:v>8.7095618757120317E-3</c:v>
                </c:pt>
              </c:numCache>
            </c:numRef>
          </c:val>
          <c:extLst>
            <c:ext xmlns:c16="http://schemas.microsoft.com/office/drawing/2014/chart" uri="{C3380CC4-5D6E-409C-BE32-E72D297353CC}">
              <c16:uniqueId val="{0000000A-FE29-4F20-8CD3-8AC8FC4D256D}"/>
            </c:ext>
          </c:extLst>
        </c:ser>
        <c:dLbls>
          <c:showLegendKey val="0"/>
          <c:showVal val="0"/>
          <c:showCatName val="0"/>
          <c:showSerName val="0"/>
          <c:showPercent val="0"/>
          <c:showBubbleSize val="0"/>
        </c:dLbls>
        <c:gapWidth val="150"/>
        <c:overlap val="100"/>
        <c:axId val="1419221807"/>
        <c:axId val="2050410495"/>
      </c:barChart>
      <c:catAx>
        <c:axId val="141922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2050410495"/>
        <c:crosses val="autoZero"/>
        <c:auto val="1"/>
        <c:lblAlgn val="ctr"/>
        <c:lblOffset val="100"/>
        <c:noMultiLvlLbl val="0"/>
      </c:catAx>
      <c:valAx>
        <c:axId val="2050410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1922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29</xdr:row>
      <xdr:rowOff>136459</xdr:rowOff>
    </xdr:from>
    <xdr:to>
      <xdr:col>6</xdr:col>
      <xdr:colOff>551793</xdr:colOff>
      <xdr:row>47</xdr:row>
      <xdr:rowOff>55179</xdr:rowOff>
    </xdr:to>
    <xdr:graphicFrame macro="">
      <xdr:nvGraphicFramePr>
        <xdr:cNvPr id="4" name="Chart 3">
          <a:extLst>
            <a:ext uri="{FF2B5EF4-FFF2-40B4-BE49-F238E27FC236}">
              <a16:creationId xmlns:a16="http://schemas.microsoft.com/office/drawing/2014/main" id="{4DD18B48-C582-49B8-A50F-7467D3FDAD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60960</xdr:colOff>
      <xdr:row>2</xdr:row>
      <xdr:rowOff>91440</xdr:rowOff>
    </xdr:from>
    <xdr:to>
      <xdr:col>13</xdr:col>
      <xdr:colOff>358140</xdr:colOff>
      <xdr:row>18</xdr:row>
      <xdr:rowOff>106680</xdr:rowOff>
    </xdr:to>
    <xdr:graphicFrame macro="">
      <xdr:nvGraphicFramePr>
        <xdr:cNvPr id="5" name="Chart 4">
          <a:extLst>
            <a:ext uri="{FF2B5EF4-FFF2-40B4-BE49-F238E27FC236}">
              <a16:creationId xmlns:a16="http://schemas.microsoft.com/office/drawing/2014/main" id="{A6128597-4F33-C0E2-8422-33305DBDE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548640</xdr:colOff>
      <xdr:row>1</xdr:row>
      <xdr:rowOff>167640</xdr:rowOff>
    </xdr:from>
    <xdr:to>
      <xdr:col>29</xdr:col>
      <xdr:colOff>235207</xdr:colOff>
      <xdr:row>20</xdr:row>
      <xdr:rowOff>38701</xdr:rowOff>
    </xdr:to>
    <xdr:pic>
      <xdr:nvPicPr>
        <xdr:cNvPr id="6" name="Picture 5">
          <a:extLst>
            <a:ext uri="{FF2B5EF4-FFF2-40B4-BE49-F238E27FC236}">
              <a16:creationId xmlns:a16="http://schemas.microsoft.com/office/drawing/2014/main" id="{F7344F35-E77C-2F68-C457-3AE412F51962}"/>
            </a:ext>
          </a:extLst>
        </xdr:cNvPr>
        <xdr:cNvPicPr>
          <a:picLocks noChangeAspect="1"/>
        </xdr:cNvPicPr>
      </xdr:nvPicPr>
      <xdr:blipFill>
        <a:blip xmlns:r="http://schemas.openxmlformats.org/officeDocument/2006/relationships" r:embed="rId3"/>
        <a:stretch>
          <a:fillRect/>
        </a:stretch>
      </xdr:blipFill>
      <xdr:spPr>
        <a:xfrm>
          <a:off x="11864340" y="350520"/>
          <a:ext cx="6392167" cy="4305901"/>
        </a:xfrm>
        <a:prstGeom prst="rect">
          <a:avLst/>
        </a:prstGeom>
      </xdr:spPr>
    </xdr:pic>
    <xdr:clientData/>
  </xdr:twoCellAnchor>
  <xdr:twoCellAnchor editAs="oneCell">
    <xdr:from>
      <xdr:col>10</xdr:col>
      <xdr:colOff>130548</xdr:colOff>
      <xdr:row>19</xdr:row>
      <xdr:rowOff>114300</xdr:rowOff>
    </xdr:from>
    <xdr:to>
      <xdr:col>18</xdr:col>
      <xdr:colOff>406617</xdr:colOff>
      <xdr:row>54</xdr:row>
      <xdr:rowOff>50586</xdr:rowOff>
    </xdr:to>
    <xdr:pic>
      <xdr:nvPicPr>
        <xdr:cNvPr id="2" name="Picture 1">
          <a:extLst>
            <a:ext uri="{FF2B5EF4-FFF2-40B4-BE49-F238E27FC236}">
              <a16:creationId xmlns:a16="http://schemas.microsoft.com/office/drawing/2014/main" id="{D3B542D6-DA62-DBEA-B643-E8F199FCCDB2}"/>
            </a:ext>
          </a:extLst>
        </xdr:cNvPr>
        <xdr:cNvPicPr>
          <a:picLocks noChangeAspect="1"/>
        </xdr:cNvPicPr>
      </xdr:nvPicPr>
      <xdr:blipFill>
        <a:blip xmlns:r="http://schemas.openxmlformats.org/officeDocument/2006/relationships" r:embed="rId4"/>
        <a:stretch>
          <a:fillRect/>
        </a:stretch>
      </xdr:blipFill>
      <xdr:spPr>
        <a:xfrm>
          <a:off x="6569448" y="4549140"/>
          <a:ext cx="5152869" cy="63828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30</xdr:row>
      <xdr:rowOff>38100</xdr:rowOff>
    </xdr:from>
    <xdr:to>
      <xdr:col>29</xdr:col>
      <xdr:colOff>534581</xdr:colOff>
      <xdr:row>36</xdr:row>
      <xdr:rowOff>9673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6668750" y="5514975"/>
          <a:ext cx="8459381" cy="105742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106</xdr:row>
      <xdr:rowOff>27085</xdr:rowOff>
    </xdr:from>
    <xdr:to>
      <xdr:col>9</xdr:col>
      <xdr:colOff>821863</xdr:colOff>
      <xdr:row>133</xdr:row>
      <xdr:rowOff>112057</xdr:rowOff>
    </xdr:to>
    <xdr:pic>
      <xdr:nvPicPr>
        <xdr:cNvPr id="2" name="Picture 1">
          <a:extLst>
            <a:ext uri="{FF2B5EF4-FFF2-40B4-BE49-F238E27FC236}">
              <a16:creationId xmlns:a16="http://schemas.microsoft.com/office/drawing/2014/main" id="{2DF21804-B4D3-4E1A-BE3A-B2920A380EE1}"/>
            </a:ext>
          </a:extLst>
        </xdr:cNvPr>
        <xdr:cNvPicPr>
          <a:picLocks noChangeAspect="1"/>
        </xdr:cNvPicPr>
      </xdr:nvPicPr>
      <xdr:blipFill>
        <a:blip xmlns:r="http://schemas.openxmlformats.org/officeDocument/2006/relationships" r:embed="rId1"/>
        <a:stretch>
          <a:fillRect/>
        </a:stretch>
      </xdr:blipFill>
      <xdr:spPr>
        <a:xfrm>
          <a:off x="0" y="21279265"/>
          <a:ext cx="9007648" cy="502273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F29"/>
  <sheetViews>
    <sheetView zoomScale="80" zoomScaleNormal="80" workbookViewId="0">
      <selection activeCell="E6" sqref="E6"/>
    </sheetView>
  </sheetViews>
  <sheetFormatPr defaultColWidth="8.88671875" defaultRowHeight="14.4" x14ac:dyDescent="0.3"/>
  <cols>
    <col min="1" max="1" width="8.88671875" style="30"/>
    <col min="2" max="2" width="18.44140625" customWidth="1"/>
    <col min="3" max="3" width="31.44140625" customWidth="1"/>
    <col min="4" max="4" width="24.5546875" customWidth="1"/>
  </cols>
  <sheetData>
    <row r="2" spans="1:6" ht="21" x14ac:dyDescent="0.4">
      <c r="A2" s="64" t="s">
        <v>0</v>
      </c>
    </row>
    <row r="4" spans="1:6" x14ac:dyDescent="0.3">
      <c r="A4" s="30" t="s">
        <v>1</v>
      </c>
    </row>
    <row r="5" spans="1:6" x14ac:dyDescent="0.3">
      <c r="E5">
        <v>1</v>
      </c>
      <c r="F5" t="s">
        <v>2</v>
      </c>
    </row>
    <row r="6" spans="1:6" x14ac:dyDescent="0.3">
      <c r="E6">
        <f>E5/3.6</f>
        <v>0.27777777777777779</v>
      </c>
    </row>
    <row r="7" spans="1:6" x14ac:dyDescent="0.3">
      <c r="A7" s="30" t="s">
        <v>3</v>
      </c>
    </row>
    <row r="8" spans="1:6" x14ac:dyDescent="0.3">
      <c r="A8" s="30" t="s">
        <v>4</v>
      </c>
    </row>
    <row r="9" spans="1:6" x14ac:dyDescent="0.3">
      <c r="A9" s="30" t="s">
        <v>5</v>
      </c>
    </row>
    <row r="17" spans="1:2" x14ac:dyDescent="0.3">
      <c r="A17" s="30" t="s">
        <v>6</v>
      </c>
    </row>
    <row r="19" spans="1:2" x14ac:dyDescent="0.3">
      <c r="A19" s="83"/>
      <c r="B19" t="s">
        <v>7</v>
      </c>
    </row>
    <row r="20" spans="1:2" x14ac:dyDescent="0.3">
      <c r="A20" s="106"/>
      <c r="B20" t="s">
        <v>8</v>
      </c>
    </row>
    <row r="21" spans="1:2" x14ac:dyDescent="0.3">
      <c r="A21" s="107"/>
      <c r="B21" t="s">
        <v>9</v>
      </c>
    </row>
    <row r="22" spans="1:2" x14ac:dyDescent="0.3">
      <c r="A22" s="246"/>
      <c r="B22" t="s">
        <v>10</v>
      </c>
    </row>
    <row r="26" spans="1:2" x14ac:dyDescent="0.3">
      <c r="A26" s="108" t="s">
        <v>11</v>
      </c>
    </row>
    <row r="27" spans="1:2" x14ac:dyDescent="0.3">
      <c r="A27" s="30" t="s">
        <v>12</v>
      </c>
    </row>
    <row r="28" spans="1:2" x14ac:dyDescent="0.3">
      <c r="A28" s="30" t="s">
        <v>13</v>
      </c>
    </row>
    <row r="29" spans="1:2" x14ac:dyDescent="0.3">
      <c r="A29" s="30" t="s">
        <v>14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B862B-2B35-42F9-850E-EE56BE0A680F}">
  <sheetPr>
    <tabColor theme="1" tint="0.499984740745262"/>
  </sheetPr>
  <dimension ref="A2:R42"/>
  <sheetViews>
    <sheetView topLeftCell="A3" workbookViewId="0">
      <selection activeCell="G21" sqref="G21"/>
    </sheetView>
  </sheetViews>
  <sheetFormatPr defaultColWidth="8.88671875" defaultRowHeight="14.4" x14ac:dyDescent="0.3"/>
  <cols>
    <col min="1" max="1" width="13.88671875" customWidth="1"/>
  </cols>
  <sheetData>
    <row r="2" spans="1:18" ht="21" x14ac:dyDescent="0.4">
      <c r="A2" s="2" t="s">
        <v>10</v>
      </c>
      <c r="C2" s="7"/>
    </row>
    <row r="4" spans="1:18" ht="18" x14ac:dyDescent="0.35">
      <c r="A4" s="1" t="s">
        <v>15</v>
      </c>
    </row>
    <row r="6" spans="1:18" ht="72" x14ac:dyDescent="0.3">
      <c r="B6" s="218" t="s">
        <v>16</v>
      </c>
      <c r="C6" s="218" t="s">
        <v>17</v>
      </c>
      <c r="D6" s="218" t="s">
        <v>18</v>
      </c>
      <c r="E6" s="218" t="s">
        <v>19</v>
      </c>
      <c r="F6" s="218" t="s">
        <v>20</v>
      </c>
      <c r="G6" s="218" t="s">
        <v>21</v>
      </c>
      <c r="H6" s="218" t="s">
        <v>22</v>
      </c>
      <c r="I6" s="219" t="s">
        <v>23</v>
      </c>
      <c r="J6" s="219" t="s">
        <v>24</v>
      </c>
      <c r="K6" s="218" t="s">
        <v>25</v>
      </c>
      <c r="L6" s="218" t="s">
        <v>26</v>
      </c>
      <c r="M6" s="218" t="s">
        <v>27</v>
      </c>
      <c r="P6" t="s">
        <v>28</v>
      </c>
      <c r="R6" t="s">
        <v>29</v>
      </c>
    </row>
    <row r="7" spans="1:18" ht="15" customHeight="1" x14ac:dyDescent="0.3">
      <c r="A7" t="s">
        <v>30</v>
      </c>
      <c r="B7">
        <f>'GHG detailed, results per kg'!H46</f>
        <v>0.31772435319632419</v>
      </c>
      <c r="C7">
        <f>'GHG detailed, results per kg'!I46</f>
        <v>7.2429493028055958E-2</v>
      </c>
      <c r="D7">
        <f>'GHG detailed, results per kg'!J46+'GHG detailed, results per kg'!K46</f>
        <v>0.35610297311441641</v>
      </c>
      <c r="E7">
        <f>'GHG detailed, results per kg'!L46</f>
        <v>0.10135403065899436</v>
      </c>
      <c r="F7">
        <f>'GHG detailed, results per kg'!O46</f>
        <v>0.13033695395384529</v>
      </c>
      <c r="G7">
        <f>'GHG detailed, results per kg'!P46</f>
        <v>1.6103122626304013E-2</v>
      </c>
      <c r="H7">
        <f>'GHG detailed, results per kg'!R46</f>
        <v>1.4379836532459413E-2</v>
      </c>
      <c r="I7">
        <f>'GHG detailed, results per kg'!S46</f>
        <v>0</v>
      </c>
      <c r="J7">
        <f>'GHG detailed, results per kg'!T46</f>
        <v>5.4156646831670513E-2</v>
      </c>
      <c r="K7">
        <f>'GHG detailed, results per kg'!W46</f>
        <v>0.10362621395994066</v>
      </c>
      <c r="L7">
        <f>'GHG detailed, results per kg'!X46</f>
        <v>2.7684228109262347E-2</v>
      </c>
      <c r="M7">
        <f t="shared" ref="M7:M16" si="0">SUM(B7:L7)</f>
        <v>1.1938978520112733</v>
      </c>
      <c r="P7" t="s">
        <v>30</v>
      </c>
      <c r="R7" t="s">
        <v>31</v>
      </c>
    </row>
    <row r="8" spans="1:18" ht="15" customHeight="1" x14ac:dyDescent="0.3">
      <c r="A8" t="s">
        <v>32</v>
      </c>
      <c r="B8">
        <f>'GHG detailed, results per kg'!H41</f>
        <v>0.29989085129223159</v>
      </c>
      <c r="C8">
        <f>'GHG detailed, results per kg'!I41</f>
        <v>6.9210201509453687E-2</v>
      </c>
      <c r="D8">
        <f>'GHG detailed, results per kg'!J41+'GHG detailed, results per kg'!K41</f>
        <v>0.40251660689625546</v>
      </c>
      <c r="E8">
        <f>'GHG detailed, results per kg'!L41</f>
        <v>6.3325867124984364E-2</v>
      </c>
      <c r="F8">
        <f>'GHG detailed, results per kg'!O41</f>
        <v>0.10317800679493419</v>
      </c>
      <c r="G8">
        <f>'GHG detailed, results per kg'!P41</f>
        <v>5.2232875382168927E-2</v>
      </c>
      <c r="H8">
        <f>'GHG detailed, results per kg'!R41</f>
        <v>5.138357527838544E-2</v>
      </c>
      <c r="I8">
        <f>'GHG detailed, results per kg'!S41</f>
        <v>0</v>
      </c>
      <c r="J8">
        <f>'GHG detailed, results per kg'!T41</f>
        <v>5.0489021770238063E-2</v>
      </c>
      <c r="K8">
        <f>'GHG detailed, results per kg'!W41</f>
        <v>5.3148365626410336E-2</v>
      </c>
      <c r="L8">
        <f>'GHG detailed, results per kg'!X41</f>
        <v>1.3992590300838987E-2</v>
      </c>
      <c r="M8">
        <f t="shared" si="0"/>
        <v>1.1593679619759008</v>
      </c>
      <c r="P8" t="s">
        <v>32</v>
      </c>
      <c r="R8" t="s">
        <v>32</v>
      </c>
    </row>
    <row r="9" spans="1:18" ht="15" customHeight="1" x14ac:dyDescent="0.3">
      <c r="A9" t="s">
        <v>33</v>
      </c>
      <c r="B9">
        <f>'GHG detailed, results per kg'!H16</f>
        <v>0.32400122579010515</v>
      </c>
      <c r="C9">
        <f>'GHG detailed, results per kg'!I16</f>
        <v>6.9644821411994295E-2</v>
      </c>
      <c r="D9">
        <f>'GHG detailed, results per kg'!J16+'GHG detailed, results per kg'!K16</f>
        <v>0.34007761191971114</v>
      </c>
      <c r="E9">
        <f>'GHG detailed, results per kg'!L16</f>
        <v>6.5109196681542608E-2</v>
      </c>
      <c r="F9">
        <f>'GHG detailed, results per kg'!O16</f>
        <v>0.10131858128729614</v>
      </c>
      <c r="G9">
        <f>'GHG detailed, results per kg'!P16</f>
        <v>4.6487699084400473E-2</v>
      </c>
      <c r="H9">
        <f>'GHG detailed, results per kg'!R16</f>
        <v>4.8481418401685683E-2</v>
      </c>
      <c r="I9">
        <f>'GHG detailed, results per kg'!S16</f>
        <v>0</v>
      </c>
      <c r="J9">
        <f>'GHG detailed, results per kg'!T16</f>
        <v>4.5352890912164191E-2</v>
      </c>
      <c r="K9">
        <f>'GHG detailed, results per kg'!W16</f>
        <v>4.9559220951342312E-2</v>
      </c>
      <c r="L9">
        <f>'GHG detailed, results per kg'!X16</f>
        <v>1.1262156979859252E-2</v>
      </c>
      <c r="M9">
        <f t="shared" si="0"/>
        <v>1.101294823420101</v>
      </c>
      <c r="P9" s="113" t="s">
        <v>33</v>
      </c>
      <c r="R9" t="s">
        <v>30</v>
      </c>
    </row>
    <row r="10" spans="1:18" ht="15" customHeight="1" x14ac:dyDescent="0.3">
      <c r="A10" s="17" t="s">
        <v>34</v>
      </c>
      <c r="B10">
        <f>'GHG detailed, results per kg'!H56</f>
        <v>0.25920766758911762</v>
      </c>
      <c r="C10">
        <f>'GHG detailed, results per kg'!I56</f>
        <v>7.0493008166755175E-2</v>
      </c>
      <c r="D10">
        <f>'GHG detailed, results per kg'!J56+'GHG detailed, results per kg'!K56</f>
        <v>0.44792662536245165</v>
      </c>
      <c r="E10">
        <f>'GHG detailed, results per kg'!L56</f>
        <v>8.5867729075297564E-2</v>
      </c>
      <c r="F10">
        <f>'GHG detailed, results per kg'!O56</f>
        <v>8.4052215088759541E-2</v>
      </c>
      <c r="G10">
        <f>'GHG detailed, results per kg'!P56</f>
        <v>2.6297592751658386E-2</v>
      </c>
      <c r="H10">
        <f>'GHG detailed, results per kg'!R56</f>
        <v>2.6366678389495184E-2</v>
      </c>
      <c r="I10">
        <f>'GHG detailed, results per kg'!S56</f>
        <v>0</v>
      </c>
      <c r="J10">
        <f>'GHG detailed, results per kg'!T56</f>
        <v>5.2545830082210997E-2</v>
      </c>
      <c r="K10">
        <f>'GHG detailed, results per kg'!W56</f>
        <v>9.3610105902267021E-3</v>
      </c>
      <c r="L10">
        <f>'GHG detailed, results per kg'!X56</f>
        <v>2.7769374918496098E-3</v>
      </c>
      <c r="M10">
        <f t="shared" si="0"/>
        <v>1.0648952945878225</v>
      </c>
      <c r="P10" s="113" t="s">
        <v>34</v>
      </c>
      <c r="R10" t="s">
        <v>35</v>
      </c>
    </row>
    <row r="11" spans="1:18" ht="15" customHeight="1" x14ac:dyDescent="0.3">
      <c r="A11" t="s">
        <v>31</v>
      </c>
      <c r="B11">
        <f>'GHG detailed, results per kg'!H21</f>
        <v>0.26775501697367021</v>
      </c>
      <c r="C11">
        <f>'GHG detailed, results per kg'!I21</f>
        <v>6.9121216544868025E-2</v>
      </c>
      <c r="D11">
        <f>'GHG detailed, results per kg'!J21+'GHG detailed, results per kg'!K21</f>
        <v>0.16606043827267669</v>
      </c>
      <c r="E11">
        <f>'GHG detailed, results per kg'!L21</f>
        <v>0.10096735639292988</v>
      </c>
      <c r="F11">
        <f>'GHG detailed, results per kg'!O21</f>
        <v>0.10369532716752318</v>
      </c>
      <c r="G11">
        <f>'GHG detailed, results per kg'!P21</f>
        <v>7.7892427157059047E-2</v>
      </c>
      <c r="H11">
        <f>'GHG detailed, results per kg'!R21</f>
        <v>7.0067522786461348E-2</v>
      </c>
      <c r="I11">
        <f>'GHG detailed, results per kg'!S21</f>
        <v>0</v>
      </c>
      <c r="J11">
        <f>'GHG detailed, results per kg'!T21</f>
        <v>5.6401489349818548E-2</v>
      </c>
      <c r="K11">
        <f>'GHG detailed, results per kg'!W21</f>
        <v>6.8383359838018007E-2</v>
      </c>
      <c r="L11">
        <f>'GHG detailed, results per kg'!X21</f>
        <v>1.9296822117464352E-2</v>
      </c>
      <c r="M11">
        <f t="shared" si="0"/>
        <v>0.99964097660048923</v>
      </c>
      <c r="P11" t="s">
        <v>36</v>
      </c>
      <c r="R11" t="s">
        <v>37</v>
      </c>
    </row>
    <row r="12" spans="1:18" ht="15" customHeight="1" x14ac:dyDescent="0.3">
      <c r="A12" t="s">
        <v>36</v>
      </c>
      <c r="B12">
        <f>'GHG detailed, results per kg'!H11</f>
        <v>0.31981991040067181</v>
      </c>
      <c r="C12">
        <f>'GHG detailed, results per kg'!I11</f>
        <v>6.9665015834992836E-2</v>
      </c>
      <c r="D12">
        <f>'GHG detailed, results per kg'!J11+'GHG detailed, results per kg'!K11</f>
        <v>0.3378068067814271</v>
      </c>
      <c r="E12">
        <f>'GHG detailed, results per kg'!L11</f>
        <v>6.6613877016322043E-2</v>
      </c>
      <c r="F12">
        <f>'GHG detailed, results per kg'!O11</f>
        <v>8.3733828870431806E-2</v>
      </c>
      <c r="G12">
        <f>'GHG detailed, results per kg'!P11</f>
        <v>3.0458144645566822E-2</v>
      </c>
      <c r="H12">
        <f>'GHG detailed, results per kg'!R11</f>
        <v>3.2433879248606065E-2</v>
      </c>
      <c r="I12">
        <f>'GHG detailed, results per kg'!S11</f>
        <v>0</v>
      </c>
      <c r="J12">
        <f>'GHG detailed, results per kg'!T11</f>
        <v>3.012745711438326E-2</v>
      </c>
      <c r="K12">
        <f>'GHG detailed, results per kg'!W11</f>
        <v>9.7389846101688712E-3</v>
      </c>
      <c r="L12">
        <f>'GHG detailed, results per kg'!X11</f>
        <v>2.4661093403864371E-3</v>
      </c>
      <c r="M12">
        <f t="shared" si="0"/>
        <v>0.98286401386295719</v>
      </c>
      <c r="P12" t="s">
        <v>38</v>
      </c>
      <c r="R12" t="s">
        <v>39</v>
      </c>
    </row>
    <row r="13" spans="1:18" ht="15" customHeight="1" x14ac:dyDescent="0.3">
      <c r="A13" t="s">
        <v>38</v>
      </c>
      <c r="B13">
        <f>'GHG detailed, results per kg'!H51</f>
        <v>0.29514819745625159</v>
      </c>
      <c r="C13">
        <f>'GHG detailed, results per kg'!I51</f>
        <v>7.1167222768011101E-2</v>
      </c>
      <c r="D13">
        <f>'GHG detailed, results per kg'!J51+'GHG detailed, results per kg'!K51</f>
        <v>0.17835392254655832</v>
      </c>
      <c r="E13">
        <f>'GHG detailed, results per kg'!L51</f>
        <v>0.10322704652224746</v>
      </c>
      <c r="F13">
        <f>'GHG detailed, results per kg'!O51</f>
        <v>9.234269823068976E-2</v>
      </c>
      <c r="G13">
        <f>'GHG detailed, results per kg'!P51</f>
        <v>6.5589530485947137E-2</v>
      </c>
      <c r="H13">
        <f>'GHG detailed, results per kg'!R51</f>
        <v>5.8458754607718919E-2</v>
      </c>
      <c r="I13">
        <f>'GHG detailed, results per kg'!S51</f>
        <v>0</v>
      </c>
      <c r="J13">
        <f>'GHG detailed, results per kg'!T51</f>
        <v>4.4388543993779707E-2</v>
      </c>
      <c r="K13">
        <f>'GHG detailed, results per kg'!W51</f>
        <v>2.9612656825806084E-2</v>
      </c>
      <c r="L13">
        <f>'GHG detailed, results per kg'!X51</f>
        <v>7.4118457548344634E-3</v>
      </c>
      <c r="M13">
        <f t="shared" si="0"/>
        <v>0.94570041919184444</v>
      </c>
      <c r="P13" s="113" t="s">
        <v>31</v>
      </c>
      <c r="R13" t="s">
        <v>33</v>
      </c>
    </row>
    <row r="14" spans="1:18" ht="15" customHeight="1" x14ac:dyDescent="0.3">
      <c r="A14" t="s">
        <v>40</v>
      </c>
      <c r="B14">
        <f>'GHG detailed, results per kg'!H26</f>
        <v>0.27968121936356982</v>
      </c>
      <c r="C14">
        <f>'GHG detailed, results per kg'!I26</f>
        <v>6.9806193340515493E-2</v>
      </c>
      <c r="D14">
        <f>'GHG detailed, results per kg'!J26+'GHG detailed, results per kg'!K26</f>
        <v>0.15771078442250491</v>
      </c>
      <c r="E14">
        <f>'GHG detailed, results per kg'!L26</f>
        <v>7.958184828163388E-2</v>
      </c>
      <c r="F14">
        <f>'GHG detailed, results per kg'!O26</f>
        <v>9.6820937031071308E-2</v>
      </c>
      <c r="G14">
        <f>'GHG detailed, results per kg'!P26</f>
        <v>5.7450605971812778E-2</v>
      </c>
      <c r="H14">
        <f>'GHG detailed, results per kg'!R26</f>
        <v>4.7563306782144994E-2</v>
      </c>
      <c r="I14">
        <f>'GHG detailed, results per kg'!S26</f>
        <v>0</v>
      </c>
      <c r="J14">
        <f>'GHG detailed, results per kg'!T26</f>
        <v>3.817735503980494E-2</v>
      </c>
      <c r="K14">
        <f>'GHG detailed, results per kg'!W26</f>
        <v>4.7422491295135871E-2</v>
      </c>
      <c r="L14">
        <f>'GHG detailed, results per kg'!X26</f>
        <v>1.3507303960824545E-2</v>
      </c>
      <c r="M14">
        <f t="shared" si="0"/>
        <v>0.88772204548901845</v>
      </c>
      <c r="P14" t="s">
        <v>37</v>
      </c>
      <c r="R14" t="s">
        <v>36</v>
      </c>
    </row>
    <row r="15" spans="1:18" ht="15" customHeight="1" x14ac:dyDescent="0.3">
      <c r="A15" t="s">
        <v>39</v>
      </c>
      <c r="B15">
        <f>'GHG detailed, results per kg'!H36</f>
        <v>0.27571801351388125</v>
      </c>
      <c r="C15">
        <f>'GHG detailed, results per kg'!I36</f>
        <v>6.8714143591310672E-2</v>
      </c>
      <c r="D15">
        <f>'GHG detailed, results per kg'!J36+'GHG detailed, results per kg'!K36</f>
        <v>0.1613958771274546</v>
      </c>
      <c r="E15">
        <f>'GHG detailed, results per kg'!L36</f>
        <v>7.5702673380882643E-2</v>
      </c>
      <c r="F15">
        <f>'GHG detailed, results per kg'!O36</f>
        <v>9.2486583287699597E-2</v>
      </c>
      <c r="G15">
        <f>'GHG detailed, results per kg'!P36</f>
        <v>6.1785673484235748E-2</v>
      </c>
      <c r="H15">
        <f>'GHG detailed, results per kg'!R36</f>
        <v>5.9190211960295648E-2</v>
      </c>
      <c r="I15">
        <f>'GHG detailed, results per kg'!S36</f>
        <v>0</v>
      </c>
      <c r="J15">
        <f>'GHG detailed, results per kg'!T36</f>
        <v>4.8798559260302646E-2</v>
      </c>
      <c r="K15">
        <f>'GHG detailed, results per kg'!W36</f>
        <v>4.3143256987221247E-2</v>
      </c>
      <c r="L15">
        <f>'GHG detailed, results per kg'!X36</f>
        <v>1.0637207682027246E-2</v>
      </c>
      <c r="M15">
        <f t="shared" si="0"/>
        <v>0.89757220027531115</v>
      </c>
      <c r="P15" t="s">
        <v>40</v>
      </c>
      <c r="R15" t="s">
        <v>38</v>
      </c>
    </row>
    <row r="16" spans="1:18" ht="15" customHeight="1" x14ac:dyDescent="0.3">
      <c r="A16" t="s">
        <v>37</v>
      </c>
      <c r="B16">
        <f>'GHG detailed, results per kg'!H31</f>
        <v>0.20901590723988875</v>
      </c>
      <c r="C16">
        <f>'GHG detailed, results per kg'!I31</f>
        <v>6.5489090601167296E-2</v>
      </c>
      <c r="D16">
        <f>'GHG detailed, results per kg'!J31+'GHG detailed, results per kg'!K31</f>
        <v>0.29712122949883751</v>
      </c>
      <c r="E16">
        <f>'GHG detailed, results per kg'!L31</f>
        <v>8.3658394379326192E-2</v>
      </c>
      <c r="F16">
        <f>'GHG detailed, results per kg'!O31</f>
        <v>9.4748907825481135E-2</v>
      </c>
      <c r="G16">
        <f>'GHG detailed, results per kg'!P31</f>
        <v>1.5640961634728032E-2</v>
      </c>
      <c r="H16">
        <f>'GHG detailed, results per kg'!R31</f>
        <v>1.6006185691050289E-2</v>
      </c>
      <c r="I16">
        <f>'GHG detailed, results per kg'!S31</f>
        <v>0</v>
      </c>
      <c r="J16">
        <f>'GHG detailed, results per kg'!T31</f>
        <v>2.970352060907135E-2</v>
      </c>
      <c r="K16">
        <f>'GHG detailed, results per kg'!W31</f>
        <v>4.0838708515026745E-2</v>
      </c>
      <c r="L16">
        <f>'GHG detailed, results per kg'!X31</f>
        <v>8.7095618757120317E-3</v>
      </c>
      <c r="M16">
        <f t="shared" si="0"/>
        <v>0.86093246787028943</v>
      </c>
      <c r="P16" s="16" t="s">
        <v>39</v>
      </c>
      <c r="R16" t="s">
        <v>34</v>
      </c>
    </row>
    <row r="17" spans="1:2" ht="15" customHeight="1" x14ac:dyDescent="0.3">
      <c r="A17" s="219"/>
    </row>
    <row r="18" spans="1:2" ht="15" customHeight="1" x14ac:dyDescent="0.3">
      <c r="A18" s="218"/>
    </row>
    <row r="19" spans="1:2" ht="15" customHeight="1" x14ac:dyDescent="0.3">
      <c r="A19" s="218"/>
    </row>
    <row r="22" spans="1:2" x14ac:dyDescent="0.3">
      <c r="A22" t="s">
        <v>41</v>
      </c>
    </row>
    <row r="23" spans="1:2" x14ac:dyDescent="0.3">
      <c r="A23" t="s">
        <v>42</v>
      </c>
    </row>
    <row r="24" spans="1:2" x14ac:dyDescent="0.3">
      <c r="A24" t="s">
        <v>43</v>
      </c>
    </row>
    <row r="29" spans="1:2" ht="18" x14ac:dyDescent="0.35">
      <c r="A29" s="1" t="s">
        <v>44</v>
      </c>
    </row>
    <row r="32" spans="1:2" x14ac:dyDescent="0.3">
      <c r="A32" t="s">
        <v>45</v>
      </c>
      <c r="B32">
        <v>0.34945446776871281</v>
      </c>
    </row>
    <row r="33" spans="1:2" x14ac:dyDescent="0.3">
      <c r="A33" t="s">
        <v>36</v>
      </c>
      <c r="B33">
        <v>0.47801158608010952</v>
      </c>
    </row>
    <row r="34" spans="1:2" x14ac:dyDescent="0.3">
      <c r="A34" t="s">
        <v>33</v>
      </c>
      <c r="B34">
        <v>0.35489832798949456</v>
      </c>
    </row>
    <row r="35" spans="1:2" x14ac:dyDescent="0.3">
      <c r="A35" t="s">
        <v>31</v>
      </c>
      <c r="B35">
        <v>0.38101451541952891</v>
      </c>
    </row>
    <row r="36" spans="1:2" x14ac:dyDescent="0.3">
      <c r="A36" t="s">
        <v>40</v>
      </c>
      <c r="B36">
        <v>0.34634087786915252</v>
      </c>
    </row>
    <row r="37" spans="1:2" x14ac:dyDescent="0.3">
      <c r="A37" t="s">
        <v>37</v>
      </c>
      <c r="B37">
        <v>0.33400348040348815</v>
      </c>
    </row>
    <row r="38" spans="1:2" x14ac:dyDescent="0.3">
      <c r="A38" t="s">
        <v>39</v>
      </c>
      <c r="B38">
        <v>0.68514743622479901</v>
      </c>
    </row>
    <row r="39" spans="1:2" x14ac:dyDescent="0.3">
      <c r="A39" t="s">
        <v>32</v>
      </c>
      <c r="B39">
        <v>0.47153366234734401</v>
      </c>
    </row>
    <row r="40" spans="1:2" x14ac:dyDescent="0.3">
      <c r="A40" t="s">
        <v>30</v>
      </c>
      <c r="B40">
        <v>0.34636615899915602</v>
      </c>
    </row>
    <row r="41" spans="1:2" x14ac:dyDescent="0.3">
      <c r="A41" t="s">
        <v>38</v>
      </c>
      <c r="B41">
        <v>1.2637785926789111</v>
      </c>
    </row>
    <row r="42" spans="1:2" x14ac:dyDescent="0.3">
      <c r="A42" s="17" t="s">
        <v>34</v>
      </c>
      <c r="B42">
        <v>0.33340768901182843</v>
      </c>
    </row>
  </sheetData>
  <autoFilter ref="A6:M6" xr:uid="{F47B862B-2B35-42F9-850E-EE56BE0A680F}">
    <sortState xmlns:xlrd2="http://schemas.microsoft.com/office/spreadsheetml/2017/richdata2" ref="A7:M16">
      <sortCondition descending="1" ref="M6"/>
    </sortState>
  </autoFilter>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9" tint="0.59999389629810485"/>
  </sheetPr>
  <dimension ref="A2:V19"/>
  <sheetViews>
    <sheetView topLeftCell="M1" zoomScaleNormal="100" workbookViewId="0">
      <selection activeCell="V7" sqref="V7:V18"/>
    </sheetView>
  </sheetViews>
  <sheetFormatPr defaultColWidth="8.88671875" defaultRowHeight="14.4" x14ac:dyDescent="0.3"/>
  <cols>
    <col min="1" max="1" width="8.88671875" style="30"/>
    <col min="2" max="2" width="22.88671875" customWidth="1"/>
    <col min="3" max="3" width="25.44140625" customWidth="1"/>
    <col min="4" max="4" width="16.44140625" customWidth="1"/>
    <col min="5" max="11" width="10.44140625" customWidth="1"/>
    <col min="12" max="13" width="14.5546875" customWidth="1"/>
    <col min="14" max="14" width="14.5546875" style="12" customWidth="1"/>
    <col min="15" max="20" width="14.5546875" customWidth="1"/>
    <col min="21" max="21" width="15.88671875" customWidth="1"/>
  </cols>
  <sheetData>
    <row r="2" spans="1:22" ht="21" x14ac:dyDescent="0.4">
      <c r="A2" s="64" t="s">
        <v>46</v>
      </c>
      <c r="M2" s="164" t="s">
        <v>47</v>
      </c>
    </row>
    <row r="3" spans="1:22" x14ac:dyDescent="0.3">
      <c r="P3" s="7"/>
      <c r="R3" s="7"/>
      <c r="S3" s="8"/>
      <c r="T3" s="8"/>
      <c r="U3" s="8"/>
    </row>
    <row r="4" spans="1:22" x14ac:dyDescent="0.3">
      <c r="A4" s="84"/>
      <c r="B4" s="85"/>
      <c r="C4" s="85"/>
      <c r="D4" s="85"/>
      <c r="E4" s="85"/>
      <c r="F4" s="85"/>
      <c r="G4" s="85"/>
      <c r="H4" s="85"/>
      <c r="I4" s="85"/>
      <c r="J4" s="85"/>
      <c r="K4" s="85"/>
      <c r="L4" s="85"/>
      <c r="M4" s="85"/>
      <c r="N4" s="86"/>
      <c r="O4" s="85"/>
      <c r="P4" s="87"/>
      <c r="Q4" s="85"/>
      <c r="R4" s="87"/>
      <c r="S4" s="88"/>
      <c r="T4" s="88"/>
      <c r="U4" s="88"/>
    </row>
    <row r="5" spans="1:22" x14ac:dyDescent="0.3">
      <c r="A5" s="66" t="s">
        <v>48</v>
      </c>
      <c r="B5" s="47"/>
      <c r="C5" s="47"/>
      <c r="D5" s="53"/>
      <c r="E5" s="53"/>
      <c r="F5" s="175" t="s">
        <v>49</v>
      </c>
      <c r="G5" s="53"/>
      <c r="H5" s="53"/>
      <c r="I5" s="53"/>
      <c r="J5" s="53"/>
      <c r="K5" s="53"/>
      <c r="L5" s="40" t="s">
        <v>50</v>
      </c>
      <c r="M5" s="40" t="s">
        <v>51</v>
      </c>
      <c r="N5" s="40" t="s">
        <v>52</v>
      </c>
      <c r="O5" s="40" t="s">
        <v>53</v>
      </c>
      <c r="P5" s="41" t="s">
        <v>54</v>
      </c>
      <c r="Q5" s="41" t="s">
        <v>55</v>
      </c>
      <c r="R5" s="41" t="s">
        <v>56</v>
      </c>
      <c r="S5" s="41" t="s">
        <v>57</v>
      </c>
      <c r="T5" s="58" t="s">
        <v>58</v>
      </c>
      <c r="U5" s="58" t="s">
        <v>59</v>
      </c>
    </row>
    <row r="6" spans="1:22" s="9" customFormat="1" ht="43.2" x14ac:dyDescent="0.3">
      <c r="A6" s="68" t="s">
        <v>60</v>
      </c>
      <c r="B6" s="67" t="s">
        <v>61</v>
      </c>
      <c r="C6" s="67" t="s">
        <v>62</v>
      </c>
      <c r="D6" s="69" t="s">
        <v>63</v>
      </c>
      <c r="E6" s="70" t="s">
        <v>64</v>
      </c>
      <c r="F6" s="174" t="s">
        <v>65</v>
      </c>
      <c r="G6" s="173" t="s">
        <v>66</v>
      </c>
      <c r="H6" s="173" t="s">
        <v>67</v>
      </c>
      <c r="I6" s="174" t="s">
        <v>68</v>
      </c>
      <c r="J6" s="174" t="s">
        <v>69</v>
      </c>
      <c r="K6" s="173" t="s">
        <v>70</v>
      </c>
      <c r="L6" s="73" t="s">
        <v>71</v>
      </c>
      <c r="M6" s="73" t="s">
        <v>72</v>
      </c>
      <c r="N6" s="73" t="s">
        <v>73</v>
      </c>
      <c r="O6" s="74" t="s">
        <v>74</v>
      </c>
      <c r="P6" s="75" t="s">
        <v>75</v>
      </c>
      <c r="Q6" s="76" t="s">
        <v>76</v>
      </c>
      <c r="R6" s="76" t="s">
        <v>77</v>
      </c>
      <c r="S6" s="76" t="s">
        <v>78</v>
      </c>
      <c r="T6" s="52" t="s">
        <v>79</v>
      </c>
      <c r="U6" s="72" t="s">
        <v>80</v>
      </c>
    </row>
    <row r="7" spans="1:22" x14ac:dyDescent="0.3">
      <c r="A7" s="213" t="s">
        <v>81</v>
      </c>
      <c r="B7" s="12" t="s">
        <v>82</v>
      </c>
      <c r="C7" s="16" t="s">
        <v>83</v>
      </c>
      <c r="D7" t="s">
        <v>36</v>
      </c>
      <c r="E7" t="s">
        <v>84</v>
      </c>
      <c r="F7" s="11">
        <f>'GHG detailed, results per kg'!G11</f>
        <v>1.0049848960367616</v>
      </c>
      <c r="G7" s="11">
        <f>'GHG detailed, results per kg'!G7</f>
        <v>0.49486305425203869</v>
      </c>
      <c r="H7" s="48">
        <f>'GHG detailed, results per kg'!G8</f>
        <v>7.8836670190645091E-4</v>
      </c>
      <c r="I7" s="48">
        <f>'GHG detailed, results per kg'!G9</f>
        <v>1.0990285626760225E-3</v>
      </c>
      <c r="J7" s="48">
        <f>'GHG detailed, results per kg'!G10</f>
        <v>1.6738268969804326E-3</v>
      </c>
      <c r="L7" s="18">
        <f>'EFP per kg feed'!F17*FCR_bonefree_incl_parents_FR</f>
        <v>3.4496327945294731</v>
      </c>
      <c r="M7" s="19">
        <f>'EFP per kg feed'!G17*FCR_bonefree_incl_parents_FR-Manure_repl_factor_FR*Excreted_N_after_losses_FR</f>
        <v>5.4485361063196805E-2</v>
      </c>
      <c r="N7" s="19">
        <f>'EFP per kg feed'!H17*FCR_bonefree_incl_parents_FR</f>
        <v>8.0645892462282327E-3</v>
      </c>
      <c r="O7" s="33">
        <f>'EFP per kg feed'!I17*FCR_bonefree_incl_parents_FR+Water_stables_FR</f>
        <v>7.7450602603948843E-2</v>
      </c>
      <c r="P7" s="33">
        <f>'EFP per kg feed'!J17*FCR_bonefree_incl_parents_FR</f>
        <v>0.51688800141535785</v>
      </c>
      <c r="Q7" s="33">
        <f>'EFP per kg feed'!K17*FCR_bonefree_incl_parents_FR</f>
        <v>5.190290107551899E-11</v>
      </c>
      <c r="R7" s="33">
        <f>'EFP per kg feed'!L17*FCR_bonefree_incl_parents_FR+NH3_per_kg_FR</f>
        <v>3.10657732678595E-3</v>
      </c>
      <c r="S7" s="217">
        <f>'Parameters, country spec'!B66*Production!B16</f>
        <v>1.1869508476901042E-2</v>
      </c>
      <c r="T7" s="5">
        <v>6.8052206520011511</v>
      </c>
      <c r="U7" s="11">
        <v>0.35528488830290966</v>
      </c>
    </row>
    <row r="8" spans="1:22" x14ac:dyDescent="0.3">
      <c r="A8" s="213" t="s">
        <v>81</v>
      </c>
      <c r="B8" s="12" t="s">
        <v>82</v>
      </c>
      <c r="C8" s="16" t="s">
        <v>83</v>
      </c>
      <c r="D8" t="s">
        <v>33</v>
      </c>
      <c r="E8" t="s">
        <v>85</v>
      </c>
      <c r="F8" s="11">
        <f>'GHG detailed, results per kg'!G16</f>
        <v>1.1287532315376996</v>
      </c>
      <c r="G8" s="11">
        <f>'GHG detailed, results per kg'!G12</f>
        <v>0.59563267211271864</v>
      </c>
      <c r="H8" s="48">
        <f>'GHG detailed, results per kg'!G13</f>
        <v>9.0486945367652873E-4</v>
      </c>
      <c r="I8" s="48">
        <f>'GHG detailed, results per kg'!G14</f>
        <v>1.6549102682371613E-3</v>
      </c>
      <c r="J8" s="48">
        <f>'GHG detailed, results per kg'!G15</f>
        <v>1.6903768222088552E-3</v>
      </c>
      <c r="L8" s="18">
        <f>'EFP per kg feed'!F29*FCR_bonefree_incl_parents_DE</f>
        <v>3.428659294935493</v>
      </c>
      <c r="M8" s="19">
        <f>'EFP per kg feed'!G29*FCR_bonefree_incl_parents_DE-Manure_repl_factor_DE*Excreted_N_after_losses_DE</f>
        <v>5.6719213544081944E-2</v>
      </c>
      <c r="N8" s="19">
        <f>'EFP per kg feed'!H29*FCR_bonefree_incl_parents_DE</f>
        <v>7.5347461959698239E-3</v>
      </c>
      <c r="O8" s="33">
        <f>'EFP per kg feed'!I29*FCR_bonefree_incl_parents_DE+Water_stables_DE</f>
        <v>1.1573028871654727E-2</v>
      </c>
      <c r="P8" s="33">
        <f>'EFP per kg feed'!J29*FCR_bonefree_incl_parents_DE</f>
        <v>0.99157021880761331</v>
      </c>
      <c r="Q8" s="33">
        <f>'EFP per kg feed'!K29*FCR_bonefree_incl_parents_DE</f>
        <v>4.8999702546340369E-11</v>
      </c>
      <c r="R8" s="33">
        <f>'EFP per kg feed'!L29*FCR_bonefree_incl_parents_DE+NH3_per_kg_DE</f>
        <v>3.1862334523612692E-3</v>
      </c>
      <c r="S8" s="217">
        <f>'Parameters, country spec'!C66*Production!C16</f>
        <v>7.7229145851067538E-3</v>
      </c>
      <c r="T8" s="5">
        <v>6.9023384425879382</v>
      </c>
      <c r="U8" s="11">
        <v>0.59524888123672648</v>
      </c>
    </row>
    <row r="9" spans="1:22" x14ac:dyDescent="0.3">
      <c r="A9" s="213" t="s">
        <v>81</v>
      </c>
      <c r="B9" s="12" t="s">
        <v>82</v>
      </c>
      <c r="C9" s="16" t="s">
        <v>83</v>
      </c>
      <c r="D9" t="s">
        <v>31</v>
      </c>
      <c r="E9" t="s">
        <v>86</v>
      </c>
      <c r="F9" s="11">
        <f>'GHG detailed, results per kg'!G21</f>
        <v>1.1544172345535257</v>
      </c>
      <c r="G9" s="11">
        <f>'GHG detailed, results per kg'!G17</f>
        <v>0.79173939767649248</v>
      </c>
      <c r="H9" s="48">
        <f>'GHG detailed, results per kg'!G18</f>
        <v>1.2351274757362199E-3</v>
      </c>
      <c r="I9" s="48">
        <f>'GHG detailed, results per kg'!G19</f>
        <v>2.071545178863475E-3</v>
      </c>
      <c r="J9" s="48">
        <f>'GHG detailed, results per kg'!G20</f>
        <v>9.8878871161457932E-4</v>
      </c>
      <c r="L9" s="18">
        <f>'EFP per kg feed'!F30*FCR_bonefree_incl_parents_GR</f>
        <v>8.5441348936413526</v>
      </c>
      <c r="M9" s="19">
        <f>'EFP per kg feed'!G30*FCR_bonefree_incl_parents_GR-Manure_repl_factor_GR*Excreted_N_after_losses_GR</f>
        <v>5.0889416253425725E-2</v>
      </c>
      <c r="N9" s="19">
        <f>'EFP per kg feed'!H30*FCR_bonefree_incl_parents_GR</f>
        <v>7.5246642529227829E-3</v>
      </c>
      <c r="O9" s="33">
        <f>'EFP per kg feed'!I30*FCR_bonefree_incl_parents_GR+Water_stables_GR</f>
        <v>0.01</v>
      </c>
      <c r="P9" s="33">
        <f>'EFP per kg feed'!J30*FCR_bonefree_incl_parents_GR</f>
        <v>0.38836976789278882</v>
      </c>
      <c r="Q9" s="33">
        <f>'EFP per kg feed'!K30*FCR_bonefree_incl_parents_GR</f>
        <v>4.0242831640417498E-10</v>
      </c>
      <c r="R9" s="33">
        <f>'EFP per kg feed'!L41*FCR_bonefree_incl_parents_GR+NH3_per_kg_GR</f>
        <v>2.6719416278997055E-3</v>
      </c>
      <c r="S9" s="217">
        <f>'Parameters, country spec'!D66*Production!D16</f>
        <v>6.3527385485146566E-3</v>
      </c>
      <c r="T9" s="5">
        <v>9.9243983745060671</v>
      </c>
      <c r="U9" s="11">
        <v>1.1614202379455156</v>
      </c>
    </row>
    <row r="10" spans="1:22" x14ac:dyDescent="0.3">
      <c r="A10" s="213" t="s">
        <v>81</v>
      </c>
      <c r="B10" s="12" t="s">
        <v>82</v>
      </c>
      <c r="C10" s="16" t="s">
        <v>83</v>
      </c>
      <c r="D10" t="s">
        <v>40</v>
      </c>
      <c r="E10" t="s">
        <v>87</v>
      </c>
      <c r="F10" s="11">
        <f>'GHG detailed, results per kg'!G26</f>
        <v>0.97261091455310467</v>
      </c>
      <c r="G10" s="11">
        <f>'GHG detailed, results per kg'!G22</f>
        <v>0.63945485237812272</v>
      </c>
      <c r="H10" s="48">
        <f>'GHG detailed, results per kg'!G23</f>
        <v>1.0485462398758317E-3</v>
      </c>
      <c r="I10" s="48">
        <f>'GHG detailed, results per kg'!G24</f>
        <v>1.3810301192423166E-3</v>
      </c>
      <c r="J10" s="48">
        <f>'GHG detailed, results per kg'!G25</f>
        <v>9.6930978390893647E-4</v>
      </c>
      <c r="L10" s="18">
        <f>'EFP per kg feed'!F53*FCR_bonefree_incl_parents_HU</f>
        <v>4.1279076059695701</v>
      </c>
      <c r="M10" s="19">
        <f>'EFP per kg feed'!G53*FCR_bonefree_incl_parents_HU-Manure_repl_factor_HU*Excreted_N_after_losses_HU</f>
        <v>5.234305588363776E-2</v>
      </c>
      <c r="N10" s="19">
        <f>'EFP per kg feed'!H53*FCR_bonefree_incl_parents_HU</f>
        <v>1.0439001108357503E-2</v>
      </c>
      <c r="O10" s="33">
        <f>'EFP per kg feed'!I53*FCR_bonefree_incl_parents_HU+Water_stables_HU</f>
        <v>1.7432374684103549E-2</v>
      </c>
      <c r="P10" s="33">
        <f>'EFP per kg feed'!J53*FCR_bonefree_incl_parents_HU</f>
        <v>0.35964618356068384</v>
      </c>
      <c r="Q10" s="33">
        <f>'EFP per kg feed'!K53*FCR_bonefree_incl_parents_HU</f>
        <v>7.215307916612553E-11</v>
      </c>
      <c r="R10" s="33">
        <f>'EFP per kg feed'!L53*FCR_bonefree_incl_parents_HU+NH3_per_kg_HU</f>
        <v>2.8458889571656445E-3</v>
      </c>
      <c r="S10" s="217">
        <f>'Parameters, country spec'!E66*Production!E16</f>
        <v>2.7758705396770566E-2</v>
      </c>
      <c r="T10" s="5">
        <v>10.424279398078834</v>
      </c>
      <c r="U10" s="11">
        <v>0.90521123496696643</v>
      </c>
    </row>
    <row r="11" spans="1:22" x14ac:dyDescent="0.3">
      <c r="A11" s="213" t="s">
        <v>81</v>
      </c>
      <c r="B11" s="12" t="s">
        <v>82</v>
      </c>
      <c r="C11" s="16" t="s">
        <v>83</v>
      </c>
      <c r="D11" t="s">
        <v>37</v>
      </c>
      <c r="E11" t="s">
        <v>88</v>
      </c>
      <c r="F11" s="11">
        <f>'GHG detailed, results per kg'!G31</f>
        <v>0.8866400312004814</v>
      </c>
      <c r="G11" s="11">
        <f>'GHG detailed, results per kg'!G27</f>
        <v>0.46439159101932553</v>
      </c>
      <c r="H11" s="48">
        <f>'GHG detailed, results per kg'!G28</f>
        <v>6.2915881101543699E-4</v>
      </c>
      <c r="I11" s="48">
        <f>'GHG detailed, results per kg'!G29</f>
        <v>1.080483047975178E-3</v>
      </c>
      <c r="J11" s="48">
        <f>'GHG detailed, results per kg'!G30</f>
        <v>1.371159213617458E-3</v>
      </c>
      <c r="L11" s="18">
        <f>'EFP per kg feed'!F65*FCR_bonefree_incl_parents_IE</f>
        <v>4.6106832432925859</v>
      </c>
      <c r="M11" s="19">
        <f>'EFP per kg feed'!G65*FCR_bonefree_incl_parents_IE-Manure_repl_factor_IE*Excreted_N_after_losses_IE</f>
        <v>5.1206467017989199E-2</v>
      </c>
      <c r="N11" s="19">
        <f>'EFP per kg feed'!H65*FCR_bonefree_incl_parents_IE</f>
        <v>5.9684388551720577E-3</v>
      </c>
      <c r="O11" s="33">
        <f>'EFP per kg feed'!I65*FCR_bonefree_incl_parents_IE+Water_stables_IE</f>
        <v>1.0995825752081178E-2</v>
      </c>
      <c r="P11" s="33">
        <f>'EFP per kg feed'!J65*FCR_bonefree_incl_parents_IE</f>
        <v>0.83402664746893151</v>
      </c>
      <c r="Q11" s="33">
        <f>'EFP per kg feed'!K65*FCR_bonefree_incl_parents_IE</f>
        <v>6.0817389919107948E-11</v>
      </c>
      <c r="R11" s="33">
        <f>'EFP per kg feed'!L65*FCR_bonefree_incl_parents_IE+NH3_per_kg_IE</f>
        <v>2.0273284468905017E-3</v>
      </c>
      <c r="S11" s="217">
        <f>'Parameters, country spec'!F66*Production!F16</f>
        <v>1.3789021755111795E-2</v>
      </c>
      <c r="T11" s="5">
        <v>7.356566919808893</v>
      </c>
      <c r="U11" s="11">
        <v>0.39407225780763716</v>
      </c>
    </row>
    <row r="12" spans="1:22" x14ac:dyDescent="0.3">
      <c r="A12" s="213" t="s">
        <v>81</v>
      </c>
      <c r="B12" s="12" t="s">
        <v>82</v>
      </c>
      <c r="C12" s="16" t="s">
        <v>83</v>
      </c>
      <c r="D12" t="s">
        <v>39</v>
      </c>
      <c r="E12" t="s">
        <v>89</v>
      </c>
      <c r="F12" s="11">
        <f>'GHG detailed, results per kg'!G36</f>
        <v>1.0201362638087152</v>
      </c>
      <c r="G12" s="11">
        <f>'GHG detailed, results per kg'!G32</f>
        <v>0.66320831104853806</v>
      </c>
      <c r="H12" s="48">
        <f>'GHG detailed, results per kg'!G33</f>
        <v>1.3946493661909122E-3</v>
      </c>
      <c r="I12" s="48">
        <f>'GHG detailed, results per kg'!G34</f>
        <v>1.7878153345280605E-3</v>
      </c>
      <c r="J12" s="48">
        <f>'GHG detailed, results per kg'!G35</f>
        <v>9.7837504621036829E-4</v>
      </c>
      <c r="L12" s="18">
        <f>'EFP per kg feed'!F77*FCR_bonefree_incl_parents_IT</f>
        <v>3.80694423068375</v>
      </c>
      <c r="M12" s="19">
        <f>'EFP per kg feed'!G77*FCR_bonefree_incl_parents_IT-Manure_repl_factor_IT*Excreted_N_after_losses_IT</f>
        <v>5.2552234875861081E-2</v>
      </c>
      <c r="N12" s="19">
        <f>'EFP per kg feed'!H77*FCR_bonefree_incl_parents_IT</f>
        <v>1.0417129604182123E-2</v>
      </c>
      <c r="O12" s="33">
        <f>'EFP per kg feed'!I77*FCR_bonefree_incl_parents_IT+Water_stables_IT</f>
        <v>0.17177149977611822</v>
      </c>
      <c r="P12" s="33">
        <f>'EFP per kg feed'!J77*FCR_bonefree_incl_parents_IT</f>
        <v>0.44068479894395735</v>
      </c>
      <c r="Q12" s="33">
        <f>'EFP per kg feed'!K77*FCR_bonefree_incl_parents_IT</f>
        <v>1.9265806096623702E-10</v>
      </c>
      <c r="R12" s="33">
        <f>'EFP per kg feed'!L77*FCR_bonefree_incl_parents_IT+NH3_per_kg_IT</f>
        <v>2.7230427322119878E-3</v>
      </c>
      <c r="S12" s="217">
        <f>'Parameters, country spec'!G66*Production!G16</f>
        <v>7.7471997829549298E-3</v>
      </c>
      <c r="T12" s="5">
        <v>8.5079712509203809</v>
      </c>
      <c r="U12" s="11">
        <v>1.4643901184098014</v>
      </c>
    </row>
    <row r="13" spans="1:22" x14ac:dyDescent="0.3">
      <c r="A13" s="213" t="s">
        <v>81</v>
      </c>
      <c r="B13" s="12" t="s">
        <v>82</v>
      </c>
      <c r="C13" s="16" t="s">
        <v>83</v>
      </c>
      <c r="D13" t="s">
        <v>32</v>
      </c>
      <c r="E13" t="s">
        <v>90</v>
      </c>
      <c r="F13" s="11">
        <f>'GHG detailed, results per kg'!G41</f>
        <v>1.1850796148339204</v>
      </c>
      <c r="G13" s="11">
        <f>'GHG detailed, results per kg'!G37</f>
        <v>0.59348309942313393</v>
      </c>
      <c r="H13" s="48">
        <f>'GHG detailed, results per kg'!G38</f>
        <v>8.9975559392423598E-4</v>
      </c>
      <c r="I13" s="48">
        <f>'GHG detailed, results per kg'!G39</f>
        <v>1.8438079300369756E-3</v>
      </c>
      <c r="J13" s="48">
        <f>'GHG detailed, results per kg'!G40</f>
        <v>1.8864504930433935E-3</v>
      </c>
      <c r="L13" s="18">
        <f>'EFP per kg feed'!F89*FCR_bonefree_incl_parents_NL</f>
        <v>3.3999195618123541</v>
      </c>
      <c r="M13" s="19">
        <f>'EFP per kg feed'!G89*FCR_bonefree_incl_parents_NL-Manure_repl_factor_NL*Excreted_N_after_losses_NL</f>
        <v>5.5756748822103241E-2</v>
      </c>
      <c r="N13" s="19">
        <f>'EFP per kg feed'!H89*FCR_bonefree_incl_parents_NL</f>
        <v>8.3236488048150804E-3</v>
      </c>
      <c r="O13" s="33">
        <f>'EFP per kg feed'!I89*FCR_bonefree_incl_parents_NL+Water_stables_NL</f>
        <v>2.2761465206925666E-2</v>
      </c>
      <c r="P13" s="33">
        <f>'EFP per kg feed'!J89*FCR_bonefree_incl_parents_NL</f>
        <v>1.185938612942482</v>
      </c>
      <c r="Q13" s="33">
        <f>'EFP per kg feed'!K89*FCR_bonefree_incl_parents_NL</f>
        <v>5.3070141302777264E-11</v>
      </c>
      <c r="R13" s="33">
        <f>'EFP per kg feed'!L89*FCR_bonefree_incl_parents_NL+NH3_per_kg_NL</f>
        <v>2.9616219911634332E-3</v>
      </c>
      <c r="S13" s="217">
        <f>'Parameters, country spec'!H66*Production!H16</f>
        <v>1.0757841335433392E-2</v>
      </c>
      <c r="T13" s="5">
        <v>8.1386212206224702</v>
      </c>
      <c r="U13" s="11">
        <v>0.30037527114179946</v>
      </c>
    </row>
    <row r="14" spans="1:22" x14ac:dyDescent="0.3">
      <c r="A14" s="213" t="s">
        <v>81</v>
      </c>
      <c r="B14" s="12" t="s">
        <v>82</v>
      </c>
      <c r="C14" s="16" t="s">
        <v>83</v>
      </c>
      <c r="D14" t="s">
        <v>30</v>
      </c>
      <c r="E14" t="s">
        <v>91</v>
      </c>
      <c r="F14" s="11">
        <f>'GHG detailed, results per kg'!G46</f>
        <v>1.2262415789331971</v>
      </c>
      <c r="G14" s="11">
        <f>'GHG detailed, results per kg'!G42</f>
        <v>0.66455571486159681</v>
      </c>
      <c r="H14" s="48">
        <f>'GHG detailed, results per kg'!G43</f>
        <v>1.0814573971095211E-3</v>
      </c>
      <c r="I14" s="48">
        <f>'GHG detailed, results per kg'!G44</f>
        <v>1.9754369654128856E-3</v>
      </c>
      <c r="J14" s="48">
        <f>'GHG detailed, results per kg'!G45</f>
        <v>1.7440352951340243E-3</v>
      </c>
      <c r="L14" s="18">
        <f>'EFP per kg feed'!F101*FCR_bonefree_incl_parents_PL</f>
        <v>5.3027674341007556</v>
      </c>
      <c r="M14" s="19">
        <f>'EFP per kg feed'!G101*FCR_bonefree_incl_parents_PL-Manure_repl_factor_PL*Excreted_N_after_losses_PL</f>
        <v>5.2480128704423784E-2</v>
      </c>
      <c r="N14" s="19">
        <f>'EFP per kg feed'!H101*FCR_bonefree_incl_parents_PL</f>
        <v>8.1410769552079272E-3</v>
      </c>
      <c r="O14" s="33">
        <f>'EFP per kg feed'!I101*FCR_bonefree_incl_parents_PL+Water_stables_PL</f>
        <v>1.3344296702505035E-2</v>
      </c>
      <c r="P14" s="33">
        <f>'EFP per kg feed'!J101*FCR_bonefree_incl_parents_PL</f>
        <v>0.47572217649540688</v>
      </c>
      <c r="Q14" s="33">
        <f>'EFP per kg feed'!K101*FCR_bonefree_incl_parents_PL</f>
        <v>2.848187666499095E-11</v>
      </c>
      <c r="R14" s="33">
        <f>'EFP per kg feed'!L101*FCR_bonefree_incl_parents_PL+NH3_per_kg_PL</f>
        <v>3.1857269760579556E-3</v>
      </c>
      <c r="S14" s="217">
        <f>'Parameters, country spec'!I66*Production!I16</f>
        <v>2.7919509111168781E-2</v>
      </c>
      <c r="T14" s="5">
        <v>9.9991268803719375</v>
      </c>
      <c r="U14" s="11">
        <v>1.8816485692333687</v>
      </c>
    </row>
    <row r="15" spans="1:22" x14ac:dyDescent="0.3">
      <c r="A15" s="213" t="s">
        <v>81</v>
      </c>
      <c r="B15" s="12" t="s">
        <v>82</v>
      </c>
      <c r="C15" s="16" t="s">
        <v>83</v>
      </c>
      <c r="D15" t="s">
        <v>38</v>
      </c>
      <c r="E15" t="s">
        <v>92</v>
      </c>
      <c r="F15" s="11">
        <f>'GHG detailed, results per kg'!G51</f>
        <v>0.99838146747892287</v>
      </c>
      <c r="G15" s="11">
        <f>'GHG detailed, results per kg'!G47</f>
        <v>0.63418054655339784</v>
      </c>
      <c r="H15" s="48">
        <f>'GHG detailed, results per kg'!G48</f>
        <v>9.9051198160724592E-4</v>
      </c>
      <c r="I15" s="48">
        <f>'GHG detailed, results per kg'!G49</f>
        <v>1.6184060376076902E-3</v>
      </c>
      <c r="J15" s="48">
        <f>'GHG detailed, results per kg'!G50</f>
        <v>1.065885351129016E-3</v>
      </c>
      <c r="L15" s="18">
        <f>'EFP per kg feed'!F113*FCR_bonefree_incl_parents_ES</f>
        <v>5.4703276700997705</v>
      </c>
      <c r="M15" s="19">
        <f>'EFP per kg feed'!G113*FCR_bonefree_incl_parents_ES-Manure_repl_factor_ES*Excreted_N_after_losses_ES</f>
        <v>5.5757353801558732E-2</v>
      </c>
      <c r="N15" s="19">
        <f>'EFP per kg feed'!H113*FCR_bonefree_incl_parents_ES</f>
        <v>9.065926005213755E-3</v>
      </c>
      <c r="O15" s="33">
        <f>'EFP per kg feed'!I113*FCR_bonefree_incl_parents_ES+Water_stables_ES</f>
        <v>0.5607038046331434</v>
      </c>
      <c r="P15" s="33">
        <f>'EFP per kg feed'!J113*FCR_bonefree_incl_parents_ES</f>
        <v>0.34610054611448876</v>
      </c>
      <c r="Q15" s="33">
        <f>'EFP per kg feed'!K113*FCR_bonefree_incl_parents_ES</f>
        <v>3.6260761980234442E-10</v>
      </c>
      <c r="R15" s="33">
        <f>'EFP per kg feed'!L113*FCR_bonefree_incl_parents_ES+NH3_per_kg_ES</f>
        <v>2.9425326409549821E-3</v>
      </c>
      <c r="S15" s="217">
        <f>'Parameters, country spec'!J66*Production!J16</f>
        <v>2.3837537793707474E-3</v>
      </c>
      <c r="T15" s="5">
        <v>8.8451275384823447</v>
      </c>
      <c r="U15" s="11">
        <v>0.97322376971162439</v>
      </c>
    </row>
    <row r="16" spans="1:22" x14ac:dyDescent="0.3">
      <c r="A16" s="213" t="s">
        <v>81</v>
      </c>
      <c r="B16" s="12" t="s">
        <v>82</v>
      </c>
      <c r="C16" s="16" t="s">
        <v>83</v>
      </c>
      <c r="D16" s="17" t="s">
        <v>34</v>
      </c>
      <c r="E16" s="17" t="s">
        <v>93</v>
      </c>
      <c r="F16" s="10">
        <f>'GHG detailed, results per kg'!G56</f>
        <v>1.0772664710953457</v>
      </c>
      <c r="G16" s="11">
        <f>'GHG detailed, results per kg'!G52</f>
        <v>0.46387090071437759</v>
      </c>
      <c r="H16" s="48">
        <f>'GHG detailed, results per kg'!G53</f>
        <v>5.5085287292453117E-4</v>
      </c>
      <c r="I16" s="48">
        <f>'GHG detailed, results per kg'!G54</f>
        <v>1.9210430956131054E-3</v>
      </c>
      <c r="J16" s="48">
        <f>'GHG detailed, results per kg'!G55</f>
        <v>1.9967472204625021E-3</v>
      </c>
      <c r="K16" s="17"/>
      <c r="L16" s="18">
        <f>'EFP per kg feed'!F125*FCR_bonefree_incl_parents_SE</f>
        <v>4.4819554504679857</v>
      </c>
      <c r="M16" s="19">
        <f>'EFP per kg feed'!G125*FCR_bonefree_incl_parents_SE-Manure_repl_factor_SE*Excreted_N_after_losses_SE</f>
        <v>5.5294208974548641E-2</v>
      </c>
      <c r="N16" s="19">
        <f>'EFP per kg feed'!H125*FCR_bonefree_incl_parents_SE</f>
        <v>5.789184713497853E-3</v>
      </c>
      <c r="O16" s="33">
        <f>'EFP per kg feed'!I125*FCR_bonefree_incl_parents_SE+Water_stables_SE</f>
        <v>1.0445202946130114E-2</v>
      </c>
      <c r="P16" s="33">
        <f>'EFP per kg feed'!J125*FCR_bonefree_incl_parents_SE</f>
        <v>0.29438497323051299</v>
      </c>
      <c r="Q16" s="33">
        <f>'EFP per kg feed'!K125*FCR_bonefree_incl_parents_SE</f>
        <v>2.2672964233083049E-11</v>
      </c>
      <c r="R16" s="33">
        <f>'EFP per kg feed'!L125*FCR_bonefree_incl_parents_SE+NH3_per_kg_SE</f>
        <v>3.1933867172372898E-3</v>
      </c>
      <c r="S16" s="217">
        <f>'Parameters, country spec'!K66*Production!K16</f>
        <v>5.2508511280091553E-3</v>
      </c>
      <c r="T16" s="5">
        <v>7.7115565897106508</v>
      </c>
      <c r="U16" s="18">
        <v>0.1177246773710762</v>
      </c>
      <c r="V16" s="17"/>
    </row>
    <row r="17" spans="1:20" x14ac:dyDescent="0.3">
      <c r="A17" s="12"/>
      <c r="B17" s="12"/>
      <c r="C17" s="16"/>
      <c r="T17" s="5"/>
    </row>
    <row r="18" spans="1:20" x14ac:dyDescent="0.3">
      <c r="J18" s="48"/>
      <c r="M18" s="48"/>
    </row>
    <row r="19" spans="1:20" x14ac:dyDescent="0.3">
      <c r="Q19" s="34"/>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0">
    <tabColor theme="9" tint="0.59999389629810485"/>
  </sheetPr>
  <dimension ref="A1:AA56"/>
  <sheetViews>
    <sheetView zoomScale="80" zoomScaleNormal="80" workbookViewId="0">
      <selection activeCell="I17" sqref="I17"/>
    </sheetView>
  </sheetViews>
  <sheetFormatPr defaultColWidth="8.88671875" defaultRowHeight="14.4" x14ac:dyDescent="0.3"/>
  <cols>
    <col min="1" max="1" width="8.109375" style="30" customWidth="1"/>
    <col min="2" max="2" width="22.44140625" customWidth="1"/>
    <col min="3" max="3" width="27.44140625" customWidth="1"/>
    <col min="4" max="5" width="10.109375" customWidth="1"/>
    <col min="6" max="6" width="7.5546875" customWidth="1"/>
    <col min="7" max="7" width="9.44140625" style="12" customWidth="1"/>
    <col min="8" max="20" width="14.5546875" customWidth="1"/>
    <col min="21" max="22" width="14.5546875" style="8" customWidth="1"/>
    <col min="23" max="24" width="14.5546875" customWidth="1"/>
    <col min="26" max="26" width="16" customWidth="1"/>
    <col min="27" max="27" width="19.44140625" customWidth="1"/>
  </cols>
  <sheetData>
    <row r="1" spans="1:27" x14ac:dyDescent="0.3">
      <c r="H1" s="164" t="s">
        <v>94</v>
      </c>
    </row>
    <row r="2" spans="1:27" ht="21" x14ac:dyDescent="0.4">
      <c r="A2" s="64" t="s">
        <v>95</v>
      </c>
      <c r="H2" s="164" t="s">
        <v>96</v>
      </c>
    </row>
    <row r="3" spans="1:27" x14ac:dyDescent="0.3">
      <c r="H3" s="164" t="s">
        <v>97</v>
      </c>
      <c r="J3" s="7"/>
      <c r="K3" s="8"/>
      <c r="L3" s="8"/>
      <c r="M3" s="8"/>
      <c r="N3" s="8"/>
      <c r="O3" s="8"/>
      <c r="P3" s="8"/>
      <c r="Q3" s="8"/>
      <c r="R3" s="8"/>
      <c r="S3" s="8"/>
      <c r="T3" s="8"/>
    </row>
    <row r="4" spans="1:27" x14ac:dyDescent="0.3">
      <c r="A4" s="65"/>
      <c r="B4" s="49"/>
      <c r="C4" s="49"/>
      <c r="D4" s="49"/>
      <c r="E4" s="49"/>
      <c r="F4" s="49"/>
      <c r="G4" s="49"/>
      <c r="H4" s="50"/>
      <c r="I4" s="50"/>
      <c r="J4" s="51"/>
      <c r="K4" s="51"/>
      <c r="L4" s="51"/>
      <c r="M4" s="51"/>
      <c r="N4" s="51"/>
      <c r="O4" s="51"/>
      <c r="P4" s="51"/>
      <c r="Q4" s="51"/>
      <c r="R4" s="51"/>
      <c r="S4" s="50" t="s">
        <v>98</v>
      </c>
      <c r="T4" s="50"/>
      <c r="U4" s="61"/>
      <c r="V4" s="61"/>
      <c r="W4" s="51" t="s">
        <v>99</v>
      </c>
      <c r="X4" s="51" t="s">
        <v>100</v>
      </c>
      <c r="Z4" s="50" t="s">
        <v>101</v>
      </c>
      <c r="AA4" s="50"/>
    </row>
    <row r="5" spans="1:27" x14ac:dyDescent="0.3">
      <c r="A5" s="66" t="s">
        <v>48</v>
      </c>
      <c r="B5" s="47"/>
      <c r="C5" s="47"/>
      <c r="D5" s="53"/>
      <c r="E5" s="53"/>
      <c r="F5" s="54"/>
      <c r="G5" s="55" t="s">
        <v>102</v>
      </c>
      <c r="H5" s="55" t="s">
        <v>103</v>
      </c>
      <c r="I5" s="56"/>
      <c r="J5" s="55" t="s">
        <v>104</v>
      </c>
      <c r="K5" s="57"/>
      <c r="L5" s="58" t="s">
        <v>105</v>
      </c>
      <c r="M5" s="57"/>
      <c r="N5" s="57"/>
      <c r="O5" s="57"/>
      <c r="P5" s="58" t="s">
        <v>106</v>
      </c>
      <c r="Q5" s="58" t="s">
        <v>107</v>
      </c>
      <c r="R5" s="58" t="s">
        <v>108</v>
      </c>
      <c r="S5" s="59"/>
      <c r="T5" s="59"/>
      <c r="U5" s="62"/>
      <c r="V5" s="62"/>
      <c r="W5" s="60"/>
      <c r="X5" s="60"/>
      <c r="Z5" s="55"/>
      <c r="AA5" s="55"/>
    </row>
    <row r="6" spans="1:27" ht="43.2" x14ac:dyDescent="0.3">
      <c r="A6" s="68" t="s">
        <v>109</v>
      </c>
      <c r="B6" s="67" t="s">
        <v>110</v>
      </c>
      <c r="C6" s="67" t="s">
        <v>111</v>
      </c>
      <c r="D6" s="69" t="s">
        <v>63</v>
      </c>
      <c r="E6" s="70" t="s">
        <v>64</v>
      </c>
      <c r="F6" s="69" t="s">
        <v>112</v>
      </c>
      <c r="G6" s="70" t="s">
        <v>113</v>
      </c>
      <c r="H6" s="52" t="s">
        <v>114</v>
      </c>
      <c r="I6" s="52" t="s">
        <v>17</v>
      </c>
      <c r="J6" s="52" t="s">
        <v>115</v>
      </c>
      <c r="K6" s="52" t="s">
        <v>116</v>
      </c>
      <c r="L6" s="52" t="s">
        <v>117</v>
      </c>
      <c r="M6" s="52" t="s">
        <v>118</v>
      </c>
      <c r="N6" s="52" t="s">
        <v>119</v>
      </c>
      <c r="O6" s="52" t="s">
        <v>120</v>
      </c>
      <c r="P6" s="52" t="s">
        <v>121</v>
      </c>
      <c r="Q6" s="52" t="s">
        <v>107</v>
      </c>
      <c r="R6" s="52" t="s">
        <v>22</v>
      </c>
      <c r="S6" s="70" t="s">
        <v>122</v>
      </c>
      <c r="T6" s="70" t="s">
        <v>123</v>
      </c>
      <c r="U6" s="212" t="s">
        <v>124</v>
      </c>
      <c r="V6" s="212" t="s">
        <v>125</v>
      </c>
      <c r="W6" s="52" t="s">
        <v>25</v>
      </c>
      <c r="X6" s="52" t="s">
        <v>26</v>
      </c>
      <c r="Z6" s="70" t="s">
        <v>126</v>
      </c>
      <c r="AA6" s="70" t="s">
        <v>127</v>
      </c>
    </row>
    <row r="7" spans="1:27" x14ac:dyDescent="0.3">
      <c r="A7" s="12" t="s">
        <v>128</v>
      </c>
      <c r="B7" s="12" t="s">
        <v>129</v>
      </c>
      <c r="C7" s="16"/>
      <c r="D7" s="17" t="s">
        <v>36</v>
      </c>
      <c r="E7" s="17" t="s">
        <v>84</v>
      </c>
      <c r="F7" s="37" t="s">
        <v>130</v>
      </c>
      <c r="G7" s="19">
        <f>SUM(H7:X7)</f>
        <v>0.49486305425203869</v>
      </c>
      <c r="H7" s="19">
        <f>'CO2 per kg feed'!G17*FCR_bonefree_incl_parents_FR-Excreted_N_after_losses_FR*Manure_repl_factor_FR*(EF_min_fert_BAT_CO2*Frac_BAT_FR+EF_min_fert_AN_CO2*Frac_AN_FR)</f>
        <v>0.19359853983385611</v>
      </c>
      <c r="I7" s="19">
        <f>'CO2 per kg feed'!H17*FCR_bonefree_incl_parents_FR</f>
        <v>6.2193747887597454E-2</v>
      </c>
      <c r="J7" s="19">
        <f>'CO2 per kg feed'!I17*FCR_bonefree_incl_parents_FR</f>
        <v>0</v>
      </c>
      <c r="K7" s="19"/>
      <c r="L7" s="19">
        <f>'CO2 per kg feed'!K17*FCR_bonefree_incl_parents_FR</f>
        <v>6.5263592018526648E-2</v>
      </c>
      <c r="M7" s="19"/>
      <c r="N7" s="19">
        <f>'CO2 per kg feed'!M17*FCR_bonefree_incl_parents_FR</f>
        <v>4.9150706139072945E-3</v>
      </c>
      <c r="O7" s="19">
        <f>'CO2 per kg feed'!N17*FCR_bonefree_incl_parents_FR</f>
        <v>8.1614657009774619E-2</v>
      </c>
      <c r="P7" s="19">
        <f>'CO2 per kg feed'!O17*FCR_bonefree_incl_parents_FR</f>
        <v>3.0458144645566822E-2</v>
      </c>
      <c r="Q7" s="19">
        <f>'CO2 per kg feed'!P17*FCR_bonefree_incl_parents_FR</f>
        <v>1.4632478165529643E-2</v>
      </c>
      <c r="R7" s="19">
        <f>'CO2 per kg feed'!Q17*FCR_bonefree_incl_parents_FR</f>
        <v>3.1242031865285434E-2</v>
      </c>
      <c r="S7" s="4"/>
      <c r="W7" s="4">
        <f>Energy_stables_FR*(Share_heating_FR*(Share_biofuels_FR*EF_biofuels_CO2+(1-Share_biofuels_FR)*EF_oil_CO2)+(1-Share_heating_FR)*EF_el_CO2_FR)</f>
        <v>8.7112695367499993E-3</v>
      </c>
      <c r="X7" s="4">
        <f>(Energy_slaughter_el_FR*EF_el_CO2_FR+Energy_slaughter_oil_FR*EF_oil_CO2)*Production!B16</f>
        <v>2.2335226752446032E-3</v>
      </c>
      <c r="Z7" s="19"/>
      <c r="AA7" s="19"/>
    </row>
    <row r="8" spans="1:27" x14ac:dyDescent="0.3">
      <c r="A8" s="12" t="s">
        <v>128</v>
      </c>
      <c r="B8" s="12" t="s">
        <v>129</v>
      </c>
      <c r="C8" s="16"/>
      <c r="D8" s="17" t="s">
        <v>36</v>
      </c>
      <c r="E8" s="17" t="s">
        <v>84</v>
      </c>
      <c r="F8" s="12" t="s">
        <v>131</v>
      </c>
      <c r="G8" s="19">
        <f>SUM(H8:X8)</f>
        <v>7.8836670190645091E-4</v>
      </c>
      <c r="H8" s="34">
        <f>'CH4 per kg feed'!G17*FCR_bonefree_incl_parents_FR-Excreted_N_after_losses_FR*Manure_repl_factor_FR*(EF_min_fert_BAT_CH4*Frac_BAT_FR+EF_min_fert_AN_CH4*Frac_AN_FR)</f>
        <v>3.6266349294784286E-4</v>
      </c>
      <c r="I8" s="34">
        <f>'CH4 per kg feed'!H17*FCR_bonefree_incl_parents_FR</f>
        <v>2.2944635421000783E-4</v>
      </c>
      <c r="J8" s="34"/>
      <c r="K8" s="34"/>
      <c r="L8" s="34">
        <f>'CH4 per kg feed'!K17*FCR_bonefree_incl_parents_FR</f>
        <v>2.9082299143436334E-5</v>
      </c>
      <c r="M8" s="34"/>
      <c r="N8" s="34">
        <f>'CH4 per kg feed'!M17*FCR_bonefree_incl_parents_FR</f>
        <v>1.7181395015588185E-5</v>
      </c>
      <c r="O8" s="34">
        <f>'CH4 per kg feed'!N17*FCR_bonefree_incl_parents_FR</f>
        <v>4.2860233142166989E-5</v>
      </c>
      <c r="P8" s="34">
        <f>'CH4 per kg feed'!O17*FCR_bonefree_incl_parents_FR</f>
        <v>0</v>
      </c>
      <c r="Q8" s="34">
        <f>'CH4 per kg feed'!P17*FCR_bonefree_incl_parents_FR</f>
        <v>4.4091052151148033E-5</v>
      </c>
      <c r="R8" s="34">
        <f>'CH4 per kg feed'!Q17*FCR_bonefree_incl_parents_FR</f>
        <v>2.9976755543941771E-5</v>
      </c>
      <c r="S8" s="4"/>
      <c r="W8" s="4">
        <f>Energy_stables_FR*(Share_heating_FR*(Share_biofuels_FR*EF_biofuel_CH4+(1-Share_biofuels_FR)*EF_oil_CH4)+(1-Share_heating_FR)*EF_el_CH4_FR)</f>
        <v>2.7007621318140001E-5</v>
      </c>
      <c r="X8" s="4">
        <f>(Energy_slaughter_el_FR*EF_el_CH4_FR+Energy_slaughter_oil_FR*EF_oil_CH4)*Production!B16</f>
        <v>6.0574984341791323E-6</v>
      </c>
      <c r="Z8" s="33"/>
      <c r="AA8" s="33"/>
    </row>
    <row r="9" spans="1:27" x14ac:dyDescent="0.3">
      <c r="A9" s="12" t="s">
        <v>128</v>
      </c>
      <c r="B9" s="12" t="s">
        <v>129</v>
      </c>
      <c r="C9" s="16"/>
      <c r="D9" s="17" t="s">
        <v>36</v>
      </c>
      <c r="E9" s="17" t="s">
        <v>84</v>
      </c>
      <c r="F9" s="12" t="s">
        <v>132</v>
      </c>
      <c r="G9" s="19">
        <f>SUM(H9:T9)+SUM(W9:X9)</f>
        <v>1.0990285626760225E-3</v>
      </c>
      <c r="H9" s="34"/>
      <c r="I9" s="34"/>
      <c r="J9" s="34"/>
      <c r="K9" s="34"/>
      <c r="L9" s="34"/>
      <c r="M9" s="34"/>
      <c r="N9" s="34"/>
      <c r="O9" s="34"/>
      <c r="P9" s="34"/>
      <c r="Q9" s="34"/>
      <c r="R9" s="34"/>
      <c r="S9" s="4"/>
      <c r="T9" s="48">
        <f>SUM(U9:V9)</f>
        <v>1.0990285626760225E-3</v>
      </c>
      <c r="U9" s="63">
        <f>Manure!B12*Production!B16</f>
        <v>1.0990285626760225E-3</v>
      </c>
      <c r="W9" s="4"/>
      <c r="X9" s="4"/>
      <c r="Z9" s="33"/>
      <c r="AA9" s="33"/>
    </row>
    <row r="10" spans="1:27" ht="15" thickBot="1" x14ac:dyDescent="0.35">
      <c r="A10" s="12" t="s">
        <v>128</v>
      </c>
      <c r="B10" s="12" t="s">
        <v>129</v>
      </c>
      <c r="C10" s="16"/>
      <c r="D10" s="17" t="s">
        <v>36</v>
      </c>
      <c r="E10" s="17" t="s">
        <v>84</v>
      </c>
      <c r="F10" s="35" t="s">
        <v>133</v>
      </c>
      <c r="G10" s="19">
        <f>SUM(H10:T10)+SUM(W10:X10)</f>
        <v>1.6738268969804326E-3</v>
      </c>
      <c r="H10" s="34">
        <f>'N2O per kg feed'!G17*FCR_bonefree_incl_parents_FR-Excreted_N_after_losses_FR*Manure_repl_factor_FR*(EF_min_fert_BAT_N2O*Frac_BAT_FR+EF_min_fert_AN_N2O*Frac_AN_FR)</f>
        <v>4.2276189918304032E-4</v>
      </c>
      <c r="I10" s="33">
        <f>'N2O per kg feed'!H17*FCR_bonefree_incl_parents_FR</f>
        <v>2.3214893477551177E-6</v>
      </c>
      <c r="J10" s="33">
        <f>'N2O per kg feed'!I17*FCR_bonefree_incl_parents_FR-Excreted_N_after_losses_FR*Manure_repl_factor_FR*EF_N2O_diff_FR</f>
        <v>1.1248977914799438E-3</v>
      </c>
      <c r="K10" s="33">
        <f>J10*EF_indirect_N2O_FR</f>
        <v>1.1248977914799439E-4</v>
      </c>
      <c r="L10" s="33">
        <f>'N2O per kg feed'!K17*FCR_bonefree_incl_parents_FR</f>
        <v>1.7715475579523434E-6</v>
      </c>
      <c r="M10" s="33"/>
      <c r="N10" s="33">
        <f>'N2O per kg feed'!M17*FCR_bonefree_incl_parents_FR</f>
        <v>2.1176346772329201E-7</v>
      </c>
      <c r="O10" s="33">
        <f>'N2O per kg feed'!N17*FCR_bonefree_incl_parents_FR</f>
        <v>3.0840179964124958E-6</v>
      </c>
      <c r="P10" s="33">
        <f>'N2O per kg feed'!O17*FCR_bonefree_incl_parents_FR</f>
        <v>0</v>
      </c>
      <c r="Q10" s="33">
        <f>'N2O per kg feed'!P17*FCR_bonefree_incl_parents_FR</f>
        <v>2.5260184692686623E-6</v>
      </c>
      <c r="R10" s="33">
        <f>'N2O per kg feed'!Q17*FCR_bonefree_incl_parents_FR</f>
        <v>1.0935533630445892E-6</v>
      </c>
      <c r="S10" s="4"/>
      <c r="T10" s="48">
        <f>SUM(U10:V10)</f>
        <v>1.6618531946177686E-6</v>
      </c>
      <c r="U10" s="191">
        <f>Manure!B68*44/28</f>
        <v>4.3369760764875225E-7</v>
      </c>
      <c r="V10" s="191">
        <f>NH3_per_kg_FR*17/14*Manure!B97</f>
        <v>1.2281555869690163E-6</v>
      </c>
      <c r="W10" s="4">
        <f>Energy_stables_FR*(Share_heating_FR*(Share_biofuels_FR*EF_biofuel_N2O+(1-Share_biofuels_FR)*EF_oil_N2O)+(1-Share_heating_FR)*EF_el_N2O_FR)</f>
        <v>8.1643940709999991E-7</v>
      </c>
      <c r="X10" s="4">
        <f>(Energy_slaughter_el_FR*EF_el_N2O_FR+Energy_slaughter_oil_FR*EF_oil_N2O)*Production!B16</f>
        <v>1.90744365579838E-7</v>
      </c>
      <c r="Z10" s="33"/>
      <c r="AA10" s="33"/>
    </row>
    <row r="11" spans="1:27" ht="15.6" thickTop="1" thickBot="1" x14ac:dyDescent="0.35">
      <c r="A11" s="128" t="s">
        <v>128</v>
      </c>
      <c r="B11" s="128" t="s">
        <v>129</v>
      </c>
      <c r="C11" s="129"/>
      <c r="D11" s="38" t="s">
        <v>36</v>
      </c>
      <c r="E11" s="38" t="s">
        <v>84</v>
      </c>
      <c r="F11" s="134" t="s">
        <v>134</v>
      </c>
      <c r="G11" s="135">
        <f t="shared" ref="G11:G56" si="0">SUM(H11:X11)</f>
        <v>1.0049848960367616</v>
      </c>
      <c r="H11" s="132">
        <f>SUMPRODUCT(H7:H10,'Parameters, general'!$B$13:$B$16)</f>
        <v>0.31981991040067181</v>
      </c>
      <c r="I11" s="132">
        <f>SUMPRODUCT(I7:I10,'Parameters, general'!$B$13:$B$16)</f>
        <v>6.9665015834992836E-2</v>
      </c>
      <c r="J11" s="132">
        <f>SUMPRODUCT(J7:J10,'Parameters, general'!$B$13:$B$16)</f>
        <v>0.30709709707402466</v>
      </c>
      <c r="K11" s="132">
        <f>SUMPRODUCT(K7:K10,'Parameters, general'!$B$13:$B$16)</f>
        <v>3.0709709707402468E-2</v>
      </c>
      <c r="L11" s="132">
        <f>SUMPRODUCT(L7:L10,'Parameters, general'!$B$13:$B$16)</f>
        <v>6.6613877016322043E-2</v>
      </c>
      <c r="M11" s="132">
        <f>SUMPRODUCT(M7:M10,'Parameters, general'!$B$13:$B$16)</f>
        <v>0</v>
      </c>
      <c r="N11" s="132">
        <f>SUMPRODUCT(N7:N10,'Parameters, general'!$B$13:$B$16)</f>
        <v>5.4848876120602809E-3</v>
      </c>
      <c r="O11" s="132">
        <f>SUMPRODUCT(O7:O10,'Parameters, general'!$B$13:$B$16)</f>
        <v>8.3733828870431806E-2</v>
      </c>
      <c r="P11" s="132">
        <f>SUMPRODUCT(P7:P10,'Parameters, general'!$B$13:$B$16)</f>
        <v>3.0458144645566822E-2</v>
      </c>
      <c r="Q11" s="132">
        <f>SUMPRODUCT(Q7:Q10,'Parameters, general'!$B$13:$B$16)</f>
        <v>1.6635994561744197E-2</v>
      </c>
      <c r="R11" s="132">
        <f>SUMPRODUCT(R7:R10,'Parameters, general'!$B$13:$B$16)</f>
        <v>3.2433879248606065E-2</v>
      </c>
      <c r="S11" s="132"/>
      <c r="T11" s="132">
        <f>SUMPRODUCT(T7:T10,'Parameters, general'!$B$13:$B$16)</f>
        <v>3.012745711438326E-2</v>
      </c>
      <c r="U11" s="133"/>
      <c r="V11" s="133"/>
      <c r="W11" s="132">
        <f>SUMPRODUCT(W7:W10,'Parameters, general'!$B$13:$B$16)</f>
        <v>9.7389846101688712E-3</v>
      </c>
      <c r="X11" s="132">
        <f>SUMPRODUCT(X7:X10,'Parameters, general'!$B$13:$B$16)</f>
        <v>2.4661093403864371E-3</v>
      </c>
      <c r="Z11" s="109">
        <f>SUM(H11:R11)</f>
        <v>0.96265234497182306</v>
      </c>
      <c r="AA11" s="151">
        <f>'CO2 per kg feed'!F17+'CH4 per kg feed'!F17*CF_GWP_CH4_fossil+'N2O per kg feed'!F17*CF_GWP_N2O</f>
        <v>0.3963822239970452</v>
      </c>
    </row>
    <row r="12" spans="1:27" ht="15" thickTop="1" x14ac:dyDescent="0.3">
      <c r="A12" s="267" t="s">
        <v>128</v>
      </c>
      <c r="B12" s="267" t="s">
        <v>129</v>
      </c>
      <c r="C12" s="268"/>
      <c r="D12" s="269" t="s">
        <v>33</v>
      </c>
      <c r="E12" s="269" t="s">
        <v>85</v>
      </c>
      <c r="F12" s="270" t="s">
        <v>130</v>
      </c>
      <c r="G12" s="19">
        <f>SUM(H12:X12)</f>
        <v>0.59563267211271864</v>
      </c>
      <c r="H12" s="271">
        <f>'CO2 per kg feed'!G29*FCR_bonefree_incl_parents_DE-Excreted_N_after_losses_DE*Manure_repl_factor_DE*(EF_min_fert_BAT_CO2*Frac_BAT_DE+EF_min_fert_AN_CO2*Frac_AN_DE)</f>
        <v>0.19652075623464602</v>
      </c>
      <c r="I12" s="271">
        <f>'CO2 per kg feed'!H29*FCR_bonefree_incl_parents_DE</f>
        <v>6.2178462022794069E-2</v>
      </c>
      <c r="J12" s="271">
        <f>'CO2 per kg feed'!I29*FCR_bonefree_incl_parents_DE</f>
        <v>0</v>
      </c>
      <c r="K12" s="271"/>
      <c r="L12" s="271">
        <f>'CO2 per kg feed'!K29*FCR_bonefree_incl_parents_DE</f>
        <v>6.3795855896469508E-2</v>
      </c>
      <c r="M12" s="271"/>
      <c r="N12" s="271">
        <f>'CO2 per kg feed'!M29*FCR_bonefree_incl_parents_DE</f>
        <v>1.1097895371742106E-3</v>
      </c>
      <c r="O12" s="271">
        <f>'CO2 per kg feed'!N29*FCR_bonefree_incl_parents_DE</f>
        <v>9.8220054010183813E-2</v>
      </c>
      <c r="P12" s="271">
        <f>'CO2 per kg feed'!O29*FCR_bonefree_incl_parents_DE</f>
        <v>4.6487699084400473E-2</v>
      </c>
      <c r="Q12" s="271">
        <f>'CO2 per kg feed'!P29*FCR_bonefree_incl_parents_DE</f>
        <v>2.3713405244746993E-2</v>
      </c>
      <c r="R12" s="271">
        <f>'CO2 per kg feed'!Q29*FCR_bonefree_incl_parents_DE</f>
        <v>4.6708923042018187E-2</v>
      </c>
      <c r="S12" s="272"/>
      <c r="T12" s="273"/>
      <c r="U12" s="274"/>
      <c r="V12" s="274"/>
      <c r="W12" s="272">
        <f>Energy_stables_DE*(Share_heating_DE*(Share_biofuels_DE*EF_biofuels_CO2+(1-Share_biofuels_DE)*EF_oil_CO2)+(1-Share_heating_DE)*EF_el_CO2_DE)</f>
        <v>4.6350339663360003E-2</v>
      </c>
      <c r="X12" s="272">
        <f>(Energy_slaughter_el_DE*EF_el_CO2_DE+Energy_slaughter_oil_DE*EF_oil_CO2)*Production!C16</f>
        <v>1.0547387376925331E-2</v>
      </c>
      <c r="Z12" s="19"/>
      <c r="AA12" s="19"/>
    </row>
    <row r="13" spans="1:27" x14ac:dyDescent="0.3">
      <c r="A13" s="12" t="s">
        <v>128</v>
      </c>
      <c r="B13" s="12" t="s">
        <v>129</v>
      </c>
      <c r="C13" s="16"/>
      <c r="D13" s="17" t="s">
        <v>33</v>
      </c>
      <c r="E13" s="17" t="s">
        <v>85</v>
      </c>
      <c r="F13" s="12" t="s">
        <v>131</v>
      </c>
      <c r="G13" s="19">
        <f>SUM(H13:X13)</f>
        <v>9.0486945367652873E-4</v>
      </c>
      <c r="H13" s="34">
        <f>'CH4 per kg feed'!G29*FCR_bonefree_incl_parents_DE-Excreted_N_after_losses_DE*Manure_repl_factor_DE*(EF_min_fert_BAT_CH4*Frac_BAT_DE+EF_min_fert_AN_CH4*Frac_AN_DE)</f>
        <v>3.6574283430061753E-4</v>
      </c>
      <c r="I13" s="34">
        <f>'CH4 per kg feed'!H29*FCR_bonefree_incl_parents_DE</f>
        <v>2.2926373765442965E-4</v>
      </c>
      <c r="J13" s="34"/>
      <c r="K13" s="34"/>
      <c r="L13" s="34">
        <f>'CH4 per kg feed'!K29*FCR_bonefree_incl_parents_DE</f>
        <v>2.8352040821844415E-5</v>
      </c>
      <c r="M13" s="34"/>
      <c r="N13" s="34">
        <f>'CH4 per kg feed'!M29*FCR_bonefree_incl_parents_DE</f>
        <v>3.2701369466889006E-6</v>
      </c>
      <c r="O13" s="34">
        <f>'CH4 per kg feed'!N29*FCR_bonefree_incl_parents_DE</f>
        <v>7.0310053055651096E-5</v>
      </c>
      <c r="P13" s="34">
        <f>'CH4 per kg feed'!O29*FCR_bonefree_incl_parents_DE</f>
        <v>0</v>
      </c>
      <c r="Q13" s="34">
        <f>'CH4 per kg feed'!P29*FCR_bonefree_incl_parents_DE</f>
        <v>5.5027348156771886E-5</v>
      </c>
      <c r="R13" s="34">
        <f>'CH4 per kg feed'!Q29*FCR_bonefree_incl_parents_DE</f>
        <v>4.4554727999454577E-5</v>
      </c>
      <c r="S13" s="4"/>
      <c r="W13" s="4">
        <f>Energy_stables_DE*(Share_heating_DE*(Share_biofuels_DE*EF_biofuel_CH4+(1-Share_biofuels_DE)*EF_oil_CH4)+(1-Share_heating_DE)*EF_el_CH4_DE)</f>
        <v>8.866310670443999E-5</v>
      </c>
      <c r="X13" s="4">
        <f>(Energy_slaughter_el_DE*EF_el_CH4_DE+Energy_slaughter_oil_DE*EF_oil_CH4)*Production!C16</f>
        <v>1.968546803663065E-5</v>
      </c>
      <c r="Z13" s="33"/>
      <c r="AA13" s="33"/>
    </row>
    <row r="14" spans="1:27" x14ac:dyDescent="0.3">
      <c r="A14" s="12" t="s">
        <v>128</v>
      </c>
      <c r="B14" s="12" t="s">
        <v>129</v>
      </c>
      <c r="C14" s="16"/>
      <c r="D14" s="17" t="s">
        <v>33</v>
      </c>
      <c r="E14" s="17" t="s">
        <v>85</v>
      </c>
      <c r="F14" s="12" t="s">
        <v>132</v>
      </c>
      <c r="G14" s="19">
        <f>SUM(H14:T14)+SUM(W14:X14)</f>
        <v>1.6549102682371613E-3</v>
      </c>
      <c r="H14" s="34"/>
      <c r="I14" s="34"/>
      <c r="J14" s="34"/>
      <c r="K14" s="34"/>
      <c r="L14" s="34"/>
      <c r="M14" s="34"/>
      <c r="N14" s="34"/>
      <c r="O14" s="34"/>
      <c r="P14" s="34"/>
      <c r="Q14" s="34"/>
      <c r="R14" s="34"/>
      <c r="S14" s="4"/>
      <c r="T14" s="48">
        <f>SUM(U14:V14)</f>
        <v>1.6549102682371613E-3</v>
      </c>
      <c r="U14" s="63">
        <f>Manure!C12*Production!C16</f>
        <v>1.6549102682371613E-3</v>
      </c>
      <c r="W14" s="4"/>
      <c r="X14" s="4"/>
      <c r="Z14" s="33"/>
      <c r="AA14" s="33"/>
    </row>
    <row r="15" spans="1:27" ht="15" thickBot="1" x14ac:dyDescent="0.35">
      <c r="A15" s="12" t="s">
        <v>128</v>
      </c>
      <c r="B15" s="12" t="s">
        <v>129</v>
      </c>
      <c r="C15" s="16"/>
      <c r="D15" s="17" t="s">
        <v>33</v>
      </c>
      <c r="E15" s="17" t="s">
        <v>85</v>
      </c>
      <c r="F15" s="35" t="s">
        <v>133</v>
      </c>
      <c r="G15" s="19">
        <f>SUM(H15:T15)+SUM(W15:X15)</f>
        <v>1.6903768222088552E-3</v>
      </c>
      <c r="H15" s="34">
        <f>'N2O per kg feed'!G29*FCR_bonefree_incl_parents_DE-Excreted_N_after_losses_DE*Manure_repl_factor_DE*(EF_min_fert_BAT_N2O*Frac_BAT_DE+EF_min_fert_AN_N2O*Frac_AN_DE)</f>
        <v>4.2703785015861084E-4</v>
      </c>
      <c r="I15" s="33">
        <f>'N2O per kg feed'!H29*FCR_bonefree_incl_parents_DE</f>
        <v>2.3234432494440813E-6</v>
      </c>
      <c r="J15" s="33">
        <f>'N2O per kg feed'!I29*FCR_bonefree_incl_parents_DE-Excreted_N_after_losses_DE*Manure_repl_factor_DE*EF_N2O_diff_DE</f>
        <v>1.1324595801522183E-3</v>
      </c>
      <c r="K15" s="33">
        <f>J15*EF_indirect_N2O_DE</f>
        <v>1.1324595801522183E-4</v>
      </c>
      <c r="L15" s="33">
        <f>'N2O per kg feed'!K29*FCR_bonefree_incl_parents_DE</f>
        <v>1.7159339508503534E-6</v>
      </c>
      <c r="M15" s="33"/>
      <c r="N15" s="33">
        <f>'N2O per kg feed'!M29*FCR_bonefree_incl_parents_DE</f>
        <v>4.0267366240391057E-8</v>
      </c>
      <c r="O15" s="33">
        <f>'N2O per kg feed'!N29*FCR_bonefree_incl_parents_DE</f>
        <v>3.6750465056920183E-6</v>
      </c>
      <c r="P15" s="33">
        <f>'N2O per kg feed'!O29*FCR_bonefree_incl_parents_DE</f>
        <v>0</v>
      </c>
      <c r="Q15" s="33">
        <f>'N2O per kg feed'!P29*FCR_bonefree_incl_parents_DE</f>
        <v>3.2489204711016382E-6</v>
      </c>
      <c r="R15" s="33">
        <f>'N2O per kg feed'!Q29*FCR_bonefree_incl_parents_DE</f>
        <v>1.6291738655082434E-6</v>
      </c>
      <c r="S15" s="4"/>
      <c r="T15" s="48">
        <f>SUM(U15:V15)</f>
        <v>2.4553614276953579E-6</v>
      </c>
      <c r="U15" s="191">
        <f>Manure!C68*44/28</f>
        <v>6.4078125586142896E-7</v>
      </c>
      <c r="V15" s="191">
        <f>NH3_per_kg_DE*17/14*Manure!C97</f>
        <v>1.8145801718339291E-6</v>
      </c>
      <c r="W15" s="4">
        <f>Energy_stables_DE*(Share_heating_DE*(Share_biofuels_DE*EF_biofuel_N2O+(1-Share_biofuels_DE)*EF_oil_N2O)+(1-Share_heating_DE)*EF_el_N2O_DE)</f>
        <v>2.0759000300000006E-6</v>
      </c>
      <c r="X15" s="4">
        <f>(Energy_slaughter_el_DE*EF_el_N2O_DE+Energy_slaughter_oil_DE*EF_oil_N2O)*Production!C16</f>
        <v>4.6938701627226034E-7</v>
      </c>
      <c r="Z15" s="33"/>
      <c r="AA15" s="33"/>
    </row>
    <row r="16" spans="1:27" ht="15.6" thickTop="1" thickBot="1" x14ac:dyDescent="0.35">
      <c r="A16" s="128" t="s">
        <v>128</v>
      </c>
      <c r="B16" s="128" t="s">
        <v>129</v>
      </c>
      <c r="C16" s="129"/>
      <c r="D16" s="130" t="s">
        <v>33</v>
      </c>
      <c r="E16" s="130" t="s">
        <v>85</v>
      </c>
      <c r="F16" s="131" t="s">
        <v>134</v>
      </c>
      <c r="G16" s="135">
        <f t="shared" si="0"/>
        <v>1.1287532315376996</v>
      </c>
      <c r="H16" s="132">
        <f>SUMPRODUCT(H12:H15,'Parameters, general'!$B$13:$B$16)</f>
        <v>0.32400122579010515</v>
      </c>
      <c r="I16" s="132">
        <f>SUMPRODUCT(I12:I15,'Parameters, general'!$B$13:$B$16)</f>
        <v>6.9644821411994295E-2</v>
      </c>
      <c r="J16" s="132">
        <f>SUMPRODUCT(J12:J15,'Parameters, general'!$B$13:$B$16)</f>
        <v>0.30916146538155559</v>
      </c>
      <c r="K16" s="132">
        <f>SUMPRODUCT(K12:K15,'Parameters, general'!$B$13:$B$16)</f>
        <v>3.091614653815556E-2</v>
      </c>
      <c r="L16" s="132">
        <f>SUMPRODUCT(L12:L15,'Parameters, general'!$B$13:$B$16)</f>
        <v>6.5109196681542608E-2</v>
      </c>
      <c r="M16" s="132">
        <f>SUMPRODUCT(M12:M15,'Parameters, general'!$B$13:$B$16)</f>
        <v>0</v>
      </c>
      <c r="N16" s="132">
        <f>SUMPRODUCT(N12:N15,'Parameters, general'!$B$13:$B$16)</f>
        <v>1.2182326091691666E-3</v>
      </c>
      <c r="O16" s="132">
        <f>SUMPRODUCT(O12:O15,'Parameters, general'!$B$13:$B$16)</f>
        <v>0.10131858128729614</v>
      </c>
      <c r="P16" s="132">
        <f>SUMPRODUCT(P12:P15,'Parameters, general'!$B$13:$B$16)</f>
        <v>4.6487699084400473E-2</v>
      </c>
      <c r="Q16" s="132">
        <f>SUMPRODUCT(Q12:Q15,'Parameters, general'!$B$13:$B$16)</f>
        <v>2.6240175508429543E-2</v>
      </c>
      <c r="R16" s="132">
        <f>SUMPRODUCT(R12:R15,'Parameters, general'!$B$13:$B$16)</f>
        <v>4.8481418401685683E-2</v>
      </c>
      <c r="S16" s="132"/>
      <c r="T16" s="132">
        <f>SUMPRODUCT(T12:T15,'Parameters, general'!$B$13:$B$16)</f>
        <v>4.5352890912164191E-2</v>
      </c>
      <c r="U16" s="133"/>
      <c r="V16" s="133"/>
      <c r="W16" s="132">
        <f>SUMPRODUCT(W12:W15,'Parameters, general'!$B$13:$B$16)</f>
        <v>4.9559220951342312E-2</v>
      </c>
      <c r="X16" s="132">
        <f>SUMPRODUCT(X12:X15,'Parameters, general'!$B$13:$B$16)</f>
        <v>1.1262156979859252E-2</v>
      </c>
      <c r="Z16" s="109">
        <f>SUM(H16:R16)</f>
        <v>1.022578962694334</v>
      </c>
      <c r="AA16" s="151">
        <f>'CO2 per kg feed'!F29+'CH4 per kg feed'!F29*CF_GWP_CH4_fossil+'N2O per kg feed'!F29*CF_GWP_N2O</f>
        <v>0.42129910311848628</v>
      </c>
    </row>
    <row r="17" spans="1:27" ht="15" thickTop="1" x14ac:dyDescent="0.3">
      <c r="A17" s="12" t="s">
        <v>128</v>
      </c>
      <c r="B17" s="12" t="s">
        <v>129</v>
      </c>
      <c r="C17" s="16"/>
      <c r="D17" s="17" t="s">
        <v>31</v>
      </c>
      <c r="E17" s="17" t="s">
        <v>86</v>
      </c>
      <c r="F17" s="37" t="s">
        <v>130</v>
      </c>
      <c r="G17" s="19">
        <f>SUM(H17:X17)</f>
        <v>0.79173939767649248</v>
      </c>
      <c r="H17" s="271">
        <f>'CO2 per kg feed'!G41*FCR_bonefree_incl_parents_GR-Excreted_N_after_losses_GR*Manure_repl_factor_GR*(EF_min_fert_BAT_CO2*Frac_BAT_GR+EF_min_fert_AN_CO2*Frac_AN_GR)</f>
        <v>0.16110440875438833</v>
      </c>
      <c r="I17" s="271">
        <f>'CO2 per kg feed'!H41*FCR_bonefree_incl_parents_GR</f>
        <v>6.1720842832632558E-2</v>
      </c>
      <c r="J17" s="271">
        <f>'CO2 per kg feed'!I41*FCR_bonefree_incl_parents_GR</f>
        <v>0</v>
      </c>
      <c r="K17" s="271"/>
      <c r="L17" s="271">
        <f>'CO2 per kg feed'!K41*FCR_bonefree_incl_parents_GR</f>
        <v>9.8886282767575273E-2</v>
      </c>
      <c r="M17" s="271"/>
      <c r="N17" s="271">
        <f>'CO2 per kg feed'!M41*FCR_bonefree_incl_parents_GR</f>
        <v>2.2239305290192062E-2</v>
      </c>
      <c r="O17" s="271">
        <f>'CO2 per kg feed'!N41*FCR_bonefree_incl_parents_GR</f>
        <v>0.10028532310553864</v>
      </c>
      <c r="P17" s="271">
        <f>'CO2 per kg feed'!O41*FCR_bonefree_incl_parents_GR</f>
        <v>7.7892427157059047E-2</v>
      </c>
      <c r="Q17" s="271">
        <f>'CO2 per kg feed'!P41*FCR_bonefree_incl_parents_GR</f>
        <v>0.12054471805383374</v>
      </c>
      <c r="R17" s="271">
        <f>'CO2 per kg feed'!Q41*FCR_bonefree_incl_parents_GR</f>
        <v>6.6993107846817182E-2</v>
      </c>
      <c r="S17" s="272"/>
      <c r="T17" s="273"/>
      <c r="U17" s="274"/>
      <c r="V17" s="274"/>
      <c r="W17" s="272">
        <f>Energy_stables_GR*(Share_heating_GR*(Share_biofuels_GR*EF_biofuels_CO2+(1-Share_biofuels_GR)*EF_oil_CO2)+(1-Share_heating_GR)*EF_el_CO2_GR)</f>
        <v>6.3996298020209993E-2</v>
      </c>
      <c r="X17" s="272">
        <f>(Energy_slaughter_el_GR*EF_el_CO2_GR+Energy_slaughter_oil_GR*EF_oil_CO2)*Production!D16</f>
        <v>1.8076683848245668E-2</v>
      </c>
      <c r="Z17" s="19"/>
      <c r="AA17" s="19"/>
    </row>
    <row r="18" spans="1:27" x14ac:dyDescent="0.3">
      <c r="A18" s="12" t="s">
        <v>128</v>
      </c>
      <c r="B18" s="12" t="s">
        <v>129</v>
      </c>
      <c r="C18" s="16"/>
      <c r="D18" s="17" t="s">
        <v>31</v>
      </c>
      <c r="E18" s="17" t="s">
        <v>86</v>
      </c>
      <c r="F18" s="12" t="s">
        <v>131</v>
      </c>
      <c r="G18" s="19">
        <f>SUM(H18:X18)</f>
        <v>1.2351274757362199E-3</v>
      </c>
      <c r="H18" s="34">
        <f>'CH4 per kg feed'!G41*FCR_bonefree_incl_parents_GR-Excreted_N_after_losses_GR*Manure_repl_factor_GR*(EF_min_fert_BAT_CH4*Frac_BAT_GR+EF_min_fert_AN_CH4*Frac_AN_GR)</f>
        <v>3.1026808871057691E-4</v>
      </c>
      <c r="I18" s="34">
        <f>'CH4 per kg feed'!H41*FCR_bonefree_incl_parents_GR</f>
        <v>2.2712304079617696E-4</v>
      </c>
      <c r="J18" s="34"/>
      <c r="K18" s="34"/>
      <c r="L18" s="34">
        <f>'CH4 per kg feed'!K41*FCR_bonefree_incl_parents_GR</f>
        <v>4.5214017562025135E-5</v>
      </c>
      <c r="M18" s="34"/>
      <c r="N18" s="34">
        <f>'CH4 per kg feed'!M41*FCR_bonefree_incl_parents_GR</f>
        <v>7.5723174277908152E-5</v>
      </c>
      <c r="O18" s="34">
        <f>'CH4 per kg feed'!N41*FCR_bonefree_incl_parents_GR</f>
        <v>8.2145158275026529E-5</v>
      </c>
      <c r="P18" s="34">
        <f>'CH4 per kg feed'!O41*FCR_bonefree_incl_parents_GR</f>
        <v>0</v>
      </c>
      <c r="Q18" s="34">
        <f>'CH4 per kg feed'!P41*FCR_bonefree_incl_parents_GR</f>
        <v>2.526850446122058E-4</v>
      </c>
      <c r="R18" s="34">
        <f>'CH4 per kg feed'!Q41*FCR_bonefree_incl_parents_GR</f>
        <v>7.9685533146402535E-5</v>
      </c>
      <c r="S18" s="4"/>
      <c r="W18" s="4">
        <f>Energy_stables_GR*(Share_heating_GR*(Share_biofuels_GR*EF_biofuel_CH4+(1-Share_biofuels_GR)*EF_oil_CH4)+(1-Share_heating_GR)*EF_el_CH4_GR)</f>
        <v>1.2704162262849002E-4</v>
      </c>
      <c r="X18" s="4">
        <f>(Energy_slaughter_el_GR*EF_el_CH4_GR+Energy_slaughter_oil_GR*EF_oil_CH4)*Production!D16</f>
        <v>3.5241795727407919E-5</v>
      </c>
      <c r="Z18" s="33"/>
      <c r="AA18" s="33"/>
    </row>
    <row r="19" spans="1:27" x14ac:dyDescent="0.3">
      <c r="A19" s="12" t="s">
        <v>128</v>
      </c>
      <c r="B19" s="12" t="s">
        <v>129</v>
      </c>
      <c r="C19" s="16"/>
      <c r="D19" s="17" t="s">
        <v>31</v>
      </c>
      <c r="E19" s="17" t="s">
        <v>86</v>
      </c>
      <c r="F19" s="12" t="s">
        <v>132</v>
      </c>
      <c r="G19" s="19">
        <f>SUM(H19:T19)+SUM(W19:X19)</f>
        <v>2.071545178863475E-3</v>
      </c>
      <c r="H19" s="34"/>
      <c r="I19" s="34"/>
      <c r="J19" s="34"/>
      <c r="K19" s="34"/>
      <c r="L19" s="34"/>
      <c r="M19" s="34"/>
      <c r="N19" s="34"/>
      <c r="O19" s="34"/>
      <c r="P19" s="34"/>
      <c r="Q19" s="34"/>
      <c r="R19" s="34"/>
      <c r="S19" s="4"/>
      <c r="T19" s="48">
        <f>SUM(U19:V19)</f>
        <v>2.071545178863475E-3</v>
      </c>
      <c r="U19" s="63">
        <f>Manure!D12*Production!D16</f>
        <v>2.071545178863475E-3</v>
      </c>
      <c r="W19" s="4"/>
      <c r="X19" s="4"/>
      <c r="Z19" s="33"/>
      <c r="AA19" s="33"/>
    </row>
    <row r="20" spans="1:27" ht="15" thickBot="1" x14ac:dyDescent="0.35">
      <c r="A20" s="12" t="s">
        <v>128</v>
      </c>
      <c r="B20" s="12" t="s">
        <v>129</v>
      </c>
      <c r="C20" s="16"/>
      <c r="D20" s="17" t="s">
        <v>31</v>
      </c>
      <c r="E20" s="17" t="s">
        <v>86</v>
      </c>
      <c r="F20" s="35" t="s">
        <v>133</v>
      </c>
      <c r="G20" s="19">
        <f>SUM(H20:T20)+SUM(W20:X20)</f>
        <v>9.8878871161457932E-4</v>
      </c>
      <c r="H20" s="34">
        <f>'N2O per kg feed'!G41*FCR_bonefree_incl_parents_GR-Excreted_N_after_losses_GR*Manure_repl_factor_GR*(EF_min_fert_BAT_N2O*Frac_BAT_GR+EF_min_fert_AN_N2O*Frac_AN_GR)</f>
        <v>3.5679347683409055E-4</v>
      </c>
      <c r="I20" s="33">
        <f>'N2O per kg feed'!H41*FCR_bonefree_incl_parents_GR</f>
        <v>2.3154106099245252E-6</v>
      </c>
      <c r="J20" s="33">
        <f>'N2O per kg feed'!I41*FCR_bonefree_incl_parents_GR-Excreted_N_after_losses_GR*Manure_repl_factor_GR*EF_N2O_diff_GR</f>
        <v>5.529818124298258E-4</v>
      </c>
      <c r="K20" s="33">
        <f>J20*EF_indirect_N2O_GR</f>
        <v>5.5298181242982582E-5</v>
      </c>
      <c r="L20" s="33">
        <f>'N2O per kg feed'!K41*FCR_bonefree_incl_parents_GR</f>
        <v>2.687530776579661E-6</v>
      </c>
      <c r="M20" s="33"/>
      <c r="N20" s="33">
        <f>'N2O per kg feed'!M41*FCR_bonefree_incl_parents_GR</f>
        <v>9.3161262137209929E-7</v>
      </c>
      <c r="O20" s="33">
        <f>'N2O per kg feed'!N41*FCR_bonefree_incl_parents_GR</f>
        <v>3.5240965032554998E-6</v>
      </c>
      <c r="P20" s="33">
        <f>'N2O per kg feed'!O41*FCR_bonefree_incl_parents_GR</f>
        <v>0</v>
      </c>
      <c r="Q20" s="33">
        <f>'N2O per kg feed'!P41*FCR_bonefree_incl_parents_GR</f>
        <v>7.1477635181346812E-6</v>
      </c>
      <c r="R20" s="33">
        <f>'N2O per kg feed'!Q41*FCR_bonefree_incl_parents_GR</f>
        <v>2.5633188713603033E-6</v>
      </c>
      <c r="S20" s="4"/>
      <c r="T20" s="48">
        <f>SUM(U20:V20)</f>
        <v>1.7207674743762674E-6</v>
      </c>
      <c r="U20" s="191">
        <f>Manure!DD68*44/28</f>
        <v>0</v>
      </c>
      <c r="V20" s="191">
        <f>NH3_per_kg_GR*17/14*Manure!D97</f>
        <v>1.7207674743762674E-6</v>
      </c>
      <c r="W20" s="4">
        <f>Energy_stables_GR*(Share_heating_GR*(Share_biofuels_GR*EF_biofuel_N2O+(1-Share_biofuels_GR)*EF_oil_N2O)+(1-Share_heating_GR)*EF_el_N2O_GR)</f>
        <v>2.2022764230000002E-6</v>
      </c>
      <c r="X20" s="4">
        <f>(Energy_slaughter_el_GR*EF_el_N2O_GR+Energy_slaughter_oil_GR*EF_oil_N2O)*Production!D16</f>
        <v>6.2246430967738886E-7</v>
      </c>
      <c r="Z20" s="33"/>
      <c r="AA20" s="33"/>
    </row>
    <row r="21" spans="1:27" ht="15.6" thickTop="1" thickBot="1" x14ac:dyDescent="0.35">
      <c r="A21" s="128" t="s">
        <v>128</v>
      </c>
      <c r="B21" s="128" t="s">
        <v>129</v>
      </c>
      <c r="C21" s="129"/>
      <c r="D21" s="38" t="s">
        <v>31</v>
      </c>
      <c r="E21" s="38" t="s">
        <v>86</v>
      </c>
      <c r="F21" s="131" t="s">
        <v>134</v>
      </c>
      <c r="G21" s="135">
        <f t="shared" si="0"/>
        <v>1.1544172345535257</v>
      </c>
      <c r="H21" s="132">
        <f>SUMPRODUCT(H17:H20,'Parameters, general'!$B$13:$B$16)</f>
        <v>0.26775501697367021</v>
      </c>
      <c r="I21" s="132">
        <f>SUMPRODUCT(I17:I20,'Parameters, general'!$B$13:$B$16)</f>
        <v>6.9121216544868025E-2</v>
      </c>
      <c r="J21" s="132">
        <f>SUMPRODUCT(J17:J20,'Parameters, general'!$B$13:$B$16)</f>
        <v>0.15096403479334244</v>
      </c>
      <c r="K21" s="132">
        <f>SUMPRODUCT(K17:K20,'Parameters, general'!$B$13:$B$16)</f>
        <v>1.5096403479334245E-2</v>
      </c>
      <c r="L21" s="132">
        <f>SUMPRODUCT(L17:L20,'Parameters, general'!$B$13:$B$16)</f>
        <v>0.10096735639292988</v>
      </c>
      <c r="M21" s="132">
        <f>SUMPRODUCT(M17:M20,'Parameters, general'!$B$13:$B$16)</f>
        <v>0</v>
      </c>
      <c r="N21" s="132">
        <f>SUMPRODUCT(N17:N20,'Parameters, general'!$B$13:$B$16)</f>
        <v>2.4750186129308308E-2</v>
      </c>
      <c r="O21" s="132">
        <f>SUMPRODUCT(O17:O20,'Parameters, general'!$B$13:$B$16)</f>
        <v>0.10369532716752318</v>
      </c>
      <c r="P21" s="132">
        <f>SUMPRODUCT(P17:P20,'Parameters, general'!$B$13:$B$16)</f>
        <v>7.7892427157059047E-2</v>
      </c>
      <c r="Q21" s="132">
        <f>SUMPRODUCT(Q17:Q20,'Parameters, general'!$B$13:$B$16)</f>
        <v>0.13002607182372822</v>
      </c>
      <c r="R21" s="132">
        <f>SUMPRODUCT(R17:R20,'Parameters, general'!$B$13:$B$16)</f>
        <v>7.0067522786461348E-2</v>
      </c>
      <c r="S21" s="132"/>
      <c r="T21" s="132">
        <f>SUMPRODUCT(T17:T20,'Parameters, general'!$B$13:$B$16)</f>
        <v>5.6401489349818548E-2</v>
      </c>
      <c r="U21" s="133"/>
      <c r="V21" s="133"/>
      <c r="W21" s="132">
        <f>SUMPRODUCT(W17:W20,'Parameters, general'!$B$13:$B$16)</f>
        <v>6.8383359838018007E-2</v>
      </c>
      <c r="X21" s="132">
        <f>SUMPRODUCT(X17:X20,'Parameters, general'!$B$13:$B$16)</f>
        <v>1.9296822117464352E-2</v>
      </c>
      <c r="Z21" s="109">
        <f>SUM(H21:R21)</f>
        <v>1.0103355632482249</v>
      </c>
      <c r="AA21" s="151">
        <f>'CO2 per kg feed'!F41+'CH4 per kg feed'!F41*CF_GWP_CH4_fossil+'N2O per kg feed'!F41*CF_GWP_N2O</f>
        <v>0.41596327567272168</v>
      </c>
    </row>
    <row r="22" spans="1:27" ht="15" thickTop="1" x14ac:dyDescent="0.3">
      <c r="A22" s="267" t="s">
        <v>128</v>
      </c>
      <c r="B22" s="267" t="s">
        <v>129</v>
      </c>
      <c r="C22" s="268"/>
      <c r="D22" s="269" t="s">
        <v>35</v>
      </c>
      <c r="E22" s="269" t="s">
        <v>87</v>
      </c>
      <c r="F22" s="270" t="s">
        <v>130</v>
      </c>
      <c r="G22" s="19">
        <f>SUM(H22:X22)</f>
        <v>0.63945485237812272</v>
      </c>
      <c r="H22" s="271">
        <f>'CO2 per kg feed'!G53*FCR_bonefree_incl_parents_HU-Excreted_N_after_losses_HU*Manure_repl_factor_HU*(EF_min_fert_BAT_CO2*Frac_BAT_HU+EF_min_fert_AN_CO2*Frac_AN_HU)</f>
        <v>0.16846171593704942</v>
      </c>
      <c r="I22" s="271">
        <f>'CO2 per kg feed'!H53*FCR_bonefree_incl_parents_HU</f>
        <v>6.2325407722970294E-2</v>
      </c>
      <c r="J22" s="271">
        <f>'CO2 per kg feed'!I53*FCR_bonefree_incl_parents_HU</f>
        <v>0</v>
      </c>
      <c r="K22" s="271"/>
      <c r="L22" s="271">
        <f>'CO2 per kg feed'!K53*FCR_bonefree_incl_parents_HU</f>
        <v>7.7929892818175472E-2</v>
      </c>
      <c r="M22" s="271"/>
      <c r="N22" s="271">
        <f>'CO2 per kg feed'!M53*FCR_bonefree_incl_parents_HU</f>
        <v>3.9187917600401082E-4</v>
      </c>
      <c r="O22" s="271">
        <f>'CO2 per kg feed'!N53*FCR_bonefree_incl_parents_HU</f>
        <v>9.3634177256049611E-2</v>
      </c>
      <c r="P22" s="271">
        <f>'CO2 per kg feed'!O53*FCR_bonefree_incl_parents_HU</f>
        <v>5.7450605971812778E-2</v>
      </c>
      <c r="Q22" s="271">
        <f>'CO2 per kg feed'!P53*FCR_bonefree_incl_parents_HU</f>
        <v>7.7112975289352487E-2</v>
      </c>
      <c r="R22" s="271">
        <f>'CO2 per kg feed'!Q53*FCR_bonefree_incl_parents_HU</f>
        <v>4.5958095225697958E-2</v>
      </c>
      <c r="S22" s="272"/>
      <c r="T22" s="273"/>
      <c r="U22" s="274"/>
      <c r="V22" s="274"/>
      <c r="W22" s="272">
        <f>Energy_stables_HU*(Share_heating_HU*(Share_biofuels_HU*EF_biofuels_CO2+(1-Share_biofuels_HU)*EF_oil_CO2)+(1-Share_heating_HU)*EF_el_CO2_HU)</f>
        <v>4.3715184780050001E-2</v>
      </c>
      <c r="X22" s="272">
        <f>(Energy_slaughter_el_HU*EF_el_CO2_HU+Energy_slaughter_oil_HU*EF_oil_CO2)*Production!E16</f>
        <v>1.2474918200960651E-2</v>
      </c>
      <c r="Z22" s="19"/>
      <c r="AA22" s="19"/>
    </row>
    <row r="23" spans="1:27" x14ac:dyDescent="0.3">
      <c r="A23" s="12" t="s">
        <v>128</v>
      </c>
      <c r="B23" s="12" t="s">
        <v>129</v>
      </c>
      <c r="C23" s="16"/>
      <c r="D23" s="17" t="s">
        <v>35</v>
      </c>
      <c r="E23" s="17" t="s">
        <v>87</v>
      </c>
      <c r="F23" s="12" t="s">
        <v>131</v>
      </c>
      <c r="G23" s="19">
        <f>SUM(H23:X23)</f>
        <v>1.0485462398758317E-3</v>
      </c>
      <c r="H23" s="34">
        <f>'CH4 per kg feed'!G53*FCR_bonefree_incl_parents_HU-Excreted_N_after_losses_HU*Manure_repl_factor_HU*(EF_min_fert_BAT_CH4*Frac_BAT_HU+EF_min_fert_AN_CH4*Frac_AN_HU)</f>
        <v>3.24224930579535E-4</v>
      </c>
      <c r="I23" s="34">
        <f>'CH4 per kg feed'!H53*FCR_bonefree_incl_parents_HU</f>
        <v>2.2967330525671493E-4</v>
      </c>
      <c r="J23" s="34"/>
      <c r="K23" s="34"/>
      <c r="L23" s="34">
        <f>'CH4 per kg feed'!K53*FCR_bonefree_incl_parents_HU</f>
        <v>3.5910474533125536E-5</v>
      </c>
      <c r="M23" s="34"/>
      <c r="N23" s="34">
        <f>'CH4 per kg feed'!M53*FCR_bonefree_incl_parents_HU</f>
        <v>2.0161522864015408E-6</v>
      </c>
      <c r="O23" s="34">
        <f>'CH4 per kg feed'!N53*FCR_bonefree_incl_parents_HU</f>
        <v>7.6629821002679674E-5</v>
      </c>
      <c r="P23" s="34">
        <f>'CH4 per kg feed'!O53*FCR_bonefree_incl_parents_HU</f>
        <v>0</v>
      </c>
      <c r="Q23" s="34">
        <f>'CH4 per kg feed'!P53*FCR_bonefree_incl_parents_HU</f>
        <v>2.0056527742307094E-4</v>
      </c>
      <c r="R23" s="34">
        <f>'CH4 per kg feed'!Q53*FCR_bonefree_incl_parents_HU</f>
        <v>3.85129060677329E-5</v>
      </c>
      <c r="S23" s="4"/>
      <c r="W23" s="4">
        <f>Energy_stables_HU*(Share_heating_HU*(Share_biofuels_HU*EF_biofuel_CH4+(1-Share_biofuels_HU)*EF_oil_CH4)+(1-Share_heating_HU)*EF_el_CH4_HU)</f>
        <v>1.1037499887663998E-4</v>
      </c>
      <c r="X23" s="4">
        <f>(Energy_slaughter_el_HU*EF_el_CH4_HU+Energy_slaughter_oil_HU*EF_oil_CH4)*Production!E16</f>
        <v>3.0638373849931068E-5</v>
      </c>
      <c r="Z23" s="33"/>
      <c r="AA23" s="33"/>
    </row>
    <row r="24" spans="1:27" x14ac:dyDescent="0.3">
      <c r="A24" s="12" t="s">
        <v>128</v>
      </c>
      <c r="B24" s="12" t="s">
        <v>129</v>
      </c>
      <c r="C24" s="16"/>
      <c r="D24" s="17" t="s">
        <v>35</v>
      </c>
      <c r="E24" s="17" t="s">
        <v>87</v>
      </c>
      <c r="F24" s="12" t="s">
        <v>132</v>
      </c>
      <c r="G24" s="19">
        <f>SUM(H24:T24)+SUM(W24:X24)</f>
        <v>1.3810301192423166E-3</v>
      </c>
      <c r="H24" s="34"/>
      <c r="I24" s="34"/>
      <c r="J24" s="34"/>
      <c r="K24" s="34"/>
      <c r="L24" s="34"/>
      <c r="M24" s="34"/>
      <c r="N24" s="34"/>
      <c r="O24" s="34"/>
      <c r="P24" s="34"/>
      <c r="Q24" s="34"/>
      <c r="R24" s="34"/>
      <c r="S24" s="4"/>
      <c r="T24" s="48">
        <f>SUM(U24:V24)</f>
        <v>1.3810301192423166E-3</v>
      </c>
      <c r="U24" s="63">
        <f>Manure!E12*Production!E16</f>
        <v>1.3810301192423166E-3</v>
      </c>
      <c r="W24" s="4"/>
      <c r="X24" s="4"/>
      <c r="Z24" s="33"/>
      <c r="AA24" s="33"/>
    </row>
    <row r="25" spans="1:27" ht="15" thickBot="1" x14ac:dyDescent="0.35">
      <c r="A25" s="12" t="s">
        <v>128</v>
      </c>
      <c r="B25" s="12" t="s">
        <v>129</v>
      </c>
      <c r="C25" s="16"/>
      <c r="D25" s="17" t="s">
        <v>35</v>
      </c>
      <c r="E25" s="17" t="s">
        <v>87</v>
      </c>
      <c r="F25" s="35" t="s">
        <v>133</v>
      </c>
      <c r="G25" s="19">
        <f>SUM(H25:T25)+SUM(W25:X25)</f>
        <v>9.6930978390893647E-4</v>
      </c>
      <c r="H25" s="34">
        <f>'N2O per kg feed'!G53*FCR_bonefree_incl_parents_HU-Excreted_N_after_losses_HU*Manure_repl_factor_HU*(EF_min_fert_BAT_N2O*Frac_BAT_HU+EF_min_fert_AN_N2O*Frac_AN_HU)</f>
        <v>3.720058626199643E-4</v>
      </c>
      <c r="I25" s="33">
        <f>'N2O per kg feed'!H53*FCR_bonefree_incl_parents_HU</f>
        <v>2.3315791974179575E-6</v>
      </c>
      <c r="J25" s="33">
        <f>'N2O per kg feed'!I53*FCR_bonefree_incl_parents_HU-Excreted_N_after_losses_HU*Manure_repl_factor_HU*EF_N2O_diff_HU</f>
        <v>5.2517743730437873E-4</v>
      </c>
      <c r="K25" s="33">
        <f>J25*EF_indirect_N2O_HU</f>
        <v>5.2517743730437877E-5</v>
      </c>
      <c r="L25" s="33">
        <f>'N2O per kg feed'!K53*FCR_bonefree_incl_parents_HU</f>
        <v>2.1312209610669077E-6</v>
      </c>
      <c r="M25" s="33"/>
      <c r="N25" s="33">
        <f>'N2O per kg feed'!M53*FCR_bonefree_incl_parents_HU</f>
        <v>2.4812247275147205E-8</v>
      </c>
      <c r="O25" s="33">
        <f>'N2O per kg feed'!N53*FCR_bonefree_incl_parents_HU</f>
        <v>3.3083923411789425E-6</v>
      </c>
      <c r="P25" s="33">
        <f>'N2O per kg feed'!O53*FCR_bonefree_incl_parents_HU</f>
        <v>0</v>
      </c>
      <c r="Q25" s="33">
        <f>'N2O per kg feed'!P53*FCR_bonefree_incl_parents_HU</f>
        <v>4.9095760068909245E-6</v>
      </c>
      <c r="R25" s="33">
        <f>'N2O per kg feed'!Q53*FCR_bonefree_incl_parents_HU</f>
        <v>1.6759229143904589E-6</v>
      </c>
      <c r="S25" s="4"/>
      <c r="T25" s="48">
        <f>SUM(U25:V25)</f>
        <v>3.2583949460161013E-6</v>
      </c>
      <c r="U25" s="191">
        <f>Manure!E68*44/28</f>
        <v>8.5065050648327189E-7</v>
      </c>
      <c r="V25" s="191">
        <f>NH3_per_kg_HU*17/14*Manure!E97</f>
        <v>2.4077444395328297E-6</v>
      </c>
      <c r="W25" s="4">
        <f>Energy_stables_HU*(Share_heating_HU*(Share_biofuels_HU*EF_biofuel_N2O+(1-Share_biofuels_HU)*EF_oil_N2O)+(1-Share_heating_HU)*EF_el_N2O_HU)</f>
        <v>1.5316173940000001E-6</v>
      </c>
      <c r="X25" s="4">
        <f>(Energy_slaughter_el_HU*EF_el_N2O_HU+Energy_slaughter_oil_HU*EF_oil_N2O)*Production!E16</f>
        <v>4.3722424591922751E-7</v>
      </c>
      <c r="Z25" s="33"/>
      <c r="AA25" s="33"/>
    </row>
    <row r="26" spans="1:27" ht="15.6" thickTop="1" thickBot="1" x14ac:dyDescent="0.35">
      <c r="A26" s="128" t="s">
        <v>128</v>
      </c>
      <c r="B26" s="128" t="s">
        <v>129</v>
      </c>
      <c r="C26" s="129"/>
      <c r="D26" s="130" t="s">
        <v>35</v>
      </c>
      <c r="E26" s="130" t="s">
        <v>87</v>
      </c>
      <c r="F26" s="131" t="s">
        <v>134</v>
      </c>
      <c r="G26" s="135">
        <f t="shared" si="0"/>
        <v>0.97261091455310467</v>
      </c>
      <c r="H26" s="132">
        <f>SUMPRODUCT(H22:H25,'Parameters, general'!$B$13:$B$16)</f>
        <v>0.27968121936356982</v>
      </c>
      <c r="I26" s="132">
        <f>SUMPRODUCT(I22:I25,'Parameters, general'!$B$13:$B$16)</f>
        <v>6.9806193340515493E-2</v>
      </c>
      <c r="J26" s="132">
        <f>SUMPRODUCT(J22:J25,'Parameters, general'!$B$13:$B$16)</f>
        <v>0.14337344038409539</v>
      </c>
      <c r="K26" s="132">
        <f>SUMPRODUCT(K22:K25,'Parameters, general'!$B$13:$B$16)</f>
        <v>1.4337344038409541E-2</v>
      </c>
      <c r="L26" s="132">
        <f>SUMPRODUCT(L22:L25,'Parameters, general'!$B$13:$B$16)</f>
        <v>7.958184828163388E-2</v>
      </c>
      <c r="M26" s="132">
        <f>SUMPRODUCT(M22:M25,'Parameters, general'!$B$13:$B$16)</f>
        <v>0</v>
      </c>
      <c r="N26" s="132">
        <f>SUMPRODUCT(N22:N25,'Parameters, general'!$B$13:$B$16)</f>
        <v>4.5873425764489194E-4</v>
      </c>
      <c r="O26" s="132">
        <f>SUMPRODUCT(O22:O25,'Parameters, general'!$B$13:$B$16)</f>
        <v>9.6820937031071308E-2</v>
      </c>
      <c r="P26" s="132">
        <f>SUMPRODUCT(P22:P25,'Parameters, general'!$B$13:$B$16)</f>
        <v>5.7450605971812778E-2</v>
      </c>
      <c r="Q26" s="132">
        <f>SUMPRODUCT(Q22:Q25,'Parameters, general'!$B$13:$B$16)</f>
        <v>8.4430134806441223E-2</v>
      </c>
      <c r="R26" s="132">
        <f>SUMPRODUCT(R22:R25,'Parameters, general'!$B$13:$B$16)</f>
        <v>4.7563306782144994E-2</v>
      </c>
      <c r="S26" s="132"/>
      <c r="T26" s="132">
        <f>SUMPRODUCT(T22:T25,'Parameters, general'!$B$13:$B$16)</f>
        <v>3.817735503980494E-2</v>
      </c>
      <c r="U26" s="133"/>
      <c r="V26" s="133"/>
      <c r="W26" s="132">
        <f>SUMPRODUCT(W22:W25,'Parameters, general'!$B$13:$B$16)</f>
        <v>4.7422491295135871E-2</v>
      </c>
      <c r="X26" s="132">
        <f>SUMPRODUCT(X22:X25,'Parameters, general'!$B$13:$B$16)</f>
        <v>1.3507303960824545E-2</v>
      </c>
      <c r="Z26" s="109">
        <f>SUM(H26:R26)</f>
        <v>0.87350376425733933</v>
      </c>
      <c r="AA26" s="151">
        <f>'CO2 per kg feed'!F53+'CH4 per kg feed'!F53*CF_GWP_CH4_fossil+'N2O per kg feed'!F53*CF_GWP_N2O</f>
        <v>0.3598262384119344</v>
      </c>
    </row>
    <row r="27" spans="1:27" ht="15" thickTop="1" x14ac:dyDescent="0.3">
      <c r="A27" s="267" t="s">
        <v>128</v>
      </c>
      <c r="B27" s="267" t="s">
        <v>129</v>
      </c>
      <c r="C27" s="268"/>
      <c r="D27" s="269" t="s">
        <v>135</v>
      </c>
      <c r="E27" s="269" t="s">
        <v>88</v>
      </c>
      <c r="F27" s="270" t="s">
        <v>130</v>
      </c>
      <c r="G27" s="19">
        <f>SUM(H27:X27)</f>
        <v>0.46439159101932553</v>
      </c>
      <c r="H27" s="271">
        <f>'CO2 per kg feed'!G65*FCR_bonefree_incl_parents_IE-Excreted_N_after_losses_IE*Manure_repl_factor_IE*(EF_min_fert_BAT_CO2*Frac_BAT_IE+EF_min_fert_AN_CO2*Frac_AN_IE)</f>
        <v>0.12863846014725841</v>
      </c>
      <c r="I27" s="271">
        <f>'CO2 per kg feed'!H65*FCR_bonefree_incl_parents_IE</f>
        <v>5.8494225990466588E-2</v>
      </c>
      <c r="J27" s="271">
        <f>'CO2 per kg feed'!I65*FCR_bonefree_incl_parents_IE</f>
        <v>0</v>
      </c>
      <c r="K27" s="271"/>
      <c r="L27" s="271">
        <f>'CO2 per kg feed'!K65*FCR_bonefree_incl_parents_IE</f>
        <v>8.197308309858102E-2</v>
      </c>
      <c r="M27" s="271"/>
      <c r="N27" s="271">
        <f>'CO2 per kg feed'!M65*FCR_bonefree_incl_parents_IE</f>
        <v>3.9753237260125283E-4</v>
      </c>
      <c r="O27" s="271">
        <f>'CO2 per kg feed'!N65*FCR_bonefree_incl_parents_IE</f>
        <v>9.2340174506917116E-2</v>
      </c>
      <c r="P27" s="271">
        <f>'CO2 per kg feed'!O65*FCR_bonefree_incl_parents_IE</f>
        <v>1.5640961634728032E-2</v>
      </c>
      <c r="Q27" s="271">
        <f>'CO2 per kg feed'!P65*FCR_bonefree_incl_parents_IE</f>
        <v>2.3922924721454492E-2</v>
      </c>
      <c r="R27" s="271">
        <f>'CO2 per kg feed'!Q65*FCR_bonefree_incl_parents_IE</f>
        <v>1.543361929679091E-2</v>
      </c>
      <c r="S27" s="272"/>
      <c r="T27" s="273"/>
      <c r="U27" s="274"/>
      <c r="V27" s="274"/>
      <c r="W27" s="272">
        <f>Energy_stables_IE*(Share_heating_IE*(Share_biofuels_IE*EF_biofuels_CO2+(1-Share_biofuels_IE)*EF_oil_CO2)+(1-Share_heating_IE)*EF_el_CO2_IE)</f>
        <v>3.9187201012474013E-2</v>
      </c>
      <c r="X27" s="272">
        <f>(Energy_slaughter_el_IE*EF_el_CO2_IE+Energy_slaughter_oil_IE*EF_oil_CO2)*Production!F16</f>
        <v>8.3634082380536646E-3</v>
      </c>
      <c r="Z27" s="19"/>
      <c r="AA27" s="19"/>
    </row>
    <row r="28" spans="1:27" x14ac:dyDescent="0.3">
      <c r="A28" s="12" t="s">
        <v>128</v>
      </c>
      <c r="B28" s="12" t="s">
        <v>129</v>
      </c>
      <c r="C28" s="16"/>
      <c r="D28" s="17" t="s">
        <v>135</v>
      </c>
      <c r="E28" s="17" t="s">
        <v>88</v>
      </c>
      <c r="F28" s="12" t="s">
        <v>131</v>
      </c>
      <c r="G28" s="19">
        <f>SUM(H28:X28)</f>
        <v>6.2915881101543699E-4</v>
      </c>
      <c r="H28" s="34">
        <f>'CH4 per kg feed'!G65*FCR_bonefree_incl_parents_IE-Excreted_N_after_losses_IE*Manure_repl_factor_IE*(EF_min_fert_BAT_CH4*Frac_BAT_IE+EF_min_fert_AN_CH4*Frac_AN_IE)</f>
        <v>2.3055739833110716E-4</v>
      </c>
      <c r="I28" s="34">
        <f>'CH4 per kg feed'!H65*FCR_bonefree_incl_parents_IE</f>
        <v>2.1448396695384345E-4</v>
      </c>
      <c r="J28" s="34"/>
      <c r="K28" s="34"/>
      <c r="L28" s="34">
        <f>'CH4 per kg feed'!K65*FCR_bonefree_incl_parents_IE</f>
        <v>3.6355798635942135E-5</v>
      </c>
      <c r="M28" s="34"/>
      <c r="N28" s="34">
        <f>'CH4 per kg feed'!M65*FCR_bonefree_incl_parents_IE</f>
        <v>1.409774682189727E-6</v>
      </c>
      <c r="O28" s="34">
        <f>'CH4 per kg feed'!N65*FCR_bonefree_incl_parents_IE</f>
        <v>5.0686780796942979E-5</v>
      </c>
      <c r="P28" s="34">
        <f>'CH4 per kg feed'!O65*FCR_bonefree_incl_parents_IE</f>
        <v>0</v>
      </c>
      <c r="Q28" s="34">
        <f>'CH4 per kg feed'!P65*FCR_bonefree_incl_parents_IE</f>
        <v>3.071113296022984E-5</v>
      </c>
      <c r="R28" s="34">
        <f>'CH4 per kg feed'!Q65*FCR_bonefree_incl_parents_IE</f>
        <v>1.3917706908614682E-5</v>
      </c>
      <c r="S28" s="4"/>
      <c r="W28" s="4">
        <f>Energy_stables_IE*(Share_heating_IE*(Share_biofuels_IE*EF_biofuel_CH4+(1-Share_biofuels_IE)*EF_oil_CH4)+(1-Share_heating_IE)*EF_el_CH4_IE)</f>
        <v>4.2231404709655406E-5</v>
      </c>
      <c r="X28" s="4">
        <f>(Energy_slaughter_el_IE*EF_el_CH4_IE+Energy_slaughter_oil_IE*EF_oil_CH4)*Production!F16</f>
        <v>8.8048470369117114E-6</v>
      </c>
      <c r="Z28" s="33"/>
      <c r="AA28" s="33"/>
    </row>
    <row r="29" spans="1:27" x14ac:dyDescent="0.3">
      <c r="A29" s="12" t="s">
        <v>128</v>
      </c>
      <c r="B29" s="12" t="s">
        <v>129</v>
      </c>
      <c r="C29" s="16"/>
      <c r="D29" s="17" t="s">
        <v>135</v>
      </c>
      <c r="E29" s="17" t="s">
        <v>88</v>
      </c>
      <c r="F29" s="12" t="s">
        <v>132</v>
      </c>
      <c r="G29" s="19">
        <f>SUM(H29:T29)+SUM(W29:X29)</f>
        <v>1.080483047975178E-3</v>
      </c>
      <c r="H29" s="34"/>
      <c r="I29" s="34"/>
      <c r="J29" s="34"/>
      <c r="K29" s="34"/>
      <c r="L29" s="34"/>
      <c r="M29" s="34"/>
      <c r="N29" s="34"/>
      <c r="O29" s="34"/>
      <c r="P29" s="34"/>
      <c r="Q29" s="34"/>
      <c r="R29" s="34"/>
      <c r="S29" s="4"/>
      <c r="T29" s="48">
        <f>SUM(U29:V29)</f>
        <v>1.080483047975178E-3</v>
      </c>
      <c r="U29" s="63">
        <f>Manure!F12*Production!F16</f>
        <v>1.080483047975178E-3</v>
      </c>
      <c r="W29" s="4"/>
      <c r="X29" s="4"/>
      <c r="Z29" s="33"/>
      <c r="AA29" s="33"/>
    </row>
    <row r="30" spans="1:27" ht="15" thickBot="1" x14ac:dyDescent="0.35">
      <c r="A30" s="12" t="s">
        <v>128</v>
      </c>
      <c r="B30" s="12" t="s">
        <v>129</v>
      </c>
      <c r="C30" s="16"/>
      <c r="D30" s="17" t="s">
        <v>135</v>
      </c>
      <c r="E30" s="17" t="s">
        <v>88</v>
      </c>
      <c r="F30" s="35" t="s">
        <v>133</v>
      </c>
      <c r="G30" s="19">
        <f>SUM(H30:T30)+SUM(W30:X30)</f>
        <v>1.371159213617458E-3</v>
      </c>
      <c r="H30" s="34">
        <f>'N2O per kg feed'!G65*FCR_bonefree_incl_parents_IE-Excreted_N_after_losses_IE*Manure_repl_factor_IE*(EF_min_fert_BAT_N2O*Frac_BAT_IE+EF_min_fert_AN_N2O*Frac_AN_IE)</f>
        <v>2.6925581180352873E-4</v>
      </c>
      <c r="I30" s="33">
        <f>'N2O per kg feed'!H65*FCR_bonefree_incl_parents_IE</f>
        <v>2.2096791043083079E-6</v>
      </c>
      <c r="J30" s="33">
        <f>'N2O per kg feed'!I65*FCR_bonefree_incl_parents_IE-Excreted_N_after_losses_IE*Manure_repl_factor_IE*EF_N2O_diff_IE</f>
        <v>9.8941468364581258E-4</v>
      </c>
      <c r="K30" s="33">
        <f>J30*EF_indirect_N2O_IE</f>
        <v>9.8941468364581263E-5</v>
      </c>
      <c r="L30" s="33">
        <f>'N2O per kg feed'!K65*FCR_bonefree_incl_parents_IE</f>
        <v>2.204792972139522E-6</v>
      </c>
      <c r="M30" s="33"/>
      <c r="N30" s="33">
        <f>'N2O per kg feed'!M65*FCR_bonefree_incl_parents_IE</f>
        <v>1.7329167085669894E-8</v>
      </c>
      <c r="O30" s="33">
        <f>'N2O per kg feed'!N65*FCR_bonefree_incl_parents_IE</f>
        <v>3.2903562300920027E-6</v>
      </c>
      <c r="P30" s="33">
        <f>'N2O per kg feed'!O65*FCR_bonefree_incl_parents_IE</f>
        <v>0</v>
      </c>
      <c r="Q30" s="33">
        <f>'N2O per kg feed'!P65*FCR_bonefree_incl_parents_IE</f>
        <v>1.5574077867320795E-6</v>
      </c>
      <c r="R30" s="33">
        <f>'N2O per kg feed'!Q65*FCR_bonefree_incl_parents_IE</f>
        <v>5.7809058015626005E-7</v>
      </c>
      <c r="S30" s="4"/>
      <c r="T30" s="48">
        <f>SUM(U30:V30)</f>
        <v>1.9431440063792775E-6</v>
      </c>
      <c r="U30" s="191">
        <f>Manure!F68*44/28</f>
        <v>5.0710671051635009E-7</v>
      </c>
      <c r="V30" s="191">
        <f>NH3_per_kg_IE*17/14*Manure!F97</f>
        <v>1.4360372958629273E-6</v>
      </c>
      <c r="W30" s="4">
        <f>Energy_stables_IE*(Share_heating_IE*(Share_biofuels_IE*EF_biofuel_N2O+(1-Share_biofuels_IE)*EF_oil_N2O)+(1-Share_heating_IE)*EF_el_N2O_IE)</f>
        <v>1.439603085E-6</v>
      </c>
      <c r="X30" s="4">
        <f>(Energy_slaughter_el_IE*EF_el_N2O_IE+Energy_slaughter_oil_IE*EF_oil_N2O)*Production!F16</f>
        <v>3.0684687164248397E-7</v>
      </c>
      <c r="Z30" s="33"/>
      <c r="AA30" s="33"/>
    </row>
    <row r="31" spans="1:27" ht="15.6" thickTop="1" thickBot="1" x14ac:dyDescent="0.35">
      <c r="A31" s="128" t="s">
        <v>128</v>
      </c>
      <c r="B31" s="128" t="s">
        <v>129</v>
      </c>
      <c r="C31" s="129"/>
      <c r="D31" s="38" t="s">
        <v>135</v>
      </c>
      <c r="E31" s="38" t="s">
        <v>88</v>
      </c>
      <c r="F31" s="131" t="s">
        <v>134</v>
      </c>
      <c r="G31" s="135">
        <f t="shared" si="0"/>
        <v>0.8866400312004814</v>
      </c>
      <c r="H31" s="132">
        <f>SUMPRODUCT(H27:H30,'Parameters, general'!$B$13:$B$16)</f>
        <v>0.20901590723988875</v>
      </c>
      <c r="I31" s="132">
        <f>SUMPRODUCT(I27:I30,'Parameters, general'!$B$13:$B$16)</f>
        <v>6.5489090601167296E-2</v>
      </c>
      <c r="J31" s="132">
        <f>SUMPRODUCT(J27:J30,'Parameters, general'!$B$13:$B$16)</f>
        <v>0.27011020863530683</v>
      </c>
      <c r="K31" s="132">
        <f>SUMPRODUCT(K27:K30,'Parameters, general'!$B$13:$B$16)</f>
        <v>2.7011020863530685E-2</v>
      </c>
      <c r="L31" s="132">
        <f>SUMPRODUCT(L27:L30,'Parameters, general'!$B$13:$B$16)</f>
        <v>8.3658394379326192E-2</v>
      </c>
      <c r="M31" s="132">
        <f>SUMPRODUCT(M27:M30,'Parameters, general'!$B$13:$B$16)</f>
        <v>0</v>
      </c>
      <c r="N31" s="132">
        <f>SUMPRODUCT(N27:N30,'Parameters, general'!$B$13:$B$16)</f>
        <v>4.4427452074489462E-4</v>
      </c>
      <c r="O31" s="132">
        <f>SUMPRODUCT(O27:O30,'Parameters, general'!$B$13:$B$16)</f>
        <v>9.4748907825481135E-2</v>
      </c>
      <c r="P31" s="132">
        <f>SUMPRODUCT(P27:P30,'Parameters, general'!$B$13:$B$16)</f>
        <v>1.5640961634728032E-2</v>
      </c>
      <c r="Q31" s="132">
        <f>SUMPRODUCT(Q27:Q30,'Parameters, general'!$B$13:$B$16)</f>
        <v>2.5263288809447199E-2</v>
      </c>
      <c r="R31" s="132">
        <f>SUMPRODUCT(R27:R30,'Parameters, general'!$B$13:$B$16)</f>
        <v>1.6006185691050289E-2</v>
      </c>
      <c r="S31" s="132"/>
      <c r="T31" s="132">
        <f>SUMPRODUCT(T27:T30,'Parameters, general'!$B$13:$B$16)</f>
        <v>2.970352060907135E-2</v>
      </c>
      <c r="U31" s="133"/>
      <c r="V31" s="133"/>
      <c r="W31" s="132">
        <f>SUMPRODUCT(W27:W30,'Parameters, general'!$B$13:$B$16)</f>
        <v>4.0838708515026745E-2</v>
      </c>
      <c r="X31" s="132">
        <f>SUMPRODUCT(X27:X30,'Parameters, general'!$B$13:$B$16)</f>
        <v>8.7095618757120317E-3</v>
      </c>
      <c r="Z31" s="109">
        <f>SUM(H31:R31)</f>
        <v>0.80738824020067135</v>
      </c>
      <c r="AA31" s="151">
        <f>'CO2 per kg feed'!F65+'CH4 per kg feed'!F65*CF_GWP_CH4_fossil+'N2O per kg feed'!F65*CF_GWP_N2O</f>
        <v>0.33261894644338402</v>
      </c>
    </row>
    <row r="32" spans="1:27" ht="15" thickTop="1" x14ac:dyDescent="0.3">
      <c r="A32" s="267" t="s">
        <v>128</v>
      </c>
      <c r="B32" s="267" t="s">
        <v>129</v>
      </c>
      <c r="C32" s="268"/>
      <c r="D32" s="269" t="s">
        <v>39</v>
      </c>
      <c r="E32" s="269" t="s">
        <v>89</v>
      </c>
      <c r="F32" s="270" t="s">
        <v>130</v>
      </c>
      <c r="G32" s="19">
        <f>SUM(H32:X32)</f>
        <v>0.66320831104853806</v>
      </c>
      <c r="H32" s="271">
        <f>'CO2 per kg feed'!G77*FCR_bonefree_incl_parents_IT-Excreted_N_after_losses_IT*Manure_repl_factor_IT*(EF_min_fert_BAT_CO2*Frac_BAT_IT+EF_min_fert_AN_CO2*Frac_AN_IT)</f>
        <v>0.16615397421064584</v>
      </c>
      <c r="I32" s="271">
        <f>'CO2 per kg feed'!H77*FCR_bonefree_incl_parents_IT</f>
        <v>6.1356822839505519E-2</v>
      </c>
      <c r="J32" s="271">
        <f>'CO2 per kg feed'!I77*FCR_bonefree_incl_parents_IT</f>
        <v>0</v>
      </c>
      <c r="K32" s="271"/>
      <c r="L32" s="271">
        <f>'CO2 per kg feed'!K77*FCR_bonefree_incl_parents_IT</f>
        <v>7.4101244383227668E-2</v>
      </c>
      <c r="M32" s="271"/>
      <c r="N32" s="271">
        <f>'CO2 per kg feed'!M77*FCR_bonefree_incl_parents_IT</f>
        <v>1.2263580074965717E-2</v>
      </c>
      <c r="O32" s="271">
        <f>'CO2 per kg feed'!N77*FCR_bonefree_incl_parents_IT</f>
        <v>8.8752905757660691E-2</v>
      </c>
      <c r="P32" s="271">
        <f>'CO2 per kg feed'!O77*FCR_bonefree_incl_parents_IT</f>
        <v>6.1785673484235748E-2</v>
      </c>
      <c r="Q32" s="271">
        <f>'CO2 per kg feed'!P77*FCR_bonefree_incl_parents_IT</f>
        <v>9.5183554652891619E-2</v>
      </c>
      <c r="R32" s="271">
        <f>'CO2 per kg feed'!Q77*FCR_bonefree_incl_parents_IT</f>
        <v>5.6457233686155628E-2</v>
      </c>
      <c r="S32" s="272"/>
      <c r="T32" s="273"/>
      <c r="U32" s="274"/>
      <c r="V32" s="274"/>
      <c r="W32" s="272">
        <f>Energy_stables_IT*(Share_heating_IT*(Share_biofuels_IT*EF_biofuels_CO2+(1-Share_biofuels_IT)*EF_oil_CO2)+(1-Share_heating_IT)*EF_el_CO2_IT)</f>
        <v>3.7797633435820002E-2</v>
      </c>
      <c r="X32" s="272">
        <f>(Energy_slaughter_el_IT*EF_el_CO2_IT+Energy_slaughter_oil_IT*EF_oil_CO2)*Production!G16</f>
        <v>9.3556885234295992E-3</v>
      </c>
      <c r="Z32" s="19"/>
      <c r="AA32" s="19"/>
    </row>
    <row r="33" spans="1:27" x14ac:dyDescent="0.3">
      <c r="A33" s="12" t="s">
        <v>128</v>
      </c>
      <c r="B33" s="12" t="s">
        <v>129</v>
      </c>
      <c r="C33" s="16"/>
      <c r="D33" s="17" t="s">
        <v>39</v>
      </c>
      <c r="E33" s="17" t="s">
        <v>89</v>
      </c>
      <c r="F33" s="12" t="s">
        <v>131</v>
      </c>
      <c r="G33" s="19">
        <f>SUM(H33:X33)</f>
        <v>1.3946493661909122E-3</v>
      </c>
      <c r="H33" s="34">
        <f>'CH4 per kg feed'!G77*FCR_bonefree_incl_parents_IT-Excreted_N_after_losses_IT*Manure_repl_factor_IT*(EF_min_fert_BAT_CH4*Frac_BAT_IT+EF_min_fert_AN_CH4*Frac_AN_IT)</f>
        <v>3.1947731205457996E-4</v>
      </c>
      <c r="I33" s="34">
        <f>'CH4 per kg feed'!H77*FCR_bonefree_incl_parents_IT</f>
        <v>2.2580787971816606E-4</v>
      </c>
      <c r="J33" s="34"/>
      <c r="K33" s="34"/>
      <c r="L33" s="34">
        <f>'CH4 per kg feed'!K77*FCR_bonefree_incl_parents_IT</f>
        <v>3.5124089075975977E-5</v>
      </c>
      <c r="M33" s="34"/>
      <c r="N33" s="34">
        <f>'CH4 per kg feed'!M77*FCR_bonefree_incl_parents_IT</f>
        <v>3.8602843256591406E-5</v>
      </c>
      <c r="O33" s="34">
        <f>'CH4 per kg feed'!N77*FCR_bonefree_incl_parents_IT</f>
        <v>9.5548410314065331E-5</v>
      </c>
      <c r="P33" s="34">
        <f>'CH4 per kg feed'!O77*FCR_bonefree_incl_parents_IT</f>
        <v>0</v>
      </c>
      <c r="Q33" s="34">
        <f>'CH4 per kg feed'!P77*FCR_bonefree_incl_parents_IT</f>
        <v>4.0504130086208348E-4</v>
      </c>
      <c r="R33" s="34">
        <f>'CH4 per kg feed'!Q77*FCR_bonefree_incl_parents_IT</f>
        <v>7.1432776698761028E-5</v>
      </c>
      <c r="S33" s="4"/>
      <c r="W33" s="4">
        <f>Energy_stables_IT*(Share_heating_IT*(Share_biofuels_IT*EF_biofuel_CH4+(1-Share_biofuels_IT)*EF_oil_CH4)+(1-Share_heating_IT)*EF_el_CH4_IT)</f>
        <v>1.6431484401077998E-4</v>
      </c>
      <c r="X33" s="4">
        <f>(Energy_slaughter_el_IT*EF_el_CH4_IT+Energy_slaughter_oil_IT*EF_oil_CH4)*Production!G16</f>
        <v>3.9299910199908897E-5</v>
      </c>
      <c r="Z33" s="33"/>
      <c r="AA33" s="33"/>
    </row>
    <row r="34" spans="1:27" x14ac:dyDescent="0.3">
      <c r="A34" s="12" t="s">
        <v>128</v>
      </c>
      <c r="B34" s="12" t="s">
        <v>129</v>
      </c>
      <c r="C34" s="16"/>
      <c r="D34" s="17" t="s">
        <v>39</v>
      </c>
      <c r="E34" s="17" t="s">
        <v>89</v>
      </c>
      <c r="F34" s="12" t="s">
        <v>132</v>
      </c>
      <c r="G34" s="19">
        <f>SUM(H34:T34)+SUM(W34:X34)</f>
        <v>1.7878153345280605E-3</v>
      </c>
      <c r="H34" s="34"/>
      <c r="I34" s="34"/>
      <c r="J34" s="34"/>
      <c r="K34" s="34"/>
      <c r="L34" s="34"/>
      <c r="M34" s="34"/>
      <c r="N34" s="34"/>
      <c r="O34" s="34"/>
      <c r="P34" s="34"/>
      <c r="Q34" s="34"/>
      <c r="R34" s="34"/>
      <c r="S34" s="4"/>
      <c r="T34" s="48">
        <f>SUM(U34:V34)</f>
        <v>1.7878153345280605E-3</v>
      </c>
      <c r="U34" s="63">
        <f>Manure!G12*Production!G16</f>
        <v>1.7878153345280605E-3</v>
      </c>
      <c r="W34" s="4"/>
      <c r="X34" s="4"/>
      <c r="Z34" s="33"/>
      <c r="AA34" s="33"/>
    </row>
    <row r="35" spans="1:27" ht="15" thickBot="1" x14ac:dyDescent="0.35">
      <c r="A35" s="12" t="s">
        <v>128</v>
      </c>
      <c r="B35" s="12" t="s">
        <v>129</v>
      </c>
      <c r="C35" s="16"/>
      <c r="D35" s="17" t="s">
        <v>39</v>
      </c>
      <c r="E35" s="17" t="s">
        <v>89</v>
      </c>
      <c r="F35" s="35" t="s">
        <v>133</v>
      </c>
      <c r="G35" s="19">
        <f>SUM(H35:T35)+SUM(W35:X35)</f>
        <v>9.7837504621036829E-4</v>
      </c>
      <c r="H35" s="34">
        <f>'N2O per kg feed'!G77*FCR_bonefree_incl_parents_IT-Excreted_N_after_losses_IT*Manure_repl_factor_IT*(EF_min_fert_BAT_N2O*Frac_BAT_IT+EF_min_fert_AN_N2O*Frac_AN_IT)</f>
        <v>3.664601296850145E-4</v>
      </c>
      <c r="I35" s="33">
        <f>'N2O per kg feed'!H77*FCR_bonefree_incl_parents_IT</f>
        <v>2.3012671655817377E-6</v>
      </c>
      <c r="J35" s="33">
        <f>'N2O per kg feed'!I77*FCR_bonefree_incl_parents_IT-Excreted_N_after_losses_IT*Manure_repl_factor_IT*EF_N2O_diff_IT</f>
        <v>5.3744880828323206E-4</v>
      </c>
      <c r="K35" s="33">
        <f>J35*EF_indirect_N2O_IT</f>
        <v>5.3744880828323209E-5</v>
      </c>
      <c r="L35" s="33">
        <f>'N2O per kg feed'!K77*FCR_bonefree_incl_parents_IT</f>
        <v>2.0319822094904545E-6</v>
      </c>
      <c r="M35" s="33"/>
      <c r="N35" s="33">
        <f>'N2O per kg feed'!M77*FCR_bonefree_incl_parents_IT</f>
        <v>4.7520148846063983E-7</v>
      </c>
      <c r="O35" s="33">
        <f>'N2O per kg feed'!N77*FCR_bonefree_incl_parents_IT</f>
        <v>3.2466479951639167E-6</v>
      </c>
      <c r="P35" s="33">
        <f>'N2O per kg feed'!O77*FCR_bonefree_incl_parents_IT</f>
        <v>0</v>
      </c>
      <c r="Q35" s="33">
        <f>'N2O per kg feed'!P77*FCR_bonefree_incl_parents_IT</f>
        <v>6.4710743753129783E-6</v>
      </c>
      <c r="R35" s="33">
        <f>'N2O per kg feed'!Q77*FCR_bonefree_incl_parents_IT</f>
        <v>2.2134854524430256E-6</v>
      </c>
      <c r="S35" s="4"/>
      <c r="T35" s="48">
        <f>SUM(U35:V35)</f>
        <v>1.9324001027289668E-6</v>
      </c>
      <c r="U35" s="191">
        <f>Manure!G68*44/28</f>
        <v>5.0719781525168293E-7</v>
      </c>
      <c r="V35" s="191">
        <f>NH3_per_kg_IT*17/14*Manure!G97</f>
        <v>1.4252022874772837E-6</v>
      </c>
      <c r="W35" s="4">
        <f>Energy_stables_IT*(Share_heating_IT*(Share_biofuels_IT*EF_biofuel_N2O+(1-Share_biofuels_IT)*EF_oil_N2O)+(1-Share_heating_IT)*EF_el_N2O_IT)</f>
        <v>1.64483956E-6</v>
      </c>
      <c r="X35" s="4">
        <f>(Energy_slaughter_el_IT*EF_el_N2O_IT+Energy_slaughter_oil_IT*EF_oil_N2O)*Production!G16</f>
        <v>4.0432906461671115E-7</v>
      </c>
      <c r="Z35" s="33"/>
      <c r="AA35" s="33"/>
    </row>
    <row r="36" spans="1:27" ht="15.6" thickTop="1" thickBot="1" x14ac:dyDescent="0.35">
      <c r="A36" s="128" t="s">
        <v>128</v>
      </c>
      <c r="B36" s="128" t="s">
        <v>129</v>
      </c>
      <c r="C36" s="129"/>
      <c r="D36" s="130" t="s">
        <v>39</v>
      </c>
      <c r="E36" s="130" t="s">
        <v>89</v>
      </c>
      <c r="F36" s="131" t="s">
        <v>134</v>
      </c>
      <c r="G36" s="135">
        <f t="shared" si="0"/>
        <v>1.0201362638087152</v>
      </c>
      <c r="H36" s="132">
        <f>SUMPRODUCT(H32:H35,'Parameters, general'!$B$13:$B$16)</f>
        <v>0.27571801351388125</v>
      </c>
      <c r="I36" s="132">
        <f>SUMPRODUCT(I32:I35,'Parameters, general'!$B$13:$B$16)</f>
        <v>6.8714143591310672E-2</v>
      </c>
      <c r="J36" s="132">
        <f>SUMPRODUCT(J32:J35,'Parameters, general'!$B$13:$B$16)</f>
        <v>0.14672352466132235</v>
      </c>
      <c r="K36" s="132">
        <f>SUMPRODUCT(K32:K35,'Parameters, general'!$B$13:$B$16)</f>
        <v>1.4672352466132237E-2</v>
      </c>
      <c r="L36" s="132">
        <f>SUMPRODUCT(L32:L35,'Parameters, general'!$B$13:$B$16)</f>
        <v>7.5702673380882643E-2</v>
      </c>
      <c r="M36" s="132">
        <f>SUMPRODUCT(M32:M35,'Parameters, general'!$B$13:$B$16)</f>
        <v>0</v>
      </c>
      <c r="N36" s="132">
        <f>SUMPRODUCT(N32:N35,'Parameters, general'!$B$13:$B$16)</f>
        <v>1.3543674810361896E-2</v>
      </c>
      <c r="O36" s="132">
        <f>SUMPRODUCT(O32:O35,'Parameters, general'!$B$13:$B$16)</f>
        <v>9.2486583287699597E-2</v>
      </c>
      <c r="P36" s="132">
        <f>SUMPRODUCT(P32:P35,'Parameters, general'!$B$13:$B$16)</f>
        <v>6.1785673484235748E-2</v>
      </c>
      <c r="Q36" s="132">
        <f>SUMPRODUCT(Q32:Q35,'Parameters, general'!$B$13:$B$16)</f>
        <v>0.10902038872304216</v>
      </c>
      <c r="R36" s="132">
        <f>SUMPRODUCT(R32:R35,'Parameters, general'!$B$13:$B$16)</f>
        <v>5.9190211960295648E-2</v>
      </c>
      <c r="S36" s="132"/>
      <c r="T36" s="132">
        <f>SUMPRODUCT(T32:T35,'Parameters, general'!$B$13:$B$16)</f>
        <v>4.8798559260302646E-2</v>
      </c>
      <c r="U36" s="133"/>
      <c r="V36" s="133"/>
      <c r="W36" s="132">
        <f>SUMPRODUCT(W32:W35,'Parameters, general'!$B$13:$B$16)</f>
        <v>4.3143256987221247E-2</v>
      </c>
      <c r="X36" s="132">
        <f>SUMPRODUCT(X32:X35,'Parameters, general'!$B$13:$B$16)</f>
        <v>1.0637207682027246E-2</v>
      </c>
      <c r="Z36" s="109">
        <f>SUM(H36:R36)</f>
        <v>0.91755723987916415</v>
      </c>
      <c r="AA36" s="151">
        <f>'CO2 per kg feed'!F77+'CH4 per kg feed'!F77*CF_GWP_CH4_fossil+'N2O per kg feed'!F77*CF_GWP_N2O</f>
        <v>0.377571316226123</v>
      </c>
    </row>
    <row r="37" spans="1:27" ht="15" thickTop="1" x14ac:dyDescent="0.3">
      <c r="A37" s="267" t="s">
        <v>128</v>
      </c>
      <c r="B37" s="267" t="s">
        <v>129</v>
      </c>
      <c r="C37" s="268"/>
      <c r="D37" t="s">
        <v>136</v>
      </c>
      <c r="E37" s="17" t="s">
        <v>90</v>
      </c>
      <c r="F37" s="270" t="s">
        <v>130</v>
      </c>
      <c r="G37" s="19">
        <f>SUM(H37:X37)</f>
        <v>0.59348309942313393</v>
      </c>
      <c r="H37" s="271">
        <f>'CO2 per kg feed'!G89*FCR_bonefree_incl_parents_NL-Excreted_N_after_losses_NL*Manure_repl_factor_NL*(EF_min_fert_BAT_CO2*Frac_BAT_NL+EF_min_fert_AN_CO2*Frac_AN_NL)</f>
        <v>0.18214654880720904</v>
      </c>
      <c r="I37" s="271">
        <f>'CO2 per kg feed'!H89*FCR_bonefree_incl_parents_NL</f>
        <v>6.1795751014761813E-2</v>
      </c>
      <c r="J37" s="271">
        <f>'CO2 per kg feed'!I89*FCR_bonefree_incl_parents_NL</f>
        <v>0</v>
      </c>
      <c r="K37" s="271"/>
      <c r="L37" s="271">
        <f>'CO2 per kg feed'!K89*FCR_bonefree_incl_parents_NL</f>
        <v>6.2049515492281153E-2</v>
      </c>
      <c r="M37" s="271"/>
      <c r="N37" s="271">
        <f>'CO2 per kg feed'!M89*FCR_bonefree_incl_parents_NL</f>
        <v>5.0815953515470158E-3</v>
      </c>
      <c r="O37" s="271">
        <f>'CO2 per kg feed'!N89*FCR_bonefree_incl_parents_NL</f>
        <v>9.9979517693788572E-2</v>
      </c>
      <c r="P37" s="271">
        <f>'CO2 per kg feed'!O89*FCR_bonefree_incl_parents_NL</f>
        <v>5.2232875382168927E-2</v>
      </c>
      <c r="Q37" s="271">
        <f>'CO2 per kg feed'!P89*FCR_bonefree_incl_parents_NL</f>
        <v>1.7892218800973116E-2</v>
      </c>
      <c r="R37" s="271">
        <f>'CO2 per kg feed'!Q89*FCR_bonefree_incl_parents_NL</f>
        <v>4.9537220418658219E-2</v>
      </c>
      <c r="S37" s="272"/>
      <c r="T37" s="273"/>
      <c r="U37" s="274"/>
      <c r="V37" s="274"/>
      <c r="W37" s="272">
        <f>Energy_stables_NL*(Share_heating_NL*(Share_biofuels_NL*EF_biofuels_CO2+(1-Share_biofuels_NL)*EF_oil_CO2)+(1-Share_heating_NL)*EF_el_CO2_NL)</f>
        <v>4.9673189321139989E-2</v>
      </c>
      <c r="X37" s="272">
        <f>(Energy_slaughter_el_NL*EF_el_CO2_NL+Energy_slaughter_oil_NL*EF_oil_CO2)*Production!H16</f>
        <v>1.3094667140606036E-2</v>
      </c>
      <c r="Z37" s="19"/>
      <c r="AA37" s="19"/>
    </row>
    <row r="38" spans="1:27" x14ac:dyDescent="0.3">
      <c r="A38" s="12" t="s">
        <v>128</v>
      </c>
      <c r="B38" s="12" t="s">
        <v>129</v>
      </c>
      <c r="C38" s="16"/>
      <c r="D38" t="s">
        <v>136</v>
      </c>
      <c r="E38" s="17" t="s">
        <v>90</v>
      </c>
      <c r="F38" s="12" t="s">
        <v>131</v>
      </c>
      <c r="G38" s="19">
        <f>SUM(H38:X38)</f>
        <v>8.9975559392423598E-4</v>
      </c>
      <c r="H38" s="34">
        <f>'CH4 per kg feed'!G89*FCR_bonefree_incl_parents_NL-Excreted_N_after_losses_NL*Manure_repl_factor_NL*(EF_min_fert_BAT_CH4*Frac_BAT_NL+EF_min_fert_AN_CH4*Frac_AN_NL)</f>
        <v>3.395629358419512E-4</v>
      </c>
      <c r="I38" s="34">
        <f>'CH4 per kg feed'!H89*FCR_bonefree_incl_parents_NL</f>
        <v>2.2760802713958181E-4</v>
      </c>
      <c r="J38" s="34"/>
      <c r="K38" s="34"/>
      <c r="L38" s="34">
        <f>'CH4 per kg feed'!K89*FCR_bonefree_incl_parents_NL</f>
        <v>2.7548292994424425E-5</v>
      </c>
      <c r="M38" s="34"/>
      <c r="N38" s="34">
        <f>'CH4 per kg feed'!M89*FCR_bonefree_incl_parents_NL</f>
        <v>1.6412381737924729E-5</v>
      </c>
      <c r="O38" s="34">
        <f>'CH4 per kg feed'!N89*FCR_bonefree_incl_parents_NL</f>
        <v>7.3974156210820653E-5</v>
      </c>
      <c r="P38" s="34">
        <f>'CH4 per kg feed'!O89*FCR_bonefree_incl_parents_NL</f>
        <v>0</v>
      </c>
      <c r="Q38" s="34">
        <f>'CH4 per kg feed'!P89*FCR_bonefree_incl_parents_NL</f>
        <v>4.4952326076158329E-5</v>
      </c>
      <c r="R38" s="34">
        <f>'CH4 per kg feed'!Q89*FCR_bonefree_incl_parents_NL</f>
        <v>4.6018574328881584E-5</v>
      </c>
      <c r="S38" s="4"/>
      <c r="W38" s="4">
        <f>Energy_stables_NL*(Share_heating_NL*(Share_biofuels_NL*EF_biofuel_CH4+(1-Share_biofuels_NL)*EF_oil_CH4)+(1-Share_heating_NL)*EF_el_CH4_NL)</f>
        <v>9.8347245312260006E-5</v>
      </c>
      <c r="X38" s="4">
        <f>(Energy_slaughter_el_NL*EF_el_CH4_NL+Energy_slaughter_oil_NL*EF_oil_CH4)*Production!H16</f>
        <v>2.5331654282233219E-5</v>
      </c>
      <c r="Z38" s="33"/>
      <c r="AA38" s="33"/>
    </row>
    <row r="39" spans="1:27" x14ac:dyDescent="0.3">
      <c r="A39" s="12" t="s">
        <v>128</v>
      </c>
      <c r="B39" s="12" t="s">
        <v>129</v>
      </c>
      <c r="C39" s="16"/>
      <c r="D39" t="s">
        <v>136</v>
      </c>
      <c r="E39" s="17" t="s">
        <v>90</v>
      </c>
      <c r="F39" s="12" t="s">
        <v>132</v>
      </c>
      <c r="G39" s="19">
        <f>SUM(H39:T39)+SUM(W39:X39)</f>
        <v>1.8438079300369756E-3</v>
      </c>
      <c r="H39" s="34"/>
      <c r="I39" s="34"/>
      <c r="J39" s="34"/>
      <c r="K39" s="34"/>
      <c r="L39" s="34"/>
      <c r="M39" s="34"/>
      <c r="N39" s="34"/>
      <c r="O39" s="34"/>
      <c r="P39" s="34"/>
      <c r="Q39" s="34"/>
      <c r="R39" s="34"/>
      <c r="S39" s="4"/>
      <c r="T39" s="48">
        <f>SUM(U39:V39)</f>
        <v>1.8438079300369756E-3</v>
      </c>
      <c r="U39" s="63">
        <f>Manure!H12*Production!H16</f>
        <v>1.8438079300369756E-3</v>
      </c>
      <c r="W39" s="4"/>
      <c r="X39" s="4"/>
      <c r="Z39" s="33"/>
      <c r="AA39" s="33"/>
    </row>
    <row r="40" spans="1:27" ht="15" thickBot="1" x14ac:dyDescent="0.35">
      <c r="A40" s="12" t="s">
        <v>128</v>
      </c>
      <c r="B40" s="12" t="s">
        <v>129</v>
      </c>
      <c r="C40" s="16"/>
      <c r="D40" t="s">
        <v>136</v>
      </c>
      <c r="E40" s="17" t="s">
        <v>90</v>
      </c>
      <c r="F40" s="35" t="s">
        <v>133</v>
      </c>
      <c r="G40" s="19">
        <f>SUM(H40:T40)+SUM(W40:X40)</f>
        <v>1.8864504930433935E-3</v>
      </c>
      <c r="H40" s="34">
        <f>'N2O per kg feed'!G89*FCR_bonefree_incl_parents_NL-Excreted_N_after_losses_NL*Manure_repl_factor_NL*(EF_min_fert_BAT_N2O*Frac_BAT_NL+EF_min_fert_AN_N2O*Frac_AN_NL)</f>
        <v>3.9423196702173026E-4</v>
      </c>
      <c r="I40" s="33">
        <f>'N2O per kg feed'!H89*FCR_bonefree_incl_parents_NL</f>
        <v>2.3140340144041204E-6</v>
      </c>
      <c r="J40" s="33">
        <f>'N2O per kg feed'!I89*FCR_bonefree_incl_parents_NL-Excreted_N_after_losses_NL*Manure_repl_factor_NL*EF_N2O_diff_NL</f>
        <v>1.340381641346172E-3</v>
      </c>
      <c r="K40" s="33">
        <f>J40*EF_indirect_N2O_NL</f>
        <v>1.340381641346172E-4</v>
      </c>
      <c r="L40" s="33">
        <f>'N2O per kg feed'!K89*FCR_bonefree_incl_parents_NL</f>
        <v>1.6681776610599813E-6</v>
      </c>
      <c r="M40" s="33"/>
      <c r="N40" s="33">
        <f>'N2O per kg feed'!M89*FCR_bonefree_incl_parents_NL</f>
        <v>2.0187952048807509E-7</v>
      </c>
      <c r="O40" s="33">
        <f>'N2O per kg feed'!N89*FCR_bonefree_incl_parents_NL</f>
        <v>3.6412426595719952E-6</v>
      </c>
      <c r="P40" s="33">
        <f>'N2O per kg feed'!O89*FCR_bonefree_incl_parents_NL</f>
        <v>0</v>
      </c>
      <c r="Q40" s="33">
        <f>'N2O per kg feed'!P89*FCR_bonefree_incl_parents_NL</f>
        <v>3.1284150313070325E-6</v>
      </c>
      <c r="R40" s="33">
        <f>'N2O per kg feed'!Q89*FCR_bonefree_incl_parents_NL</f>
        <v>1.7399316656650098E-6</v>
      </c>
      <c r="S40" s="4"/>
      <c r="T40" s="48">
        <f>SUM(U40:V40)</f>
        <v>2.5868412426363316E-6</v>
      </c>
      <c r="U40" s="191">
        <f>Manure!H68*44/28</f>
        <v>6.7509384218294017E-7</v>
      </c>
      <c r="V40" s="191">
        <f>NH3_per_kg_NL*17/14*Manure!H97</f>
        <v>1.9117474004533916E-6</v>
      </c>
      <c r="W40" s="4">
        <f>Energy_stables_NL*(Share_heating_NL*(Share_biofuels_NL*EF_biofuel_N2O+(1-Share_biofuels_NL)*EF_oil_N2O)+(1-Share_heating_NL)*EF_el_N2O_NL)</f>
        <v>1.9942432050000002E-6</v>
      </c>
      <c r="X40" s="4">
        <f>(Energy_slaughter_el_NL*EF_el_N2O_NL+Energy_slaughter_oil_NL*EF_oil_N2O)*Production!H16</f>
        <v>5.2395554074139053E-7</v>
      </c>
      <c r="Z40" s="33"/>
      <c r="AA40" s="33"/>
    </row>
    <row r="41" spans="1:27" ht="15.6" thickTop="1" thickBot="1" x14ac:dyDescent="0.35">
      <c r="A41" s="128" t="s">
        <v>128</v>
      </c>
      <c r="B41" s="128" t="s">
        <v>129</v>
      </c>
      <c r="C41" s="129"/>
      <c r="D41" s="152" t="s">
        <v>136</v>
      </c>
      <c r="E41" s="130" t="s">
        <v>90</v>
      </c>
      <c r="F41" s="131" t="s">
        <v>134</v>
      </c>
      <c r="G41" s="135">
        <f t="shared" si="0"/>
        <v>1.1850796148339204</v>
      </c>
      <c r="H41" s="132">
        <f>SUMPRODUCT(H37:H40,'Parameters, general'!$B$13:$B$16)</f>
        <v>0.29989085129223159</v>
      </c>
      <c r="I41" s="132">
        <f>SUMPRODUCT(I37:I40,'Parameters, general'!$B$13:$B$16)</f>
        <v>6.9210201509453687E-2</v>
      </c>
      <c r="J41" s="132">
        <f>SUMPRODUCT(J37:J40,'Parameters, general'!$B$13:$B$16)</f>
        <v>0.36592418808750493</v>
      </c>
      <c r="K41" s="132">
        <f>SUMPRODUCT(K37:K40,'Parameters, general'!$B$13:$B$16)</f>
        <v>3.6592418808750499E-2</v>
      </c>
      <c r="L41" s="132">
        <f>SUMPRODUCT(L37:L40,'Parameters, general'!$B$13:$B$16)</f>
        <v>6.3325867124984364E-2</v>
      </c>
      <c r="M41" s="132">
        <f>SUMPRODUCT(M37:M40,'Parameters, general'!$B$13:$B$16)</f>
        <v>0</v>
      </c>
      <c r="N41" s="132">
        <f>SUMPRODUCT(N37:N40,'Parameters, general'!$B$13:$B$16)</f>
        <v>5.6257974364304171E-3</v>
      </c>
      <c r="O41" s="132">
        <f>SUMPRODUCT(O37:O40,'Parameters, general'!$B$13:$B$16)</f>
        <v>0.10317800679493419</v>
      </c>
      <c r="P41" s="132">
        <f>SUMPRODUCT(P37:P40,'Parameters, general'!$B$13:$B$16)</f>
        <v>5.2232875382168927E-2</v>
      </c>
      <c r="Q41" s="132">
        <f>SUMPRODUCT(Q37:Q40,'Parameters, general'!$B$13:$B$16)</f>
        <v>2.0085855421589454E-2</v>
      </c>
      <c r="R41" s="132">
        <f>SUMPRODUCT(R37:R40,'Parameters, general'!$B$13:$B$16)</f>
        <v>5.138357527838544E-2</v>
      </c>
      <c r="S41" s="132"/>
      <c r="T41" s="132">
        <f>SUMPRODUCT(T37:T40,'Parameters, general'!$B$13:$B$16)</f>
        <v>5.0489021770238063E-2</v>
      </c>
      <c r="U41" s="133"/>
      <c r="V41" s="133"/>
      <c r="W41" s="132">
        <f>SUMPRODUCT(W37:W40,'Parameters, general'!$B$13:$B$16)</f>
        <v>5.3148365626410336E-2</v>
      </c>
      <c r="X41" s="132">
        <f>SUMPRODUCT(X37:X40,'Parameters, general'!$B$13:$B$16)</f>
        <v>1.3992590300838987E-2</v>
      </c>
      <c r="Z41" s="109">
        <f>SUM(H41:R41)</f>
        <v>1.0674496371364333</v>
      </c>
      <c r="AA41" s="151">
        <f>'CO2 per kg feed'!F89+'CH4 per kg feed'!F89*CF_GWP_CH4_fossil+'N2O per kg feed'!F89*CF_GWP_N2O</f>
        <v>0.43982398673584189</v>
      </c>
    </row>
    <row r="42" spans="1:27" ht="15" thickTop="1" x14ac:dyDescent="0.3">
      <c r="A42" s="267" t="s">
        <v>128</v>
      </c>
      <c r="B42" s="267" t="s">
        <v>129</v>
      </c>
      <c r="C42" s="268"/>
      <c r="D42" t="s">
        <v>30</v>
      </c>
      <c r="E42" s="17" t="s">
        <v>91</v>
      </c>
      <c r="F42" s="270" t="s">
        <v>130</v>
      </c>
      <c r="G42" s="19">
        <f>SUM(H42:X42)</f>
        <v>0.66455571486159681</v>
      </c>
      <c r="H42" s="271">
        <f>'CO2 per kg feed'!G101*FCR_bonefree_incl_parents_PL-Excreted_N_after_losses_PL*Manure_repl_factor_PL*(EF_min_fert_BAT_CO2*Frac_BAT_PL+EF_min_fert_AN_CO2*Frac_AN_PL)</f>
        <v>0.19116361356835038</v>
      </c>
      <c r="I42" s="271">
        <f>'CO2 per kg feed'!H101*FCR_bonefree_incl_parents_PL</f>
        <v>6.4648355420582213E-2</v>
      </c>
      <c r="J42" s="271">
        <f>'CO2 per kg feed'!I101*FCR_bonefree_incl_parents_PL</f>
        <v>0</v>
      </c>
      <c r="K42" s="271"/>
      <c r="L42" s="271">
        <f>'CO2 per kg feed'!K101*FCR_bonefree_incl_parents_PL</f>
        <v>9.9309783627945319E-2</v>
      </c>
      <c r="M42" s="271"/>
      <c r="N42" s="271">
        <f>'CO2 per kg feed'!M101*FCR_bonefree_incl_parents_PL</f>
        <v>7.394090503250395E-4</v>
      </c>
      <c r="O42" s="271">
        <f>'CO2 per kg feed'!N101*FCR_bonefree_incl_parents_PL</f>
        <v>0.12581895684607211</v>
      </c>
      <c r="P42" s="271">
        <f>'CO2 per kg feed'!O101*FCR_bonefree_incl_parents_PL</f>
        <v>1.6103122626304013E-2</v>
      </c>
      <c r="Q42" s="271">
        <f>'CO2 per kg feed'!P101*FCR_bonefree_incl_parents_PL</f>
        <v>2.9404577727117888E-2</v>
      </c>
      <c r="R42" s="271">
        <f>'CO2 per kg feed'!Q101*FCR_bonefree_incl_parents_PL</f>
        <v>1.3748289941333588E-2</v>
      </c>
      <c r="S42" s="272"/>
      <c r="T42" s="273"/>
      <c r="U42" s="274"/>
      <c r="V42" s="274"/>
      <c r="W42" s="272">
        <f>Energy_stables_PL*(Share_heating_PL*(Share_biofuels_PL*EF_biofuels_CO2+(1-Share_biofuels_PL)*EF_oil_CO2)+(1-Share_heating_PL)*EF_el_CO2_PL)</f>
        <v>9.7545106061150008E-2</v>
      </c>
      <c r="X42" s="272">
        <f>(Energy_slaughter_el_PL*EF_el_CO2_PL+Energy_slaughter_oil_PL*EF_oil_CO2)*Production!I16</f>
        <v>2.6074499992416289E-2</v>
      </c>
      <c r="Z42" s="19"/>
      <c r="AA42" s="19"/>
    </row>
    <row r="43" spans="1:27" x14ac:dyDescent="0.3">
      <c r="A43" s="12" t="s">
        <v>128</v>
      </c>
      <c r="B43" s="12" t="s">
        <v>129</v>
      </c>
      <c r="C43" s="16"/>
      <c r="D43" t="s">
        <v>30</v>
      </c>
      <c r="E43" s="17" t="s">
        <v>91</v>
      </c>
      <c r="F43" s="12" t="s">
        <v>131</v>
      </c>
      <c r="G43" s="19">
        <f>SUM(H43:X43)</f>
        <v>1.0814573971095211E-3</v>
      </c>
      <c r="H43" s="34">
        <f>'CH4 per kg feed'!G101*FCR_bonefree_incl_parents_PL-Excreted_N_after_losses_PL*Manure_repl_factor_PL*(EF_min_fert_BAT_CH4*Frac_BAT_PL+EF_min_fert_AN_CH4*Frac_AN_PL)</f>
        <v>3.6332428690775303E-4</v>
      </c>
      <c r="I43" s="34">
        <f>'CH4 per kg feed'!H101*FCR_bonefree_incl_parents_PL</f>
        <v>2.3911822074977108E-4</v>
      </c>
      <c r="J43" s="34"/>
      <c r="K43" s="34"/>
      <c r="L43" s="34">
        <f>'CH4 per kg feed'!K101*FCR_bonefree_incl_parents_PL</f>
        <v>4.4128128151851878E-5</v>
      </c>
      <c r="M43" s="34"/>
      <c r="N43" s="34">
        <f>'CH4 per kg feed'!M101*FCR_bonefree_incl_parents_PL</f>
        <v>2.5772494088036625E-6</v>
      </c>
      <c r="O43" s="34">
        <f>'CH4 per kg feed'!N101*FCR_bonefree_incl_parents_PL</f>
        <v>1.1839464584268714E-4</v>
      </c>
      <c r="P43" s="34">
        <f>'CH4 per kg feed'!O101*FCR_bonefree_incl_parents_PL</f>
        <v>0</v>
      </c>
      <c r="Q43" s="34">
        <f>'CH4 per kg feed'!P101*FCR_bonefree_incl_parents_PL</f>
        <v>5.9659010264262475E-5</v>
      </c>
      <c r="R43" s="34">
        <f>'CH4 per kg feed'!Q101*FCR_bonefree_incl_parents_PL</f>
        <v>1.6668859827082486E-5</v>
      </c>
      <c r="S43" s="4"/>
      <c r="W43" s="4">
        <f>Energy_stables_PL*(Share_heating_PL*(Share_biofuels_PL*EF_biofuel_CH4+(1-Share_biofuels_PL)*EF_oil_CH4)+(1-Share_heating_PL)*EF_el_CH4_PL)</f>
        <v>1.8794008186636402E-4</v>
      </c>
      <c r="X43" s="4">
        <f>(Energy_slaughter_el_PL*EF_el_CH4_PL+Energy_slaughter_oil_PL*EF_oil_CH4)*Production!I16</f>
        <v>4.9646914090945174E-5</v>
      </c>
      <c r="Z43" s="33"/>
      <c r="AA43" s="33"/>
    </row>
    <row r="44" spans="1:27" x14ac:dyDescent="0.3">
      <c r="A44" s="12" t="s">
        <v>128</v>
      </c>
      <c r="B44" s="12" t="s">
        <v>129</v>
      </c>
      <c r="C44" s="16"/>
      <c r="D44" t="s">
        <v>30</v>
      </c>
      <c r="E44" s="17" t="s">
        <v>91</v>
      </c>
      <c r="F44" s="12" t="s">
        <v>132</v>
      </c>
      <c r="G44" s="19">
        <f>SUM(H44:T44)+SUM(W44:X44)</f>
        <v>1.9754369654128856E-3</v>
      </c>
      <c r="H44" s="34"/>
      <c r="I44" s="34"/>
      <c r="J44" s="34"/>
      <c r="K44" s="34"/>
      <c r="L44" s="34"/>
      <c r="M44" s="34"/>
      <c r="N44" s="34"/>
      <c r="O44" s="34"/>
      <c r="P44" s="34"/>
      <c r="Q44" s="34"/>
      <c r="R44" s="34"/>
      <c r="S44" s="4"/>
      <c r="T44" s="48">
        <f>SUM(U44:V44)</f>
        <v>1.9754369654128856E-3</v>
      </c>
      <c r="U44" s="63">
        <f>Manure!I12*Production!I16</f>
        <v>1.9754369654128856E-3</v>
      </c>
      <c r="W44" s="4"/>
      <c r="X44" s="4"/>
      <c r="Z44" s="33"/>
      <c r="AA44" s="33"/>
    </row>
    <row r="45" spans="1:27" ht="15" thickBot="1" x14ac:dyDescent="0.35">
      <c r="A45" s="12" t="s">
        <v>128</v>
      </c>
      <c r="B45" s="12" t="s">
        <v>129</v>
      </c>
      <c r="C45" s="16"/>
      <c r="D45" t="s">
        <v>30</v>
      </c>
      <c r="E45" s="17" t="s">
        <v>91</v>
      </c>
      <c r="F45" s="35" t="s">
        <v>133</v>
      </c>
      <c r="G45" s="19">
        <f>SUM(H45:T45)+SUM(W45:X45)</f>
        <v>1.7440352951340243E-3</v>
      </c>
      <c r="H45" s="34">
        <f>'N2O per kg feed'!G101*FCR_bonefree_incl_parents_PL-Excreted_N_after_losses_PL*Manure_repl_factor_PL*(EF_min_fert_BAT_N2O*Frac_BAT_PL+EF_min_fert_AN_N2O*Frac_AN_PL)</f>
        <v>4.2393287867444247E-4</v>
      </c>
      <c r="I45" s="33">
        <f>'N2O per kg feed'!H101*FCR_bonefree_incl_parents_PL</f>
        <v>2.4007861872914919E-6</v>
      </c>
      <c r="J45" s="33">
        <f>'N2O per kg feed'!I101*FCR_bonefree_incl_parents_PL-Excreted_N_after_losses_PL*Manure_repl_factor_PL*EF_N2O_diff_PL</f>
        <v>1.1858240862950929E-3</v>
      </c>
      <c r="K45" s="33">
        <f>J45*EF_indirect_N2O_PL</f>
        <v>1.185824086295093E-4</v>
      </c>
      <c r="L45" s="33">
        <f>'N2O per kg feed'!K101*FCR_bonefree_incl_parents_PL</f>
        <v>2.6711678099775031E-6</v>
      </c>
      <c r="M45" s="33"/>
      <c r="N45" s="33">
        <f>'N2O per kg feed'!M101*FCR_bonefree_incl_parents_PL</f>
        <v>3.1760128530074412E-8</v>
      </c>
      <c r="O45" s="33">
        <f>'N2O per kg feed'!N101*FCR_bonefree_incl_parents_PL</f>
        <v>3.6257753174400076E-6</v>
      </c>
      <c r="P45" s="33">
        <f>'N2O per kg feed'!O101*FCR_bonefree_incl_parents_PL</f>
        <v>0</v>
      </c>
      <c r="Q45" s="33">
        <f>'N2O per kg feed'!P101*FCR_bonefree_incl_parents_PL</f>
        <v>1.2323409931680488E-6</v>
      </c>
      <c r="R45" s="33">
        <f>'N2O per kg feed'!Q101*FCR_bonefree_incl_parents_PL</f>
        <v>4.9382625743138594E-7</v>
      </c>
      <c r="S45" s="4"/>
      <c r="T45" s="48">
        <f>SUM(U45:V45)</f>
        <v>3.0031090312183189E-6</v>
      </c>
      <c r="U45" s="191">
        <f>Manure!I68*44/28</f>
        <v>8.3046993182438245E-7</v>
      </c>
      <c r="V45" s="191">
        <f>NH3_per_kg_PL*17/14*Manure!I97</f>
        <v>2.1726390993939366E-6</v>
      </c>
      <c r="W45" s="4">
        <f>Energy_stables_PL*(Share_heating_PL*(Share_biofuels_PL*EF_biofuel_N2O+(1-Share_biofuels_PL)*EF_oil_N2O)+(1-Share_heating_PL)*EF_el_N2O_PL)</f>
        <v>1.7600493010000001E-6</v>
      </c>
      <c r="X45" s="4">
        <f>(Energy_slaughter_el_PL*EF_el_N2O_PL+Energy_slaughter_oil_PL*EF_oil_N2O)*Production!I16</f>
        <v>4.7710650892268977E-7</v>
      </c>
      <c r="Z45" s="33"/>
      <c r="AA45" s="33"/>
    </row>
    <row r="46" spans="1:27" ht="15.6" thickTop="1" thickBot="1" x14ac:dyDescent="0.35">
      <c r="A46" s="128" t="s">
        <v>128</v>
      </c>
      <c r="B46" s="128" t="s">
        <v>129</v>
      </c>
      <c r="C46" s="129"/>
      <c r="D46" s="152" t="s">
        <v>30</v>
      </c>
      <c r="E46" s="38" t="s">
        <v>91</v>
      </c>
      <c r="F46" s="131" t="s">
        <v>134</v>
      </c>
      <c r="G46" s="135">
        <f t="shared" si="0"/>
        <v>1.2262415789331971</v>
      </c>
      <c r="H46" s="132">
        <f>SUMPRODUCT(H42:H45,'Parameters, general'!$B$13:$B$16)</f>
        <v>0.31772435319632419</v>
      </c>
      <c r="I46" s="132">
        <f>SUMPRODUCT(I42:I45,'Parameters, general'!$B$13:$B$16)</f>
        <v>7.2429493028055958E-2</v>
      </c>
      <c r="J46" s="132">
        <f>SUMPRODUCT(J42:J45,'Parameters, general'!$B$13:$B$16)</f>
        <v>0.32372997555856037</v>
      </c>
      <c r="K46" s="132">
        <f>SUMPRODUCT(K42:K45,'Parameters, general'!$B$13:$B$16)</f>
        <v>3.2372997555856035E-2</v>
      </c>
      <c r="L46" s="132">
        <f>SUMPRODUCT(L42:L45,'Parameters, general'!$B$13:$B$16)</f>
        <v>0.10135403065899436</v>
      </c>
      <c r="M46" s="132">
        <f>SUMPRODUCT(M42:M45,'Parameters, general'!$B$13:$B$16)</f>
        <v>0</v>
      </c>
      <c r="N46" s="132">
        <f>SUMPRODUCT(N42:N45,'Parameters, general'!$B$13:$B$16)</f>
        <v>8.2488159779609894E-4</v>
      </c>
      <c r="O46" s="132">
        <f>SUMPRODUCT(O42:O45,'Parameters, general'!$B$13:$B$16)</f>
        <v>0.13033695395384529</v>
      </c>
      <c r="P46" s="132">
        <f>SUMPRODUCT(P42:P45,'Parameters, general'!$B$13:$B$16)</f>
        <v>1.6103122626304013E-2</v>
      </c>
      <c r="Q46" s="132">
        <f>SUMPRODUCT(Q42:Q45,'Parameters, general'!$B$13:$B$16)</f>
        <v>3.1518845324127791E-2</v>
      </c>
      <c r="R46" s="132">
        <f>SUMPRODUCT(R42:R45,'Parameters, general'!$B$13:$B$16)</f>
        <v>1.4379836532459413E-2</v>
      </c>
      <c r="S46" s="132"/>
      <c r="T46" s="132">
        <f>SUMPRODUCT(T42:T45,'Parameters, general'!$B$13:$B$16)</f>
        <v>5.4156646831670513E-2</v>
      </c>
      <c r="U46" s="133"/>
      <c r="V46" s="133"/>
      <c r="W46" s="132">
        <f>SUMPRODUCT(W42:W45,'Parameters, general'!$B$13:$B$16)</f>
        <v>0.10362621395994066</v>
      </c>
      <c r="X46" s="132">
        <f>SUMPRODUCT(X42:X45,'Parameters, general'!$B$13:$B$16)</f>
        <v>2.7684228109262347E-2</v>
      </c>
      <c r="Z46" s="109">
        <f>SUM(H46:R46)</f>
        <v>1.0407744900323235</v>
      </c>
      <c r="AA46" s="151">
        <f>'CO2 per kg feed'!F101+'CH4 per kg feed'!F101*CF_GWP_CH4_fossil+'N2O per kg feed'!F101*CF_GWP_N2O</f>
        <v>0.42907175428456923</v>
      </c>
    </row>
    <row r="47" spans="1:27" ht="15" thickTop="1" x14ac:dyDescent="0.3">
      <c r="A47" s="267" t="s">
        <v>128</v>
      </c>
      <c r="B47" s="267" t="s">
        <v>129</v>
      </c>
      <c r="C47" s="268"/>
      <c r="D47" t="s">
        <v>38</v>
      </c>
      <c r="E47" s="269" t="s">
        <v>92</v>
      </c>
      <c r="F47" s="270" t="s">
        <v>130</v>
      </c>
      <c r="G47" s="19">
        <f>SUM(H47:X47)</f>
        <v>0.63418054655339784</v>
      </c>
      <c r="H47" s="271">
        <f>'CO2 per kg feed'!G113*FCR_bonefree_incl_parents_ES-Excreted_N_after_losses_ES*Manure_repl_factor_ES*(EF_min_fert_BAT_CO2*Frac_BAT_ES+EF_min_fert_AN_CO2*Frac_AN_ES)</f>
        <v>0.17764747382961593</v>
      </c>
      <c r="I47" s="271">
        <f>'CO2 per kg feed'!H113*FCR_bonefree_incl_parents_ES</f>
        <v>6.3536195114802616E-2</v>
      </c>
      <c r="J47" s="271">
        <f>'CO2 per kg feed'!I113*FCR_bonefree_incl_parents_ES</f>
        <v>0</v>
      </c>
      <c r="K47" s="271"/>
      <c r="L47" s="271">
        <f>'CO2 per kg feed'!K113*FCR_bonefree_incl_parents_ES</f>
        <v>0.10113267730577305</v>
      </c>
      <c r="M47" s="271"/>
      <c r="N47" s="271">
        <f>'CO2 per kg feed'!M113*FCR_bonefree_incl_parents_ES</f>
        <v>2.9401762471291715E-2</v>
      </c>
      <c r="O47" s="271">
        <f>'CO2 per kg feed'!N113*FCR_bonefree_incl_parents_ES</f>
        <v>8.9404699487095105E-2</v>
      </c>
      <c r="P47" s="271">
        <f>'CO2 per kg feed'!O113*FCR_bonefree_incl_parents_ES</f>
        <v>6.5589530485947137E-2</v>
      </c>
      <c r="Q47" s="271">
        <f>'CO2 per kg feed'!P113*FCR_bonefree_incl_parents_ES</f>
        <v>1.7475532746105953E-2</v>
      </c>
      <c r="R47" s="271">
        <f>'CO2 per kg feed'!Q113*FCR_bonefree_incl_parents_ES</f>
        <v>5.6444300219299623E-2</v>
      </c>
      <c r="S47" s="272"/>
      <c r="T47" s="273"/>
      <c r="U47" s="274"/>
      <c r="V47" s="274"/>
      <c r="W47" s="272">
        <f>Energy_stables_ES*(Share_heating_ES*(Share_biofuels_ES*EF_biofuels_CO2+(1-Share_biofuels_ES)*EF_oil_CO2)+(1-Share_heating_ES)*EF_el_CO2_ES)</f>
        <v>2.6811508139590004E-2</v>
      </c>
      <c r="X47" s="272">
        <f>(Energy_slaughter_el_ES*EF_el_CO2_ES+Energy_slaughter_oil_ES*EF_oil_CO2)*Production!J16</f>
        <v>6.7368667538767165E-3</v>
      </c>
      <c r="Z47" s="19"/>
      <c r="AA47" s="19"/>
    </row>
    <row r="48" spans="1:27" x14ac:dyDescent="0.3">
      <c r="A48" s="12" t="s">
        <v>128</v>
      </c>
      <c r="B48" s="12" t="s">
        <v>129</v>
      </c>
      <c r="C48" s="16"/>
      <c r="D48" t="s">
        <v>38</v>
      </c>
      <c r="E48" s="17" t="s">
        <v>92</v>
      </c>
      <c r="F48" s="12" t="s">
        <v>131</v>
      </c>
      <c r="G48" s="19">
        <f>SUM(H48:X48)</f>
        <v>9.9051198160724592E-4</v>
      </c>
      <c r="H48" s="34">
        <f>'CH4 per kg feed'!G113*FCR_bonefree_incl_parents_ES-Excreted_N_after_losses_ES*Manure_repl_factor_ES*(EF_min_fert_BAT_CH4*Frac_BAT_ES+EF_min_fert_AN_CH4*Frac_AN_ES)</f>
        <v>3.3808344551467819E-4</v>
      </c>
      <c r="I48" s="34">
        <f>'CH4 per kg feed'!H113*FCR_bonefree_incl_parents_ES</f>
        <v>2.3433702005174465E-4</v>
      </c>
      <c r="J48" s="34"/>
      <c r="K48" s="34"/>
      <c r="L48" s="34">
        <f>'CH4 per kg feed'!K113*FCR_bonefree_incl_parents_ES</f>
        <v>4.520883852077833E-5</v>
      </c>
      <c r="M48" s="34"/>
      <c r="N48" s="34">
        <f>'CH4 per kg feed'!M113*FCR_bonefree_incl_parents_ES</f>
        <v>9.6277838502098782E-5</v>
      </c>
      <c r="O48" s="34">
        <f>'CH4 per kg feed'!N113*FCR_bonefree_incl_parents_ES</f>
        <v>6.8240834102863775E-5</v>
      </c>
      <c r="P48" s="34">
        <f>'CH4 per kg feed'!O113*FCR_bonefree_incl_parents_ES</f>
        <v>0</v>
      </c>
      <c r="Q48" s="34">
        <f>'CH4 per kg feed'!P113*FCR_bonefree_incl_parents_ES</f>
        <v>5.7355558745537118E-5</v>
      </c>
      <c r="R48" s="34">
        <f>'CH4 per kg feed'!Q113*FCR_bonefree_incl_parents_ES</f>
        <v>4.8242476947851483E-5</v>
      </c>
      <c r="S48" s="4"/>
      <c r="W48" s="4">
        <f>Energy_stables_ES*(Share_heating_ES*(Share_biofuels_ES*EF_biofuel_CH4+(1-Share_biofuels_ES)*EF_oil_CH4)+(1-Share_heating_ES)*EF_el_CH4_ES)</f>
        <v>8.2878482479600002E-5</v>
      </c>
      <c r="X48" s="4">
        <f>(Energy_slaughter_el_ES*EF_el_CH4_ES+Energy_slaughter_oil_ES*EF_oil_CH4)*Production!J16</f>
        <v>1.9887486742093619E-5</v>
      </c>
      <c r="Z48" s="33"/>
      <c r="AA48" s="33"/>
    </row>
    <row r="49" spans="1:27" x14ac:dyDescent="0.3">
      <c r="A49" s="12" t="s">
        <v>128</v>
      </c>
      <c r="B49" s="12" t="s">
        <v>129</v>
      </c>
      <c r="C49" s="16"/>
      <c r="D49" t="s">
        <v>38</v>
      </c>
      <c r="E49" s="17" t="s">
        <v>92</v>
      </c>
      <c r="F49" s="12" t="s">
        <v>132</v>
      </c>
      <c r="G49" s="19">
        <f>SUM(H49:T49)+SUM(W49:X49)</f>
        <v>1.6184060376076902E-3</v>
      </c>
      <c r="H49" s="34"/>
      <c r="I49" s="34"/>
      <c r="J49" s="34"/>
      <c r="K49" s="34"/>
      <c r="L49" s="34"/>
      <c r="M49" s="34"/>
      <c r="N49" s="34"/>
      <c r="O49" s="34"/>
      <c r="P49" s="34"/>
      <c r="Q49" s="34"/>
      <c r="R49" s="34"/>
      <c r="S49" s="4"/>
      <c r="T49" s="48">
        <f>SUM(U49:V49)</f>
        <v>1.6184060376076902E-3</v>
      </c>
      <c r="U49" s="63">
        <f>Manure!J12*Production!J16</f>
        <v>1.6184060376076902E-3</v>
      </c>
      <c r="W49" s="4"/>
      <c r="X49" s="4"/>
      <c r="Z49" s="33"/>
      <c r="AA49" s="33"/>
    </row>
    <row r="50" spans="1:27" ht="15" thickBot="1" x14ac:dyDescent="0.35">
      <c r="A50" s="12" t="s">
        <v>128</v>
      </c>
      <c r="B50" s="12" t="s">
        <v>129</v>
      </c>
      <c r="C50" s="16"/>
      <c r="D50" t="s">
        <v>38</v>
      </c>
      <c r="E50" s="17" t="s">
        <v>92</v>
      </c>
      <c r="F50" s="35" t="s">
        <v>133</v>
      </c>
      <c r="G50" s="19">
        <f>SUM(H50:T50)+SUM(W50:X50)</f>
        <v>1.065885351129016E-3</v>
      </c>
      <c r="H50" s="34">
        <f>'N2O per kg feed'!G113*FCR_bonefree_incl_parents_ES-Excreted_N_after_losses_ES*Manure_repl_factor_ES*(EF_min_fert_BAT_N2O*Frac_BAT_ES+EF_min_fert_AN_N2O*Frac_AN_ES)</f>
        <v>3.935012342501767E-4</v>
      </c>
      <c r="I50" s="33">
        <f>'N2O per kg feed'!H113*FCR_bonefree_incl_parents_ES</f>
        <v>2.3728368339431751E-6</v>
      </c>
      <c r="J50" s="33">
        <f>'N2O per kg feed'!I113*FCR_bonefree_incl_parents_ES-Excreted_N_after_losses_ES*Manure_repl_factor_ES*EF_N2O_diff_ES</f>
        <v>5.9391915599919516E-4</v>
      </c>
      <c r="K50" s="33">
        <f>J50*EF_indirect_N2O_ES</f>
        <v>5.9391915599919519E-5</v>
      </c>
      <c r="L50" s="33">
        <f>'N2O per kg feed'!K113*FCR_bonefree_incl_parents_ES</f>
        <v>2.7367979067956435E-6</v>
      </c>
      <c r="M50" s="33"/>
      <c r="N50" s="33">
        <f>'N2O per kg feed'!M113*FCR_bonefree_incl_parents_ES</f>
        <v>1.1848227094391334E-6</v>
      </c>
      <c r="O50" s="33">
        <f>'N2O per kg feed'!N113*FCR_bonefree_incl_parents_ES</f>
        <v>3.3129006861879259E-6</v>
      </c>
      <c r="P50" s="33">
        <f>'N2O per kg feed'!O113*FCR_bonefree_incl_parents_ES</f>
        <v>0</v>
      </c>
      <c r="Q50" s="33">
        <f>'N2O per kg feed'!P113*FCR_bonefree_incl_parents_ES</f>
        <v>3.3041070770120173E-6</v>
      </c>
      <c r="R50" s="33">
        <f>'N2O per kg feed'!Q113*FCR_bonefree_incl_parents_ES</f>
        <v>2.1129251845176574E-6</v>
      </c>
      <c r="T50" s="48">
        <f>SUM(U50:V50)</f>
        <v>2.5332636570405764E-6</v>
      </c>
      <c r="U50" s="191">
        <f>Manure!J68*44/28</f>
        <v>6.6947761245589569E-7</v>
      </c>
      <c r="V50" s="191">
        <f>NH3_per_kg_ES*17/14*Manure!J97</f>
        <v>1.8637860445846808E-6</v>
      </c>
      <c r="W50" s="4">
        <f>Energy_stables_ES*(Share_heating_ES*(Share_biofuels_ES*EF_biofuel_N2O+(1-Share_biofuels_ES)*EF_oil_N2O)+(1-Share_heating_ES)*EF_el_N2O_ES)</f>
        <v>1.213809188E-6</v>
      </c>
      <c r="X50" s="4">
        <f>(Energy_slaughter_el_ES*EF_el_N2O_ES+Energy_slaughter_oil_ES*EF_oil_N2O)*Production!J16</f>
        <v>3.0158203678885322E-7</v>
      </c>
      <c r="Z50" s="33"/>
      <c r="AA50" s="33"/>
    </row>
    <row r="51" spans="1:27" ht="15.6" thickTop="1" thickBot="1" x14ac:dyDescent="0.35">
      <c r="A51" s="128" t="s">
        <v>128</v>
      </c>
      <c r="B51" s="128" t="s">
        <v>129</v>
      </c>
      <c r="C51" s="129"/>
      <c r="D51" s="152" t="s">
        <v>38</v>
      </c>
      <c r="E51" s="130" t="s">
        <v>92</v>
      </c>
      <c r="F51" s="131" t="s">
        <v>134</v>
      </c>
      <c r="G51" s="135">
        <f t="shared" si="0"/>
        <v>0.99838146747892287</v>
      </c>
      <c r="H51" s="132">
        <f>SUMPRODUCT(H47:H50,'Parameters, general'!$B$13:$B$16)</f>
        <v>0.29514819745625159</v>
      </c>
      <c r="I51" s="132">
        <f>SUMPRODUCT(I47:I50,'Parameters, general'!$B$13:$B$16)</f>
        <v>7.1167222768011101E-2</v>
      </c>
      <c r="J51" s="132">
        <f>SUMPRODUCT(J47:J50,'Parameters, general'!$B$13:$B$16)</f>
        <v>0.16213992958778028</v>
      </c>
      <c r="K51" s="132">
        <f>SUMPRODUCT(K47:K50,'Parameters, general'!$B$13:$B$16)</f>
        <v>1.6213992958778029E-2</v>
      </c>
      <c r="L51" s="132">
        <f>SUMPRODUCT(L47:L50,'Parameters, general'!$B$13:$B$16)</f>
        <v>0.10322704652224746</v>
      </c>
      <c r="M51" s="132">
        <f>SUMPRODUCT(M47:M50,'Parameters, general'!$B$13:$B$16)</f>
        <v>0</v>
      </c>
      <c r="N51" s="132">
        <f>SUMPRODUCT(N47:N50,'Parameters, general'!$B$13:$B$16)</f>
        <v>3.259429865833114E-2</v>
      </c>
      <c r="O51" s="132">
        <f>SUMPRODUCT(O47:O50,'Parameters, general'!$B$13:$B$16)</f>
        <v>9.234269823068976E-2</v>
      </c>
      <c r="P51" s="132">
        <f>SUMPRODUCT(P47:P50,'Parameters, general'!$B$13:$B$16)</f>
        <v>6.5589530485947137E-2</v>
      </c>
      <c r="Q51" s="132">
        <f>SUMPRODUCT(Q47:Q50,'Parameters, general'!$B$13:$B$16)</f>
        <v>2.0086749628747239E-2</v>
      </c>
      <c r="R51" s="132">
        <f>SUMPRODUCT(R47:R50,'Parameters, general'!$B$13:$B$16)</f>
        <v>5.8458754607718919E-2</v>
      </c>
      <c r="S51" s="132"/>
      <c r="T51" s="132">
        <f>SUMPRODUCT(T47:T50,'Parameters, general'!$B$13:$B$16)</f>
        <v>4.4388543993779707E-2</v>
      </c>
      <c r="U51" s="132"/>
      <c r="V51" s="132"/>
      <c r="W51" s="132">
        <f>SUMPRODUCT(W47:W50,'Parameters, general'!$B$13:$B$16)</f>
        <v>2.9612656825806084E-2</v>
      </c>
      <c r="X51" s="132">
        <f>SUMPRODUCT(X47:X50,'Parameters, general'!$B$13:$B$16)</f>
        <v>7.4118457548344634E-3</v>
      </c>
      <c r="Z51" s="109">
        <f>SUM(H51:R51)</f>
        <v>0.9169684209045027</v>
      </c>
      <c r="AA51" s="151">
        <f>'CO2 per kg feed'!F113+'CH4 per kg feed'!F113*CF_GWP_CH4_fossil+'N2O per kg feed'!F113*CF_GWP_N2O</f>
        <v>0.37780431385722807</v>
      </c>
    </row>
    <row r="52" spans="1:27" ht="15" thickTop="1" x14ac:dyDescent="0.3">
      <c r="A52" s="12" t="s">
        <v>128</v>
      </c>
      <c r="B52" s="12" t="s">
        <v>129</v>
      </c>
      <c r="C52" s="16"/>
      <c r="D52" s="17" t="s">
        <v>34</v>
      </c>
      <c r="E52" s="17" t="s">
        <v>93</v>
      </c>
      <c r="F52" s="37" t="s">
        <v>130</v>
      </c>
      <c r="G52" s="19">
        <f>SUM(H52:X52)</f>
        <v>0.46387090071437759</v>
      </c>
      <c r="H52" s="19">
        <f>'CO2 per kg feed'!G125*FCR_bonefree_incl_parents_SE-Excreted_N_after_losses_SE*Manure_repl_factor_SE*(EF_min_fert_BAT_CO2*Frac_BAT_SE+EF_min_fert_AN_CO2*Frac_AN_SE)</f>
        <v>0.15982974215346163</v>
      </c>
      <c r="I52" s="19">
        <f>'CO2 per kg feed'!H125*FCR_bonefree_incl_parents_SE</f>
        <v>6.3221150063667686E-2</v>
      </c>
      <c r="J52" s="19">
        <f>'CO2 per kg feed'!I125*FCR_bonefree_incl_parents_SE</f>
        <v>0</v>
      </c>
      <c r="K52" s="19"/>
      <c r="L52" s="19">
        <f>'CO2 per kg feed'!K125*FCR_bonefree_incl_parents_SE</f>
        <v>8.4133586542585334E-2</v>
      </c>
      <c r="M52" s="19"/>
      <c r="N52" s="19">
        <f>'CO2 per kg feed'!M125*FCR_bonefree_incl_parents_SE</f>
        <v>1.2687711967187496E-4</v>
      </c>
      <c r="O52" s="19">
        <f>'CO2 per kg feed'!N125*FCR_bonefree_incl_parents_SE</f>
        <v>8.2272831134750146E-2</v>
      </c>
      <c r="P52" s="19">
        <f>'CO2 per kg feed'!O125*FCR_bonefree_incl_parents_SE</f>
        <v>2.6297592751658386E-2</v>
      </c>
      <c r="Q52" s="19">
        <f>'CO2 per kg feed'!P125*FCR_bonefree_incl_parents_SE</f>
        <v>1.1086535597823081E-2</v>
      </c>
      <c r="R52" s="19">
        <f>'CO2 per kg feed'!Q125*FCR_bonefree_incl_parents_SE</f>
        <v>2.5420570362435321E-2</v>
      </c>
      <c r="W52" s="4">
        <f>Energy_stables_SE*(Share_heating_SE*(Share_biofuels_SE*EF_biofuels_CO2+(1-Share_biofuels_SE)*EF_oil_CO2)+(1-Share_heating_SE)*EF_el_CO2_SE)</f>
        <v>8.8450339728460003E-3</v>
      </c>
      <c r="X52" s="4">
        <f>(Energy_slaughter_el_SE*EF_el_CO2_SE+Energy_slaughter_oil_SE*EF_oil_CO2)*Production!K16</f>
        <v>2.6369810154781089E-3</v>
      </c>
    </row>
    <row r="53" spans="1:27" x14ac:dyDescent="0.3">
      <c r="A53" s="12" t="s">
        <v>128</v>
      </c>
      <c r="B53" s="12" t="s">
        <v>129</v>
      </c>
      <c r="C53" s="16"/>
      <c r="D53" s="17" t="s">
        <v>34</v>
      </c>
      <c r="E53" s="17" t="s">
        <v>93</v>
      </c>
      <c r="F53" s="12" t="s">
        <v>131</v>
      </c>
      <c r="G53" s="19">
        <f>SUM(H53:X53)</f>
        <v>5.5085287292453117E-4</v>
      </c>
      <c r="H53" s="34">
        <f>'CH4 per kg feed'!G125*FCR_bonefree_incl_parents_SE-Excreted_N_after_losses_SE*Manure_repl_factor_SE*(EF_min_fert_BAT_CH4*Frac_BAT_SE+EF_min_fert_AN_CH4*Frac_AN_SE)</f>
        <v>2.0333213558722303E-4</v>
      </c>
      <c r="I53" s="34">
        <f>'CH4 per kg feed'!H125*FCR_bonefree_incl_parents_SE</f>
        <v>2.2244478726105295E-4</v>
      </c>
      <c r="J53" s="34"/>
      <c r="K53" s="34"/>
      <c r="L53" s="34">
        <f>'CH4 per kg feed'!K125*FCR_bonefree_incl_parents_SE</f>
        <v>3.7357016913446143E-5</v>
      </c>
      <c r="M53" s="34"/>
      <c r="N53" s="34">
        <f>'CH4 per kg feed'!M125*FCR_bonefree_incl_parents_SE</f>
        <v>9.6198413989216667E-8</v>
      </c>
      <c r="O53" s="34">
        <f>'CH4 per kg feed'!N125*FCR_bonefree_incl_parents_SE</f>
        <v>3.117053084925722E-5</v>
      </c>
      <c r="P53" s="34">
        <f>'CH4 per kg feed'!O125*FCR_bonefree_incl_parents_SE</f>
        <v>0</v>
      </c>
      <c r="Q53" s="34">
        <f>'CH4 per kg feed'!P125*FCR_bonefree_incl_parents_SE</f>
        <v>2.0729445349767143E-5</v>
      </c>
      <c r="R53" s="34">
        <f>'CH4 per kg feed'!Q125*FCR_bonefree_incl_parents_SE</f>
        <v>2.3236524581361388E-5</v>
      </c>
      <c r="S53" s="4"/>
      <c r="W53" s="4">
        <f>Energy_stables_SE*(Share_heating_SE*(Share_biofuels_SE*EF_biofuel_CH4+(1-Share_biofuels_SE)*EF_oil_CH4)+(1-Share_heating_SE)*EF_el_CH4_SE)</f>
        <v>9.8278548655939992E-6</v>
      </c>
      <c r="X53" s="4">
        <f>(Energy_slaughter_el_SE*EF_el_CH4_SE+Energy_slaughter_oil_SE*EF_oil_CH4)*Production!K16</f>
        <v>2.6583791028400954E-6</v>
      </c>
    </row>
    <row r="54" spans="1:27" x14ac:dyDescent="0.3">
      <c r="A54" s="12" t="s">
        <v>128</v>
      </c>
      <c r="B54" s="12" t="s">
        <v>129</v>
      </c>
      <c r="C54" s="16"/>
      <c r="D54" s="17" t="s">
        <v>34</v>
      </c>
      <c r="E54" s="17" t="s">
        <v>93</v>
      </c>
      <c r="F54" s="12" t="s">
        <v>132</v>
      </c>
      <c r="G54" s="19">
        <f>SUM(H54:T54)+SUM(W54:X54)</f>
        <v>1.9210430956131054E-3</v>
      </c>
      <c r="H54" s="34"/>
      <c r="I54" s="34"/>
      <c r="J54" s="34"/>
      <c r="K54" s="34"/>
      <c r="L54" s="34"/>
      <c r="M54" s="34"/>
      <c r="N54" s="34"/>
      <c r="O54" s="34"/>
      <c r="P54" s="34"/>
      <c r="Q54" s="34"/>
      <c r="R54" s="34"/>
      <c r="S54" s="4"/>
      <c r="T54" s="105">
        <f>SUM(U54:V54)</f>
        <v>1.9210430956131054E-3</v>
      </c>
      <c r="U54" s="188">
        <f>Manure!K12*Production!K16</f>
        <v>1.9210430956131054E-3</v>
      </c>
      <c r="W54" s="4"/>
      <c r="X54" s="4"/>
      <c r="Z54" s="33"/>
      <c r="AA54" s="33"/>
    </row>
    <row r="55" spans="1:27" ht="15" thickBot="1" x14ac:dyDescent="0.35">
      <c r="A55" s="12" t="s">
        <v>128</v>
      </c>
      <c r="B55" s="12" t="s">
        <v>129</v>
      </c>
      <c r="C55" s="16"/>
      <c r="D55" s="17" t="s">
        <v>34</v>
      </c>
      <c r="E55" s="17" t="s">
        <v>93</v>
      </c>
      <c r="F55" s="35" t="s">
        <v>133</v>
      </c>
      <c r="G55" s="19">
        <f>SUM(H55:T55)+SUM(W55:X55)</f>
        <v>1.9967472204625021E-3</v>
      </c>
      <c r="H55" s="34">
        <f>'N2O per kg feed'!G125*FCR_bonefree_incl_parents_SE-Excreted_N_after_losses_SE*Manure_repl_factor_SE*(EF_min_fert_BAT_N2O*Frac_BAT_SE+EF_min_fert_AN_N2O*Frac_AN_SE)</f>
        <v>3.4182647544013446E-4</v>
      </c>
      <c r="I55" s="33">
        <f>'N2O per kg feed'!H125*FCR_bonefree_incl_parents_SE</f>
        <v>2.3553239659637559E-6</v>
      </c>
      <c r="J55" s="33">
        <f>'N2O per kg feed'!I125*FCR_bonefree_incl_parents_SE-Excreted_N_after_losses_SE*Manure_repl_factor_SE*EF_N2O_diff_SE</f>
        <v>1.4915971540541181E-3</v>
      </c>
      <c r="K55" s="33">
        <f>J55*EF_indirect_N2O_SE</f>
        <v>1.4915971540541183E-4</v>
      </c>
      <c r="L55" s="33">
        <f>'N2O per kg feed'!K125*FCR_bonefree_incl_parents_SE</f>
        <v>2.2743715336686425E-6</v>
      </c>
      <c r="M55" s="33"/>
      <c r="N55" s="33">
        <f>'N2O per kg feed'!M125*FCR_bonefree_incl_parents_SE</f>
        <v>1.3898149372497793E-8</v>
      </c>
      <c r="O55" s="33">
        <f>'N2O per kg feed'!N125*FCR_bonefree_incl_parents_SE</f>
        <v>3.1153924348041389E-6</v>
      </c>
      <c r="P55" s="33">
        <f>'N2O per kg feed'!O125*FCR_bonefree_incl_parents_SE</f>
        <v>0</v>
      </c>
      <c r="Q55" s="33">
        <f>'N2O per kg feed'!P125*FCR_bonefree_incl_parents_SE</f>
        <v>1.9537194545404346E-6</v>
      </c>
      <c r="R55" s="33">
        <f>'N2O per kg feed'!Q125*FCR_bonefree_incl_parents_SE</f>
        <v>9.2915602393880417E-7</v>
      </c>
      <c r="T55" s="48">
        <f>SUM(U55:V55)</f>
        <v>2.4822948742019964E-6</v>
      </c>
      <c r="U55" s="191">
        <f>Manure!K68*44/28</f>
        <v>6.7120806665157201E-7</v>
      </c>
      <c r="V55" s="191">
        <f>NH3_per_kg_SE*17/14*Manure!K97</f>
        <v>1.8110868075504245E-6</v>
      </c>
      <c r="W55" s="4">
        <f>Energy_stables_SE*(Share_heating_SE*(Share_biofuels_SE*EF_biofuel_N2O+(1-Share_biofuels_SE)*EF_oil_N2O)+(1-Share_heating_SE)*EF_el_N2O_SE)</f>
        <v>8.172400819999999E-7</v>
      </c>
      <c r="X55" s="4">
        <f>(Energy_slaughter_el_SE*EF_el_N2O_SE+Energy_slaughter_oil_SE*EF_oil_N2O)*Production!K16</f>
        <v>2.2247904434749534E-7</v>
      </c>
    </row>
    <row r="56" spans="1:27" ht="15" thickTop="1" x14ac:dyDescent="0.3">
      <c r="A56" s="128" t="s">
        <v>128</v>
      </c>
      <c r="B56" s="128" t="s">
        <v>129</v>
      </c>
      <c r="C56" s="129"/>
      <c r="D56" s="130" t="s">
        <v>34</v>
      </c>
      <c r="E56" s="130" t="s">
        <v>93</v>
      </c>
      <c r="F56" s="131" t="s">
        <v>134</v>
      </c>
      <c r="G56" s="153">
        <f t="shared" si="0"/>
        <v>1.0772664710953457</v>
      </c>
      <c r="H56" s="165">
        <f>SUMPRODUCT(H52:H55,'Parameters, general'!$B$13:$B$16)</f>
        <v>0.25920766758911762</v>
      </c>
      <c r="I56" s="132">
        <f>SUMPRODUCT(I52:I55,'Parameters, general'!$B$13:$B$16)</f>
        <v>7.0493008166755175E-2</v>
      </c>
      <c r="J56" s="132">
        <f>SUMPRODUCT(J52:J55,'Parameters, general'!$B$13:$B$16)</f>
        <v>0.40720602305677422</v>
      </c>
      <c r="K56" s="132">
        <f>SUMPRODUCT(K52:K55,'Parameters, general'!$B$13:$B$16)</f>
        <v>4.0720602305677429E-2</v>
      </c>
      <c r="L56" s="132">
        <f>SUMPRODUCT(L52:L55,'Parameters, general'!$B$13:$B$16)</f>
        <v>8.5867729075297564E-2</v>
      </c>
      <c r="M56" s="132">
        <f>SUMPRODUCT(M52:M55,'Parameters, general'!$B$13:$B$16)</f>
        <v>0</v>
      </c>
      <c r="N56" s="132">
        <f>SUMPRODUCT(N52:N55,'Parameters, general'!$B$13:$B$16)</f>
        <v>1.3353802718744551E-4</v>
      </c>
      <c r="O56" s="132">
        <f>SUMPRODUCT(O52:O55,'Parameters, general'!$B$13:$B$16)</f>
        <v>8.4052215088759541E-2</v>
      </c>
      <c r="P56" s="132">
        <f>SUMPRODUCT(P52:P55,'Parameters, general'!$B$13:$B$16)</f>
        <v>2.6297592751658386E-2</v>
      </c>
      <c r="Q56" s="132">
        <f>SUMPRODUCT(Q52:Q55,'Parameters, general'!$B$13:$B$16)</f>
        <v>1.223763848033568E-2</v>
      </c>
      <c r="R56" s="132">
        <f>SUMPRODUCT(R52:R55,'Parameters, general'!$B$13:$B$16)</f>
        <v>2.6366678389495184E-2</v>
      </c>
      <c r="S56" s="132"/>
      <c r="T56" s="132">
        <f>SUMPRODUCT(T52:T55,'Parameters, general'!$B$13:$B$16)</f>
        <v>5.2545830082210997E-2</v>
      </c>
      <c r="U56" s="133"/>
      <c r="V56" s="133"/>
      <c r="W56" s="132">
        <f>SUMPRODUCT(W52:W55,'Parameters, general'!$B$13:$B$16)</f>
        <v>9.3610105902267021E-3</v>
      </c>
      <c r="X56" s="132">
        <f>SUMPRODUCT(X52:X55,'Parameters, general'!$B$13:$B$16)</f>
        <v>2.7769374918496098E-3</v>
      </c>
      <c r="Z56" s="109">
        <f>SUM(H56:R56)</f>
        <v>1.0125826929310584</v>
      </c>
      <c r="AA56" s="151">
        <f>'CO2 per kg feed'!F125+'CH4 per kg feed'!F125*CF_GWP_CH4_fossil+'N2O per kg feed'!F125*CF_GWP_N2O</f>
        <v>0.41712369272562866</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2"/>
  <sheetViews>
    <sheetView tabSelected="1" zoomScale="92" zoomScaleNormal="110" workbookViewId="0">
      <selection activeCell="B22" sqref="B22"/>
    </sheetView>
  </sheetViews>
  <sheetFormatPr defaultColWidth="8.88671875" defaultRowHeight="14.4" x14ac:dyDescent="0.3"/>
  <cols>
    <col min="1" max="1" width="59.44140625" customWidth="1"/>
    <col min="2" max="10" width="10.5546875" customWidth="1"/>
    <col min="11" max="11" width="10.5546875" style="176" customWidth="1"/>
  </cols>
  <sheetData>
    <row r="1" spans="1:20" x14ac:dyDescent="0.3">
      <c r="K1"/>
      <c r="L1" s="17"/>
    </row>
    <row r="2" spans="1:20" ht="18" x14ac:dyDescent="0.35">
      <c r="A2" s="1" t="s">
        <v>137</v>
      </c>
      <c r="B2" t="s">
        <v>84</v>
      </c>
      <c r="C2" t="s">
        <v>85</v>
      </c>
      <c r="D2" t="s">
        <v>86</v>
      </c>
      <c r="E2" t="s">
        <v>87</v>
      </c>
      <c r="F2" t="s">
        <v>88</v>
      </c>
      <c r="G2" t="s">
        <v>89</v>
      </c>
      <c r="H2" t="s">
        <v>90</v>
      </c>
      <c r="I2" t="s">
        <v>91</v>
      </c>
      <c r="J2" t="s">
        <v>92</v>
      </c>
      <c r="K2" s="184" t="s">
        <v>93</v>
      </c>
    </row>
    <row r="3" spans="1:20" ht="18" x14ac:dyDescent="0.35">
      <c r="A3" s="1"/>
      <c r="B3" s="122" t="s">
        <v>36</v>
      </c>
      <c r="C3" s="122" t="s">
        <v>33</v>
      </c>
      <c r="D3" s="122" t="s">
        <v>31</v>
      </c>
      <c r="E3" s="122" t="s">
        <v>40</v>
      </c>
      <c r="F3" s="122" t="s">
        <v>37</v>
      </c>
      <c r="G3" s="122" t="s">
        <v>39</v>
      </c>
      <c r="H3" s="122" t="s">
        <v>32</v>
      </c>
      <c r="I3" s="122" t="s">
        <v>30</v>
      </c>
      <c r="J3" s="122" t="s">
        <v>38</v>
      </c>
      <c r="K3" s="193" t="s">
        <v>34</v>
      </c>
      <c r="T3" s="192"/>
    </row>
    <row r="4" spans="1:20" x14ac:dyDescent="0.3">
      <c r="A4" s="113" t="s">
        <v>138</v>
      </c>
      <c r="B4" s="127"/>
      <c r="C4" s="127"/>
      <c r="D4" s="127"/>
      <c r="E4" s="127"/>
      <c r="F4" s="127"/>
      <c r="G4" s="127"/>
      <c r="H4" s="127"/>
      <c r="I4" s="127"/>
      <c r="J4" s="127"/>
      <c r="K4" s="185"/>
      <c r="T4" s="192"/>
    </row>
    <row r="5" spans="1:20" x14ac:dyDescent="0.3">
      <c r="A5" s="3" t="s">
        <v>139</v>
      </c>
      <c r="B5" s="189">
        <v>100</v>
      </c>
      <c r="C5" s="189">
        <v>100</v>
      </c>
      <c r="D5" s="189">
        <v>100</v>
      </c>
      <c r="E5" s="189">
        <v>100</v>
      </c>
      <c r="F5" s="189">
        <v>100</v>
      </c>
      <c r="G5" s="189">
        <v>100</v>
      </c>
      <c r="H5" s="189">
        <v>100</v>
      </c>
      <c r="I5" s="189">
        <v>100</v>
      </c>
      <c r="J5" s="189">
        <v>100</v>
      </c>
      <c r="K5" s="189">
        <v>100</v>
      </c>
      <c r="M5" s="94" t="s">
        <v>140</v>
      </c>
      <c r="T5" s="192"/>
    </row>
    <row r="6" spans="1:20" x14ac:dyDescent="0.3">
      <c r="A6" s="3" t="s">
        <v>141</v>
      </c>
      <c r="B6" s="171">
        <f>No_laying_hens_FR*365/'Parameters, country spec'!B$5</f>
        <v>68.609022556390983</v>
      </c>
      <c r="C6" s="171">
        <f>No_laying_hens_DE*365/'Parameters, country spec'!C$5</f>
        <v>68.609022556390983</v>
      </c>
      <c r="D6" s="171">
        <f>No_laying_hens_GR*365/'Parameters, country spec'!D$5</f>
        <v>68.609022556390983</v>
      </c>
      <c r="E6" s="171">
        <f>No_laying_hens_HU*365/'Parameters, country spec'!E$5</f>
        <v>68.609022556390983</v>
      </c>
      <c r="F6" s="171">
        <f>No_laying_hens_IE*365/'Parameters, country spec'!F$5</f>
        <v>68.609022556390983</v>
      </c>
      <c r="G6" s="171">
        <f>No_laying_hens_IT*365/'Parameters, country spec'!G$5</f>
        <v>68.609022556390983</v>
      </c>
      <c r="H6" s="171">
        <f>No_laying_hens_NL*365/'Parameters, country spec'!H$5</f>
        <v>68.609022556390983</v>
      </c>
      <c r="I6" s="171">
        <f>No_laying_hens_PL*365/'Parameters, country spec'!I$5</f>
        <v>68.609022556390983</v>
      </c>
      <c r="J6" s="171">
        <f>No_laying_hens_ES*365/'Parameters, country spec'!J$5</f>
        <v>68.609022556390983</v>
      </c>
      <c r="K6" s="171">
        <f>No_laying_hens_SE*365/'Parameters, country spec'!K$5</f>
        <v>68.609022556390983</v>
      </c>
      <c r="M6" s="179" t="s">
        <v>142</v>
      </c>
      <c r="T6" s="192"/>
    </row>
    <row r="7" spans="1:20" x14ac:dyDescent="0.3">
      <c r="A7" s="6" t="s">
        <v>143</v>
      </c>
      <c r="B7" s="186">
        <f>SUM(B5:B6)</f>
        <v>168.60902255639098</v>
      </c>
      <c r="C7" s="186">
        <f t="shared" ref="C7:K7" si="0">SUM(C5:C6)</f>
        <v>168.60902255639098</v>
      </c>
      <c r="D7" s="186">
        <f t="shared" si="0"/>
        <v>168.60902255639098</v>
      </c>
      <c r="E7" s="186">
        <f>SUM(E5:E6)</f>
        <v>168.60902255639098</v>
      </c>
      <c r="F7" s="186">
        <f t="shared" si="0"/>
        <v>168.60902255639098</v>
      </c>
      <c r="G7" s="186">
        <f t="shared" si="0"/>
        <v>168.60902255639098</v>
      </c>
      <c r="H7" s="186">
        <f t="shared" si="0"/>
        <v>168.60902255639098</v>
      </c>
      <c r="I7" s="186">
        <f t="shared" si="0"/>
        <v>168.60902255639098</v>
      </c>
      <c r="J7" s="186">
        <f t="shared" si="0"/>
        <v>168.60902255639098</v>
      </c>
      <c r="K7" s="186">
        <f t="shared" si="0"/>
        <v>168.60902255639098</v>
      </c>
      <c r="M7" s="94"/>
      <c r="T7" s="192"/>
    </row>
    <row r="8" spans="1:20" x14ac:dyDescent="0.3">
      <c r="A8" s="113" t="s">
        <v>144</v>
      </c>
      <c r="B8" s="71"/>
      <c r="C8" s="71"/>
      <c r="D8" s="71"/>
      <c r="E8" s="71"/>
      <c r="F8" s="71"/>
      <c r="G8" s="71"/>
      <c r="H8" s="71"/>
      <c r="I8" s="71"/>
      <c r="J8" s="71"/>
      <c r="K8" s="71"/>
      <c r="M8" s="94"/>
      <c r="T8" s="192"/>
    </row>
    <row r="9" spans="1:20" x14ac:dyDescent="0.3">
      <c r="A9" s="3" t="s">
        <v>145</v>
      </c>
      <c r="B9" s="171">
        <f>No_laying_hens_FR*365/'Parameters, country spec'!B$5</f>
        <v>68.609022556390983</v>
      </c>
      <c r="C9" s="171">
        <f>No_laying_hens_DE*365/'Parameters, country spec'!C5</f>
        <v>68.609022556390983</v>
      </c>
      <c r="D9" s="171">
        <f>No_laying_hens_GR*365/'Parameters, country spec'!D5</f>
        <v>68.609022556390983</v>
      </c>
      <c r="E9" s="171">
        <f>No_laying_hens_HU*365/'Parameters, country spec'!E5</f>
        <v>68.609022556390983</v>
      </c>
      <c r="F9" s="171">
        <f>No_laying_hens_IE*365/'Parameters, country spec'!F5</f>
        <v>68.609022556390983</v>
      </c>
      <c r="G9" s="171">
        <f>No_laying_hens_IT*365/'Parameters, country spec'!G5</f>
        <v>68.609022556390983</v>
      </c>
      <c r="H9" s="171">
        <f>No_laying_hens_NL*365/'Parameters, country spec'!H5</f>
        <v>68.609022556390983</v>
      </c>
      <c r="I9" s="171">
        <f>No_laying_hens_PL*365/'Parameters, country spec'!I5</f>
        <v>68.609022556390983</v>
      </c>
      <c r="J9" s="171">
        <f>No_laying_hens_ES*365/'Parameters, country spec'!J5</f>
        <v>68.609022556390983</v>
      </c>
      <c r="K9" s="171">
        <f>No_laying_hens_SE*365/'Parameters, country spec'!K5</f>
        <v>68.609022556390983</v>
      </c>
      <c r="L9" s="16"/>
      <c r="M9" s="182"/>
      <c r="T9" s="192"/>
    </row>
    <row r="10" spans="1:20" x14ac:dyDescent="0.3">
      <c r="A10" s="6" t="s">
        <v>143</v>
      </c>
      <c r="B10" s="186">
        <f t="shared" ref="B10:K10" si="1">SUM(B9:B9)</f>
        <v>68.609022556390983</v>
      </c>
      <c r="C10" s="186">
        <f t="shared" si="1"/>
        <v>68.609022556390983</v>
      </c>
      <c r="D10" s="186">
        <f t="shared" si="1"/>
        <v>68.609022556390983</v>
      </c>
      <c r="E10" s="186">
        <f t="shared" si="1"/>
        <v>68.609022556390983</v>
      </c>
      <c r="F10" s="186">
        <f t="shared" si="1"/>
        <v>68.609022556390983</v>
      </c>
      <c r="G10" s="186">
        <f t="shared" si="1"/>
        <v>68.609022556390983</v>
      </c>
      <c r="H10" s="186">
        <f t="shared" si="1"/>
        <v>68.609022556390983</v>
      </c>
      <c r="I10" s="186">
        <f t="shared" si="1"/>
        <v>68.609022556390983</v>
      </c>
      <c r="J10" s="186">
        <f t="shared" si="1"/>
        <v>68.609022556390983</v>
      </c>
      <c r="K10" s="186">
        <f t="shared" si="1"/>
        <v>68.609022556390983</v>
      </c>
      <c r="M10" s="94"/>
    </row>
    <row r="11" spans="1:20" x14ac:dyDescent="0.3">
      <c r="A11" s="113" t="s">
        <v>146</v>
      </c>
      <c r="B11" s="187"/>
      <c r="C11" s="187"/>
      <c r="D11" s="187"/>
      <c r="E11" s="187"/>
      <c r="F11" s="187"/>
      <c r="G11" s="187"/>
      <c r="H11" s="187"/>
      <c r="I11" s="187"/>
      <c r="J11" s="187"/>
      <c r="K11" s="187"/>
      <c r="M11" s="94"/>
    </row>
    <row r="12" spans="1:20" x14ac:dyDescent="0.3">
      <c r="A12" s="3" t="s">
        <v>147</v>
      </c>
      <c r="B12" s="184">
        <f>No_laying_hens_FR*'Parameters, country spec'!B$7*'Parameters, country spec'!B$8*'Parameters, country spec'!B$6/100</f>
        <v>10.78</v>
      </c>
      <c r="C12" s="184">
        <f>No_laying_hens_DE*'Parameters, country spec'!B7*'Parameters, country spec'!B8*'Parameters, country spec'!B6/100</f>
        <v>10.78</v>
      </c>
      <c r="D12" s="184">
        <f>No_laying_hens_GR*'Parameters, country spec'!C7*'Parameters, country spec'!C8*'Parameters, country spec'!C6/100</f>
        <v>10.78</v>
      </c>
      <c r="E12" s="184">
        <f>No_laying_hens_HU*'Parameters, country spec'!D7*'Parameters, country spec'!D8*'Parameters, country spec'!D6/100</f>
        <v>10.78</v>
      </c>
      <c r="F12" s="184">
        <f>No_laying_hens_IE*'Parameters, country spec'!E7*'Parameters, country spec'!E8*'Parameters, country spec'!E6/100</f>
        <v>10.78</v>
      </c>
      <c r="G12" s="184">
        <f>No_laying_hens_IT*'Parameters, country spec'!F7*'Parameters, country spec'!F8*'Parameters, country spec'!F6/100</f>
        <v>10.78</v>
      </c>
      <c r="H12" s="184">
        <f>No_laying_hens_NL*'Parameters, country spec'!G7*'Parameters, country spec'!G8*'Parameters, country spec'!G6/100</f>
        <v>10.78</v>
      </c>
      <c r="I12" s="184">
        <f>No_laying_hens_PL*'Parameters, country spec'!H7*'Parameters, country spec'!H8*'Parameters, country spec'!H6/100</f>
        <v>10.78</v>
      </c>
      <c r="J12" s="184">
        <f>No_laying_hens_ES*'Parameters, country spec'!I7*'Parameters, country spec'!I8*'Parameters, country spec'!I6/100</f>
        <v>10.78</v>
      </c>
      <c r="K12" s="184">
        <f>No_laying_hens_SE*'Parameters, country spec'!J7*'Parameters, country spec'!J8*'Parameters, country spec'!J6/100</f>
        <v>10.78</v>
      </c>
      <c r="M12" s="94" t="s">
        <v>148</v>
      </c>
    </row>
    <row r="13" spans="1:20" x14ac:dyDescent="0.3">
      <c r="A13" s="3" t="s">
        <v>149</v>
      </c>
      <c r="B13" s="189">
        <f>No_laying_hens_DE*'Parameters, country spec'!B$9</f>
        <v>1809.0089189796888</v>
      </c>
      <c r="C13" s="189">
        <f>No_laying_hens_DE*'Parameters, country spec'!C9</f>
        <v>1802.0071085093036</v>
      </c>
      <c r="D13" s="189">
        <f>No_laying_hens_GR*'Parameters, country spec'!D9</f>
        <v>1437.4143385110767</v>
      </c>
      <c r="E13" s="189">
        <f>No_laying_hens_HU*'Parameters, country spec'!E9</f>
        <v>1437.4143385110767</v>
      </c>
      <c r="F13" s="189">
        <f>No_laying_hens_IE*'Parameters, country spec'!F9</f>
        <v>1932.7951481112027</v>
      </c>
      <c r="G13" s="189">
        <f>No_laying_hens_IT*'Parameters, country spec'!G9</f>
        <v>1667.245656263837</v>
      </c>
      <c r="H13" s="189">
        <f>No_laying_hens_NL*'Parameters, country spec'!H9</f>
        <v>1550.8715875415814</v>
      </c>
      <c r="I13" s="189">
        <f>No_laying_hens_PL*'Parameters, country spec'!I9</f>
        <v>1507.8713427286052</v>
      </c>
      <c r="J13" s="189">
        <f>No_laying_hens_ES*'Parameters, country spec'!J9</f>
        <v>1667.245656263837</v>
      </c>
      <c r="K13" s="189">
        <f>No_laying_hens_SE*'Parameters, country spec'!K9</f>
        <v>1550.8715875415814</v>
      </c>
    </row>
    <row r="14" spans="1:20" x14ac:dyDescent="0.3">
      <c r="A14" s="6" t="s">
        <v>143</v>
      </c>
      <c r="B14" s="186">
        <f>SUM(B12:B13)</f>
        <v>1819.7889189796888</v>
      </c>
      <c r="C14" s="186">
        <f t="shared" ref="C14:K14" si="2">SUM(C12:C13)</f>
        <v>1812.7871085093036</v>
      </c>
      <c r="D14" s="186">
        <f t="shared" si="2"/>
        <v>1448.1943385110767</v>
      </c>
      <c r="E14" s="186">
        <f>SUM(E12:E13)</f>
        <v>1448.1943385110767</v>
      </c>
      <c r="F14" s="186">
        <f t="shared" si="2"/>
        <v>1943.5751481112027</v>
      </c>
      <c r="G14" s="186">
        <f t="shared" si="2"/>
        <v>1678.0256562638369</v>
      </c>
      <c r="H14" s="186">
        <f t="shared" si="2"/>
        <v>1561.6515875415814</v>
      </c>
      <c r="I14" s="186">
        <f t="shared" si="2"/>
        <v>1518.6513427286052</v>
      </c>
      <c r="J14" s="186">
        <f t="shared" si="2"/>
        <v>1678.0256562638369</v>
      </c>
      <c r="K14" s="186">
        <f t="shared" si="2"/>
        <v>1561.6515875415814</v>
      </c>
    </row>
    <row r="15" spans="1:20" x14ac:dyDescent="0.3">
      <c r="A15" s="113" t="s">
        <v>150</v>
      </c>
      <c r="B15" s="185"/>
      <c r="C15" s="185"/>
      <c r="D15" s="185"/>
      <c r="E15" s="185"/>
      <c r="F15" s="185"/>
      <c r="G15" s="185"/>
      <c r="H15" s="185"/>
      <c r="I15" s="185"/>
      <c r="J15" s="185"/>
      <c r="K15" s="185"/>
    </row>
    <row r="16" spans="1:20" x14ac:dyDescent="0.3">
      <c r="A16" s="3" t="s">
        <v>151</v>
      </c>
      <c r="B16" s="19">
        <f>No_laying_hens_FR/B$14</f>
        <v>5.495142813380112E-2</v>
      </c>
      <c r="C16" s="19">
        <f>No_laying_hens_DE/C$14</f>
        <v>5.5163675607905381E-2</v>
      </c>
      <c r="D16" s="19">
        <f>No_laying_hens_GR/D$14</f>
        <v>6.9051505962115831E-2</v>
      </c>
      <c r="E16" s="19">
        <f>No_laying_hens_HU/E$14</f>
        <v>6.9051505962115831E-2</v>
      </c>
      <c r="F16" s="19">
        <f>No_laying_hens_IE/F$14</f>
        <v>5.1451573713103708E-2</v>
      </c>
      <c r="G16" s="19">
        <f>No_laying_hens_IT/G$14</f>
        <v>5.9593844484268688E-2</v>
      </c>
      <c r="H16" s="19">
        <f>No_laying_hens_NL/H$14</f>
        <v>6.4034769853770185E-2</v>
      </c>
      <c r="I16" s="19">
        <f>No_laying_hens_PL/I$14</f>
        <v>6.5847898847096187E-2</v>
      </c>
      <c r="J16" s="19">
        <f>No_laying_hens_ES/J$14</f>
        <v>5.9593844484268688E-2</v>
      </c>
      <c r="K16" s="19">
        <f>No_laying_hens_SE/K$14</f>
        <v>6.4034769853770185E-2</v>
      </c>
    </row>
    <row r="17" spans="1:11" x14ac:dyDescent="0.3">
      <c r="A17" s="3"/>
      <c r="B17" s="19"/>
      <c r="C17" s="19"/>
      <c r="D17" s="19"/>
      <c r="E17" s="19"/>
      <c r="F17" s="19"/>
      <c r="G17" s="19"/>
      <c r="H17" s="19"/>
      <c r="I17" s="19"/>
      <c r="J17" s="19"/>
      <c r="K17" s="19"/>
    </row>
    <row r="18" spans="1:11" x14ac:dyDescent="0.3">
      <c r="A18" s="297" t="s">
        <v>493</v>
      </c>
      <c r="B18" s="19"/>
      <c r="C18" s="19"/>
      <c r="D18" s="19"/>
      <c r="E18" s="19"/>
      <c r="F18" s="19"/>
      <c r="G18" s="19"/>
      <c r="H18" s="19"/>
      <c r="I18" s="19"/>
      <c r="J18" s="19"/>
      <c r="K18" s="19"/>
    </row>
    <row r="19" spans="1:11" x14ac:dyDescent="0.3">
      <c r="A19" s="3" t="s">
        <v>495</v>
      </c>
      <c r="B19" s="184">
        <f>16*1000/60</f>
        <v>266.66666666666669</v>
      </c>
      <c r="C19" s="190"/>
      <c r="D19" s="190"/>
      <c r="E19" s="190"/>
      <c r="F19" s="190"/>
      <c r="G19" s="190"/>
      <c r="H19" s="190"/>
      <c r="I19" s="190"/>
      <c r="J19" s="190"/>
      <c r="K19" s="190"/>
    </row>
    <row r="20" spans="1:11" x14ac:dyDescent="0.3">
      <c r="A20" s="3" t="s">
        <v>494</v>
      </c>
      <c r="B20" s="258">
        <f>B19/2</f>
        <v>133.33333333333334</v>
      </c>
      <c r="K20" s="16"/>
    </row>
    <row r="21" spans="1:11" x14ac:dyDescent="0.3">
      <c r="A21" s="3" t="s">
        <v>496</v>
      </c>
      <c r="B21">
        <f>1/B20</f>
        <v>7.4999999999999997E-3</v>
      </c>
    </row>
    <row r="22" spans="1:11" x14ac:dyDescent="0.3">
      <c r="A22" s="3" t="s">
        <v>497</v>
      </c>
      <c r="B22">
        <f>B21/18</f>
        <v>4.1666666666666664E-4</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4" tint="0.39997558519241921"/>
  </sheetPr>
  <dimension ref="A2:Q73"/>
  <sheetViews>
    <sheetView zoomScale="80" zoomScaleNormal="80" workbookViewId="0">
      <selection activeCell="B9" sqref="B9:K9"/>
    </sheetView>
  </sheetViews>
  <sheetFormatPr defaultColWidth="8.88671875" defaultRowHeight="14.4" x14ac:dyDescent="0.3"/>
  <cols>
    <col min="1" max="1" width="55.88671875" customWidth="1"/>
    <col min="2" max="10" width="10.5546875" customWidth="1"/>
    <col min="11" max="11" width="10.5546875" style="176" customWidth="1"/>
    <col min="13" max="13" width="29.44140625" customWidth="1"/>
    <col min="14" max="14" width="24.44140625" customWidth="1"/>
  </cols>
  <sheetData>
    <row r="2" spans="1:15" ht="18" x14ac:dyDescent="0.35">
      <c r="A2" s="1" t="s">
        <v>152</v>
      </c>
    </row>
    <row r="3" spans="1:15" x14ac:dyDescent="0.3">
      <c r="B3" t="s">
        <v>84</v>
      </c>
      <c r="C3" t="s">
        <v>85</v>
      </c>
      <c r="D3" t="s">
        <v>86</v>
      </c>
      <c r="E3" t="s">
        <v>87</v>
      </c>
      <c r="F3" t="s">
        <v>88</v>
      </c>
      <c r="G3" t="s">
        <v>89</v>
      </c>
      <c r="H3" t="s">
        <v>90</v>
      </c>
      <c r="I3" t="s">
        <v>91</v>
      </c>
      <c r="J3" t="s">
        <v>92</v>
      </c>
      <c r="K3" s="17" t="s">
        <v>93</v>
      </c>
      <c r="M3" t="s">
        <v>153</v>
      </c>
    </row>
    <row r="4" spans="1:15" x14ac:dyDescent="0.3">
      <c r="A4" s="126" t="s">
        <v>154</v>
      </c>
      <c r="B4" s="126" t="s">
        <v>36</v>
      </c>
      <c r="C4" s="126" t="s">
        <v>33</v>
      </c>
      <c r="D4" s="126" t="s">
        <v>31</v>
      </c>
      <c r="E4" s="126" t="s">
        <v>40</v>
      </c>
      <c r="F4" s="126" t="s">
        <v>37</v>
      </c>
      <c r="G4" s="126" t="s">
        <v>39</v>
      </c>
      <c r="H4" s="126" t="s">
        <v>32</v>
      </c>
      <c r="I4" s="126" t="s">
        <v>30</v>
      </c>
      <c r="J4" s="126" t="s">
        <v>38</v>
      </c>
      <c r="K4" s="126" t="s">
        <v>34</v>
      </c>
      <c r="M4" s="126" t="s">
        <v>34</v>
      </c>
      <c r="N4" s="126" t="s">
        <v>41</v>
      </c>
      <c r="O4" s="126" t="s">
        <v>155</v>
      </c>
    </row>
    <row r="5" spans="1:15" x14ac:dyDescent="0.3">
      <c r="A5" s="3" t="s">
        <v>156</v>
      </c>
      <c r="B5" s="13">
        <v>532</v>
      </c>
      <c r="C5" s="13">
        <v>532</v>
      </c>
      <c r="D5" s="13">
        <v>532</v>
      </c>
      <c r="E5" s="13">
        <v>532</v>
      </c>
      <c r="F5" s="13">
        <v>532</v>
      </c>
      <c r="G5" s="13">
        <v>532</v>
      </c>
      <c r="H5" s="13">
        <v>532</v>
      </c>
      <c r="I5" s="13">
        <v>532</v>
      </c>
      <c r="J5" s="13">
        <v>532</v>
      </c>
      <c r="K5" s="13">
        <v>532</v>
      </c>
      <c r="M5" s="93" t="s">
        <v>157</v>
      </c>
      <c r="N5" s="93"/>
    </row>
    <row r="6" spans="1:15" x14ac:dyDescent="0.3">
      <c r="A6" s="3" t="s">
        <v>158</v>
      </c>
      <c r="B6" s="13">
        <v>10</v>
      </c>
      <c r="C6" s="13">
        <v>10</v>
      </c>
      <c r="D6" s="13">
        <v>10</v>
      </c>
      <c r="E6" s="13">
        <v>10</v>
      </c>
      <c r="F6" s="13">
        <v>10</v>
      </c>
      <c r="G6" s="13">
        <v>10</v>
      </c>
      <c r="H6" s="13">
        <v>10</v>
      </c>
      <c r="I6" s="13">
        <v>10</v>
      </c>
      <c r="J6" s="13">
        <v>10</v>
      </c>
      <c r="K6" s="13">
        <v>10</v>
      </c>
      <c r="M6" s="205" t="s">
        <v>159</v>
      </c>
      <c r="N6" s="93"/>
    </row>
    <row r="7" spans="1:15" x14ac:dyDescent="0.3">
      <c r="A7" s="3" t="s">
        <v>160</v>
      </c>
      <c r="B7" s="13">
        <v>1.4</v>
      </c>
      <c r="C7" s="13">
        <v>1.4</v>
      </c>
      <c r="D7" s="13">
        <v>1.4</v>
      </c>
      <c r="E7" s="13">
        <v>1.4</v>
      </c>
      <c r="F7" s="13">
        <v>1.4</v>
      </c>
      <c r="G7" s="13">
        <v>1.4</v>
      </c>
      <c r="H7" s="13">
        <v>1.4</v>
      </c>
      <c r="I7" s="13">
        <v>1.4</v>
      </c>
      <c r="J7" s="13">
        <v>1.4</v>
      </c>
      <c r="K7" s="13">
        <v>1.4</v>
      </c>
      <c r="M7" s="93" t="s">
        <v>161</v>
      </c>
      <c r="N7" s="93"/>
    </row>
    <row r="8" spans="1:15" x14ac:dyDescent="0.3">
      <c r="A8" s="3" t="s">
        <v>162</v>
      </c>
      <c r="B8" s="13">
        <v>0.77</v>
      </c>
      <c r="C8" s="13">
        <v>0.77</v>
      </c>
      <c r="D8" s="13">
        <v>0.77</v>
      </c>
      <c r="E8" s="13">
        <v>0.77</v>
      </c>
      <c r="F8" s="13">
        <v>0.77</v>
      </c>
      <c r="G8" s="13">
        <v>0.77</v>
      </c>
      <c r="H8" s="13">
        <v>0.77</v>
      </c>
      <c r="I8" s="13">
        <v>0.77</v>
      </c>
      <c r="J8" s="13">
        <v>0.77</v>
      </c>
      <c r="K8" s="13">
        <v>0.77</v>
      </c>
      <c r="M8" s="93" t="s">
        <v>163</v>
      </c>
      <c r="N8" s="93"/>
    </row>
    <row r="9" spans="1:15" x14ac:dyDescent="0.3">
      <c r="A9" s="3" t="s">
        <v>164</v>
      </c>
      <c r="B9" s="124">
        <f>'Egg yield'!X23</f>
        <v>18.090089189796888</v>
      </c>
      <c r="C9" s="124">
        <f>'Egg yield'!X19</f>
        <v>18.020071085093036</v>
      </c>
      <c r="D9" s="124">
        <f>E9</f>
        <v>14.374143385110767</v>
      </c>
      <c r="E9" s="124">
        <f>'Egg yield'!X29</f>
        <v>14.374143385110767</v>
      </c>
      <c r="F9" s="124">
        <f>'Egg yield'!X21</f>
        <v>19.327951481112027</v>
      </c>
      <c r="G9" s="124">
        <f>J9</f>
        <v>16.67245656263837</v>
      </c>
      <c r="H9" s="124">
        <f>K9</f>
        <v>15.508715875415815</v>
      </c>
      <c r="I9" s="124">
        <f>'Egg yield'!X31</f>
        <v>15.078713427286052</v>
      </c>
      <c r="J9" s="124">
        <f>'Egg yield'!X22</f>
        <v>16.67245656263837</v>
      </c>
      <c r="K9" s="124">
        <f>'Egg yield'!J55</f>
        <v>15.508715875415815</v>
      </c>
      <c r="M9" s="93" t="s">
        <v>165</v>
      </c>
      <c r="N9" s="93"/>
    </row>
    <row r="10" spans="1:15" x14ac:dyDescent="0.3">
      <c r="A10" s="3" t="s">
        <v>166</v>
      </c>
      <c r="B10" s="14">
        <v>3.5</v>
      </c>
      <c r="C10" s="14">
        <v>4</v>
      </c>
      <c r="D10" s="14">
        <v>3.5</v>
      </c>
      <c r="E10" s="14">
        <v>3</v>
      </c>
      <c r="F10" s="14">
        <v>3.5</v>
      </c>
      <c r="G10" s="14">
        <v>3.5</v>
      </c>
      <c r="H10" s="14">
        <v>4</v>
      </c>
      <c r="I10" s="14">
        <v>3</v>
      </c>
      <c r="J10" s="14">
        <v>3</v>
      </c>
      <c r="K10" s="14">
        <v>4</v>
      </c>
      <c r="M10" s="93" t="s">
        <v>167</v>
      </c>
      <c r="N10" s="93"/>
    </row>
    <row r="11" spans="1:15" x14ac:dyDescent="0.3">
      <c r="M11" s="94"/>
      <c r="N11" s="93"/>
    </row>
    <row r="12" spans="1:15" x14ac:dyDescent="0.3">
      <c r="A12" s="126" t="s">
        <v>168</v>
      </c>
      <c r="B12" s="126"/>
      <c r="C12" s="126"/>
      <c r="D12" s="126"/>
      <c r="E12" s="126"/>
      <c r="F12" s="126"/>
      <c r="G12" s="126"/>
      <c r="H12" s="126"/>
      <c r="I12" s="126"/>
      <c r="J12" s="126"/>
      <c r="K12" s="180"/>
      <c r="M12" s="94"/>
      <c r="N12" s="93"/>
    </row>
    <row r="13" spans="1:15" x14ac:dyDescent="0.3">
      <c r="A13" s="89" t="s">
        <v>169</v>
      </c>
      <c r="B13" s="78">
        <v>0.16402988956347125</v>
      </c>
      <c r="C13" s="78">
        <v>0.14354403090911608</v>
      </c>
      <c r="D13" s="78">
        <v>0.17624165446480369</v>
      </c>
      <c r="E13" s="78">
        <v>9.4621646910172968E-2</v>
      </c>
      <c r="F13" s="78">
        <v>1.5696345190060232E-2</v>
      </c>
      <c r="G13" s="78">
        <v>8.7634739536272627E-2</v>
      </c>
      <c r="H13" s="78">
        <v>9.5526549752842554E-2</v>
      </c>
      <c r="I13" s="78">
        <v>0.21737956315257037</v>
      </c>
      <c r="J13" s="78">
        <v>0.25867404183720522</v>
      </c>
      <c r="K13" s="78">
        <v>0.13430583669548862</v>
      </c>
      <c r="M13" s="94" t="s">
        <v>170</v>
      </c>
      <c r="N13" s="93"/>
    </row>
    <row r="14" spans="1:15" x14ac:dyDescent="0.3">
      <c r="A14" s="90" t="s">
        <v>171</v>
      </c>
      <c r="B14" s="78">
        <v>0.26979047748052715</v>
      </c>
      <c r="C14" s="78">
        <v>0.2137111814189753</v>
      </c>
      <c r="D14" s="78">
        <v>0.52712316765456624</v>
      </c>
      <c r="E14" s="78">
        <v>0.56124001601073992</v>
      </c>
      <c r="F14" s="78">
        <v>4.3262189278547086E-3</v>
      </c>
      <c r="G14" s="78">
        <v>0.57303226549823605</v>
      </c>
      <c r="H14" s="78">
        <v>0.28688514594124215</v>
      </c>
      <c r="I14" s="78">
        <v>0.29778613267856163</v>
      </c>
      <c r="J14" s="78">
        <v>0.34116788941693649</v>
      </c>
      <c r="K14" s="78">
        <v>5.9748696560920867E-3</v>
      </c>
      <c r="M14" s="94"/>
      <c r="N14" s="93"/>
    </row>
    <row r="15" spans="1:15" x14ac:dyDescent="0.3">
      <c r="A15" s="90" t="s">
        <v>172</v>
      </c>
      <c r="B15" s="78">
        <v>1.8587387131106827E-2</v>
      </c>
      <c r="C15" s="78">
        <v>2.8572983193664684E-5</v>
      </c>
      <c r="D15" s="78">
        <v>4.7896893432639032E-2</v>
      </c>
      <c r="E15" s="78">
        <v>5.0680010317105902E-2</v>
      </c>
      <c r="F15" s="78">
        <v>9.0473725401480211E-4</v>
      </c>
      <c r="G15" s="78">
        <v>1.8199416246980425E-2</v>
      </c>
      <c r="H15" s="78">
        <v>3.1378297013894313E-3</v>
      </c>
      <c r="I15" s="78">
        <v>6.5103880953803588E-3</v>
      </c>
      <c r="J15" s="78">
        <v>4.0331815431012885E-2</v>
      </c>
      <c r="K15" s="78">
        <v>0.14610456381313297</v>
      </c>
      <c r="M15" s="94"/>
      <c r="N15" s="93"/>
    </row>
    <row r="16" spans="1:15" x14ac:dyDescent="0.3">
      <c r="A16" s="90" t="s">
        <v>173</v>
      </c>
      <c r="B16" s="78">
        <v>2.8544697829688604E-3</v>
      </c>
      <c r="C16" s="78">
        <v>2.3447737151434674E-2</v>
      </c>
      <c r="D16" s="78">
        <v>1.056436574017274E-2</v>
      </c>
      <c r="E16" s="78">
        <v>1.9697569305132029E-2</v>
      </c>
      <c r="F16" s="78">
        <v>0</v>
      </c>
      <c r="G16" s="78">
        <v>1.4500630224108487E-3</v>
      </c>
      <c r="H16" s="78">
        <v>1.180760891727785E-2</v>
      </c>
      <c r="I16" s="78">
        <v>8.5001790646556635E-2</v>
      </c>
      <c r="J16" s="78">
        <v>1.0645865256161584E-2</v>
      </c>
      <c r="K16" s="78">
        <v>9.236749949865944E-5</v>
      </c>
      <c r="M16" s="94"/>
      <c r="N16" s="93"/>
    </row>
    <row r="17" spans="1:17" x14ac:dyDescent="0.3">
      <c r="A17" s="91" t="s">
        <v>174</v>
      </c>
      <c r="B17" s="78">
        <v>0.39960951046637888</v>
      </c>
      <c r="C17" s="78">
        <v>0.47946147932032235</v>
      </c>
      <c r="D17" s="78">
        <v>7.5759890638728566E-3</v>
      </c>
      <c r="E17" s="78">
        <v>8.8612672319940383E-2</v>
      </c>
      <c r="F17" s="78">
        <v>6.7415867076212055E-3</v>
      </c>
      <c r="G17" s="78">
        <v>8.3008572023096597E-2</v>
      </c>
      <c r="H17" s="78">
        <v>0.32323260195937925</v>
      </c>
      <c r="I17" s="78">
        <v>0.34177560689413961</v>
      </c>
      <c r="J17" s="78">
        <v>0.21912340485214174</v>
      </c>
      <c r="K17" s="78">
        <v>0.58258426025934973</v>
      </c>
      <c r="M17" s="94"/>
      <c r="N17" s="93"/>
    </row>
    <row r="18" spans="1:17" x14ac:dyDescent="0.3">
      <c r="A18" s="90" t="s">
        <v>175</v>
      </c>
      <c r="B18" s="78">
        <v>0</v>
      </c>
      <c r="C18" s="78">
        <v>6.205919903371391E-4</v>
      </c>
      <c r="D18" s="78">
        <v>5.2541698729789991E-4</v>
      </c>
      <c r="E18" s="78">
        <v>9.055122364146367E-4</v>
      </c>
      <c r="F18" s="78">
        <v>1.9914212520241563E-4</v>
      </c>
      <c r="G18" s="78">
        <v>1.9271365501345272E-3</v>
      </c>
      <c r="H18" s="78">
        <v>0</v>
      </c>
      <c r="I18" s="78">
        <v>8.3086315099621146E-4</v>
      </c>
      <c r="J18" s="78">
        <v>3.4365153377819394E-3</v>
      </c>
      <c r="K18" s="78">
        <v>4.9593085693149293E-3</v>
      </c>
      <c r="M18" s="93"/>
      <c r="N18" s="93"/>
    </row>
    <row r="19" spans="1:17" x14ac:dyDescent="0.3">
      <c r="A19" s="90" t="s">
        <v>176</v>
      </c>
      <c r="B19" s="78">
        <v>0</v>
      </c>
      <c r="C19" s="78">
        <v>6.0962584419075097E-4</v>
      </c>
      <c r="D19" s="78">
        <v>5.1613262720405463E-4</v>
      </c>
      <c r="E19" s="78">
        <v>8.8951141806825748E-4</v>
      </c>
      <c r="F19" s="78">
        <v>1.9562319212022632E-4</v>
      </c>
      <c r="G19" s="78">
        <v>1.8930831597192171E-3</v>
      </c>
      <c r="H19" s="78">
        <v>0</v>
      </c>
      <c r="I19" s="78">
        <v>8.1618141653563262E-4</v>
      </c>
      <c r="J19" s="78">
        <v>3.3757905268185459E-3</v>
      </c>
      <c r="K19" s="78">
        <v>4.8716753013175445E-3</v>
      </c>
      <c r="M19" s="93" t="s">
        <v>177</v>
      </c>
      <c r="N19" s="93"/>
    </row>
    <row r="20" spans="1:17" x14ac:dyDescent="0.3">
      <c r="A20" s="90" t="s">
        <v>178</v>
      </c>
      <c r="B20" s="78">
        <v>4.3850784569502727E-2</v>
      </c>
      <c r="C20" s="78">
        <v>6.2756108199759894E-2</v>
      </c>
      <c r="D20" s="78">
        <v>5.7339277577128883E-4</v>
      </c>
      <c r="E20" s="78">
        <v>3.9081132627509534E-4</v>
      </c>
      <c r="F20" s="78">
        <v>1.0661631618013182E-2</v>
      </c>
      <c r="G20" s="78">
        <v>3.2461288333790871E-3</v>
      </c>
      <c r="H20" s="78">
        <v>5.2461984284283551E-2</v>
      </c>
      <c r="I20" s="78">
        <v>5.988480966048656E-3</v>
      </c>
      <c r="J20" s="78">
        <v>9.9524742143764257E-3</v>
      </c>
      <c r="K20" s="78">
        <v>2.1892083763360489E-2</v>
      </c>
      <c r="M20" s="93" t="s">
        <v>179</v>
      </c>
      <c r="N20" s="93"/>
    </row>
    <row r="21" spans="1:17" x14ac:dyDescent="0.3">
      <c r="A21" s="90" t="s">
        <v>180</v>
      </c>
      <c r="B21" s="78">
        <v>3.9507741172757446E-2</v>
      </c>
      <c r="C21" s="78">
        <v>6.029992977299907E-2</v>
      </c>
      <c r="D21" s="78">
        <v>0.10103549928103911</v>
      </c>
      <c r="E21" s="78">
        <v>7.4520089695706837E-2</v>
      </c>
      <c r="F21" s="78">
        <v>2.0288138727708262E-2</v>
      </c>
      <c r="G21" s="78">
        <v>8.0143174333338049E-2</v>
      </c>
      <c r="H21" s="78">
        <v>6.7752088819631406E-2</v>
      </c>
      <c r="I21" s="78">
        <v>2.088761505982905E-2</v>
      </c>
      <c r="J21" s="78">
        <v>8.507721741542934E-2</v>
      </c>
      <c r="K21" s="78">
        <v>3.411102350419503E-2</v>
      </c>
      <c r="M21" s="93" t="s">
        <v>181</v>
      </c>
    </row>
    <row r="22" spans="1:17" x14ac:dyDescent="0.3">
      <c r="A22" s="90" t="s">
        <v>182</v>
      </c>
      <c r="B22" s="78">
        <v>3.6206796949373676E-2</v>
      </c>
      <c r="C22" s="78">
        <v>1.202935742430772E-2</v>
      </c>
      <c r="D22" s="78">
        <v>6.3687941219233005E-2</v>
      </c>
      <c r="E22" s="78">
        <v>5.8765674595574857E-2</v>
      </c>
      <c r="F22" s="78">
        <v>2.0037841928894622E-2</v>
      </c>
      <c r="G22" s="78">
        <v>8.4604092546848059E-2</v>
      </c>
      <c r="H22" s="78">
        <v>7.382094479672017E-3</v>
      </c>
      <c r="I22" s="78">
        <v>1.0222176972034406E-2</v>
      </c>
      <c r="J22" s="78">
        <v>1.3071081676498808E-2</v>
      </c>
      <c r="K22" s="78">
        <v>2.7931248345105162E-2</v>
      </c>
      <c r="M22" s="93" t="s">
        <v>183</v>
      </c>
      <c r="N22" s="4"/>
    </row>
    <row r="23" spans="1:17" x14ac:dyDescent="0.3">
      <c r="A23" s="90" t="s">
        <v>184</v>
      </c>
      <c r="B23" s="78">
        <v>2.556294288391299E-2</v>
      </c>
      <c r="C23" s="78">
        <v>3.491384985363475E-3</v>
      </c>
      <c r="D23" s="78">
        <v>6.4259546753399996E-2</v>
      </c>
      <c r="E23" s="78">
        <v>4.9676485864869203E-2</v>
      </c>
      <c r="F23" s="78">
        <v>0.92094873432851032</v>
      </c>
      <c r="G23" s="78">
        <v>6.4861328249584266E-2</v>
      </c>
      <c r="H23" s="78">
        <v>0.15181409614428173</v>
      </c>
      <c r="I23" s="78">
        <v>1.2801200967347369E-2</v>
      </c>
      <c r="J23" s="78">
        <v>1.5143904035636976E-2</v>
      </c>
      <c r="K23" s="78">
        <v>3.7172762593144865E-2</v>
      </c>
      <c r="M23" s="93" t="s">
        <v>185</v>
      </c>
      <c r="N23" s="4"/>
    </row>
    <row r="24" spans="1:17" x14ac:dyDescent="0.3">
      <c r="A24" s="3"/>
      <c r="B24" s="13"/>
      <c r="C24" s="13"/>
      <c r="D24" s="13"/>
      <c r="E24" s="13"/>
      <c r="F24" s="13"/>
      <c r="G24" s="13"/>
      <c r="H24" s="13"/>
      <c r="I24" s="13"/>
      <c r="J24" s="13"/>
      <c r="M24" s="93" t="s">
        <v>186</v>
      </c>
    </row>
    <row r="25" spans="1:17" x14ac:dyDescent="0.3">
      <c r="A25" s="90" t="s">
        <v>187</v>
      </c>
      <c r="B25" s="11">
        <f t="shared" ref="B25:H25" si="0">SUM(B13:B17)</f>
        <v>0.85487173442445297</v>
      </c>
      <c r="C25" s="11">
        <f t="shared" si="0"/>
        <v>0.86019300178304203</v>
      </c>
      <c r="D25" s="11">
        <f t="shared" si="0"/>
        <v>0.76940207035605446</v>
      </c>
      <c r="E25" s="11">
        <f t="shared" si="0"/>
        <v>0.81485191486309116</v>
      </c>
      <c r="F25" s="11">
        <f t="shared" si="0"/>
        <v>2.7668888079550948E-2</v>
      </c>
      <c r="G25" s="11">
        <f t="shared" si="0"/>
        <v>0.76332505632699654</v>
      </c>
      <c r="H25" s="11">
        <f t="shared" si="0"/>
        <v>0.72058973627213119</v>
      </c>
      <c r="I25" s="11">
        <f>SUM(I13:I17)</f>
        <v>0.94845348146720876</v>
      </c>
      <c r="J25" s="11">
        <f>SUM(J13:J17)</f>
        <v>0.86994301679345787</v>
      </c>
      <c r="K25" s="18">
        <f>SUM(K13:K17)</f>
        <v>0.86906189792356203</v>
      </c>
    </row>
    <row r="26" spans="1:17" x14ac:dyDescent="0.3">
      <c r="K26" s="177"/>
    </row>
    <row r="27" spans="1:17" x14ac:dyDescent="0.3">
      <c r="A27" s="126" t="s">
        <v>188</v>
      </c>
      <c r="B27" s="126"/>
      <c r="C27" s="126"/>
      <c r="D27" s="126"/>
      <c r="E27" s="126"/>
      <c r="F27" s="126"/>
      <c r="G27" s="126"/>
      <c r="H27" s="126"/>
      <c r="I27" s="126"/>
      <c r="J27" s="126"/>
      <c r="K27" s="180"/>
      <c r="M27" s="178" t="s">
        <v>189</v>
      </c>
      <c r="N27" s="178" t="s">
        <v>41</v>
      </c>
    </row>
    <row r="28" spans="1:17" x14ac:dyDescent="0.3">
      <c r="A28" s="3" t="s">
        <v>190</v>
      </c>
      <c r="B28" s="15">
        <v>2.4273110493299299</v>
      </c>
      <c r="C28" s="15">
        <v>2.4273110493299299</v>
      </c>
      <c r="D28" s="15">
        <v>2.4273110493299299</v>
      </c>
      <c r="E28" s="15">
        <v>2.4273110493299299</v>
      </c>
      <c r="F28" s="15">
        <v>2.4273110493299299</v>
      </c>
      <c r="G28" s="15">
        <v>2.4273110493299299</v>
      </c>
      <c r="H28" s="15">
        <v>2.4273110493299299</v>
      </c>
      <c r="I28" s="15">
        <v>2.4273110493299299</v>
      </c>
      <c r="J28" s="15">
        <v>2.4273110493299299</v>
      </c>
      <c r="K28" s="15">
        <v>2.4273110493299299</v>
      </c>
      <c r="M28" s="94" t="s">
        <v>191</v>
      </c>
      <c r="N28" s="94"/>
    </row>
    <row r="29" spans="1:17" x14ac:dyDescent="0.3">
      <c r="K29" s="17"/>
    </row>
    <row r="30" spans="1:17" x14ac:dyDescent="0.3">
      <c r="A30" s="126" t="s">
        <v>192</v>
      </c>
      <c r="B30" s="126"/>
      <c r="C30" s="126"/>
      <c r="D30" s="126"/>
      <c r="E30" s="126"/>
      <c r="F30" s="126"/>
      <c r="G30" s="126"/>
      <c r="H30" s="126"/>
      <c r="I30" s="126"/>
      <c r="J30" s="126"/>
      <c r="K30" s="180"/>
      <c r="M30" s="93" t="s">
        <v>177</v>
      </c>
      <c r="Q30" t="s">
        <v>193</v>
      </c>
    </row>
    <row r="31" spans="1:17" x14ac:dyDescent="0.3">
      <c r="A31" s="3" t="s">
        <v>194</v>
      </c>
      <c r="B31" s="13">
        <v>0.1</v>
      </c>
      <c r="C31" s="13">
        <v>0.1</v>
      </c>
      <c r="D31" s="13">
        <v>0.1</v>
      </c>
      <c r="E31" s="13">
        <v>0.1</v>
      </c>
      <c r="F31" s="13">
        <v>0.1</v>
      </c>
      <c r="G31" s="13">
        <v>0.1</v>
      </c>
      <c r="H31" s="13">
        <v>0.1</v>
      </c>
      <c r="I31" s="13">
        <v>0.1</v>
      </c>
      <c r="J31" s="13">
        <v>0.1</v>
      </c>
      <c r="K31" s="13">
        <v>0.1</v>
      </c>
      <c r="M31" s="93" t="s">
        <v>179</v>
      </c>
    </row>
    <row r="32" spans="1:17" x14ac:dyDescent="0.3">
      <c r="A32" s="3" t="s">
        <v>195</v>
      </c>
      <c r="B32" s="13">
        <v>0</v>
      </c>
      <c r="C32" s="13">
        <v>0</v>
      </c>
      <c r="D32" s="13">
        <v>0</v>
      </c>
      <c r="E32" s="13">
        <v>0</v>
      </c>
      <c r="F32" s="13">
        <v>0</v>
      </c>
      <c r="G32" s="13">
        <v>0</v>
      </c>
      <c r="H32" s="13">
        <v>0</v>
      </c>
      <c r="I32" s="13">
        <v>0</v>
      </c>
      <c r="J32" s="13">
        <v>0</v>
      </c>
      <c r="K32" s="13">
        <v>0</v>
      </c>
      <c r="M32" s="93" t="s">
        <v>181</v>
      </c>
    </row>
    <row r="33" spans="1:13" x14ac:dyDescent="0.3">
      <c r="A33" s="3" t="s">
        <v>196</v>
      </c>
      <c r="B33" s="13">
        <v>0</v>
      </c>
      <c r="C33" s="13">
        <v>0</v>
      </c>
      <c r="D33" s="13">
        <v>0</v>
      </c>
      <c r="E33" s="13">
        <v>0</v>
      </c>
      <c r="F33" s="13">
        <v>0</v>
      </c>
      <c r="G33" s="13">
        <v>0</v>
      </c>
      <c r="H33" s="13">
        <v>0</v>
      </c>
      <c r="I33" s="13">
        <v>0</v>
      </c>
      <c r="J33" s="13">
        <v>0</v>
      </c>
      <c r="K33" s="13">
        <v>0</v>
      </c>
      <c r="M33" s="93" t="s">
        <v>183</v>
      </c>
    </row>
    <row r="34" spans="1:13" x14ac:dyDescent="0.3">
      <c r="M34" s="93" t="s">
        <v>185</v>
      </c>
    </row>
    <row r="35" spans="1:13" x14ac:dyDescent="0.3">
      <c r="A35" s="126" t="s">
        <v>197</v>
      </c>
      <c r="B35" s="126"/>
      <c r="C35" s="126"/>
      <c r="D35" s="126"/>
      <c r="E35" s="126"/>
      <c r="F35" s="126"/>
      <c r="G35" s="126"/>
      <c r="H35" s="126"/>
      <c r="I35" s="126"/>
      <c r="J35" s="126"/>
      <c r="K35" s="180"/>
      <c r="M35" s="93" t="s">
        <v>186</v>
      </c>
    </row>
    <row r="36" spans="1:13" x14ac:dyDescent="0.3">
      <c r="A36" s="3" t="s">
        <v>198</v>
      </c>
      <c r="B36" s="14">
        <v>0.4</v>
      </c>
      <c r="C36" s="14">
        <v>0.4</v>
      </c>
      <c r="D36" s="14">
        <v>0.4</v>
      </c>
      <c r="E36" s="14">
        <v>0.4</v>
      </c>
      <c r="F36" s="14">
        <v>0.4</v>
      </c>
      <c r="G36" s="14">
        <v>0.4</v>
      </c>
      <c r="H36" s="14">
        <v>0.4</v>
      </c>
      <c r="I36" s="14">
        <v>0.4</v>
      </c>
      <c r="J36" s="14">
        <v>0.4</v>
      </c>
      <c r="K36" s="14">
        <v>0.4</v>
      </c>
      <c r="M36" s="204" t="s">
        <v>199</v>
      </c>
    </row>
    <row r="37" spans="1:13" x14ac:dyDescent="0.3">
      <c r="A37" s="3" t="s">
        <v>200</v>
      </c>
      <c r="B37" s="13">
        <v>0.02</v>
      </c>
      <c r="C37" s="13">
        <v>0.02</v>
      </c>
      <c r="D37" s="13">
        <v>0.02</v>
      </c>
      <c r="E37" s="13">
        <v>0.02</v>
      </c>
      <c r="F37" s="13">
        <v>0.02</v>
      </c>
      <c r="G37" s="13">
        <v>0.02</v>
      </c>
      <c r="H37" s="13">
        <v>0.02</v>
      </c>
      <c r="I37" s="13">
        <v>0.02</v>
      </c>
      <c r="J37" s="13">
        <v>0.02</v>
      </c>
      <c r="K37" s="13">
        <v>0.02</v>
      </c>
      <c r="M37" s="204"/>
    </row>
    <row r="38" spans="1:13" x14ac:dyDescent="0.3">
      <c r="K38" s="177"/>
    </row>
    <row r="39" spans="1:13" x14ac:dyDescent="0.3">
      <c r="A39" s="126" t="s">
        <v>201</v>
      </c>
      <c r="B39" s="126"/>
      <c r="C39" s="126"/>
      <c r="D39" s="126"/>
      <c r="E39" s="126"/>
      <c r="F39" s="126"/>
      <c r="G39" s="126"/>
      <c r="H39" s="126"/>
      <c r="I39" s="126"/>
      <c r="J39" s="126"/>
      <c r="K39" s="180"/>
      <c r="M39" s="94"/>
    </row>
    <row r="40" spans="1:13" x14ac:dyDescent="0.3">
      <c r="A40" s="3" t="s">
        <v>202</v>
      </c>
      <c r="B40" s="19">
        <f>SUMPRODUCT(B41:B44,'Parameters, general'!$B$13:$B$16)</f>
        <v>9.7389846101688715E-2</v>
      </c>
      <c r="C40" s="19">
        <f>SUMPRODUCT(C41:C44,'Parameters, general'!$B$13:$B$16)</f>
        <v>0.49559220951342314</v>
      </c>
      <c r="D40" s="19">
        <f>SUMPRODUCT(D41:D44,'Parameters, general'!$B$13:$B$16)</f>
        <v>0.68383359838017999</v>
      </c>
      <c r="E40" s="19">
        <f>SUMPRODUCT(E41:E44,'Parameters, general'!$B$13:$B$16)</f>
        <v>0.47422491295135871</v>
      </c>
      <c r="F40" s="19">
        <f>SUMPRODUCT(F41:F44,'Parameters, general'!$B$13:$B$16)</f>
        <v>0.40838708515026739</v>
      </c>
      <c r="G40" s="19">
        <f>SUMPRODUCT(G41:G44,'Parameters, general'!$B$13:$B$16)</f>
        <v>0.43143256987221246</v>
      </c>
      <c r="H40" s="19">
        <f>SUMPRODUCT(H41:H44,'Parameters, general'!$B$13:$B$16)</f>
        <v>0.53148365626410343</v>
      </c>
      <c r="I40" s="19">
        <f>SUMPRODUCT(I41:I44,'Parameters, general'!$B$13:$B$16)</f>
        <v>1.0362621395994065</v>
      </c>
      <c r="J40" s="19">
        <f>SUMPRODUCT(J41:J44,'Parameters, general'!$B$13:$B$16)</f>
        <v>0.29612656825806077</v>
      </c>
      <c r="K40" s="19">
        <f>SUMPRODUCT(K41:K44,'Parameters, general'!$B$13:$B$16)</f>
        <v>9.361010590226701E-2</v>
      </c>
      <c r="M40" s="94" t="s">
        <v>203</v>
      </c>
    </row>
    <row r="41" spans="1:13" x14ac:dyDescent="0.3">
      <c r="A41" s="3" t="s">
        <v>204</v>
      </c>
      <c r="B41" s="137">
        <v>8.7112695367499993E-2</v>
      </c>
      <c r="C41" s="78">
        <v>0.46350339663360002</v>
      </c>
      <c r="D41" s="78">
        <v>0.63996298020209996</v>
      </c>
      <c r="E41" s="78">
        <v>0.43715184780049998</v>
      </c>
      <c r="F41" s="78">
        <v>0.3918720101247401</v>
      </c>
      <c r="G41" s="78">
        <v>0.37797633435819999</v>
      </c>
      <c r="H41" s="78">
        <v>0.49673189321139988</v>
      </c>
      <c r="I41" s="78">
        <v>0.9754510606115</v>
      </c>
      <c r="J41" s="78">
        <v>0.26811508139590001</v>
      </c>
      <c r="K41" s="78">
        <v>8.8450339728460003E-2</v>
      </c>
      <c r="M41" s="94"/>
    </row>
    <row r="42" spans="1:13" x14ac:dyDescent="0.3">
      <c r="A42" s="3" t="s">
        <v>205</v>
      </c>
      <c r="B42" s="136">
        <v>2.700762131814E-4</v>
      </c>
      <c r="C42" s="136">
        <v>8.866310670443999E-4</v>
      </c>
      <c r="D42" s="136">
        <v>1.2704162262849E-3</v>
      </c>
      <c r="E42" s="136">
        <v>1.1037499887663997E-3</v>
      </c>
      <c r="F42" s="136">
        <v>4.22314047096554E-4</v>
      </c>
      <c r="G42" s="136">
        <v>1.6431484401077997E-3</v>
      </c>
      <c r="H42" s="136">
        <v>9.8347245312259998E-4</v>
      </c>
      <c r="I42" s="136">
        <v>1.8794008186636402E-3</v>
      </c>
      <c r="J42" s="136">
        <v>8.28784824796E-4</v>
      </c>
      <c r="K42" s="136">
        <v>9.8278548655939986E-5</v>
      </c>
      <c r="M42" s="94"/>
    </row>
    <row r="43" spans="1:13" x14ac:dyDescent="0.3">
      <c r="A43" s="3" t="s">
        <v>206</v>
      </c>
      <c r="B43" s="136"/>
      <c r="C43" s="136"/>
      <c r="D43" s="136"/>
      <c r="E43" s="136"/>
      <c r="F43" s="136"/>
      <c r="G43" s="136"/>
      <c r="H43" s="136"/>
      <c r="I43" s="136"/>
      <c r="J43" s="136"/>
      <c r="K43" s="136"/>
      <c r="M43" s="94"/>
    </row>
    <row r="44" spans="1:13" x14ac:dyDescent="0.3">
      <c r="A44" s="3" t="s">
        <v>207</v>
      </c>
      <c r="B44" s="97">
        <v>8.1643940709999986E-6</v>
      </c>
      <c r="C44" s="97">
        <v>2.0759000300000004E-5</v>
      </c>
      <c r="D44" s="97">
        <v>2.2022764229999999E-5</v>
      </c>
      <c r="E44" s="97">
        <v>1.5316173940000001E-5</v>
      </c>
      <c r="F44" s="97">
        <v>1.439603085E-5</v>
      </c>
      <c r="G44" s="97">
        <v>1.6448395599999999E-5</v>
      </c>
      <c r="H44" s="97">
        <v>1.9942432050000001E-5</v>
      </c>
      <c r="I44" s="97">
        <v>1.7600493009999999E-5</v>
      </c>
      <c r="J44" s="97">
        <v>1.213809188E-5</v>
      </c>
      <c r="K44" s="97">
        <v>8.172400819999999E-6</v>
      </c>
    </row>
    <row r="45" spans="1:13" x14ac:dyDescent="0.3">
      <c r="A45" s="3"/>
    </row>
    <row r="46" spans="1:13" x14ac:dyDescent="0.3">
      <c r="A46" s="126" t="s">
        <v>208</v>
      </c>
      <c r="B46" s="126"/>
      <c r="C46" s="126"/>
      <c r="D46" s="126"/>
      <c r="E46" s="126"/>
      <c r="F46" s="126"/>
      <c r="G46" s="126"/>
      <c r="H46" s="126"/>
      <c r="I46" s="126"/>
      <c r="J46" s="126"/>
      <c r="K46" s="180"/>
      <c r="M46" s="94"/>
    </row>
    <row r="47" spans="1:13" x14ac:dyDescent="0.3">
      <c r="A47" s="3" t="s">
        <v>209</v>
      </c>
      <c r="B47" s="15">
        <v>0.19</v>
      </c>
      <c r="C47" s="15">
        <v>0.19</v>
      </c>
      <c r="D47" s="15">
        <v>0.19</v>
      </c>
      <c r="E47" s="15">
        <v>0.19</v>
      </c>
      <c r="F47" s="15">
        <v>0.19</v>
      </c>
      <c r="G47" s="15">
        <v>0.19</v>
      </c>
      <c r="H47" s="15">
        <v>0.19</v>
      </c>
      <c r="I47" s="15">
        <v>0.19</v>
      </c>
      <c r="J47" s="15">
        <v>0.19</v>
      </c>
      <c r="K47" s="15">
        <v>0.19</v>
      </c>
      <c r="M47" s="94" t="s">
        <v>210</v>
      </c>
    </row>
    <row r="48" spans="1:13" x14ac:dyDescent="0.3">
      <c r="K48" s="13"/>
      <c r="M48" s="94"/>
    </row>
    <row r="49" spans="1:13" x14ac:dyDescent="0.3">
      <c r="A49" s="126" t="s">
        <v>211</v>
      </c>
      <c r="B49" s="126"/>
      <c r="C49" s="126"/>
      <c r="D49" s="126"/>
      <c r="E49" s="126"/>
      <c r="F49" s="126"/>
      <c r="G49" s="126"/>
      <c r="H49" s="126"/>
      <c r="I49" s="126"/>
      <c r="J49" s="126"/>
      <c r="K49" s="194"/>
      <c r="M49" s="94"/>
    </row>
    <row r="50" spans="1:13" x14ac:dyDescent="0.3">
      <c r="A50" s="3" t="s">
        <v>212</v>
      </c>
      <c r="B50" s="110">
        <v>0.6</v>
      </c>
      <c r="C50" s="110">
        <v>0.6</v>
      </c>
      <c r="D50" s="110">
        <v>0.6</v>
      </c>
      <c r="E50" s="110">
        <v>0.6</v>
      </c>
      <c r="F50" s="110">
        <v>0.6</v>
      </c>
      <c r="G50" s="110">
        <v>0.6</v>
      </c>
      <c r="H50" s="110">
        <v>0.6</v>
      </c>
      <c r="I50" s="110">
        <v>0.6</v>
      </c>
      <c r="J50" s="110">
        <v>0.6</v>
      </c>
      <c r="K50" s="110">
        <v>0.6</v>
      </c>
    </row>
    <row r="51" spans="1:13" x14ac:dyDescent="0.3">
      <c r="A51" s="3" t="s">
        <v>213</v>
      </c>
      <c r="B51" s="111">
        <v>0.4</v>
      </c>
      <c r="C51" s="111">
        <v>0.4</v>
      </c>
      <c r="D51" s="111">
        <v>0.4</v>
      </c>
      <c r="E51" s="111">
        <v>0.4</v>
      </c>
      <c r="F51" s="111">
        <v>0.4</v>
      </c>
      <c r="G51" s="111">
        <v>0.4</v>
      </c>
      <c r="H51" s="111">
        <v>0.4</v>
      </c>
      <c r="I51" s="111">
        <v>0.4</v>
      </c>
      <c r="J51" s="111">
        <v>0.4</v>
      </c>
      <c r="K51" s="111">
        <v>0.4</v>
      </c>
    </row>
    <row r="52" spans="1:13" x14ac:dyDescent="0.3">
      <c r="K52" s="13"/>
    </row>
    <row r="53" spans="1:13" x14ac:dyDescent="0.3">
      <c r="A53" s="126" t="s">
        <v>214</v>
      </c>
      <c r="B53" s="126"/>
      <c r="C53" s="126"/>
      <c r="D53" s="126"/>
      <c r="E53" s="126"/>
      <c r="F53" s="126"/>
      <c r="G53" s="126"/>
      <c r="H53" s="126"/>
      <c r="I53" s="126"/>
      <c r="J53" s="126"/>
      <c r="K53" s="180"/>
    </row>
    <row r="54" spans="1:13" x14ac:dyDescent="0.3">
      <c r="A54" s="92" t="s">
        <v>215</v>
      </c>
      <c r="B54" s="31">
        <v>1.6E-2</v>
      </c>
      <c r="C54" s="31">
        <v>1.6E-2</v>
      </c>
      <c r="D54" s="31">
        <v>1.6E-2</v>
      </c>
      <c r="E54" s="31">
        <v>1.6E-2</v>
      </c>
      <c r="F54" s="31">
        <v>1.6E-2</v>
      </c>
      <c r="G54" s="31">
        <v>1.6E-2</v>
      </c>
      <c r="H54" s="31">
        <v>1.6E-2</v>
      </c>
      <c r="I54" s="31">
        <v>1.6E-2</v>
      </c>
      <c r="J54" s="31">
        <v>1.6E-2</v>
      </c>
      <c r="K54" s="31">
        <v>1.6E-2</v>
      </c>
    </row>
    <row r="55" spans="1:13" x14ac:dyDescent="0.3">
      <c r="A55" s="92" t="s">
        <v>216</v>
      </c>
      <c r="B55" s="31">
        <v>6.0000000000000001E-3</v>
      </c>
      <c r="C55" s="31">
        <v>6.0000000000000001E-3</v>
      </c>
      <c r="D55" s="31">
        <v>6.0000000000000001E-3</v>
      </c>
      <c r="E55" s="31">
        <v>6.0000000000000001E-3</v>
      </c>
      <c r="F55" s="31">
        <v>6.0000000000000001E-3</v>
      </c>
      <c r="G55" s="31">
        <v>6.0000000000000001E-3</v>
      </c>
      <c r="H55" s="31">
        <v>6.0000000000000001E-3</v>
      </c>
      <c r="I55" s="31">
        <v>6.0000000000000001E-3</v>
      </c>
      <c r="J55" s="31">
        <v>6.0000000000000001E-3</v>
      </c>
      <c r="K55" s="31">
        <v>6.0000000000000001E-3</v>
      </c>
    </row>
    <row r="56" spans="1:13" x14ac:dyDescent="0.3">
      <c r="A56" s="3" t="s">
        <v>217</v>
      </c>
      <c r="B56" s="4">
        <f t="shared" ref="B56:K56" si="1">B54-B55</f>
        <v>0.01</v>
      </c>
      <c r="C56" s="4">
        <f t="shared" si="1"/>
        <v>0.01</v>
      </c>
      <c r="D56" s="4">
        <f t="shared" si="1"/>
        <v>0.01</v>
      </c>
      <c r="E56" s="4">
        <f t="shared" si="1"/>
        <v>0.01</v>
      </c>
      <c r="F56" s="4">
        <f t="shared" si="1"/>
        <v>0.01</v>
      </c>
      <c r="G56" s="4">
        <f t="shared" si="1"/>
        <v>0.01</v>
      </c>
      <c r="H56" s="4">
        <f t="shared" ref="H56" si="2">H54-H55</f>
        <v>0.01</v>
      </c>
      <c r="I56" s="4">
        <f t="shared" si="1"/>
        <v>0.01</v>
      </c>
      <c r="J56" s="4">
        <f t="shared" si="1"/>
        <v>0.01</v>
      </c>
      <c r="K56" s="78">
        <f t="shared" si="1"/>
        <v>0.01</v>
      </c>
    </row>
    <row r="57" spans="1:13" x14ac:dyDescent="0.3">
      <c r="A57" s="92" t="s">
        <v>218</v>
      </c>
      <c r="B57" s="32">
        <v>0.1</v>
      </c>
      <c r="C57" s="32">
        <v>0.1</v>
      </c>
      <c r="D57" s="32">
        <v>0.1</v>
      </c>
      <c r="E57" s="32">
        <v>0.1</v>
      </c>
      <c r="F57" s="32">
        <v>0.1</v>
      </c>
      <c r="G57" s="32">
        <v>0.1</v>
      </c>
      <c r="H57" s="32">
        <v>0.1</v>
      </c>
      <c r="I57" s="32">
        <v>0.1</v>
      </c>
      <c r="J57" s="32">
        <v>0.1</v>
      </c>
      <c r="K57" s="112">
        <v>0.1</v>
      </c>
    </row>
    <row r="58" spans="1:13" x14ac:dyDescent="0.3">
      <c r="A58" s="3"/>
      <c r="K58" s="13"/>
    </row>
    <row r="59" spans="1:13" x14ac:dyDescent="0.3">
      <c r="A59" s="126" t="s">
        <v>219</v>
      </c>
      <c r="B59" s="126"/>
      <c r="C59" s="126"/>
      <c r="D59" s="126"/>
      <c r="E59" s="126"/>
      <c r="F59" s="126"/>
      <c r="G59" s="126"/>
      <c r="H59" s="126"/>
      <c r="I59" s="126"/>
      <c r="J59" s="126"/>
      <c r="K59" s="194"/>
      <c r="M59" s="94"/>
    </row>
    <row r="60" spans="1:13" x14ac:dyDescent="0.3">
      <c r="A60" s="92" t="s">
        <v>219</v>
      </c>
      <c r="B60" s="36">
        <v>0.5</v>
      </c>
      <c r="C60" s="36">
        <v>0.5</v>
      </c>
      <c r="D60" s="36">
        <v>0.5</v>
      </c>
      <c r="E60" s="36">
        <v>0.5</v>
      </c>
      <c r="F60" s="36">
        <v>0.5</v>
      </c>
      <c r="G60" s="36">
        <v>0.5</v>
      </c>
      <c r="H60" s="36">
        <v>0.5</v>
      </c>
      <c r="I60" s="36">
        <v>0.5</v>
      </c>
      <c r="J60" s="36">
        <v>0.5</v>
      </c>
      <c r="K60" s="36">
        <v>0.5</v>
      </c>
      <c r="M60" s="94" t="s">
        <v>220</v>
      </c>
    </row>
    <row r="61" spans="1:13" x14ac:dyDescent="0.3">
      <c r="K61" s="13"/>
      <c r="M61" s="94"/>
    </row>
    <row r="62" spans="1:13" x14ac:dyDescent="0.3">
      <c r="A62" s="126" t="s">
        <v>221</v>
      </c>
      <c r="B62" s="126"/>
      <c r="C62" s="126"/>
      <c r="D62" s="126"/>
      <c r="E62" s="126"/>
      <c r="F62" s="126"/>
      <c r="G62" s="126"/>
      <c r="H62" s="126"/>
      <c r="I62" s="126"/>
      <c r="J62" s="126"/>
      <c r="K62" s="180"/>
      <c r="M62" s="94"/>
    </row>
    <row r="63" spans="1:13" x14ac:dyDescent="0.3">
      <c r="A63" s="92" t="s">
        <v>222</v>
      </c>
      <c r="B63" s="112">
        <v>0.01</v>
      </c>
      <c r="C63" s="112">
        <v>0.01</v>
      </c>
      <c r="D63" s="112">
        <v>0.01</v>
      </c>
      <c r="E63" s="112">
        <v>0.01</v>
      </c>
      <c r="F63" s="112">
        <v>0.01</v>
      </c>
      <c r="G63" s="112">
        <v>0.01</v>
      </c>
      <c r="H63" s="112">
        <v>0.01</v>
      </c>
      <c r="I63" s="112">
        <v>0.01</v>
      </c>
      <c r="J63" s="112">
        <v>0.01</v>
      </c>
      <c r="K63" s="112">
        <v>0.01</v>
      </c>
      <c r="M63" s="94" t="s">
        <v>223</v>
      </c>
    </row>
    <row r="64" spans="1:13" x14ac:dyDescent="0.3">
      <c r="K64" s="17"/>
      <c r="M64" s="94"/>
    </row>
    <row r="65" spans="1:13" x14ac:dyDescent="0.3">
      <c r="A65" s="126" t="s">
        <v>224</v>
      </c>
      <c r="B65" s="126"/>
      <c r="C65" s="126"/>
      <c r="D65" s="126"/>
      <c r="E65" s="126"/>
      <c r="F65" s="126"/>
      <c r="G65" s="126"/>
      <c r="H65" s="126"/>
      <c r="I65" s="126"/>
      <c r="J65" s="126"/>
      <c r="K65" s="180"/>
      <c r="M65" s="94"/>
    </row>
    <row r="66" spans="1:13" x14ac:dyDescent="0.3">
      <c r="A66" s="92" t="s">
        <v>225</v>
      </c>
      <c r="B66" s="137">
        <v>0.216</v>
      </c>
      <c r="C66" s="13">
        <v>0.14000000000000001</v>
      </c>
      <c r="D66" s="13">
        <v>9.1999999999999998E-2</v>
      </c>
      <c r="E66" s="13">
        <v>0.40200000000000002</v>
      </c>
      <c r="F66" s="13">
        <v>0.26800000000000002</v>
      </c>
      <c r="G66" s="13">
        <v>0.13</v>
      </c>
      <c r="H66" s="13">
        <v>0.16800000000000001</v>
      </c>
      <c r="I66" s="13">
        <v>0.42399999999999999</v>
      </c>
      <c r="J66" s="13">
        <v>0.04</v>
      </c>
      <c r="K66" s="13">
        <v>8.2000000000000003E-2</v>
      </c>
      <c r="M66" s="94" t="s">
        <v>226</v>
      </c>
    </row>
    <row r="67" spans="1:13" x14ac:dyDescent="0.3">
      <c r="K67" s="177"/>
      <c r="M67" s="94"/>
    </row>
    <row r="68" spans="1:13" x14ac:dyDescent="0.3">
      <c r="A68" s="126" t="s">
        <v>58</v>
      </c>
      <c r="B68" s="126"/>
      <c r="C68" s="126"/>
      <c r="D68" s="126"/>
      <c r="E68" s="126"/>
      <c r="F68" s="126"/>
      <c r="G68" s="126"/>
      <c r="H68" s="126"/>
      <c r="I68" s="126"/>
      <c r="J68" s="126"/>
      <c r="K68" s="180"/>
      <c r="M68" s="94"/>
    </row>
    <row r="69" spans="1:13" x14ac:dyDescent="0.3">
      <c r="A69" s="92" t="s">
        <v>227</v>
      </c>
      <c r="B69" s="13">
        <v>0.1</v>
      </c>
      <c r="C69" s="13">
        <v>0.1</v>
      </c>
      <c r="D69" s="13">
        <v>0.1</v>
      </c>
      <c r="E69" s="13">
        <v>0.1</v>
      </c>
      <c r="F69" s="13">
        <v>0.1</v>
      </c>
      <c r="G69" s="13">
        <v>0.1</v>
      </c>
      <c r="H69" s="13">
        <v>0.1</v>
      </c>
      <c r="I69" s="13">
        <v>0.1</v>
      </c>
      <c r="J69" s="13">
        <v>0.1</v>
      </c>
      <c r="K69" s="13">
        <v>0.1</v>
      </c>
      <c r="M69" s="94"/>
    </row>
    <row r="70" spans="1:13" x14ac:dyDescent="0.3">
      <c r="A70" s="3" t="s">
        <v>228</v>
      </c>
      <c r="B70" s="13">
        <v>0.67800000000000005</v>
      </c>
      <c r="C70" s="13">
        <v>0.67800000000000005</v>
      </c>
      <c r="D70" s="13">
        <v>0.67800000000000005</v>
      </c>
      <c r="E70" s="13">
        <v>0.67800000000000005</v>
      </c>
      <c r="F70" s="13">
        <v>0.67800000000000005</v>
      </c>
      <c r="G70" s="13">
        <v>0.67800000000000005</v>
      </c>
      <c r="H70" s="13">
        <v>0.67800000000000005</v>
      </c>
      <c r="I70" s="13">
        <v>0.67800000000000005</v>
      </c>
      <c r="J70" s="13">
        <v>0.67800000000000005</v>
      </c>
      <c r="K70" s="13">
        <v>0.38900000000000001</v>
      </c>
      <c r="M70" s="94"/>
    </row>
    <row r="71" spans="1:13" x14ac:dyDescent="0.3">
      <c r="A71" s="3" t="s">
        <v>229</v>
      </c>
      <c r="B71" s="202">
        <f t="shared" ref="B71:K71" si="3">B10/100*Weight_mortality+B69*Weight_diseases+B70*Weight_space+Slaughter_duration_class*Weight_slaughter_duration_class</f>
        <v>1.948</v>
      </c>
      <c r="C71" s="202">
        <f t="shared" si="3"/>
        <v>1.9580000000000002</v>
      </c>
      <c r="D71" s="202">
        <f t="shared" si="3"/>
        <v>1.948</v>
      </c>
      <c r="E71" s="202">
        <f t="shared" si="3"/>
        <v>1.9380000000000002</v>
      </c>
      <c r="F71" s="202">
        <f t="shared" si="3"/>
        <v>1.948</v>
      </c>
      <c r="G71" s="202">
        <f t="shared" si="3"/>
        <v>1.948</v>
      </c>
      <c r="H71" s="202">
        <f t="shared" si="3"/>
        <v>1.9580000000000002</v>
      </c>
      <c r="I71" s="202">
        <f t="shared" si="3"/>
        <v>1.9380000000000002</v>
      </c>
      <c r="J71" s="202">
        <f t="shared" si="3"/>
        <v>1.9380000000000002</v>
      </c>
      <c r="K71" s="202">
        <f t="shared" si="3"/>
        <v>1.669</v>
      </c>
      <c r="M71" s="94"/>
    </row>
    <row r="72" spans="1:13" x14ac:dyDescent="0.3">
      <c r="A72" s="3" t="s">
        <v>230</v>
      </c>
      <c r="B72" s="203">
        <f>Ability_to_perceive_handling*(Weight_no_of_animal*Production!B16*B71)*100</f>
        <v>0.32640813107766248</v>
      </c>
      <c r="C72" s="203">
        <f>Ability_to_perceive_handling*(Weight_no_of_animal*Production!C16*C71)*100</f>
        <v>0.32935094650521995</v>
      </c>
      <c r="D72" s="203">
        <f>Ability_to_perceive_handling*(Weight_no_of_animal*Production!D16*D71)*100</f>
        <v>0.41016173327310435</v>
      </c>
      <c r="E72" s="203">
        <f>Ability_to_perceive_handling*(Weight_no_of_animal*Production!E16*E71)*100</f>
        <v>0.40805618022755452</v>
      </c>
      <c r="F72" s="203">
        <f>Ability_to_perceive_handling*(Weight_no_of_animal*Production!F16*F71)*100</f>
        <v>0.30561920930983955</v>
      </c>
      <c r="G72" s="203">
        <f>Ability_to_perceive_handling*(Weight_no_of_animal*Production!G16*G71)*100</f>
        <v>0.35398380101204246</v>
      </c>
      <c r="H72" s="203">
        <f>Ability_to_perceive_handling*(Weight_no_of_animal*Production!H16*H71)*100</f>
        <v>0.38231520703019994</v>
      </c>
      <c r="I72" s="203">
        <f>Ability_to_perceive_handling*(Weight_no_of_animal*Production!I16*I71)*100</f>
        <v>0.38912463537432662</v>
      </c>
      <c r="J72" s="203">
        <f>Ability_to_perceive_handling*(Weight_no_of_animal*Production!J16*J71)*100</f>
        <v>0.35216663570910589</v>
      </c>
      <c r="K72" s="203">
        <f>Ability_to_perceive_handling*(Weight_no_of_animal*Production!K16*K71)*100</f>
        <v>0.32588563867895998</v>
      </c>
      <c r="M72" s="94"/>
    </row>
    <row r="73" spans="1:13" x14ac:dyDescent="0.3">
      <c r="F73" s="138"/>
      <c r="G73" s="139"/>
      <c r="H73" s="139"/>
      <c r="M73" s="94"/>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11726-35E6-4405-A8BB-EE7482ECF2BB}">
  <dimension ref="A2:Y56"/>
  <sheetViews>
    <sheetView topLeftCell="A41" workbookViewId="0">
      <selection activeCell="A57" sqref="A57"/>
    </sheetView>
  </sheetViews>
  <sheetFormatPr defaultRowHeight="14.4" x14ac:dyDescent="0.3"/>
  <cols>
    <col min="1" max="1" width="14" customWidth="1"/>
    <col min="2" max="2" width="10" customWidth="1"/>
    <col min="3" max="3" width="5" customWidth="1"/>
    <col min="4" max="4" width="10" customWidth="1"/>
    <col min="5" max="5" width="5" customWidth="1"/>
    <col min="6" max="6" width="10" customWidth="1"/>
    <col min="7" max="7" width="5" customWidth="1"/>
    <col min="8" max="8" width="10" customWidth="1"/>
    <col min="9" max="9" width="5" customWidth="1"/>
    <col min="21" max="21" width="14.88671875" customWidth="1"/>
    <col min="22" max="22" width="12.44140625" customWidth="1"/>
    <col min="24" max="24" width="10.44140625" customWidth="1"/>
    <col min="25" max="25" width="12.88671875" customWidth="1"/>
  </cols>
  <sheetData>
    <row r="2" spans="1:25" ht="21" x14ac:dyDescent="0.4">
      <c r="A2" s="2" t="s">
        <v>231</v>
      </c>
    </row>
    <row r="4" spans="1:25" x14ac:dyDescent="0.3">
      <c r="A4" s="247" t="s">
        <v>232</v>
      </c>
      <c r="K4" s="247" t="s">
        <v>233</v>
      </c>
    </row>
    <row r="5" spans="1:25" x14ac:dyDescent="0.3">
      <c r="A5" s="247" t="s">
        <v>234</v>
      </c>
      <c r="B5" s="248" t="s">
        <v>235</v>
      </c>
      <c r="K5" s="247" t="s">
        <v>234</v>
      </c>
    </row>
    <row r="6" spans="1:25" x14ac:dyDescent="0.3">
      <c r="A6" s="247" t="s">
        <v>236</v>
      </c>
      <c r="B6" s="247" t="s">
        <v>237</v>
      </c>
      <c r="K6" s="247" t="s">
        <v>236</v>
      </c>
    </row>
    <row r="8" spans="1:25" x14ac:dyDescent="0.3">
      <c r="A8" s="248" t="s">
        <v>238</v>
      </c>
      <c r="C8" s="247" t="s">
        <v>239</v>
      </c>
      <c r="K8" s="248" t="s">
        <v>238</v>
      </c>
    </row>
    <row r="9" spans="1:25" x14ac:dyDescent="0.3">
      <c r="A9" s="248" t="s">
        <v>240</v>
      </c>
      <c r="C9" s="247" t="s">
        <v>241</v>
      </c>
      <c r="K9" s="248" t="s">
        <v>240</v>
      </c>
    </row>
    <row r="10" spans="1:25" x14ac:dyDescent="0.3">
      <c r="A10" s="248" t="s">
        <v>242</v>
      </c>
      <c r="C10" s="247" t="s">
        <v>243</v>
      </c>
      <c r="K10" s="248" t="s">
        <v>242</v>
      </c>
    </row>
    <row r="11" spans="1:25" x14ac:dyDescent="0.3">
      <c r="A11" s="248" t="s">
        <v>244</v>
      </c>
      <c r="C11" s="247" t="s">
        <v>245</v>
      </c>
      <c r="K11" s="248" t="s">
        <v>244</v>
      </c>
    </row>
    <row r="13" spans="1:25" x14ac:dyDescent="0.3">
      <c r="A13" s="249" t="s">
        <v>246</v>
      </c>
      <c r="B13" s="257" t="s">
        <v>247</v>
      </c>
      <c r="C13" s="257" t="s">
        <v>248</v>
      </c>
      <c r="D13" s="257" t="s">
        <v>249</v>
      </c>
      <c r="E13" s="257" t="s">
        <v>248</v>
      </c>
      <c r="F13" s="257" t="s">
        <v>250</v>
      </c>
      <c r="G13" s="257" t="s">
        <v>248</v>
      </c>
      <c r="H13" s="257" t="s">
        <v>251</v>
      </c>
      <c r="I13" s="257" t="s">
        <v>248</v>
      </c>
      <c r="K13" s="249" t="s">
        <v>246</v>
      </c>
      <c r="L13" s="257" t="s">
        <v>247</v>
      </c>
      <c r="M13" s="257" t="s">
        <v>248</v>
      </c>
      <c r="N13" s="257" t="s">
        <v>249</v>
      </c>
      <c r="O13" s="257" t="s">
        <v>248</v>
      </c>
      <c r="P13" s="257" t="s">
        <v>250</v>
      </c>
      <c r="Q13" s="257" t="s">
        <v>248</v>
      </c>
      <c r="R13" s="257" t="s">
        <v>251</v>
      </c>
      <c r="S13" s="257" t="s">
        <v>248</v>
      </c>
      <c r="U13" s="275" t="s">
        <v>252</v>
      </c>
      <c r="V13" s="276"/>
      <c r="W13" s="276"/>
      <c r="X13" s="277"/>
    </row>
    <row r="14" spans="1:25" x14ac:dyDescent="0.3">
      <c r="A14" s="250" t="s">
        <v>253</v>
      </c>
      <c r="B14" s="251" t="s">
        <v>248</v>
      </c>
      <c r="C14" s="251" t="s">
        <v>248</v>
      </c>
      <c r="D14" s="251" t="s">
        <v>248</v>
      </c>
      <c r="E14" s="251" t="s">
        <v>248</v>
      </c>
      <c r="F14" s="251" t="s">
        <v>248</v>
      </c>
      <c r="G14" s="251" t="s">
        <v>248</v>
      </c>
      <c r="H14" s="251" t="s">
        <v>248</v>
      </c>
      <c r="I14" s="251" t="s">
        <v>248</v>
      </c>
      <c r="K14" s="250" t="s">
        <v>253</v>
      </c>
      <c r="L14" s="251" t="s">
        <v>248</v>
      </c>
      <c r="M14" s="251" t="s">
        <v>248</v>
      </c>
      <c r="N14" s="251" t="s">
        <v>248</v>
      </c>
      <c r="O14" s="251" t="s">
        <v>248</v>
      </c>
      <c r="P14" s="251" t="s">
        <v>248</v>
      </c>
      <c r="Q14" s="251" t="s">
        <v>248</v>
      </c>
      <c r="R14" s="251" t="s">
        <v>248</v>
      </c>
      <c r="S14" s="251" t="s">
        <v>248</v>
      </c>
      <c r="U14" s="259" t="s">
        <v>254</v>
      </c>
      <c r="V14" s="126" t="s">
        <v>255</v>
      </c>
      <c r="W14" s="126" t="s">
        <v>256</v>
      </c>
      <c r="X14" s="260" t="s">
        <v>257</v>
      </c>
      <c r="Y14" s="126" t="s">
        <v>258</v>
      </c>
    </row>
    <row r="15" spans="1:25" x14ac:dyDescent="0.3">
      <c r="A15" s="252" t="s">
        <v>259</v>
      </c>
      <c r="B15" s="253">
        <v>6908.9809999999998</v>
      </c>
      <c r="C15" s="254" t="s">
        <v>260</v>
      </c>
      <c r="D15" s="253">
        <v>7236.1390000000001</v>
      </c>
      <c r="E15" s="254" t="s">
        <v>260</v>
      </c>
      <c r="F15" s="254" t="s">
        <v>261</v>
      </c>
      <c r="G15" s="254" t="s">
        <v>248</v>
      </c>
      <c r="H15" s="253">
        <v>7594.4350000000004</v>
      </c>
      <c r="I15" s="254" t="s">
        <v>260</v>
      </c>
      <c r="K15" s="252" t="s">
        <v>259</v>
      </c>
      <c r="L15" s="253">
        <v>1569.93</v>
      </c>
      <c r="M15" s="254" t="s">
        <v>260</v>
      </c>
      <c r="N15" s="253">
        <v>1618.2639999999999</v>
      </c>
      <c r="O15" s="254" t="s">
        <v>260</v>
      </c>
      <c r="P15" s="254" t="s">
        <v>261</v>
      </c>
      <c r="Q15" s="254" t="s">
        <v>248</v>
      </c>
      <c r="R15" s="253">
        <v>1770.924</v>
      </c>
      <c r="S15" s="254" t="s">
        <v>260</v>
      </c>
      <c r="U15" s="261">
        <f>AVERAGE(B15:H15)</f>
        <v>7246.5183333333334</v>
      </c>
      <c r="V15" s="17">
        <f>AVERAGE(L15:R15)</f>
        <v>1653.0393333333334</v>
      </c>
      <c r="W15" s="258">
        <f>V15*1000000/(U15*1000)</f>
        <v>228.114972914579</v>
      </c>
      <c r="X15" s="262">
        <f>W15*0.06</f>
        <v>13.686898374874739</v>
      </c>
      <c r="Y15" s="4">
        <f>1/X15</f>
        <v>7.3062572148246255E-2</v>
      </c>
    </row>
    <row r="16" spans="1:25" x14ac:dyDescent="0.3">
      <c r="A16" s="252" t="s">
        <v>262</v>
      </c>
      <c r="B16" s="255">
        <v>4115</v>
      </c>
      <c r="C16" s="255" t="s">
        <v>248</v>
      </c>
      <c r="D16" s="255">
        <v>4211</v>
      </c>
      <c r="E16" s="255" t="s">
        <v>248</v>
      </c>
      <c r="F16" s="255">
        <v>4055</v>
      </c>
      <c r="G16" s="255" t="s">
        <v>248</v>
      </c>
      <c r="H16" s="255">
        <v>4640</v>
      </c>
      <c r="I16" s="255" t="s">
        <v>248</v>
      </c>
      <c r="K16" s="252" t="s">
        <v>262</v>
      </c>
      <c r="L16" s="256">
        <v>1058.2</v>
      </c>
      <c r="M16" s="255" t="s">
        <v>248</v>
      </c>
      <c r="N16" s="255">
        <v>1064</v>
      </c>
      <c r="O16" s="255" t="s">
        <v>248</v>
      </c>
      <c r="P16" s="255">
        <v>1024</v>
      </c>
      <c r="Q16" s="255" t="s">
        <v>248</v>
      </c>
      <c r="R16" s="255">
        <v>1127</v>
      </c>
      <c r="S16" s="255" t="s">
        <v>248</v>
      </c>
      <c r="U16" s="261">
        <f t="shared" ref="U16:U40" si="0">AVERAGE(B16:H16)</f>
        <v>4255.25</v>
      </c>
      <c r="V16" s="17">
        <f t="shared" ref="V16:V40" si="1">AVERAGE(L16:R16)</f>
        <v>1068.3</v>
      </c>
      <c r="W16" s="258">
        <f t="shared" ref="W16:W40" si="2">V16*1000000/(U16*1000)</f>
        <v>251.0545796369191</v>
      </c>
      <c r="X16" s="262">
        <f t="shared" ref="X16:X40" si="3">W16*0.06</f>
        <v>15.063274778215145</v>
      </c>
      <c r="Y16" s="4">
        <f t="shared" ref="Y16:Y40" si="4">1/X16</f>
        <v>6.6386626727823028E-2</v>
      </c>
    </row>
    <row r="17" spans="1:25" x14ac:dyDescent="0.3">
      <c r="A17" s="252" t="s">
        <v>263</v>
      </c>
      <c r="B17" s="253">
        <v>4984.4589999999998</v>
      </c>
      <c r="C17" s="254" t="s">
        <v>248</v>
      </c>
      <c r="D17" s="253">
        <v>5519.6220000000003</v>
      </c>
      <c r="E17" s="254" t="s">
        <v>248</v>
      </c>
      <c r="F17" s="253">
        <v>5031.0050000000001</v>
      </c>
      <c r="G17" s="254" t="s">
        <v>248</v>
      </c>
      <c r="H17" s="253">
        <v>4645.0879999999997</v>
      </c>
      <c r="I17" s="254" t="s">
        <v>248</v>
      </c>
      <c r="K17" s="252" t="s">
        <v>263</v>
      </c>
      <c r="L17" s="253">
        <v>1538.2460000000001</v>
      </c>
      <c r="M17" s="254" t="s">
        <v>248</v>
      </c>
      <c r="N17" s="253">
        <v>1573.85</v>
      </c>
      <c r="O17" s="254" t="s">
        <v>248</v>
      </c>
      <c r="P17" s="253">
        <v>1702.009</v>
      </c>
      <c r="Q17" s="254" t="s">
        <v>248</v>
      </c>
      <c r="R17" s="253">
        <v>1503.1980000000001</v>
      </c>
      <c r="S17" s="254" t="s">
        <v>248</v>
      </c>
      <c r="U17" s="261">
        <f t="shared" si="0"/>
        <v>5045.0434999999998</v>
      </c>
      <c r="V17" s="17">
        <f t="shared" si="1"/>
        <v>1579.32575</v>
      </c>
      <c r="W17" s="258">
        <f t="shared" si="2"/>
        <v>313.04502131646638</v>
      </c>
      <c r="X17" s="262">
        <f t="shared" si="3"/>
        <v>18.782701278987982</v>
      </c>
      <c r="Y17" s="4">
        <f t="shared" si="4"/>
        <v>5.3240478307488702E-2</v>
      </c>
    </row>
    <row r="18" spans="1:25" x14ac:dyDescent="0.3">
      <c r="A18" s="252" t="s">
        <v>155</v>
      </c>
      <c r="B18" s="255" t="s">
        <v>261</v>
      </c>
      <c r="C18" s="255" t="s">
        <v>248</v>
      </c>
      <c r="D18" s="255" t="s">
        <v>261</v>
      </c>
      <c r="E18" s="255" t="s">
        <v>248</v>
      </c>
      <c r="F18" s="255" t="s">
        <v>261</v>
      </c>
      <c r="G18" s="255" t="s">
        <v>248</v>
      </c>
      <c r="H18" s="255" t="s">
        <v>261</v>
      </c>
      <c r="I18" s="255" t="s">
        <v>248</v>
      </c>
      <c r="K18" s="252" t="s">
        <v>155</v>
      </c>
      <c r="L18" s="256">
        <v>1322.3</v>
      </c>
      <c r="M18" s="255" t="s">
        <v>248</v>
      </c>
      <c r="N18" s="255">
        <v>1436</v>
      </c>
      <c r="O18" s="255" t="s">
        <v>248</v>
      </c>
      <c r="P18" s="255" t="s">
        <v>261</v>
      </c>
      <c r="Q18" s="255" t="s">
        <v>248</v>
      </c>
      <c r="R18" s="255">
        <v>1425</v>
      </c>
      <c r="S18" s="255" t="s">
        <v>248</v>
      </c>
      <c r="U18" s="261"/>
      <c r="V18" s="17"/>
      <c r="W18" s="258"/>
      <c r="X18" s="262"/>
      <c r="Y18" s="4"/>
    </row>
    <row r="19" spans="1:25" x14ac:dyDescent="0.3">
      <c r="A19" s="252" t="s">
        <v>33</v>
      </c>
      <c r="B19" s="254">
        <v>42021</v>
      </c>
      <c r="C19" s="254" t="s">
        <v>248</v>
      </c>
      <c r="D19" s="254">
        <v>42944</v>
      </c>
      <c r="E19" s="254" t="s">
        <v>248</v>
      </c>
      <c r="F19" s="254">
        <v>43164</v>
      </c>
      <c r="G19" s="254" t="s">
        <v>248</v>
      </c>
      <c r="H19" s="254">
        <v>44059</v>
      </c>
      <c r="I19" s="254" t="s">
        <v>248</v>
      </c>
      <c r="K19" s="252" t="s">
        <v>33</v>
      </c>
      <c r="L19" s="254">
        <v>12511</v>
      </c>
      <c r="M19" s="254" t="s">
        <v>248</v>
      </c>
      <c r="N19" s="254">
        <v>12936</v>
      </c>
      <c r="O19" s="254" t="s">
        <v>248</v>
      </c>
      <c r="P19" s="254">
        <v>13043</v>
      </c>
      <c r="Q19" s="254" t="s">
        <v>248</v>
      </c>
      <c r="R19" s="254">
        <v>13224</v>
      </c>
      <c r="S19" s="254" t="s">
        <v>248</v>
      </c>
      <c r="U19" s="261">
        <f t="shared" si="0"/>
        <v>43047</v>
      </c>
      <c r="V19" s="17">
        <f t="shared" si="1"/>
        <v>12928.5</v>
      </c>
      <c r="W19" s="258">
        <f t="shared" si="2"/>
        <v>300.33451808488394</v>
      </c>
      <c r="X19" s="262">
        <f t="shared" si="3"/>
        <v>18.020071085093036</v>
      </c>
      <c r="Y19" s="4">
        <f t="shared" si="4"/>
        <v>5.5493676760645094E-2</v>
      </c>
    </row>
    <row r="20" spans="1:25" x14ac:dyDescent="0.3">
      <c r="A20" s="252" t="s">
        <v>264</v>
      </c>
      <c r="B20" s="255" t="s">
        <v>261</v>
      </c>
      <c r="C20" s="255" t="s">
        <v>248</v>
      </c>
      <c r="D20" s="256">
        <v>602.1</v>
      </c>
      <c r="E20" s="255" t="s">
        <v>248</v>
      </c>
      <c r="F20" s="255" t="s">
        <v>261</v>
      </c>
      <c r="G20" s="255" t="s">
        <v>248</v>
      </c>
      <c r="H20" s="255" t="s">
        <v>261</v>
      </c>
      <c r="I20" s="255" t="s">
        <v>248</v>
      </c>
      <c r="K20" s="252" t="s">
        <v>264</v>
      </c>
      <c r="L20" s="255" t="s">
        <v>261</v>
      </c>
      <c r="M20" s="255" t="s">
        <v>248</v>
      </c>
      <c r="N20" s="256">
        <v>144.19999999999999</v>
      </c>
      <c r="O20" s="255" t="s">
        <v>248</v>
      </c>
      <c r="P20" s="255" t="s">
        <v>261</v>
      </c>
      <c r="Q20" s="255" t="s">
        <v>248</v>
      </c>
      <c r="R20" s="255" t="s">
        <v>261</v>
      </c>
      <c r="S20" s="255" t="s">
        <v>248</v>
      </c>
      <c r="U20" s="261">
        <f t="shared" si="0"/>
        <v>602.1</v>
      </c>
      <c r="V20" s="17">
        <f t="shared" si="1"/>
        <v>144.19999999999999</v>
      </c>
      <c r="W20" s="258">
        <f t="shared" si="2"/>
        <v>239.49510048164757</v>
      </c>
      <c r="X20" s="262">
        <f t="shared" si="3"/>
        <v>14.369706028898854</v>
      </c>
      <c r="Y20" s="4">
        <f t="shared" si="4"/>
        <v>6.9590846047156721E-2</v>
      </c>
    </row>
    <row r="21" spans="1:25" x14ac:dyDescent="0.3">
      <c r="A21" s="252" t="s">
        <v>37</v>
      </c>
      <c r="B21" s="254" t="s">
        <v>261</v>
      </c>
      <c r="C21" s="254" t="s">
        <v>248</v>
      </c>
      <c r="D21" s="253">
        <v>3007.3</v>
      </c>
      <c r="E21" s="254" t="s">
        <v>248</v>
      </c>
      <c r="F21" s="253">
        <v>3195.636</v>
      </c>
      <c r="G21" s="254" t="s">
        <v>248</v>
      </c>
      <c r="H21" s="253">
        <v>3138.0859999999998</v>
      </c>
      <c r="I21" s="254" t="s">
        <v>248</v>
      </c>
      <c r="K21" s="252" t="s">
        <v>37</v>
      </c>
      <c r="L21" s="254" t="s">
        <v>261</v>
      </c>
      <c r="M21" s="254" t="s">
        <v>248</v>
      </c>
      <c r="N21" s="253">
        <v>995.2</v>
      </c>
      <c r="O21" s="254" t="s">
        <v>248</v>
      </c>
      <c r="P21" s="253">
        <v>999.14</v>
      </c>
      <c r="Q21" s="254" t="s">
        <v>248</v>
      </c>
      <c r="R21" s="253">
        <v>1014.707</v>
      </c>
      <c r="S21" s="254" t="s">
        <v>248</v>
      </c>
      <c r="U21" s="261">
        <f t="shared" si="0"/>
        <v>3113.6739999999995</v>
      </c>
      <c r="V21" s="17">
        <f t="shared" si="1"/>
        <v>1003.0156666666667</v>
      </c>
      <c r="W21" s="258">
        <f t="shared" si="2"/>
        <v>322.13252468520045</v>
      </c>
      <c r="X21" s="262">
        <f t="shared" si="3"/>
        <v>19.327951481112027</v>
      </c>
      <c r="Y21" s="4">
        <f t="shared" si="4"/>
        <v>5.1738540474774893E-2</v>
      </c>
    </row>
    <row r="22" spans="1:25" x14ac:dyDescent="0.3">
      <c r="A22" s="252" t="s">
        <v>38</v>
      </c>
      <c r="B22" s="256">
        <v>46562.716</v>
      </c>
      <c r="C22" s="255" t="s">
        <v>248</v>
      </c>
      <c r="D22" s="256">
        <v>49150.978000000003</v>
      </c>
      <c r="E22" s="255" t="s">
        <v>248</v>
      </c>
      <c r="F22" s="256">
        <v>47920.932999999997</v>
      </c>
      <c r="G22" s="255" t="s">
        <v>260</v>
      </c>
      <c r="H22" s="256">
        <v>48309.523999999998</v>
      </c>
      <c r="I22" s="255" t="s">
        <v>265</v>
      </c>
      <c r="K22" s="252" t="s">
        <v>38</v>
      </c>
      <c r="L22" s="256">
        <v>12871.182000000001</v>
      </c>
      <c r="M22" s="255" t="s">
        <v>248</v>
      </c>
      <c r="N22" s="256">
        <v>13647.441000000001</v>
      </c>
      <c r="O22" s="255" t="s">
        <v>248</v>
      </c>
      <c r="P22" s="256">
        <v>13341.311</v>
      </c>
      <c r="Q22" s="255" t="s">
        <v>260</v>
      </c>
      <c r="R22" s="256">
        <v>13476.407999999999</v>
      </c>
      <c r="S22" s="255" t="s">
        <v>265</v>
      </c>
      <c r="U22" s="261">
        <f t="shared" si="0"/>
        <v>47986.037750000003</v>
      </c>
      <c r="V22" s="17">
        <f t="shared" si="1"/>
        <v>13334.085500000001</v>
      </c>
      <c r="W22" s="258">
        <f t="shared" si="2"/>
        <v>277.87427604397283</v>
      </c>
      <c r="X22" s="262">
        <f t="shared" si="3"/>
        <v>16.67245656263837</v>
      </c>
      <c r="Y22" s="4">
        <f t="shared" si="4"/>
        <v>5.9979163612932679E-2</v>
      </c>
    </row>
    <row r="23" spans="1:25" x14ac:dyDescent="0.3">
      <c r="A23" s="252" t="s">
        <v>36</v>
      </c>
      <c r="B23" s="254">
        <v>41900</v>
      </c>
      <c r="C23" s="254" t="s">
        <v>248</v>
      </c>
      <c r="D23" s="254">
        <v>52310</v>
      </c>
      <c r="E23" s="254" t="s">
        <v>248</v>
      </c>
      <c r="F23" s="254">
        <v>52955</v>
      </c>
      <c r="G23" s="254" t="s">
        <v>248</v>
      </c>
      <c r="H23" s="254">
        <v>52970</v>
      </c>
      <c r="I23" s="254" t="s">
        <v>248</v>
      </c>
      <c r="K23" s="252" t="s">
        <v>36</v>
      </c>
      <c r="L23" s="254">
        <v>14250</v>
      </c>
      <c r="M23" s="254" t="s">
        <v>260</v>
      </c>
      <c r="N23" s="254">
        <v>15120</v>
      </c>
      <c r="O23" s="254" t="s">
        <v>248</v>
      </c>
      <c r="P23" s="254">
        <v>15608</v>
      </c>
      <c r="Q23" s="254" t="s">
        <v>248</v>
      </c>
      <c r="R23" s="254">
        <v>15363</v>
      </c>
      <c r="S23" s="254" t="s">
        <v>248</v>
      </c>
      <c r="U23" s="261">
        <f t="shared" si="0"/>
        <v>50033.75</v>
      </c>
      <c r="V23" s="17">
        <f t="shared" si="1"/>
        <v>15085.25</v>
      </c>
      <c r="W23" s="258">
        <f t="shared" si="2"/>
        <v>301.5014864966148</v>
      </c>
      <c r="X23" s="262">
        <f t="shared" si="3"/>
        <v>18.090089189796888</v>
      </c>
      <c r="Y23" s="4">
        <f t="shared" si="4"/>
        <v>5.5278887213227046E-2</v>
      </c>
    </row>
    <row r="24" spans="1:25" x14ac:dyDescent="0.3">
      <c r="A24" s="252" t="s">
        <v>266</v>
      </c>
      <c r="B24" s="256">
        <v>2688.4</v>
      </c>
      <c r="C24" s="255" t="s">
        <v>248</v>
      </c>
      <c r="D24" s="256">
        <v>2952.6</v>
      </c>
      <c r="E24" s="255" t="s">
        <v>248</v>
      </c>
      <c r="F24" s="256">
        <v>3229.3</v>
      </c>
      <c r="G24" s="255" t="s">
        <v>248</v>
      </c>
      <c r="H24" s="256">
        <v>2893.2</v>
      </c>
      <c r="I24" s="255" t="s">
        <v>248</v>
      </c>
      <c r="K24" s="252" t="s">
        <v>266</v>
      </c>
      <c r="L24" s="255">
        <v>548</v>
      </c>
      <c r="M24" s="255" t="s">
        <v>248</v>
      </c>
      <c r="N24" s="256">
        <v>615.20000000000005</v>
      </c>
      <c r="O24" s="255" t="s">
        <v>248</v>
      </c>
      <c r="P24" s="255">
        <v>679</v>
      </c>
      <c r="Q24" s="255" t="s">
        <v>248</v>
      </c>
      <c r="R24" s="256">
        <v>611.20000000000005</v>
      </c>
      <c r="S24" s="255" t="s">
        <v>248</v>
      </c>
      <c r="U24" s="261">
        <f t="shared" si="0"/>
        <v>2940.875</v>
      </c>
      <c r="V24" s="17">
        <f t="shared" si="1"/>
        <v>613.35</v>
      </c>
      <c r="W24" s="258">
        <f t="shared" si="2"/>
        <v>208.56037743868745</v>
      </c>
      <c r="X24" s="262">
        <f t="shared" si="3"/>
        <v>12.513622646321247</v>
      </c>
      <c r="Y24" s="4">
        <f t="shared" si="4"/>
        <v>7.9912909975272423E-2</v>
      </c>
    </row>
    <row r="25" spans="1:25" x14ac:dyDescent="0.3">
      <c r="A25" s="252" t="s">
        <v>267</v>
      </c>
      <c r="B25" s="254" t="s">
        <v>261</v>
      </c>
      <c r="C25" s="254" t="s">
        <v>248</v>
      </c>
      <c r="D25" s="253">
        <v>400.31700000000001</v>
      </c>
      <c r="E25" s="254" t="s">
        <v>248</v>
      </c>
      <c r="F25" s="254" t="s">
        <v>261</v>
      </c>
      <c r="G25" s="254" t="s">
        <v>248</v>
      </c>
      <c r="H25" s="254" t="s">
        <v>261</v>
      </c>
      <c r="I25" s="254" t="s">
        <v>248</v>
      </c>
      <c r="K25" s="252" t="s">
        <v>267</v>
      </c>
      <c r="L25" s="254" t="s">
        <v>261</v>
      </c>
      <c r="M25" s="254" t="s">
        <v>248</v>
      </c>
      <c r="N25" s="253">
        <v>150.73400000000001</v>
      </c>
      <c r="O25" s="254" t="s">
        <v>248</v>
      </c>
      <c r="P25" s="254" t="s">
        <v>261</v>
      </c>
      <c r="Q25" s="254" t="s">
        <v>248</v>
      </c>
      <c r="R25" s="254" t="s">
        <v>261</v>
      </c>
      <c r="S25" s="254" t="s">
        <v>248</v>
      </c>
      <c r="U25" s="261">
        <f t="shared" si="0"/>
        <v>400.31700000000001</v>
      </c>
      <c r="V25" s="17">
        <f t="shared" si="1"/>
        <v>150.73400000000001</v>
      </c>
      <c r="W25" s="258">
        <f t="shared" si="2"/>
        <v>376.53659474866168</v>
      </c>
      <c r="X25" s="262">
        <f t="shared" si="3"/>
        <v>22.592195684919702</v>
      </c>
      <c r="Y25" s="4">
        <f t="shared" si="4"/>
        <v>4.4263072697599742E-2</v>
      </c>
    </row>
    <row r="26" spans="1:25" x14ac:dyDescent="0.3">
      <c r="A26" s="252" t="s">
        <v>268</v>
      </c>
      <c r="B26" s="255" t="s">
        <v>261</v>
      </c>
      <c r="C26" s="255" t="s">
        <v>248</v>
      </c>
      <c r="D26" s="256">
        <v>3255.8</v>
      </c>
      <c r="E26" s="255" t="s">
        <v>248</v>
      </c>
      <c r="F26" s="255">
        <v>3308</v>
      </c>
      <c r="G26" s="255" t="s">
        <v>248</v>
      </c>
      <c r="H26" s="256">
        <v>3256.9</v>
      </c>
      <c r="I26" s="255" t="s">
        <v>248</v>
      </c>
      <c r="K26" s="252" t="s">
        <v>268</v>
      </c>
      <c r="L26" s="255" t="s">
        <v>261</v>
      </c>
      <c r="M26" s="255" t="s">
        <v>248</v>
      </c>
      <c r="N26" s="256">
        <v>758.6</v>
      </c>
      <c r="O26" s="255" t="s">
        <v>248</v>
      </c>
      <c r="P26" s="256">
        <v>766.3</v>
      </c>
      <c r="Q26" s="255" t="s">
        <v>248</v>
      </c>
      <c r="R26" s="256">
        <v>805.9</v>
      </c>
      <c r="S26" s="255" t="s">
        <v>248</v>
      </c>
      <c r="U26" s="261">
        <f t="shared" si="0"/>
        <v>3273.5666666666671</v>
      </c>
      <c r="V26" s="17">
        <f t="shared" si="1"/>
        <v>776.93333333333339</v>
      </c>
      <c r="W26" s="258">
        <f t="shared" si="2"/>
        <v>237.33542415510095</v>
      </c>
      <c r="X26" s="262">
        <f t="shared" si="3"/>
        <v>14.240125449306056</v>
      </c>
      <c r="Y26" s="4">
        <f t="shared" si="4"/>
        <v>7.0224100451919236E-2</v>
      </c>
    </row>
    <row r="27" spans="1:25" x14ac:dyDescent="0.3">
      <c r="A27" s="252" t="s">
        <v>269</v>
      </c>
      <c r="B27" s="253">
        <v>3655.2809999999999</v>
      </c>
      <c r="C27" s="254" t="s">
        <v>248</v>
      </c>
      <c r="D27" s="253">
        <v>3221.8780000000002</v>
      </c>
      <c r="E27" s="254" t="s">
        <v>248</v>
      </c>
      <c r="F27" s="253">
        <v>3026.087</v>
      </c>
      <c r="G27" s="254" t="s">
        <v>260</v>
      </c>
      <c r="H27" s="253">
        <v>3261.0149999999999</v>
      </c>
      <c r="I27" s="254" t="s">
        <v>248</v>
      </c>
      <c r="K27" s="252" t="s">
        <v>269</v>
      </c>
      <c r="L27" s="253">
        <v>721.98900000000003</v>
      </c>
      <c r="M27" s="254" t="s">
        <v>260</v>
      </c>
      <c r="N27" s="253">
        <v>725.24699999999996</v>
      </c>
      <c r="O27" s="254" t="s">
        <v>248</v>
      </c>
      <c r="P27" s="253">
        <v>851.66300000000001</v>
      </c>
      <c r="Q27" s="254" t="s">
        <v>260</v>
      </c>
      <c r="R27" s="253">
        <v>681.05600000000004</v>
      </c>
      <c r="S27" s="254" t="s">
        <v>248</v>
      </c>
      <c r="U27" s="261">
        <f t="shared" si="0"/>
        <v>3291.0652499999997</v>
      </c>
      <c r="V27" s="17">
        <f t="shared" si="1"/>
        <v>744.98874999999998</v>
      </c>
      <c r="W27" s="258">
        <f t="shared" si="2"/>
        <v>226.36705546934996</v>
      </c>
      <c r="X27" s="262">
        <f t="shared" si="3"/>
        <v>13.582023328160997</v>
      </c>
      <c r="Y27" s="4">
        <f t="shared" si="4"/>
        <v>7.3626732618445573E-2</v>
      </c>
    </row>
    <row r="28" spans="1:25" x14ac:dyDescent="0.3">
      <c r="A28" s="252" t="s">
        <v>270</v>
      </c>
      <c r="B28" s="256">
        <v>110.895</v>
      </c>
      <c r="C28" s="255" t="s">
        <v>248</v>
      </c>
      <c r="D28" s="256">
        <v>115.28700000000001</v>
      </c>
      <c r="E28" s="255" t="s">
        <v>248</v>
      </c>
      <c r="F28" s="256">
        <v>119.666</v>
      </c>
      <c r="G28" s="255" t="s">
        <v>248</v>
      </c>
      <c r="H28" s="255" t="s">
        <v>261</v>
      </c>
      <c r="I28" s="255" t="s">
        <v>248</v>
      </c>
      <c r="K28" s="252" t="s">
        <v>270</v>
      </c>
      <c r="L28" s="256">
        <v>32.67</v>
      </c>
      <c r="M28" s="255" t="s">
        <v>248</v>
      </c>
      <c r="N28" s="256">
        <v>33.850999999999999</v>
      </c>
      <c r="O28" s="255" t="s">
        <v>248</v>
      </c>
      <c r="P28" s="256">
        <v>35.207999999999998</v>
      </c>
      <c r="Q28" s="255" t="s">
        <v>248</v>
      </c>
      <c r="R28" s="255" t="s">
        <v>261</v>
      </c>
      <c r="S28" s="255" t="s">
        <v>248</v>
      </c>
      <c r="U28" s="261">
        <f t="shared" si="0"/>
        <v>115.28266666666667</v>
      </c>
      <c r="V28" s="17">
        <f t="shared" si="1"/>
        <v>33.909666666666666</v>
      </c>
      <c r="W28" s="258">
        <f t="shared" si="2"/>
        <v>294.14367005158334</v>
      </c>
      <c r="X28" s="262">
        <f t="shared" si="3"/>
        <v>17.648620203095</v>
      </c>
      <c r="Y28" s="4">
        <f t="shared" si="4"/>
        <v>5.6661653346964325E-2</v>
      </c>
    </row>
    <row r="29" spans="1:25" x14ac:dyDescent="0.3">
      <c r="A29" s="252" t="s">
        <v>35</v>
      </c>
      <c r="B29" s="253">
        <v>6376.4040000000005</v>
      </c>
      <c r="C29" s="254" t="s">
        <v>248</v>
      </c>
      <c r="D29" s="253">
        <v>6393.3530000000001</v>
      </c>
      <c r="E29" s="254" t="s">
        <v>248</v>
      </c>
      <c r="F29" s="253">
        <v>6302.1490000000003</v>
      </c>
      <c r="G29" s="254" t="s">
        <v>248</v>
      </c>
      <c r="H29" s="253">
        <v>6006.4579999999996</v>
      </c>
      <c r="I29" s="254" t="s">
        <v>248</v>
      </c>
      <c r="K29" s="252" t="s">
        <v>35</v>
      </c>
      <c r="L29" s="254">
        <v>1512</v>
      </c>
      <c r="M29" s="254" t="s">
        <v>248</v>
      </c>
      <c r="N29" s="254">
        <v>1496</v>
      </c>
      <c r="O29" s="254" t="s">
        <v>248</v>
      </c>
      <c r="P29" s="253">
        <v>1532.3</v>
      </c>
      <c r="Q29" s="254" t="s">
        <v>248</v>
      </c>
      <c r="R29" s="253">
        <v>1467.7</v>
      </c>
      <c r="S29" s="254" t="s">
        <v>248</v>
      </c>
      <c r="U29" s="261">
        <f t="shared" si="0"/>
        <v>6269.5910000000003</v>
      </c>
      <c r="V29" s="17">
        <f t="shared" si="1"/>
        <v>1502</v>
      </c>
      <c r="W29" s="258">
        <f t="shared" si="2"/>
        <v>239.56905641851279</v>
      </c>
      <c r="X29" s="262">
        <f t="shared" si="3"/>
        <v>14.374143385110767</v>
      </c>
      <c r="Y29" s="4">
        <f t="shared" si="4"/>
        <v>6.9569363071460277E-2</v>
      </c>
    </row>
    <row r="30" spans="1:25" x14ac:dyDescent="0.3">
      <c r="A30" s="252" t="s">
        <v>271</v>
      </c>
      <c r="B30" s="255" t="s">
        <v>261</v>
      </c>
      <c r="C30" s="255" t="s">
        <v>248</v>
      </c>
      <c r="D30" s="256">
        <v>354.47399999999999</v>
      </c>
      <c r="E30" s="255" t="s">
        <v>248</v>
      </c>
      <c r="F30" s="256">
        <v>368.56599999999997</v>
      </c>
      <c r="G30" s="255" t="s">
        <v>260</v>
      </c>
      <c r="H30" s="255" t="s">
        <v>261</v>
      </c>
      <c r="I30" s="255" t="s">
        <v>248</v>
      </c>
      <c r="K30" s="252" t="s">
        <v>271</v>
      </c>
      <c r="L30" s="255" t="s">
        <v>261</v>
      </c>
      <c r="M30" s="255" t="s">
        <v>248</v>
      </c>
      <c r="N30" s="256">
        <v>92.22</v>
      </c>
      <c r="O30" s="255" t="s">
        <v>248</v>
      </c>
      <c r="P30" s="256">
        <v>95.885999999999996</v>
      </c>
      <c r="Q30" s="255" t="s">
        <v>260</v>
      </c>
      <c r="R30" s="255" t="s">
        <v>261</v>
      </c>
      <c r="S30" s="255" t="s">
        <v>248</v>
      </c>
      <c r="U30" s="261">
        <f t="shared" si="0"/>
        <v>361.52</v>
      </c>
      <c r="V30" s="17">
        <f t="shared" si="1"/>
        <v>94.052999999999997</v>
      </c>
      <c r="W30" s="258">
        <f t="shared" si="2"/>
        <v>260.15988050453637</v>
      </c>
      <c r="X30" s="262">
        <f t="shared" si="3"/>
        <v>15.609592830272183</v>
      </c>
      <c r="Y30" s="4">
        <f t="shared" si="4"/>
        <v>6.4063170056599297E-2</v>
      </c>
    </row>
    <row r="31" spans="1:25" x14ac:dyDescent="0.3">
      <c r="A31" s="252" t="s">
        <v>30</v>
      </c>
      <c r="B31" s="254">
        <v>42887</v>
      </c>
      <c r="C31" s="254" t="s">
        <v>248</v>
      </c>
      <c r="D31" s="254">
        <v>39749</v>
      </c>
      <c r="E31" s="254" t="s">
        <v>248</v>
      </c>
      <c r="F31" s="254">
        <v>38253</v>
      </c>
      <c r="G31" s="254" t="s">
        <v>248</v>
      </c>
      <c r="H31" s="254">
        <v>36708</v>
      </c>
      <c r="I31" s="254" t="s">
        <v>248</v>
      </c>
      <c r="K31" s="252" t="s">
        <v>30</v>
      </c>
      <c r="L31" s="254">
        <v>10291</v>
      </c>
      <c r="M31" s="254" t="s">
        <v>248</v>
      </c>
      <c r="N31" s="254">
        <v>9968</v>
      </c>
      <c r="O31" s="254" t="s">
        <v>248</v>
      </c>
      <c r="P31" s="254">
        <v>9270</v>
      </c>
      <c r="Q31" s="254" t="s">
        <v>248</v>
      </c>
      <c r="R31" s="254">
        <v>10077</v>
      </c>
      <c r="S31" s="254" t="s">
        <v>248</v>
      </c>
      <c r="U31" s="261">
        <f t="shared" si="0"/>
        <v>39399.25</v>
      </c>
      <c r="V31" s="17">
        <f t="shared" si="1"/>
        <v>9901.5</v>
      </c>
      <c r="W31" s="258">
        <f t="shared" si="2"/>
        <v>251.31189045476754</v>
      </c>
      <c r="X31" s="262">
        <f t="shared" si="3"/>
        <v>15.078713427286052</v>
      </c>
      <c r="Y31" s="4">
        <f t="shared" si="4"/>
        <v>6.6318655422579073E-2</v>
      </c>
    </row>
    <row r="32" spans="1:25" x14ac:dyDescent="0.3">
      <c r="A32" s="252" t="s">
        <v>272</v>
      </c>
      <c r="B32" s="255">
        <v>7007</v>
      </c>
      <c r="C32" s="255" t="s">
        <v>248</v>
      </c>
      <c r="D32" s="255">
        <v>7351</v>
      </c>
      <c r="E32" s="255" t="s">
        <v>248</v>
      </c>
      <c r="F32" s="256">
        <v>7270.43</v>
      </c>
      <c r="G32" s="255" t="s">
        <v>260</v>
      </c>
      <c r="H32" s="256">
        <v>7473.7179999999998</v>
      </c>
      <c r="I32" s="255" t="s">
        <v>248</v>
      </c>
      <c r="K32" s="252" t="s">
        <v>272</v>
      </c>
      <c r="L32" s="255">
        <v>1775</v>
      </c>
      <c r="M32" s="255" t="s">
        <v>248</v>
      </c>
      <c r="N32" s="255">
        <v>1876</v>
      </c>
      <c r="O32" s="255" t="s">
        <v>248</v>
      </c>
      <c r="P32" s="256">
        <v>1805.5350000000001</v>
      </c>
      <c r="Q32" s="255" t="s">
        <v>260</v>
      </c>
      <c r="R32" s="256">
        <v>1915.7819999999999</v>
      </c>
      <c r="S32" s="255" t="s">
        <v>248</v>
      </c>
      <c r="U32" s="261">
        <f t="shared" si="0"/>
        <v>7275.5370000000003</v>
      </c>
      <c r="V32" s="17">
        <f t="shared" si="1"/>
        <v>1843.07925</v>
      </c>
      <c r="W32" s="258">
        <f t="shared" si="2"/>
        <v>253.32552772393296</v>
      </c>
      <c r="X32" s="262">
        <f t="shared" si="3"/>
        <v>15.199531663435977</v>
      </c>
      <c r="Y32" s="4">
        <f t="shared" si="4"/>
        <v>6.5791500826673621E-2</v>
      </c>
    </row>
    <row r="33" spans="1:25" x14ac:dyDescent="0.3">
      <c r="A33" s="252" t="s">
        <v>273</v>
      </c>
      <c r="B33" s="253">
        <v>38207.699999999997</v>
      </c>
      <c r="C33" s="254" t="s">
        <v>248</v>
      </c>
      <c r="D33" s="254">
        <v>34226</v>
      </c>
      <c r="E33" s="254" t="s">
        <v>248</v>
      </c>
      <c r="F33" s="253">
        <v>39352.209000000003</v>
      </c>
      <c r="G33" s="254" t="s">
        <v>248</v>
      </c>
      <c r="H33" s="253">
        <v>38761.550999999999</v>
      </c>
      <c r="I33" s="254" t="s">
        <v>248</v>
      </c>
      <c r="K33" s="252" t="s">
        <v>273</v>
      </c>
      <c r="L33" s="253">
        <v>4887.3999999999996</v>
      </c>
      <c r="M33" s="254" t="s">
        <v>248</v>
      </c>
      <c r="N33" s="253">
        <v>4957.6000000000004</v>
      </c>
      <c r="O33" s="254" t="s">
        <v>248</v>
      </c>
      <c r="P33" s="253">
        <v>5438.8869999999997</v>
      </c>
      <c r="Q33" s="254" t="s">
        <v>248</v>
      </c>
      <c r="R33" s="253">
        <v>5531.3779999999997</v>
      </c>
      <c r="S33" s="254" t="s">
        <v>248</v>
      </c>
      <c r="U33" s="261">
        <f t="shared" si="0"/>
        <v>37636.864999999998</v>
      </c>
      <c r="V33" s="17">
        <f t="shared" si="1"/>
        <v>5203.8162499999999</v>
      </c>
      <c r="W33" s="258">
        <f t="shared" si="2"/>
        <v>138.26380730701135</v>
      </c>
      <c r="X33" s="262">
        <f t="shared" si="3"/>
        <v>8.2958284384206813</v>
      </c>
      <c r="Y33" s="4">
        <f t="shared" si="4"/>
        <v>0.12054251210990267</v>
      </c>
    </row>
    <row r="34" spans="1:25" x14ac:dyDescent="0.3">
      <c r="A34" s="252" t="s">
        <v>274</v>
      </c>
      <c r="B34" s="255" t="s">
        <v>261</v>
      </c>
      <c r="C34" s="255" t="s">
        <v>248</v>
      </c>
      <c r="D34" s="256">
        <v>1272.204</v>
      </c>
      <c r="E34" s="255" t="s">
        <v>248</v>
      </c>
      <c r="F34" s="256">
        <v>1421.921</v>
      </c>
      <c r="G34" s="255" t="s">
        <v>248</v>
      </c>
      <c r="H34" s="255" t="s">
        <v>261</v>
      </c>
      <c r="I34" s="255" t="s">
        <v>248</v>
      </c>
      <c r="K34" s="252" t="s">
        <v>274</v>
      </c>
      <c r="L34" s="255" t="s">
        <v>261</v>
      </c>
      <c r="M34" s="255" t="s">
        <v>248</v>
      </c>
      <c r="N34" s="256">
        <v>325.19</v>
      </c>
      <c r="O34" s="255" t="s">
        <v>248</v>
      </c>
      <c r="P34" s="256">
        <v>340.47899999999998</v>
      </c>
      <c r="Q34" s="255" t="s">
        <v>248</v>
      </c>
      <c r="R34" s="255" t="s">
        <v>261</v>
      </c>
      <c r="S34" s="255" t="s">
        <v>248</v>
      </c>
      <c r="U34" s="261">
        <f t="shared" si="0"/>
        <v>1347.0625</v>
      </c>
      <c r="V34" s="17">
        <f t="shared" si="1"/>
        <v>332.83449999999999</v>
      </c>
      <c r="W34" s="258">
        <f t="shared" si="2"/>
        <v>247.08170556303068</v>
      </c>
      <c r="X34" s="262">
        <f t="shared" si="3"/>
        <v>14.824902333781841</v>
      </c>
      <c r="Y34" s="4">
        <f t="shared" si="4"/>
        <v>6.7454070015778606E-2</v>
      </c>
    </row>
    <row r="35" spans="1:25" x14ac:dyDescent="0.3">
      <c r="A35" s="252" t="s">
        <v>275</v>
      </c>
      <c r="B35" s="253">
        <v>2491.5909999999999</v>
      </c>
      <c r="C35" s="254" t="s">
        <v>248</v>
      </c>
      <c r="D35" s="253">
        <v>2392.3409999999999</v>
      </c>
      <c r="E35" s="254" t="s">
        <v>248</v>
      </c>
      <c r="F35" s="253">
        <v>2393.848</v>
      </c>
      <c r="G35" s="254" t="s">
        <v>248</v>
      </c>
      <c r="H35" s="253">
        <v>2321.1309999999999</v>
      </c>
      <c r="I35" s="254" t="s">
        <v>248</v>
      </c>
      <c r="K35" s="252" t="s">
        <v>275</v>
      </c>
      <c r="L35" s="253">
        <v>748.08500000000004</v>
      </c>
      <c r="M35" s="254" t="s">
        <v>248</v>
      </c>
      <c r="N35" s="253">
        <v>706.13499999999999</v>
      </c>
      <c r="O35" s="254" t="s">
        <v>248</v>
      </c>
      <c r="P35" s="253">
        <v>687.39599999999996</v>
      </c>
      <c r="Q35" s="254" t="s">
        <v>248</v>
      </c>
      <c r="R35" s="253">
        <v>663.92700000000002</v>
      </c>
      <c r="S35" s="254" t="s">
        <v>248</v>
      </c>
      <c r="U35" s="261">
        <f t="shared" si="0"/>
        <v>2399.72775</v>
      </c>
      <c r="V35" s="17">
        <f t="shared" si="1"/>
        <v>701.38575000000003</v>
      </c>
      <c r="W35" s="258">
        <f t="shared" si="2"/>
        <v>292.27721769688247</v>
      </c>
      <c r="X35" s="262">
        <f t="shared" si="3"/>
        <v>17.536633061812946</v>
      </c>
      <c r="Y35" s="4">
        <f t="shared" si="4"/>
        <v>5.7023488857593709E-2</v>
      </c>
    </row>
    <row r="36" spans="1:25" x14ac:dyDescent="0.3">
      <c r="A36" s="252" t="s">
        <v>276</v>
      </c>
      <c r="B36" s="255" t="s">
        <v>261</v>
      </c>
      <c r="C36" s="255" t="s">
        <v>248</v>
      </c>
      <c r="D36" s="255" t="s">
        <v>261</v>
      </c>
      <c r="E36" s="255" t="s">
        <v>248</v>
      </c>
      <c r="F36" s="255" t="s">
        <v>261</v>
      </c>
      <c r="G36" s="255" t="s">
        <v>248</v>
      </c>
      <c r="H36" s="255" t="s">
        <v>261</v>
      </c>
      <c r="I36" s="255" t="s">
        <v>248</v>
      </c>
      <c r="K36" s="252" t="s">
        <v>276</v>
      </c>
      <c r="L36" s="255">
        <v>1260</v>
      </c>
      <c r="M36" s="255" t="s">
        <v>248</v>
      </c>
      <c r="N36" s="255">
        <v>1264</v>
      </c>
      <c r="O36" s="255" t="s">
        <v>248</v>
      </c>
      <c r="P36" s="256">
        <v>1292.3330000000001</v>
      </c>
      <c r="Q36" s="255" t="s">
        <v>260</v>
      </c>
      <c r="R36" s="255">
        <v>1272</v>
      </c>
      <c r="S36" s="255" t="s">
        <v>248</v>
      </c>
      <c r="U36" s="261"/>
      <c r="V36" s="17"/>
      <c r="W36" s="258"/>
      <c r="X36" s="262"/>
      <c r="Y36" s="4"/>
    </row>
    <row r="37" spans="1:25" x14ac:dyDescent="0.3">
      <c r="A37" s="252" t="s">
        <v>34</v>
      </c>
      <c r="B37" s="254" t="s">
        <v>261</v>
      </c>
      <c r="C37" s="254" t="s">
        <v>248</v>
      </c>
      <c r="D37" s="254" t="s">
        <v>261</v>
      </c>
      <c r="E37" s="254" t="s">
        <v>248</v>
      </c>
      <c r="F37" s="254" t="s">
        <v>261</v>
      </c>
      <c r="G37" s="254" t="s">
        <v>248</v>
      </c>
      <c r="H37" s="254" t="s">
        <v>261</v>
      </c>
      <c r="I37" s="254" t="s">
        <v>248</v>
      </c>
      <c r="K37" s="252" t="s">
        <v>34</v>
      </c>
      <c r="L37" s="253">
        <v>2439.259</v>
      </c>
      <c r="M37" s="254" t="s">
        <v>248</v>
      </c>
      <c r="N37" s="253">
        <v>2428.8470000000002</v>
      </c>
      <c r="O37" s="254" t="s">
        <v>248</v>
      </c>
      <c r="P37" s="253">
        <v>2086.8420000000001</v>
      </c>
      <c r="Q37" s="254" t="s">
        <v>248</v>
      </c>
      <c r="R37" s="253">
        <v>2519.9899999999998</v>
      </c>
      <c r="S37" s="254" t="s">
        <v>248</v>
      </c>
      <c r="U37" s="261"/>
      <c r="V37" s="17"/>
      <c r="W37" s="258"/>
      <c r="X37" s="262"/>
      <c r="Y37" s="4"/>
    </row>
    <row r="38" spans="1:25" x14ac:dyDescent="0.3">
      <c r="A38" s="252" t="s">
        <v>277</v>
      </c>
      <c r="B38" s="255" t="s">
        <v>261</v>
      </c>
      <c r="C38" s="255" t="s">
        <v>248</v>
      </c>
      <c r="D38" s="255" t="s">
        <v>261</v>
      </c>
      <c r="E38" s="255" t="s">
        <v>248</v>
      </c>
      <c r="F38" s="255" t="s">
        <v>261</v>
      </c>
      <c r="G38" s="255" t="s">
        <v>248</v>
      </c>
      <c r="H38" s="255" t="s">
        <v>261</v>
      </c>
      <c r="I38" s="255" t="s">
        <v>248</v>
      </c>
      <c r="K38" s="252" t="s">
        <v>277</v>
      </c>
      <c r="L38" s="255" t="s">
        <v>261</v>
      </c>
      <c r="M38" s="255" t="s">
        <v>248</v>
      </c>
      <c r="N38" s="255" t="s">
        <v>261</v>
      </c>
      <c r="O38" s="255" t="s">
        <v>248</v>
      </c>
      <c r="P38" s="255" t="s">
        <v>261</v>
      </c>
      <c r="Q38" s="255" t="s">
        <v>248</v>
      </c>
      <c r="R38" s="255" t="s">
        <v>261</v>
      </c>
      <c r="S38" s="255" t="s">
        <v>248</v>
      </c>
      <c r="U38" s="261"/>
      <c r="V38" s="17"/>
      <c r="W38" s="258"/>
      <c r="X38" s="262"/>
      <c r="Y38" s="4"/>
    </row>
    <row r="39" spans="1:25" x14ac:dyDescent="0.3">
      <c r="A39" s="252" t="s">
        <v>278</v>
      </c>
      <c r="B39" s="253">
        <v>8862.89</v>
      </c>
      <c r="C39" s="254" t="s">
        <v>248</v>
      </c>
      <c r="D39" s="254">
        <v>8207</v>
      </c>
      <c r="E39" s="254" t="s">
        <v>248</v>
      </c>
      <c r="F39" s="254">
        <v>8292</v>
      </c>
      <c r="G39" s="254" t="s">
        <v>248</v>
      </c>
      <c r="H39" s="254">
        <v>7901</v>
      </c>
      <c r="I39" s="254" t="s">
        <v>248</v>
      </c>
      <c r="K39" s="252" t="s">
        <v>278</v>
      </c>
      <c r="L39" s="253">
        <v>1676.69</v>
      </c>
      <c r="M39" s="254" t="s">
        <v>248</v>
      </c>
      <c r="N39" s="254">
        <v>1612</v>
      </c>
      <c r="O39" s="254" t="s">
        <v>248</v>
      </c>
      <c r="P39" s="254">
        <v>1624</v>
      </c>
      <c r="Q39" s="254" t="s">
        <v>248</v>
      </c>
      <c r="R39" s="254">
        <v>1549</v>
      </c>
      <c r="S39" s="254" t="s">
        <v>248</v>
      </c>
      <c r="U39" s="261">
        <f t="shared" si="0"/>
        <v>8315.7224999999999</v>
      </c>
      <c r="V39" s="17">
        <f t="shared" si="1"/>
        <v>1615.4225000000001</v>
      </c>
      <c r="W39" s="258">
        <f t="shared" si="2"/>
        <v>194.2612322621396</v>
      </c>
      <c r="X39" s="262">
        <f t="shared" si="3"/>
        <v>11.655673935728375</v>
      </c>
      <c r="Y39" s="4">
        <f t="shared" si="4"/>
        <v>8.5795124804811121E-2</v>
      </c>
    </row>
    <row r="40" spans="1:25" x14ac:dyDescent="0.3">
      <c r="A40" s="252" t="s">
        <v>279</v>
      </c>
      <c r="B40" s="256">
        <v>77366.817999999999</v>
      </c>
      <c r="C40" s="255" t="s">
        <v>248</v>
      </c>
      <c r="D40" s="256">
        <v>75908.854000000007</v>
      </c>
      <c r="E40" s="255" t="s">
        <v>248</v>
      </c>
      <c r="F40" s="256">
        <v>74214.296000000002</v>
      </c>
      <c r="G40" s="255" t="s">
        <v>248</v>
      </c>
      <c r="H40" s="256">
        <v>76699.176999999996</v>
      </c>
      <c r="I40" s="255" t="s">
        <v>248</v>
      </c>
      <c r="K40" s="252" t="s">
        <v>279</v>
      </c>
      <c r="L40" s="256">
        <v>19898.126</v>
      </c>
      <c r="M40" s="255" t="s">
        <v>248</v>
      </c>
      <c r="N40" s="256">
        <v>19788.062999999998</v>
      </c>
      <c r="O40" s="255" t="s">
        <v>248</v>
      </c>
      <c r="P40" s="256">
        <v>19297.592000000001</v>
      </c>
      <c r="Q40" s="255" t="s">
        <v>248</v>
      </c>
      <c r="R40" s="256">
        <v>19808.539000000001</v>
      </c>
      <c r="S40" s="255" t="s">
        <v>248</v>
      </c>
      <c r="U40" s="263">
        <f t="shared" si="0"/>
        <v>76047.286250000005</v>
      </c>
      <c r="V40" s="264">
        <f t="shared" si="1"/>
        <v>19698.080000000002</v>
      </c>
      <c r="W40" s="265">
        <f t="shared" si="2"/>
        <v>259.02410159968071</v>
      </c>
      <c r="X40" s="266">
        <f t="shared" si="3"/>
        <v>15.541446095980842</v>
      </c>
      <c r="Y40" s="4">
        <f t="shared" si="4"/>
        <v>6.4344076723890517E-2</v>
      </c>
    </row>
    <row r="42" spans="1:25" x14ac:dyDescent="0.3">
      <c r="A42" s="248" t="s">
        <v>280</v>
      </c>
      <c r="K42" s="248" t="s">
        <v>280</v>
      </c>
    </row>
    <row r="43" spans="1:25" x14ac:dyDescent="0.3">
      <c r="A43" s="248" t="s">
        <v>261</v>
      </c>
      <c r="B43" s="247" t="s">
        <v>281</v>
      </c>
      <c r="K43" s="248" t="s">
        <v>261</v>
      </c>
    </row>
    <row r="44" spans="1:25" x14ac:dyDescent="0.3">
      <c r="A44" s="248" t="s">
        <v>282</v>
      </c>
      <c r="K44" s="248" t="s">
        <v>282</v>
      </c>
    </row>
    <row r="45" spans="1:25" x14ac:dyDescent="0.3">
      <c r="A45" s="248" t="s">
        <v>260</v>
      </c>
      <c r="B45" s="247" t="s">
        <v>283</v>
      </c>
      <c r="K45" s="248" t="s">
        <v>284</v>
      </c>
    </row>
    <row r="46" spans="1:25" x14ac:dyDescent="0.3">
      <c r="A46" s="248" t="s">
        <v>265</v>
      </c>
      <c r="B46" s="247" t="s">
        <v>285</v>
      </c>
      <c r="K46" s="248" t="s">
        <v>260</v>
      </c>
    </row>
    <row r="47" spans="1:25" x14ac:dyDescent="0.3">
      <c r="K47" s="248" t="s">
        <v>265</v>
      </c>
    </row>
    <row r="49" spans="1:10" x14ac:dyDescent="0.3">
      <c r="A49" s="248" t="s">
        <v>286</v>
      </c>
    </row>
    <row r="51" spans="1:10" x14ac:dyDescent="0.3">
      <c r="B51" s="172">
        <v>2017</v>
      </c>
      <c r="D51" s="172">
        <v>2018</v>
      </c>
      <c r="F51" s="172">
        <v>2019</v>
      </c>
      <c r="H51" s="172">
        <v>2020</v>
      </c>
      <c r="J51" s="172" t="s">
        <v>287</v>
      </c>
    </row>
    <row r="52" spans="1:10" x14ac:dyDescent="0.3">
      <c r="A52" t="s">
        <v>288</v>
      </c>
      <c r="B52">
        <v>118.19</v>
      </c>
      <c r="D52">
        <v>122.79</v>
      </c>
      <c r="F52">
        <v>130.30000000000001</v>
      </c>
      <c r="H52">
        <v>129.74</v>
      </c>
      <c r="J52">
        <f>AVERAGE(B52:H52)</f>
        <v>125.25500000000001</v>
      </c>
    </row>
    <row r="53" spans="1:10" x14ac:dyDescent="0.3">
      <c r="A53" t="s">
        <v>289</v>
      </c>
      <c r="B53">
        <v>7293848</v>
      </c>
      <c r="D53">
        <v>7699306</v>
      </c>
      <c r="F53">
        <v>8909127</v>
      </c>
      <c r="H53">
        <v>8403424</v>
      </c>
      <c r="J53">
        <f>AVERAGE(B53:H53)</f>
        <v>8076426.25</v>
      </c>
    </row>
    <row r="55" spans="1:10" x14ac:dyDescent="0.3">
      <c r="A55" t="s">
        <v>290</v>
      </c>
      <c r="J55" s="258">
        <f>J52*1000*1000/J53</f>
        <v>15.508715875415815</v>
      </c>
    </row>
    <row r="56" spans="1:10" x14ac:dyDescent="0.3">
      <c r="A56" t="s">
        <v>291</v>
      </c>
      <c r="J56">
        <f>1/J55</f>
        <v>6.4479871063031408E-2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AJ125"/>
  <sheetViews>
    <sheetView zoomScale="74" zoomScaleNormal="80" workbookViewId="0">
      <selection activeCell="F12" sqref="F12"/>
    </sheetView>
  </sheetViews>
  <sheetFormatPr defaultColWidth="8.88671875" defaultRowHeight="14.4" x14ac:dyDescent="0.3"/>
  <cols>
    <col min="1" max="1" width="65.44140625" customWidth="1"/>
    <col min="2" max="14" width="8.5546875" customWidth="1"/>
  </cols>
  <sheetData>
    <row r="2" spans="1:25" ht="18" x14ac:dyDescent="0.35">
      <c r="A2" s="1" t="s">
        <v>292</v>
      </c>
    </row>
    <row r="3" spans="1:25" x14ac:dyDescent="0.3">
      <c r="B3" t="s">
        <v>84</v>
      </c>
      <c r="C3" t="s">
        <v>85</v>
      </c>
      <c r="D3" t="s">
        <v>86</v>
      </c>
      <c r="E3" t="s">
        <v>87</v>
      </c>
      <c r="F3" t="s">
        <v>88</v>
      </c>
      <c r="G3" t="s">
        <v>89</v>
      </c>
      <c r="H3" t="s">
        <v>90</v>
      </c>
      <c r="I3" t="s">
        <v>91</v>
      </c>
      <c r="J3" t="s">
        <v>92</v>
      </c>
      <c r="K3" s="17" t="s">
        <v>93</v>
      </c>
    </row>
    <row r="4" spans="1:25" x14ac:dyDescent="0.3">
      <c r="A4" s="126"/>
      <c r="B4" s="126" t="s">
        <v>36</v>
      </c>
      <c r="C4" s="126" t="s">
        <v>33</v>
      </c>
      <c r="D4" s="126" t="s">
        <v>31</v>
      </c>
      <c r="E4" s="126" t="s">
        <v>40</v>
      </c>
      <c r="F4" s="126" t="s">
        <v>37</v>
      </c>
      <c r="G4" s="126" t="s">
        <v>39</v>
      </c>
      <c r="H4" s="126" t="s">
        <v>32</v>
      </c>
      <c r="I4" s="126" t="s">
        <v>30</v>
      </c>
      <c r="J4" s="126" t="s">
        <v>38</v>
      </c>
      <c r="K4" s="126" t="s">
        <v>34</v>
      </c>
      <c r="M4" s="94" t="s">
        <v>153</v>
      </c>
      <c r="O4" t="s">
        <v>36</v>
      </c>
      <c r="P4" t="s">
        <v>33</v>
      </c>
      <c r="Q4" t="s">
        <v>31</v>
      </c>
      <c r="R4" t="s">
        <v>35</v>
      </c>
      <c r="S4" t="s">
        <v>37</v>
      </c>
      <c r="T4" t="s">
        <v>39</v>
      </c>
      <c r="U4" t="s">
        <v>32</v>
      </c>
      <c r="V4" t="s">
        <v>30</v>
      </c>
      <c r="W4" t="s">
        <v>38</v>
      </c>
      <c r="X4" t="s">
        <v>34</v>
      </c>
    </row>
    <row r="5" spans="1:25" x14ac:dyDescent="0.3">
      <c r="B5" s="183" t="s">
        <v>145</v>
      </c>
      <c r="C5" s="183" t="s">
        <v>145</v>
      </c>
      <c r="D5" s="183" t="s">
        <v>145</v>
      </c>
      <c r="E5" s="183" t="s">
        <v>145</v>
      </c>
      <c r="F5" s="183" t="s">
        <v>145</v>
      </c>
      <c r="G5" s="183" t="s">
        <v>145</v>
      </c>
      <c r="H5" s="183" t="s">
        <v>145</v>
      </c>
      <c r="I5" s="183" t="s">
        <v>145</v>
      </c>
      <c r="J5" s="183" t="s">
        <v>145</v>
      </c>
      <c r="K5" s="183" t="s">
        <v>145</v>
      </c>
      <c r="Y5" t="s">
        <v>293</v>
      </c>
    </row>
    <row r="6" spans="1:25" x14ac:dyDescent="0.3">
      <c r="A6" s="148" t="s">
        <v>294</v>
      </c>
      <c r="B6" s="195">
        <v>0</v>
      </c>
      <c r="C6" s="195">
        <v>1</v>
      </c>
      <c r="D6" s="195">
        <v>1</v>
      </c>
      <c r="E6" s="195">
        <v>0.20909455932543669</v>
      </c>
      <c r="F6" s="195">
        <v>0</v>
      </c>
      <c r="G6" s="214">
        <v>0.98863189143036634</v>
      </c>
      <c r="H6" s="195">
        <v>0.46151025920226302</v>
      </c>
      <c r="I6" s="195">
        <v>0.88909757547763846</v>
      </c>
      <c r="J6" s="195">
        <v>0</v>
      </c>
      <c r="K6" s="195">
        <v>0.89900000000000002</v>
      </c>
      <c r="M6" s="94"/>
      <c r="O6" t="s">
        <v>295</v>
      </c>
      <c r="P6" t="s">
        <v>295</v>
      </c>
      <c r="Q6" t="s">
        <v>295</v>
      </c>
      <c r="R6" t="s">
        <v>295</v>
      </c>
      <c r="S6" t="s">
        <v>295</v>
      </c>
      <c r="T6" t="s">
        <v>295</v>
      </c>
      <c r="U6" t="s">
        <v>295</v>
      </c>
      <c r="V6" t="s">
        <v>295</v>
      </c>
      <c r="W6" t="s">
        <v>295</v>
      </c>
      <c r="X6" s="94" t="s">
        <v>296</v>
      </c>
      <c r="Y6" t="s">
        <v>293</v>
      </c>
    </row>
    <row r="7" spans="1:25" x14ac:dyDescent="0.3">
      <c r="A7" s="89" t="s">
        <v>297</v>
      </c>
      <c r="B7" s="195">
        <v>0</v>
      </c>
      <c r="C7" s="195">
        <v>0</v>
      </c>
      <c r="D7" s="195">
        <v>0</v>
      </c>
      <c r="E7" s="195">
        <v>7.0267014655691631E-4</v>
      </c>
      <c r="F7" s="195">
        <v>0</v>
      </c>
      <c r="G7" s="195">
        <v>1.1368108569633719E-2</v>
      </c>
      <c r="H7" s="195">
        <v>0</v>
      </c>
      <c r="I7" s="195">
        <v>0.1109024245223614</v>
      </c>
      <c r="J7" s="195">
        <v>2.4852900134046101E-2</v>
      </c>
      <c r="K7" s="195">
        <v>6.9000000000000006E-2</v>
      </c>
      <c r="O7" t="s">
        <v>295</v>
      </c>
      <c r="P7" t="s">
        <v>295</v>
      </c>
      <c r="Q7" t="s">
        <v>295</v>
      </c>
      <c r="R7" t="s">
        <v>295</v>
      </c>
      <c r="S7" t="s">
        <v>295</v>
      </c>
      <c r="T7" t="s">
        <v>295</v>
      </c>
      <c r="U7" t="s">
        <v>295</v>
      </c>
      <c r="V7" t="s">
        <v>295</v>
      </c>
      <c r="W7" t="s">
        <v>295</v>
      </c>
      <c r="X7" s="94" t="s">
        <v>298</v>
      </c>
      <c r="Y7" t="s">
        <v>293</v>
      </c>
    </row>
    <row r="8" spans="1:25" x14ac:dyDescent="0.3">
      <c r="A8" s="89" t="s">
        <v>299</v>
      </c>
      <c r="B8" s="195">
        <v>1</v>
      </c>
      <c r="C8" s="195">
        <v>0</v>
      </c>
      <c r="D8" s="195">
        <v>0</v>
      </c>
      <c r="E8" s="195">
        <v>0.79020277052800647</v>
      </c>
      <c r="F8" s="195">
        <v>1</v>
      </c>
      <c r="G8" s="195">
        <v>0</v>
      </c>
      <c r="H8" s="195">
        <v>0.53848974079773704</v>
      </c>
      <c r="I8" s="195">
        <v>0</v>
      </c>
      <c r="J8" s="195">
        <v>0.97514709986595383</v>
      </c>
      <c r="K8" s="195">
        <v>3.2000000000000001E-2</v>
      </c>
      <c r="O8" t="s">
        <v>295</v>
      </c>
      <c r="P8" t="s">
        <v>295</v>
      </c>
      <c r="Q8" t="s">
        <v>295</v>
      </c>
      <c r="R8" t="s">
        <v>295</v>
      </c>
      <c r="S8" t="s">
        <v>295</v>
      </c>
      <c r="T8" t="s">
        <v>295</v>
      </c>
      <c r="U8" t="s">
        <v>295</v>
      </c>
      <c r="V8" t="s">
        <v>295</v>
      </c>
      <c r="W8" t="s">
        <v>295</v>
      </c>
      <c r="X8" s="94" t="s">
        <v>300</v>
      </c>
      <c r="Y8" t="s">
        <v>293</v>
      </c>
    </row>
    <row r="9" spans="1:25" x14ac:dyDescent="0.3">
      <c r="A9" s="89"/>
      <c r="B9" s="195"/>
      <c r="C9" s="195"/>
      <c r="D9" s="195"/>
      <c r="E9" s="195"/>
      <c r="F9" s="195"/>
      <c r="G9" s="195"/>
      <c r="H9" s="195"/>
      <c r="I9" s="195"/>
      <c r="J9" s="195"/>
      <c r="K9" s="195"/>
      <c r="Y9" t="s">
        <v>293</v>
      </c>
    </row>
    <row r="10" spans="1:25" x14ac:dyDescent="0.3">
      <c r="A10" s="206" t="s">
        <v>301</v>
      </c>
      <c r="B10" s="155"/>
      <c r="C10" s="155"/>
      <c r="D10" s="155"/>
      <c r="E10" s="155"/>
      <c r="F10" s="155"/>
      <c r="G10" s="155"/>
      <c r="H10" s="155"/>
      <c r="I10" s="155"/>
      <c r="J10" s="155"/>
      <c r="K10" s="155"/>
    </row>
    <row r="11" spans="1:25" x14ac:dyDescent="0.3">
      <c r="A11" s="113" t="s">
        <v>302</v>
      </c>
      <c r="B11" s="196"/>
      <c r="C11" s="196"/>
      <c r="D11" s="196"/>
      <c r="E11" s="196"/>
      <c r="F11" s="196"/>
      <c r="G11" s="196"/>
      <c r="H11" s="196"/>
      <c r="I11" s="196"/>
      <c r="J11" s="196"/>
      <c r="K11" s="196"/>
    </row>
    <row r="12" spans="1:25" x14ac:dyDescent="0.3">
      <c r="A12" s="181" t="s">
        <v>303</v>
      </c>
      <c r="B12" s="195">
        <v>0.02</v>
      </c>
      <c r="C12" s="195">
        <v>0.03</v>
      </c>
      <c r="D12" s="195">
        <v>0.03</v>
      </c>
      <c r="E12" s="195">
        <v>0.02</v>
      </c>
      <c r="F12" s="245">
        <v>2.1000000000000001E-2</v>
      </c>
      <c r="G12" s="195">
        <v>0.03</v>
      </c>
      <c r="H12" s="195">
        <v>2.879385581064E-2</v>
      </c>
      <c r="I12" s="195">
        <v>0.03</v>
      </c>
      <c r="J12" s="215">
        <v>2.7157268533580001E-2</v>
      </c>
      <c r="K12" s="195">
        <v>0.03</v>
      </c>
      <c r="N12" s="182"/>
      <c r="O12" t="s">
        <v>304</v>
      </c>
      <c r="P12" t="s">
        <v>304</v>
      </c>
      <c r="Q12" t="s">
        <v>305</v>
      </c>
      <c r="R12" t="s">
        <v>304</v>
      </c>
      <c r="S12" t="s">
        <v>306</v>
      </c>
      <c r="T12" t="s">
        <v>307</v>
      </c>
      <c r="U12" t="s">
        <v>304</v>
      </c>
      <c r="V12" t="s">
        <v>304</v>
      </c>
      <c r="W12" t="s">
        <v>308</v>
      </c>
      <c r="X12" s="182" t="s">
        <v>309</v>
      </c>
      <c r="Y12" s="182" t="s">
        <v>293</v>
      </c>
    </row>
    <row r="13" spans="1:25" x14ac:dyDescent="0.3">
      <c r="Y13" t="s">
        <v>293</v>
      </c>
    </row>
    <row r="14" spans="1:25" x14ac:dyDescent="0.3">
      <c r="A14" s="206" t="s">
        <v>310</v>
      </c>
      <c r="B14" s="155"/>
      <c r="C14" s="155"/>
      <c r="D14" s="155"/>
      <c r="E14" s="155"/>
      <c r="F14" s="155"/>
      <c r="G14" s="155"/>
      <c r="H14" s="155"/>
      <c r="I14" s="155"/>
      <c r="J14" s="155"/>
      <c r="K14" s="155"/>
    </row>
    <row r="15" spans="1:25" x14ac:dyDescent="0.3">
      <c r="A15" s="207" t="s">
        <v>311</v>
      </c>
      <c r="B15" s="113"/>
      <c r="C15" s="113"/>
      <c r="D15" s="113"/>
      <c r="E15" s="113"/>
      <c r="F15" s="113"/>
      <c r="G15" s="113"/>
      <c r="H15" s="113"/>
      <c r="I15" s="113"/>
      <c r="J15" s="113"/>
      <c r="K15" s="113"/>
    </row>
    <row r="16" spans="1:25" x14ac:dyDescent="0.3">
      <c r="A16" s="183" t="s">
        <v>312</v>
      </c>
      <c r="B16" s="195">
        <v>0.44843073897000002</v>
      </c>
      <c r="C16" s="195">
        <v>0.66</v>
      </c>
      <c r="D16" s="195">
        <v>0.5</v>
      </c>
      <c r="E16" s="195">
        <v>0.7</v>
      </c>
      <c r="F16" s="195">
        <v>0.56000000000000005</v>
      </c>
      <c r="G16" s="195">
        <v>0.4841641191162</v>
      </c>
      <c r="H16" s="195">
        <v>0.59901214226393995</v>
      </c>
      <c r="I16" s="195">
        <v>0.72520483323677998</v>
      </c>
      <c r="J16" s="195">
        <v>0.64</v>
      </c>
      <c r="K16" s="195">
        <v>0.6</v>
      </c>
      <c r="O16" t="s">
        <v>313</v>
      </c>
      <c r="P16" t="s">
        <v>313</v>
      </c>
      <c r="Q16" t="s">
        <v>313</v>
      </c>
      <c r="R16" t="s">
        <v>314</v>
      </c>
      <c r="S16" t="s">
        <v>313</v>
      </c>
      <c r="T16" t="s">
        <v>313</v>
      </c>
      <c r="U16" t="s">
        <v>313</v>
      </c>
      <c r="V16" t="s">
        <v>313</v>
      </c>
      <c r="W16" t="s">
        <v>313</v>
      </c>
      <c r="X16" s="182" t="s">
        <v>315</v>
      </c>
      <c r="Y16" s="182" t="s">
        <v>293</v>
      </c>
    </row>
    <row r="17" spans="1:36" x14ac:dyDescent="0.3">
      <c r="A17" s="183" t="s">
        <v>316</v>
      </c>
      <c r="B17" s="198">
        <v>0.7</v>
      </c>
      <c r="C17" s="198">
        <v>0.7</v>
      </c>
      <c r="D17" s="198">
        <v>0.7</v>
      </c>
      <c r="E17" s="198">
        <v>0.7</v>
      </c>
      <c r="F17" s="198">
        <v>0.7</v>
      </c>
      <c r="G17" s="198">
        <v>0.7</v>
      </c>
      <c r="H17" s="198">
        <v>0.7</v>
      </c>
      <c r="I17" s="198">
        <v>0.7</v>
      </c>
      <c r="J17" s="198">
        <v>0.7</v>
      </c>
      <c r="K17" s="198">
        <v>0.7</v>
      </c>
      <c r="M17" s="182" t="s">
        <v>317</v>
      </c>
      <c r="W17" s="195"/>
    </row>
    <row r="18" spans="1:36" x14ac:dyDescent="0.3">
      <c r="A18" s="183"/>
      <c r="B18" s="198"/>
      <c r="C18" s="198"/>
      <c r="D18" s="198"/>
      <c r="E18" s="198"/>
      <c r="F18" s="198"/>
      <c r="G18" s="198"/>
      <c r="H18" s="198"/>
      <c r="I18" s="198"/>
      <c r="J18" s="198"/>
      <c r="K18" s="198"/>
      <c r="M18" s="182"/>
      <c r="W18" s="195"/>
    </row>
    <row r="19" spans="1:36" x14ac:dyDescent="0.3">
      <c r="A19" s="207" t="s">
        <v>318</v>
      </c>
      <c r="B19" s="113"/>
      <c r="C19" s="113"/>
      <c r="D19" s="113"/>
      <c r="E19" s="113"/>
      <c r="F19" s="113"/>
      <c r="G19" s="113"/>
      <c r="H19" s="113"/>
      <c r="I19" s="113"/>
      <c r="J19" s="113"/>
      <c r="K19" s="113"/>
      <c r="W19" s="195"/>
    </row>
    <row r="20" spans="1:36" x14ac:dyDescent="0.3">
      <c r="A20" s="183" t="s">
        <v>319</v>
      </c>
      <c r="B20" s="18">
        <f t="shared" ref="B20:K20" si="0">B6*B$16</f>
        <v>0</v>
      </c>
      <c r="C20" s="18">
        <f t="shared" si="0"/>
        <v>0.66</v>
      </c>
      <c r="D20" s="18">
        <f t="shared" si="0"/>
        <v>0.5</v>
      </c>
      <c r="E20" s="18">
        <f t="shared" si="0"/>
        <v>0.14636619152780567</v>
      </c>
      <c r="F20" s="18">
        <f t="shared" si="0"/>
        <v>0</v>
      </c>
      <c r="G20" s="18">
        <f t="shared" si="0"/>
        <v>0.47866008884456601</v>
      </c>
      <c r="H20" s="18">
        <f t="shared" si="0"/>
        <v>0.27645024904153376</v>
      </c>
      <c r="I20" s="18">
        <f t="shared" si="0"/>
        <v>0.64477785895548623</v>
      </c>
      <c r="J20" s="18">
        <f t="shared" si="0"/>
        <v>0</v>
      </c>
      <c r="K20" s="18">
        <f t="shared" si="0"/>
        <v>0.53939999999999999</v>
      </c>
      <c r="W20" s="105"/>
    </row>
    <row r="21" spans="1:36" x14ac:dyDescent="0.3">
      <c r="A21" s="183" t="s">
        <v>320</v>
      </c>
      <c r="B21" s="18">
        <f t="shared" ref="B21:K21" si="1">B7*B$16</f>
        <v>0</v>
      </c>
      <c r="C21" s="18">
        <f t="shared" si="1"/>
        <v>0</v>
      </c>
      <c r="D21" s="18">
        <f t="shared" si="1"/>
        <v>0</v>
      </c>
      <c r="E21" s="18">
        <f>E7*E$16</f>
        <v>4.9186910258984138E-4</v>
      </c>
      <c r="F21" s="18">
        <f t="shared" si="1"/>
        <v>0</v>
      </c>
      <c r="G21" s="18">
        <f t="shared" si="1"/>
        <v>5.5040302716340339E-3</v>
      </c>
      <c r="H21" s="18">
        <f t="shared" si="1"/>
        <v>0</v>
      </c>
      <c r="I21" s="18">
        <f t="shared" si="1"/>
        <v>8.0426974281293681E-2</v>
      </c>
      <c r="J21" s="18">
        <f t="shared" si="1"/>
        <v>1.5905856085789503E-2</v>
      </c>
      <c r="K21" s="18">
        <f t="shared" si="1"/>
        <v>4.1399999999999999E-2</v>
      </c>
    </row>
    <row r="22" spans="1:36" x14ac:dyDescent="0.3">
      <c r="A22" s="183" t="s">
        <v>321</v>
      </c>
      <c r="B22" s="18">
        <f t="shared" ref="B22:K22" si="2">B8*B$16</f>
        <v>0.44843073897000002</v>
      </c>
      <c r="C22" s="18">
        <f t="shared" si="2"/>
        <v>0</v>
      </c>
      <c r="D22" s="18">
        <f t="shared" si="2"/>
        <v>0</v>
      </c>
      <c r="E22" s="18">
        <f t="shared" si="2"/>
        <v>0.55314193936960454</v>
      </c>
      <c r="F22" s="18">
        <f t="shared" si="2"/>
        <v>0.56000000000000005</v>
      </c>
      <c r="G22" s="18">
        <f t="shared" si="2"/>
        <v>0</v>
      </c>
      <c r="H22" s="18">
        <f t="shared" si="2"/>
        <v>0.32256189322240619</v>
      </c>
      <c r="I22" s="18">
        <f t="shared" si="2"/>
        <v>0</v>
      </c>
      <c r="J22" s="18">
        <f t="shared" si="2"/>
        <v>0.62409414391421048</v>
      </c>
      <c r="K22" s="18">
        <f t="shared" si="2"/>
        <v>1.9199999999999998E-2</v>
      </c>
    </row>
    <row r="24" spans="1:36" x14ac:dyDescent="0.3">
      <c r="A24" s="207" t="s">
        <v>322</v>
      </c>
      <c r="B24" s="113"/>
      <c r="C24" s="113"/>
      <c r="D24" s="113"/>
      <c r="E24" s="113"/>
      <c r="F24" s="113"/>
      <c r="G24" s="113"/>
      <c r="H24" s="113"/>
      <c r="I24" s="113"/>
      <c r="J24" s="113"/>
      <c r="K24" s="113"/>
    </row>
    <row r="25" spans="1:36" x14ac:dyDescent="0.3">
      <c r="A25" s="183" t="s">
        <v>319</v>
      </c>
      <c r="B25" s="11">
        <f t="shared" ref="B25:K25" si="3">B20*B$17</f>
        <v>0</v>
      </c>
      <c r="C25" s="11">
        <f t="shared" si="3"/>
        <v>0.46199999999999997</v>
      </c>
      <c r="D25" s="11">
        <f t="shared" si="3"/>
        <v>0.35</v>
      </c>
      <c r="E25" s="11">
        <f t="shared" si="3"/>
        <v>0.10245633406946396</v>
      </c>
      <c r="F25" s="11">
        <f t="shared" si="3"/>
        <v>0</v>
      </c>
      <c r="G25" s="11">
        <f t="shared" si="3"/>
        <v>0.33506206219119616</v>
      </c>
      <c r="H25" s="11">
        <f t="shared" si="3"/>
        <v>0.19351517432907361</v>
      </c>
      <c r="I25" s="11">
        <f t="shared" si="3"/>
        <v>0.45134450126884035</v>
      </c>
      <c r="J25" s="11">
        <f>J20*J$17</f>
        <v>0</v>
      </c>
      <c r="K25" s="11">
        <f t="shared" si="3"/>
        <v>0.37757999999999997</v>
      </c>
    </row>
    <row r="26" spans="1:36" x14ac:dyDescent="0.3">
      <c r="A26" s="183" t="s">
        <v>320</v>
      </c>
      <c r="B26" s="11">
        <f t="shared" ref="B26:K26" si="4">B21*B$18</f>
        <v>0</v>
      </c>
      <c r="C26" s="11">
        <f t="shared" si="4"/>
        <v>0</v>
      </c>
      <c r="D26" s="11">
        <f t="shared" si="4"/>
        <v>0</v>
      </c>
      <c r="E26" s="11">
        <f t="shared" si="4"/>
        <v>0</v>
      </c>
      <c r="F26" s="11">
        <f t="shared" si="4"/>
        <v>0</v>
      </c>
      <c r="G26" s="11">
        <f t="shared" si="4"/>
        <v>0</v>
      </c>
      <c r="H26" s="11">
        <f t="shared" si="4"/>
        <v>0</v>
      </c>
      <c r="I26" s="11">
        <f t="shared" si="4"/>
        <v>0</v>
      </c>
      <c r="J26" s="11">
        <f t="shared" si="4"/>
        <v>0</v>
      </c>
      <c r="K26" s="11">
        <f t="shared" si="4"/>
        <v>0</v>
      </c>
    </row>
    <row r="27" spans="1:36" x14ac:dyDescent="0.3">
      <c r="A27" s="183" t="s">
        <v>321</v>
      </c>
      <c r="B27" s="11">
        <f t="shared" ref="B27:K27" si="5">B22*B$17</f>
        <v>0.31390151727900001</v>
      </c>
      <c r="C27" s="11">
        <f t="shared" si="5"/>
        <v>0</v>
      </c>
      <c r="D27" s="11">
        <f t="shared" si="5"/>
        <v>0</v>
      </c>
      <c r="E27" s="11">
        <f t="shared" si="5"/>
        <v>0.38719935755872315</v>
      </c>
      <c r="F27" s="11">
        <f t="shared" si="5"/>
        <v>0.39200000000000002</v>
      </c>
      <c r="G27" s="11">
        <f t="shared" si="5"/>
        <v>0</v>
      </c>
      <c r="H27" s="11">
        <f t="shared" si="5"/>
        <v>0.22579332525568432</v>
      </c>
      <c r="I27" s="11">
        <f t="shared" si="5"/>
        <v>0</v>
      </c>
      <c r="J27" s="11">
        <f t="shared" si="5"/>
        <v>0.4368659007399473</v>
      </c>
      <c r="K27" s="11">
        <f t="shared" si="5"/>
        <v>1.3439999999999999E-2</v>
      </c>
      <c r="AJ27" s="11"/>
    </row>
    <row r="28" spans="1:36" x14ac:dyDescent="0.3">
      <c r="AJ28" s="11"/>
    </row>
    <row r="29" spans="1:36" x14ac:dyDescent="0.3">
      <c r="A29" s="207" t="s">
        <v>323</v>
      </c>
      <c r="B29" s="113"/>
      <c r="C29" s="113"/>
      <c r="D29" s="113"/>
      <c r="E29" s="113"/>
      <c r="F29" s="113"/>
      <c r="G29" s="113"/>
      <c r="H29" s="113"/>
      <c r="I29" s="113"/>
      <c r="J29" s="113"/>
      <c r="K29" s="113"/>
      <c r="M29" s="172" t="s">
        <v>324</v>
      </c>
      <c r="AJ29" s="11"/>
    </row>
    <row r="30" spans="1:36" x14ac:dyDescent="0.3">
      <c r="A30" s="183" t="s">
        <v>319</v>
      </c>
      <c r="B30" s="11">
        <f t="shared" ref="B30:K30" si="6">B25*B36</f>
        <v>0</v>
      </c>
      <c r="C30" s="11">
        <f t="shared" si="6"/>
        <v>9.2399999999999996E-2</v>
      </c>
      <c r="D30" s="11">
        <f t="shared" si="6"/>
        <v>6.9999999999999993E-2</v>
      </c>
      <c r="E30" s="11">
        <f t="shared" si="6"/>
        <v>2.0491266813892794E-2</v>
      </c>
      <c r="F30" s="11">
        <f t="shared" si="6"/>
        <v>0</v>
      </c>
      <c r="G30" s="11">
        <f t="shared" si="6"/>
        <v>6.701241243823923E-2</v>
      </c>
      <c r="H30" s="11">
        <f t="shared" si="6"/>
        <v>3.8703034865814723E-2</v>
      </c>
      <c r="I30" s="11">
        <f t="shared" si="6"/>
        <v>9.0268900253768075E-2</v>
      </c>
      <c r="J30" s="11">
        <f t="shared" si="6"/>
        <v>0</v>
      </c>
      <c r="K30" s="11">
        <f t="shared" si="6"/>
        <v>7.5516E-2</v>
      </c>
    </row>
    <row r="31" spans="1:36" x14ac:dyDescent="0.3">
      <c r="A31" s="183" t="s">
        <v>320</v>
      </c>
      <c r="B31" s="11">
        <f t="shared" ref="B31:K31" si="7">B26*B37</f>
        <v>0</v>
      </c>
      <c r="C31" s="11">
        <f t="shared" si="7"/>
        <v>0</v>
      </c>
      <c r="D31" s="11">
        <f t="shared" si="7"/>
        <v>0</v>
      </c>
      <c r="E31" s="11">
        <f t="shared" si="7"/>
        <v>0</v>
      </c>
      <c r="F31" s="11">
        <f t="shared" si="7"/>
        <v>0</v>
      </c>
      <c r="G31" s="11">
        <f t="shared" si="7"/>
        <v>0</v>
      </c>
      <c r="H31" s="11">
        <f t="shared" si="7"/>
        <v>0</v>
      </c>
      <c r="I31" s="11">
        <f t="shared" si="7"/>
        <v>0</v>
      </c>
      <c r="J31" s="11">
        <f t="shared" si="7"/>
        <v>0</v>
      </c>
      <c r="K31" s="11">
        <f t="shared" si="7"/>
        <v>0</v>
      </c>
    </row>
    <row r="32" spans="1:36" x14ac:dyDescent="0.3">
      <c r="A32" s="183" t="s">
        <v>321</v>
      </c>
      <c r="B32" s="11">
        <f>B27*B36</f>
        <v>6.2780303455800004E-2</v>
      </c>
      <c r="C32" s="11">
        <f t="shared" ref="C32:J32" si="8">C27*C36</f>
        <v>0</v>
      </c>
      <c r="D32" s="11">
        <f t="shared" si="8"/>
        <v>0</v>
      </c>
      <c r="E32" s="11">
        <f t="shared" si="8"/>
        <v>7.743987151174464E-2</v>
      </c>
      <c r="F32" s="11">
        <f t="shared" si="8"/>
        <v>7.8400000000000011E-2</v>
      </c>
      <c r="G32" s="11">
        <f t="shared" si="8"/>
        <v>0</v>
      </c>
      <c r="H32" s="11">
        <f t="shared" si="8"/>
        <v>4.5158665051136866E-2</v>
      </c>
      <c r="I32" s="11">
        <f t="shared" si="8"/>
        <v>0</v>
      </c>
      <c r="J32" s="11">
        <f t="shared" si="8"/>
        <v>8.7373180147989463E-2</v>
      </c>
      <c r="K32" s="11">
        <f t="shared" ref="K32" si="9">K27*K36</f>
        <v>2.6879999999999999E-3</v>
      </c>
      <c r="M32" s="94" t="s">
        <v>325</v>
      </c>
    </row>
    <row r="33" spans="1:13" x14ac:dyDescent="0.3">
      <c r="A33" s="183" t="s">
        <v>241</v>
      </c>
      <c r="B33" s="5">
        <f t="shared" ref="B33:K33" si="10">SUM(B30:B32)</f>
        <v>6.2780303455800004E-2</v>
      </c>
      <c r="C33" s="5">
        <f t="shared" si="10"/>
        <v>9.2399999999999996E-2</v>
      </c>
      <c r="D33" s="5">
        <f t="shared" si="10"/>
        <v>6.9999999999999993E-2</v>
      </c>
      <c r="E33" s="5">
        <f t="shared" si="10"/>
        <v>9.7931138325637435E-2</v>
      </c>
      <c r="F33" s="5">
        <f t="shared" si="10"/>
        <v>7.8400000000000011E-2</v>
      </c>
      <c r="G33" s="5">
        <f t="shared" si="10"/>
        <v>6.701241243823923E-2</v>
      </c>
      <c r="H33" s="5">
        <f t="shared" si="10"/>
        <v>8.3861699916951582E-2</v>
      </c>
      <c r="I33" s="5">
        <f t="shared" si="10"/>
        <v>9.0268900253768075E-2</v>
      </c>
      <c r="J33" s="5">
        <f t="shared" si="10"/>
        <v>8.7373180147989463E-2</v>
      </c>
      <c r="K33" s="5">
        <f t="shared" si="10"/>
        <v>7.8203999999999996E-2</v>
      </c>
      <c r="M33" s="94"/>
    </row>
    <row r="34" spans="1:13" x14ac:dyDescent="0.3">
      <c r="A34" s="183" t="s">
        <v>326</v>
      </c>
      <c r="B34" s="105">
        <f>B33/Production!B$14</f>
        <v>3.4498673335696201E-5</v>
      </c>
      <c r="C34" s="105">
        <f>C33/Production!C$14</f>
        <v>5.0971236261704574E-5</v>
      </c>
      <c r="D34" s="105">
        <f>D33/Production!D$14</f>
        <v>4.8336054173481076E-5</v>
      </c>
      <c r="E34" s="105">
        <f>E33/Production!E$14</f>
        <v>6.7622925819695427E-5</v>
      </c>
      <c r="F34" s="105">
        <f>F33/Production!F$14</f>
        <v>4.0338033791073312E-5</v>
      </c>
      <c r="G34" s="105">
        <f>G33/Production!G$14</f>
        <v>3.9935272853601011E-5</v>
      </c>
      <c r="H34" s="105">
        <f>H33/Production!H$14</f>
        <v>5.3700646537279325E-5</v>
      </c>
      <c r="I34" s="105">
        <f>I33/Production!I$14</f>
        <v>5.9440174129487359E-5</v>
      </c>
      <c r="J34" s="105">
        <f>J33/Production!J$14</f>
        <v>5.2069037098352763E-5</v>
      </c>
      <c r="K34" s="105">
        <f>K33/Production!K$14</f>
        <v>5.007775141644243E-5</v>
      </c>
      <c r="M34" s="94"/>
    </row>
    <row r="35" spans="1:13" x14ac:dyDescent="0.3">
      <c r="A35" s="183"/>
      <c r="B35" s="124"/>
      <c r="C35" s="124"/>
      <c r="D35" s="124"/>
      <c r="E35" s="124"/>
      <c r="F35" s="124"/>
      <c r="G35" s="124"/>
      <c r="H35" s="124"/>
      <c r="I35" s="124"/>
      <c r="J35" s="124"/>
      <c r="K35" s="124"/>
    </row>
    <row r="36" spans="1:13" x14ac:dyDescent="0.3">
      <c r="A36" s="3" t="s">
        <v>327</v>
      </c>
      <c r="B36" s="15">
        <v>0.2</v>
      </c>
      <c r="C36" s="15">
        <v>0.2</v>
      </c>
      <c r="D36" s="15">
        <v>0.2</v>
      </c>
      <c r="E36" s="15">
        <v>0.2</v>
      </c>
      <c r="F36" s="15">
        <v>0.2</v>
      </c>
      <c r="G36" s="15">
        <v>0.2</v>
      </c>
      <c r="H36" s="15">
        <v>0.2</v>
      </c>
      <c r="I36" s="15">
        <v>0.2</v>
      </c>
      <c r="J36" s="15">
        <v>0.2</v>
      </c>
      <c r="K36" s="15">
        <v>0.2</v>
      </c>
      <c r="M36" s="182" t="s">
        <v>317</v>
      </c>
    </row>
    <row r="37" spans="1:13" x14ac:dyDescent="0.3">
      <c r="A37" s="3" t="s">
        <v>328</v>
      </c>
      <c r="B37" s="15">
        <v>0.41</v>
      </c>
      <c r="C37" s="15">
        <v>0.41</v>
      </c>
      <c r="D37" s="15">
        <v>0.41</v>
      </c>
      <c r="E37" s="15">
        <v>0.41</v>
      </c>
      <c r="F37" s="15">
        <v>0.41</v>
      </c>
      <c r="G37" s="15">
        <v>0.41</v>
      </c>
      <c r="H37" s="15">
        <v>0.41</v>
      </c>
      <c r="I37" s="15">
        <v>0.41</v>
      </c>
      <c r="J37" s="15">
        <v>0.41</v>
      </c>
      <c r="K37" s="15">
        <v>0.41</v>
      </c>
      <c r="M37" s="182" t="s">
        <v>317</v>
      </c>
    </row>
    <row r="39" spans="1:13" x14ac:dyDescent="0.3">
      <c r="A39" s="208" t="s">
        <v>329</v>
      </c>
      <c r="B39" s="7"/>
      <c r="C39" s="7"/>
      <c r="D39" s="7"/>
      <c r="E39" s="7"/>
      <c r="F39" s="7"/>
      <c r="G39" s="7"/>
      <c r="H39" s="7"/>
      <c r="I39" s="7"/>
      <c r="J39" s="7"/>
      <c r="K39" s="7"/>
      <c r="L39" s="7"/>
      <c r="M39" s="209" t="s">
        <v>330</v>
      </c>
    </row>
    <row r="41" spans="1:13" x14ac:dyDescent="0.3">
      <c r="A41" s="207" t="s">
        <v>331</v>
      </c>
      <c r="B41" s="113"/>
      <c r="C41" s="113"/>
      <c r="D41" s="113"/>
      <c r="E41" s="113"/>
      <c r="F41" s="113"/>
      <c r="G41" s="113"/>
      <c r="H41" s="113"/>
      <c r="I41" s="113"/>
      <c r="J41" s="113"/>
      <c r="K41" s="113"/>
    </row>
    <row r="42" spans="1:13" x14ac:dyDescent="0.3">
      <c r="A42" s="183" t="s">
        <v>319</v>
      </c>
      <c r="B42" s="11">
        <f t="shared" ref="B42:K42" si="11">B25-B30</f>
        <v>0</v>
      </c>
      <c r="C42" s="11">
        <f t="shared" si="11"/>
        <v>0.36959999999999998</v>
      </c>
      <c r="D42" s="11">
        <f t="shared" si="11"/>
        <v>0.27999999999999997</v>
      </c>
      <c r="E42" s="11">
        <f t="shared" si="11"/>
        <v>8.1965067255571164E-2</v>
      </c>
      <c r="F42" s="11">
        <f t="shared" si="11"/>
        <v>0</v>
      </c>
      <c r="G42" s="11">
        <f t="shared" si="11"/>
        <v>0.26804964975295692</v>
      </c>
      <c r="H42" s="11">
        <f t="shared" si="11"/>
        <v>0.15481213946325889</v>
      </c>
      <c r="I42" s="11">
        <f t="shared" si="11"/>
        <v>0.3610756010150723</v>
      </c>
      <c r="J42" s="11">
        <f t="shared" si="11"/>
        <v>0</v>
      </c>
      <c r="K42" s="11">
        <f t="shared" si="11"/>
        <v>0.302064</v>
      </c>
    </row>
    <row r="43" spans="1:13" x14ac:dyDescent="0.3">
      <c r="A43" s="183" t="s">
        <v>320</v>
      </c>
      <c r="B43" s="11">
        <f t="shared" ref="B43:K43" si="12">B26-B31</f>
        <v>0</v>
      </c>
      <c r="C43" s="11">
        <f t="shared" si="12"/>
        <v>0</v>
      </c>
      <c r="D43" s="11">
        <f t="shared" si="12"/>
        <v>0</v>
      </c>
      <c r="E43" s="11">
        <f t="shared" si="12"/>
        <v>0</v>
      </c>
      <c r="F43" s="11">
        <f t="shared" si="12"/>
        <v>0</v>
      </c>
      <c r="G43" s="11">
        <f t="shared" si="12"/>
        <v>0</v>
      </c>
      <c r="H43" s="11">
        <f t="shared" si="12"/>
        <v>0</v>
      </c>
      <c r="I43" s="11">
        <f t="shared" si="12"/>
        <v>0</v>
      </c>
      <c r="J43" s="11">
        <f t="shared" si="12"/>
        <v>0</v>
      </c>
      <c r="K43" s="11">
        <f t="shared" si="12"/>
        <v>0</v>
      </c>
    </row>
    <row r="44" spans="1:13" x14ac:dyDescent="0.3">
      <c r="A44" s="183" t="s">
        <v>321</v>
      </c>
      <c r="B44" s="11">
        <f t="shared" ref="B44:K44" si="13">B27-B32</f>
        <v>0.25112121382320002</v>
      </c>
      <c r="C44" s="11">
        <f t="shared" si="13"/>
        <v>0</v>
      </c>
      <c r="D44" s="11">
        <f t="shared" si="13"/>
        <v>0</v>
      </c>
      <c r="E44" s="11">
        <f t="shared" si="13"/>
        <v>0.3097594860469785</v>
      </c>
      <c r="F44" s="11">
        <f t="shared" si="13"/>
        <v>0.31359999999999999</v>
      </c>
      <c r="G44" s="11">
        <f t="shared" si="13"/>
        <v>0</v>
      </c>
      <c r="H44" s="11">
        <f t="shared" si="13"/>
        <v>0.18063466020454746</v>
      </c>
      <c r="I44" s="11">
        <f t="shared" si="13"/>
        <v>0</v>
      </c>
      <c r="J44" s="11">
        <f t="shared" si="13"/>
        <v>0.34949272059195785</v>
      </c>
      <c r="K44" s="11">
        <f t="shared" si="13"/>
        <v>1.0751999999999999E-2</v>
      </c>
    </row>
    <row r="46" spans="1:13" x14ac:dyDescent="0.3">
      <c r="A46" s="207" t="s">
        <v>332</v>
      </c>
      <c r="B46" s="197"/>
      <c r="C46" s="197"/>
      <c r="D46" s="197"/>
      <c r="E46" s="197"/>
      <c r="F46" s="197"/>
      <c r="G46" s="197"/>
      <c r="H46" s="197"/>
      <c r="I46" s="197"/>
      <c r="J46" s="197"/>
      <c r="K46" s="197"/>
      <c r="M46" s="172" t="s">
        <v>333</v>
      </c>
    </row>
    <row r="47" spans="1:13" x14ac:dyDescent="0.3">
      <c r="A47" s="183" t="s">
        <v>319</v>
      </c>
      <c r="B47" s="18">
        <f t="shared" ref="B47:K47" si="14">B42</f>
        <v>0</v>
      </c>
      <c r="C47" s="18">
        <f t="shared" si="14"/>
        <v>0.36959999999999998</v>
      </c>
      <c r="D47" s="18">
        <f t="shared" si="14"/>
        <v>0.27999999999999997</v>
      </c>
      <c r="E47" s="18">
        <f t="shared" si="14"/>
        <v>8.1965067255571164E-2</v>
      </c>
      <c r="F47" s="18">
        <f t="shared" si="14"/>
        <v>0</v>
      </c>
      <c r="G47" s="18">
        <f t="shared" si="14"/>
        <v>0.26804964975295692</v>
      </c>
      <c r="H47" s="18">
        <f t="shared" si="14"/>
        <v>0.15481213946325889</v>
      </c>
      <c r="I47" s="18">
        <f t="shared" si="14"/>
        <v>0.3610756010150723</v>
      </c>
      <c r="J47" s="18">
        <f t="shared" si="14"/>
        <v>0</v>
      </c>
      <c r="K47" s="18">
        <f t="shared" si="14"/>
        <v>0.302064</v>
      </c>
    </row>
    <row r="48" spans="1:13" x14ac:dyDescent="0.3">
      <c r="A48" s="183" t="s">
        <v>320</v>
      </c>
      <c r="B48" s="11">
        <f t="shared" ref="B48:K48" si="15">B43+((B21-B26)*B51)</f>
        <v>0</v>
      </c>
      <c r="C48" s="11">
        <f t="shared" si="15"/>
        <v>0</v>
      </c>
      <c r="D48" s="11">
        <f t="shared" si="15"/>
        <v>0</v>
      </c>
      <c r="E48" s="11">
        <f t="shared" si="15"/>
        <v>4.9186910258984141E-5</v>
      </c>
      <c r="F48" s="11">
        <f t="shared" si="15"/>
        <v>0</v>
      </c>
      <c r="G48" s="11">
        <f t="shared" si="15"/>
        <v>5.5040302716340345E-4</v>
      </c>
      <c r="H48" s="11">
        <f t="shared" si="15"/>
        <v>0</v>
      </c>
      <c r="I48" s="11">
        <f t="shared" si="15"/>
        <v>8.0426974281293685E-3</v>
      </c>
      <c r="J48" s="11">
        <f t="shared" si="15"/>
        <v>1.5905856085789505E-3</v>
      </c>
      <c r="K48" s="11">
        <f t="shared" si="15"/>
        <v>4.1400000000000005E-3</v>
      </c>
    </row>
    <row r="49" spans="1:14" x14ac:dyDescent="0.3">
      <c r="A49" s="183" t="s">
        <v>334</v>
      </c>
      <c r="B49" s="11">
        <f t="shared" ref="B49:K49" si="16">B44</f>
        <v>0.25112121382320002</v>
      </c>
      <c r="C49" s="11">
        <f t="shared" si="16"/>
        <v>0</v>
      </c>
      <c r="D49" s="11">
        <f t="shared" si="16"/>
        <v>0</v>
      </c>
      <c r="E49" s="11">
        <f t="shared" si="16"/>
        <v>0.3097594860469785</v>
      </c>
      <c r="F49" s="11">
        <f t="shared" si="16"/>
        <v>0.31359999999999999</v>
      </c>
      <c r="G49" s="11">
        <f t="shared" si="16"/>
        <v>0</v>
      </c>
      <c r="H49" s="11">
        <f t="shared" si="16"/>
        <v>0.18063466020454746</v>
      </c>
      <c r="I49" s="11">
        <f t="shared" si="16"/>
        <v>0</v>
      </c>
      <c r="J49" s="11">
        <f t="shared" si="16"/>
        <v>0.34949272059195785</v>
      </c>
      <c r="K49" s="11">
        <f t="shared" si="16"/>
        <v>1.0751999999999999E-2</v>
      </c>
    </row>
    <row r="51" spans="1:14" x14ac:dyDescent="0.3">
      <c r="A51" s="183" t="s">
        <v>335</v>
      </c>
      <c r="B51" s="13">
        <v>0.1</v>
      </c>
      <c r="C51" s="13">
        <v>0.1</v>
      </c>
      <c r="D51" s="13">
        <v>0.1</v>
      </c>
      <c r="E51" s="13">
        <v>0.1</v>
      </c>
      <c r="F51" s="13">
        <v>0.1</v>
      </c>
      <c r="G51" s="13">
        <v>0.1</v>
      </c>
      <c r="H51" s="13">
        <v>0.1</v>
      </c>
      <c r="I51" s="13">
        <v>0.1</v>
      </c>
      <c r="J51" s="13">
        <v>0.1</v>
      </c>
      <c r="K51" s="13">
        <v>0.1</v>
      </c>
      <c r="L51" s="13"/>
      <c r="M51" s="182" t="s">
        <v>336</v>
      </c>
    </row>
    <row r="53" spans="1:14" x14ac:dyDescent="0.3">
      <c r="A53" s="160" t="s">
        <v>337</v>
      </c>
      <c r="B53" s="113"/>
      <c r="C53" s="113"/>
      <c r="D53" s="113"/>
      <c r="E53" s="113"/>
      <c r="F53" s="113"/>
      <c r="G53" s="113"/>
      <c r="H53" s="113"/>
      <c r="I53" s="113"/>
      <c r="J53" s="113"/>
      <c r="K53" s="113"/>
      <c r="M53" s="172" t="s">
        <v>338</v>
      </c>
      <c r="N53" s="94" t="s">
        <v>339</v>
      </c>
    </row>
    <row r="54" spans="1:14" x14ac:dyDescent="0.3">
      <c r="A54" s="183" t="s">
        <v>319</v>
      </c>
      <c r="B54" s="4">
        <f t="shared" ref="B54:K54" si="17">B47*B60</f>
        <v>0</v>
      </c>
      <c r="C54" s="4">
        <f t="shared" si="17"/>
        <v>2.9568000000000001E-2</v>
      </c>
      <c r="D54" s="4">
        <f t="shared" si="17"/>
        <v>2.24E-2</v>
      </c>
      <c r="E54" s="4">
        <f t="shared" si="17"/>
        <v>6.5572053804456932E-3</v>
      </c>
      <c r="F54" s="4">
        <f t="shared" si="17"/>
        <v>0</v>
      </c>
      <c r="G54" s="4">
        <f t="shared" si="17"/>
        <v>2.1443971980236554E-2</v>
      </c>
      <c r="H54" s="4">
        <f t="shared" si="17"/>
        <v>1.2384971157060711E-2</v>
      </c>
      <c r="I54" s="4">
        <f t="shared" si="17"/>
        <v>2.8886048081205786E-2</v>
      </c>
      <c r="J54" s="4">
        <f t="shared" si="17"/>
        <v>0</v>
      </c>
      <c r="K54" s="4">
        <f t="shared" si="17"/>
        <v>2.4165120000000002E-2</v>
      </c>
    </row>
    <row r="55" spans="1:14" x14ac:dyDescent="0.3">
      <c r="A55" s="183" t="s">
        <v>320</v>
      </c>
      <c r="B55" s="4">
        <f t="shared" ref="B55:K55" si="18">B48*B61</f>
        <v>0</v>
      </c>
      <c r="C55" s="4">
        <f t="shared" si="18"/>
        <v>0</v>
      </c>
      <c r="D55" s="4">
        <f t="shared" si="18"/>
        <v>0</v>
      </c>
      <c r="E55" s="4">
        <f t="shared" si="18"/>
        <v>6.8861674362577804E-6</v>
      </c>
      <c r="F55" s="4">
        <f t="shared" si="18"/>
        <v>0</v>
      </c>
      <c r="G55" s="4">
        <f t="shared" si="18"/>
        <v>7.7056423802876489E-5</v>
      </c>
      <c r="H55" s="4">
        <f t="shared" si="18"/>
        <v>0</v>
      </c>
      <c r="I55" s="4">
        <f t="shared" si="18"/>
        <v>1.1259776399381116E-3</v>
      </c>
      <c r="J55" s="4">
        <f t="shared" si="18"/>
        <v>2.2268198520105308E-4</v>
      </c>
      <c r="K55" s="4">
        <f t="shared" si="18"/>
        <v>5.796000000000001E-4</v>
      </c>
    </row>
    <row r="56" spans="1:14" x14ac:dyDescent="0.3">
      <c r="A56" s="183" t="s">
        <v>321</v>
      </c>
      <c r="B56" s="4">
        <f t="shared" ref="B56:K56" si="19">B49*B60</f>
        <v>2.0089697105856001E-2</v>
      </c>
      <c r="C56" s="4">
        <f t="shared" si="19"/>
        <v>0</v>
      </c>
      <c r="D56" s="4">
        <f t="shared" si="19"/>
        <v>0</v>
      </c>
      <c r="E56" s="4">
        <f t="shared" si="19"/>
        <v>2.4780758883758282E-2</v>
      </c>
      <c r="F56" s="4">
        <f t="shared" si="19"/>
        <v>2.5087999999999999E-2</v>
      </c>
      <c r="G56" s="4">
        <f t="shared" si="19"/>
        <v>0</v>
      </c>
      <c r="H56" s="4">
        <f t="shared" si="19"/>
        <v>1.4450772816363797E-2</v>
      </c>
      <c r="I56" s="4">
        <f t="shared" si="19"/>
        <v>0</v>
      </c>
      <c r="J56" s="4">
        <f t="shared" si="19"/>
        <v>2.7959417647356627E-2</v>
      </c>
      <c r="K56" s="4">
        <f t="shared" si="19"/>
        <v>8.6016E-4</v>
      </c>
      <c r="M56" s="94" t="s">
        <v>325</v>
      </c>
    </row>
    <row r="57" spans="1:14" x14ac:dyDescent="0.3">
      <c r="A57" s="183" t="s">
        <v>241</v>
      </c>
      <c r="B57" s="4">
        <f t="shared" ref="B57:K57" si="20">SUM(B54:B56)</f>
        <v>2.0089697105856001E-2</v>
      </c>
      <c r="C57" s="4">
        <f t="shared" si="20"/>
        <v>2.9568000000000001E-2</v>
      </c>
      <c r="D57" s="4">
        <f t="shared" si="20"/>
        <v>2.24E-2</v>
      </c>
      <c r="E57" s="4">
        <f t="shared" si="20"/>
        <v>3.1344850431640231E-2</v>
      </c>
      <c r="F57" s="4">
        <f t="shared" si="20"/>
        <v>2.5087999999999999E-2</v>
      </c>
      <c r="G57" s="4">
        <f t="shared" si="20"/>
        <v>2.1521028404039431E-2</v>
      </c>
      <c r="H57" s="4">
        <f t="shared" si="20"/>
        <v>2.683574397342451E-2</v>
      </c>
      <c r="I57" s="4">
        <f t="shared" si="20"/>
        <v>3.0012025721143899E-2</v>
      </c>
      <c r="J57" s="4">
        <f t="shared" si="20"/>
        <v>2.8182099632557678E-2</v>
      </c>
      <c r="K57" s="4">
        <f t="shared" si="20"/>
        <v>2.560488E-2</v>
      </c>
      <c r="M57" s="94"/>
    </row>
    <row r="58" spans="1:14" x14ac:dyDescent="0.3">
      <c r="A58" s="183" t="s">
        <v>326</v>
      </c>
      <c r="B58" s="211">
        <f>B57/Production!B$14</f>
        <v>1.1039575467422784E-5</v>
      </c>
      <c r="C58" s="211">
        <f>C57/Production!C$14</f>
        <v>1.6310795603745464E-5</v>
      </c>
      <c r="D58" s="211">
        <f>D57/Production!D$14</f>
        <v>1.5467537335513947E-5</v>
      </c>
      <c r="E58" s="211">
        <f>E57/Production!E$14</f>
        <v>2.1644091264620344E-5</v>
      </c>
      <c r="F58" s="211">
        <f>F57/Production!F$14</f>
        <v>1.2908170813143458E-5</v>
      </c>
      <c r="G58" s="211">
        <f>G57/Production!G$14</f>
        <v>1.282520819851855E-5</v>
      </c>
      <c r="H58" s="211">
        <f>H57/Production!H$14</f>
        <v>1.7184206891929387E-5</v>
      </c>
      <c r="I58" s="211">
        <f>I57/Production!I$14</f>
        <v>1.9762288338823326E-5</v>
      </c>
      <c r="J58" s="211">
        <f>J57/Production!J$14</f>
        <v>1.6794796627428078E-5</v>
      </c>
      <c r="K58" s="211">
        <f>K57/Production!K$14</f>
        <v>1.6396025979334031E-5</v>
      </c>
      <c r="M58" s="94"/>
    </row>
    <row r="60" spans="1:14" x14ac:dyDescent="0.3">
      <c r="A60" s="3" t="s">
        <v>340</v>
      </c>
      <c r="B60" s="15">
        <v>0.08</v>
      </c>
      <c r="C60" s="15">
        <v>0.08</v>
      </c>
      <c r="D60" s="15">
        <v>0.08</v>
      </c>
      <c r="E60" s="15">
        <v>0.08</v>
      </c>
      <c r="F60" s="15">
        <v>0.08</v>
      </c>
      <c r="G60" s="15">
        <v>0.08</v>
      </c>
      <c r="H60" s="15">
        <v>0.08</v>
      </c>
      <c r="I60" s="15">
        <v>0.08</v>
      </c>
      <c r="J60" s="15">
        <v>0.08</v>
      </c>
      <c r="K60" s="15">
        <v>0.08</v>
      </c>
      <c r="M60" s="182" t="s">
        <v>317</v>
      </c>
    </row>
    <row r="61" spans="1:14" x14ac:dyDescent="0.3">
      <c r="A61" s="3" t="s">
        <v>341</v>
      </c>
      <c r="B61" s="15">
        <v>0.14000000000000001</v>
      </c>
      <c r="C61" s="15">
        <v>0.14000000000000001</v>
      </c>
      <c r="D61" s="15">
        <v>0.14000000000000001</v>
      </c>
      <c r="E61" s="15">
        <v>0.14000000000000001</v>
      </c>
      <c r="F61" s="15">
        <v>0.14000000000000001</v>
      </c>
      <c r="G61" s="15">
        <v>0.14000000000000001</v>
      </c>
      <c r="H61" s="15">
        <v>0.14000000000000001</v>
      </c>
      <c r="I61" s="15">
        <v>0.14000000000000001</v>
      </c>
      <c r="J61" s="15">
        <v>0.14000000000000001</v>
      </c>
      <c r="K61" s="15">
        <v>0.14000000000000001</v>
      </c>
      <c r="M61" s="182" t="s">
        <v>317</v>
      </c>
    </row>
    <row r="63" spans="1:14" x14ac:dyDescent="0.3">
      <c r="A63" s="160" t="s">
        <v>342</v>
      </c>
      <c r="B63" s="113"/>
      <c r="C63" s="113"/>
      <c r="D63" s="113"/>
      <c r="E63" s="113"/>
      <c r="F63" s="113"/>
      <c r="G63" s="113"/>
      <c r="H63" s="113"/>
      <c r="I63" s="113"/>
      <c r="J63" s="113"/>
      <c r="K63" s="113"/>
    </row>
    <row r="64" spans="1:14" x14ac:dyDescent="0.3">
      <c r="A64" s="183" t="s">
        <v>319</v>
      </c>
      <c r="B64" s="105">
        <f t="shared" ref="B64:K64" si="21">B47*B70</f>
        <v>0</v>
      </c>
      <c r="C64" s="105">
        <f t="shared" si="21"/>
        <v>7.3919999999999997E-4</v>
      </c>
      <c r="D64" s="105">
        <f t="shared" si="21"/>
        <v>5.5999999999999995E-4</v>
      </c>
      <c r="E64" s="105">
        <f t="shared" si="21"/>
        <v>1.6393013451114233E-4</v>
      </c>
      <c r="F64" s="105">
        <f t="shared" si="21"/>
        <v>0</v>
      </c>
      <c r="G64" s="105">
        <f t="shared" si="21"/>
        <v>5.3609929950591384E-4</v>
      </c>
      <c r="H64" s="105">
        <f t="shared" si="21"/>
        <v>3.0962427892651778E-4</v>
      </c>
      <c r="I64" s="105">
        <f t="shared" si="21"/>
        <v>7.2215120203014465E-4</v>
      </c>
      <c r="J64" s="105">
        <f t="shared" si="21"/>
        <v>0</v>
      </c>
      <c r="K64" s="105">
        <f t="shared" si="21"/>
        <v>6.04128E-4</v>
      </c>
    </row>
    <row r="65" spans="1:18" x14ac:dyDescent="0.3">
      <c r="A65" s="183" t="s">
        <v>320</v>
      </c>
      <c r="B65" s="105">
        <f t="shared" ref="B65:K65" si="22">B48*B71</f>
        <v>0</v>
      </c>
      <c r="C65" s="105">
        <f t="shared" si="22"/>
        <v>0</v>
      </c>
      <c r="D65" s="105">
        <f t="shared" si="22"/>
        <v>0</v>
      </c>
      <c r="E65" s="105">
        <f t="shared" si="22"/>
        <v>4.9186910258984139E-7</v>
      </c>
      <c r="F65" s="105">
        <f t="shared" si="22"/>
        <v>0</v>
      </c>
      <c r="G65" s="105">
        <f t="shared" si="22"/>
        <v>5.504030271634035E-6</v>
      </c>
      <c r="H65" s="105">
        <f t="shared" si="22"/>
        <v>0</v>
      </c>
      <c r="I65" s="105">
        <f t="shared" si="22"/>
        <v>8.0426974281293682E-5</v>
      </c>
      <c r="J65" s="105">
        <f t="shared" si="22"/>
        <v>1.5905856085789505E-5</v>
      </c>
      <c r="K65" s="105">
        <f t="shared" si="22"/>
        <v>4.1400000000000003E-5</v>
      </c>
    </row>
    <row r="66" spans="1:18" x14ac:dyDescent="0.3">
      <c r="A66" s="183" t="s">
        <v>321</v>
      </c>
      <c r="B66" s="105">
        <f t="shared" ref="B66:K66" si="23">B49*B70</f>
        <v>5.0224242764640003E-4</v>
      </c>
      <c r="C66" s="105">
        <f t="shared" si="23"/>
        <v>0</v>
      </c>
      <c r="D66" s="105">
        <f t="shared" si="23"/>
        <v>0</v>
      </c>
      <c r="E66" s="105">
        <f t="shared" si="23"/>
        <v>6.1951897209395698E-4</v>
      </c>
      <c r="F66" s="105">
        <f t="shared" si="23"/>
        <v>6.2719999999999996E-4</v>
      </c>
      <c r="G66" s="105">
        <f t="shared" si="23"/>
        <v>0</v>
      </c>
      <c r="H66" s="105">
        <f t="shared" si="23"/>
        <v>3.6126932040909493E-4</v>
      </c>
      <c r="I66" s="105">
        <f t="shared" si="23"/>
        <v>0</v>
      </c>
      <c r="J66" s="105">
        <f t="shared" si="23"/>
        <v>6.9898544118391574E-4</v>
      </c>
      <c r="K66" s="105">
        <f t="shared" si="23"/>
        <v>2.1503999999999999E-5</v>
      </c>
    </row>
    <row r="67" spans="1:18" x14ac:dyDescent="0.3">
      <c r="A67" s="183" t="s">
        <v>241</v>
      </c>
      <c r="B67" s="4">
        <f t="shared" ref="B67:K67" si="24">SUM(B64:B66)</f>
        <v>5.0224242764640003E-4</v>
      </c>
      <c r="C67" s="4">
        <f t="shared" si="24"/>
        <v>7.3919999999999997E-4</v>
      </c>
      <c r="D67" s="4">
        <f t="shared" si="24"/>
        <v>5.5999999999999995E-4</v>
      </c>
      <c r="E67" s="4">
        <f t="shared" si="24"/>
        <v>7.8394097570768913E-4</v>
      </c>
      <c r="F67" s="4">
        <f t="shared" si="24"/>
        <v>6.2719999999999996E-4</v>
      </c>
      <c r="G67" s="4">
        <f t="shared" si="24"/>
        <v>5.4160332977754792E-4</v>
      </c>
      <c r="H67" s="4">
        <f t="shared" si="24"/>
        <v>6.708935993356127E-4</v>
      </c>
      <c r="I67" s="4">
        <f t="shared" si="24"/>
        <v>8.0257817631143829E-4</v>
      </c>
      <c r="J67" s="4">
        <f t="shared" si="24"/>
        <v>7.1489129726970521E-4</v>
      </c>
      <c r="K67" s="4">
        <f t="shared" si="24"/>
        <v>6.6703200000000002E-4</v>
      </c>
    </row>
    <row r="68" spans="1:18" x14ac:dyDescent="0.3">
      <c r="A68" s="183" t="s">
        <v>326</v>
      </c>
      <c r="B68" s="34">
        <f>B67/Production!B$14</f>
        <v>2.7598938668556959E-7</v>
      </c>
      <c r="C68" s="34">
        <f>C67/Production!C$14</f>
        <v>4.0776989009363656E-7</v>
      </c>
      <c r="D68" s="34">
        <f>D67/Production!D$14</f>
        <v>3.8668843338784861E-7</v>
      </c>
      <c r="E68" s="34">
        <f>E67/Production!E$14</f>
        <v>5.4132304958026392E-7</v>
      </c>
      <c r="F68" s="34">
        <f>F67/Production!F$14</f>
        <v>3.2270427032858645E-7</v>
      </c>
      <c r="G68" s="34">
        <f>G67/Production!G$14</f>
        <v>3.2276224606925279E-7</v>
      </c>
      <c r="H68" s="34">
        <f>H67/Production!H$14</f>
        <v>4.2960517229823464E-7</v>
      </c>
      <c r="I68" s="34">
        <f>I67/Production!I$14</f>
        <v>5.2848086570642521E-7</v>
      </c>
      <c r="J68" s="34">
        <f>J67/Production!J$14</f>
        <v>4.2603120792647907E-7</v>
      </c>
      <c r="K68" s="34">
        <f>K67/Production!K$14</f>
        <v>4.2713240605100031E-7</v>
      </c>
    </row>
    <row r="70" spans="1:18" x14ac:dyDescent="0.3">
      <c r="A70" s="3" t="s">
        <v>343</v>
      </c>
      <c r="B70" s="78">
        <v>2E-3</v>
      </c>
      <c r="C70" s="78">
        <v>2E-3</v>
      </c>
      <c r="D70" s="78">
        <v>2E-3</v>
      </c>
      <c r="E70" s="78">
        <v>2E-3</v>
      </c>
      <c r="F70" s="78">
        <v>2E-3</v>
      </c>
      <c r="G70" s="78">
        <v>2E-3</v>
      </c>
      <c r="H70" s="78">
        <v>2E-3</v>
      </c>
      <c r="I70" s="78">
        <v>2E-3</v>
      </c>
      <c r="J70" s="78">
        <v>2E-3</v>
      </c>
      <c r="K70" s="78">
        <v>2E-3</v>
      </c>
      <c r="L70" s="15"/>
      <c r="M70" s="182" t="s">
        <v>344</v>
      </c>
      <c r="P70" s="7"/>
      <c r="R70" s="94" t="s">
        <v>345</v>
      </c>
    </row>
    <row r="71" spans="1:18" x14ac:dyDescent="0.3">
      <c r="A71" s="3" t="s">
        <v>346</v>
      </c>
      <c r="B71" s="15">
        <v>0.01</v>
      </c>
      <c r="C71" s="15">
        <v>0.01</v>
      </c>
      <c r="D71" s="15">
        <v>0.01</v>
      </c>
      <c r="E71" s="15">
        <v>0.01</v>
      </c>
      <c r="F71" s="15">
        <v>0.01</v>
      </c>
      <c r="G71" s="15">
        <v>0.01</v>
      </c>
      <c r="H71" s="15">
        <v>0.01</v>
      </c>
      <c r="I71" s="15">
        <v>0.01</v>
      </c>
      <c r="J71" s="15">
        <v>0.01</v>
      </c>
      <c r="K71" s="15">
        <v>0.01</v>
      </c>
      <c r="L71" s="199"/>
      <c r="M71" s="182" t="s">
        <v>347</v>
      </c>
    </row>
    <row r="73" spans="1:18" x14ac:dyDescent="0.3">
      <c r="A73" s="160" t="s">
        <v>348</v>
      </c>
      <c r="B73" s="113"/>
      <c r="C73" s="113"/>
      <c r="D73" s="113"/>
      <c r="E73" s="113"/>
      <c r="F73" s="113"/>
      <c r="G73" s="113"/>
      <c r="H73" s="113"/>
      <c r="I73" s="113"/>
      <c r="J73" s="113"/>
      <c r="K73" s="113"/>
    </row>
    <row r="74" spans="1:18" x14ac:dyDescent="0.3">
      <c r="A74" s="183" t="s">
        <v>319</v>
      </c>
      <c r="B74" s="11">
        <f t="shared" ref="B74:H75" si="25">B47*(B78+B80)</f>
        <v>0</v>
      </c>
      <c r="C74" s="11">
        <f t="shared" si="25"/>
        <v>0.114576</v>
      </c>
      <c r="D74" s="11">
        <f t="shared" si="25"/>
        <v>8.6799999999999988E-2</v>
      </c>
      <c r="E74" s="11">
        <f t="shared" si="25"/>
        <v>2.5409170849227062E-2</v>
      </c>
      <c r="F74" s="11">
        <f t="shared" si="25"/>
        <v>0</v>
      </c>
      <c r="G74" s="11">
        <f t="shared" si="25"/>
        <v>8.309539142341664E-2</v>
      </c>
      <c r="H74" s="11">
        <f t="shared" si="25"/>
        <v>4.7991763233610256E-2</v>
      </c>
      <c r="I74" s="11">
        <f t="shared" ref="I74:K75" si="26">I47*(I78+I80)</f>
        <v>0.11193343631467241</v>
      </c>
      <c r="J74" s="11">
        <f t="shared" ref="J74" si="27">J47*(J78+J80)</f>
        <v>0</v>
      </c>
      <c r="K74" s="11">
        <f t="shared" si="26"/>
        <v>9.3639840000000002E-2</v>
      </c>
    </row>
    <row r="75" spans="1:18" x14ac:dyDescent="0.3">
      <c r="A75" s="183" t="s">
        <v>320</v>
      </c>
      <c r="B75" s="11">
        <f t="shared" si="25"/>
        <v>0</v>
      </c>
      <c r="C75" s="11">
        <f t="shared" si="25"/>
        <v>0</v>
      </c>
      <c r="D75" s="11">
        <f t="shared" si="25"/>
        <v>0</v>
      </c>
      <c r="E75" s="11">
        <f t="shared" si="25"/>
        <v>1.5247942180285083E-7</v>
      </c>
      <c r="F75" s="11">
        <f t="shared" si="25"/>
        <v>0</v>
      </c>
      <c r="G75" s="11">
        <f t="shared" si="25"/>
        <v>1.7062493842065507E-6</v>
      </c>
      <c r="H75" s="11">
        <f t="shared" si="25"/>
        <v>0</v>
      </c>
      <c r="I75" s="11">
        <f t="shared" si="26"/>
        <v>2.4932362027201042E-5</v>
      </c>
      <c r="J75" s="11">
        <f t="shared" ref="J75" si="28">J48*(J79+J81)</f>
        <v>4.9308153865947467E-6</v>
      </c>
      <c r="K75" s="11">
        <f t="shared" si="26"/>
        <v>1.2834000000000001E-5</v>
      </c>
    </row>
    <row r="76" spans="1:18" x14ac:dyDescent="0.3">
      <c r="A76" s="183" t="s">
        <v>321</v>
      </c>
      <c r="B76" s="11">
        <f t="shared" ref="B76:J76" si="29">B49*(B78+B80)</f>
        <v>7.7847576285192011E-2</v>
      </c>
      <c r="C76" s="11">
        <f t="shared" si="29"/>
        <v>0</v>
      </c>
      <c r="D76" s="11">
        <f t="shared" si="29"/>
        <v>0</v>
      </c>
      <c r="E76" s="11">
        <f t="shared" si="29"/>
        <v>9.6025440674563339E-2</v>
      </c>
      <c r="F76" s="11">
        <f t="shared" si="29"/>
        <v>9.7215999999999997E-2</v>
      </c>
      <c r="G76" s="11">
        <f t="shared" si="29"/>
        <v>0</v>
      </c>
      <c r="H76" s="11">
        <f t="shared" si="29"/>
        <v>5.5996744663409717E-2</v>
      </c>
      <c r="I76" s="11">
        <f t="shared" si="29"/>
        <v>0</v>
      </c>
      <c r="J76" s="11">
        <f t="shared" si="29"/>
        <v>0.10834274338350694</v>
      </c>
      <c r="K76" s="11">
        <f t="shared" ref="K76" si="30">K49*(K78+K80)</f>
        <v>3.3331199999999997E-3</v>
      </c>
    </row>
    <row r="78" spans="1:18" x14ac:dyDescent="0.3">
      <c r="A78" s="3" t="s">
        <v>349</v>
      </c>
      <c r="B78" s="15">
        <v>0.01</v>
      </c>
      <c r="C78" s="15">
        <v>0.01</v>
      </c>
      <c r="D78" s="15">
        <v>0.01</v>
      </c>
      <c r="E78" s="15">
        <v>0.01</v>
      </c>
      <c r="F78" s="15">
        <v>0.01</v>
      </c>
      <c r="G78" s="15">
        <v>0.01</v>
      </c>
      <c r="H78" s="15">
        <v>0.01</v>
      </c>
      <c r="I78" s="15">
        <v>0.01</v>
      </c>
      <c r="J78" s="15">
        <v>0.01</v>
      </c>
      <c r="K78" s="15">
        <v>0.01</v>
      </c>
      <c r="M78" s="182" t="s">
        <v>350</v>
      </c>
    </row>
    <row r="79" spans="1:18" x14ac:dyDescent="0.3">
      <c r="A79" s="3" t="s">
        <v>351</v>
      </c>
      <c r="B79" s="137">
        <v>1E-4</v>
      </c>
      <c r="C79" s="137">
        <v>1E-4</v>
      </c>
      <c r="D79" s="137">
        <v>1E-4</v>
      </c>
      <c r="E79" s="137">
        <v>1E-4</v>
      </c>
      <c r="F79" s="137">
        <v>1E-4</v>
      </c>
      <c r="G79" s="137">
        <v>1E-4</v>
      </c>
      <c r="H79" s="137">
        <v>1E-4</v>
      </c>
      <c r="I79" s="137">
        <v>1E-4</v>
      </c>
      <c r="J79" s="137">
        <v>1E-4</v>
      </c>
      <c r="K79" s="137">
        <v>1E-4</v>
      </c>
      <c r="M79" s="182" t="s">
        <v>350</v>
      </c>
    </row>
    <row r="80" spans="1:18" x14ac:dyDescent="0.3">
      <c r="A80" s="3" t="s">
        <v>352</v>
      </c>
      <c r="B80" s="13">
        <v>0.3</v>
      </c>
      <c r="C80" s="13">
        <v>0.3</v>
      </c>
      <c r="D80" s="13">
        <v>0.3</v>
      </c>
      <c r="E80" s="13">
        <v>0.3</v>
      </c>
      <c r="F80" s="13">
        <v>0.3</v>
      </c>
      <c r="G80" s="13">
        <v>0.3</v>
      </c>
      <c r="H80" s="13">
        <v>0.3</v>
      </c>
      <c r="I80" s="13">
        <v>0.3</v>
      </c>
      <c r="J80" s="13">
        <v>0.3</v>
      </c>
      <c r="K80" s="13">
        <v>0.3</v>
      </c>
      <c r="M80" s="182" t="s">
        <v>350</v>
      </c>
    </row>
    <row r="81" spans="1:13" x14ac:dyDescent="0.3">
      <c r="A81" s="3" t="s">
        <v>353</v>
      </c>
      <c r="B81" s="13">
        <v>3.0000000000000001E-3</v>
      </c>
      <c r="C81" s="13">
        <v>3.0000000000000001E-3</v>
      </c>
      <c r="D81" s="13">
        <v>3.0000000000000001E-3</v>
      </c>
      <c r="E81" s="13">
        <v>3.0000000000000001E-3</v>
      </c>
      <c r="F81" s="13">
        <v>3.0000000000000001E-3</v>
      </c>
      <c r="G81" s="13">
        <v>3.0000000000000001E-3</v>
      </c>
      <c r="H81" s="13">
        <v>3.0000000000000001E-3</v>
      </c>
      <c r="I81" s="13">
        <v>3.0000000000000001E-3</v>
      </c>
      <c r="J81" s="13">
        <v>3.0000000000000001E-3</v>
      </c>
      <c r="K81" s="13">
        <v>3.0000000000000001E-3</v>
      </c>
      <c r="M81" s="182" t="s">
        <v>350</v>
      </c>
    </row>
    <row r="83" spans="1:13" x14ac:dyDescent="0.3">
      <c r="A83" s="207" t="s">
        <v>354</v>
      </c>
      <c r="B83" s="113"/>
      <c r="C83" s="113"/>
      <c r="D83" s="113"/>
      <c r="E83" s="113"/>
      <c r="F83" s="113"/>
      <c r="G83" s="113"/>
      <c r="H83" s="113"/>
      <c r="I83" s="113"/>
      <c r="J83" s="113"/>
      <c r="K83" s="113"/>
    </row>
    <row r="84" spans="1:13" x14ac:dyDescent="0.3">
      <c r="A84" s="183" t="s">
        <v>319</v>
      </c>
      <c r="B84" s="11">
        <f t="shared" ref="B84:K84" si="31">B47-B54-B64-B74</f>
        <v>0</v>
      </c>
      <c r="C84" s="11">
        <f t="shared" si="31"/>
        <v>0.22471679999999999</v>
      </c>
      <c r="D84" s="11">
        <f t="shared" si="31"/>
        <v>0.17024</v>
      </c>
      <c r="E84" s="11">
        <f t="shared" si="31"/>
        <v>4.9834760891387261E-2</v>
      </c>
      <c r="F84" s="11">
        <f t="shared" si="31"/>
        <v>0</v>
      </c>
      <c r="G84" s="11">
        <f t="shared" si="31"/>
        <v>0.16297418704979783</v>
      </c>
      <c r="H84" s="11">
        <f t="shared" si="31"/>
        <v>9.4125780793661379E-2</v>
      </c>
      <c r="I84" s="11">
        <f t="shared" si="31"/>
        <v>0.21953396541716402</v>
      </c>
      <c r="J84" s="11">
        <f t="shared" si="31"/>
        <v>0</v>
      </c>
      <c r="K84" s="11">
        <f t="shared" si="31"/>
        <v>0.18365491200000003</v>
      </c>
    </row>
    <row r="85" spans="1:13" x14ac:dyDescent="0.3">
      <c r="A85" s="183" t="s">
        <v>320</v>
      </c>
      <c r="B85" s="11">
        <f t="shared" ref="B85:K85" si="32">B48-B55-B65-B75</f>
        <v>0</v>
      </c>
      <c r="C85" s="11">
        <f t="shared" si="32"/>
        <v>0</v>
      </c>
      <c r="D85" s="11">
        <f t="shared" si="32"/>
        <v>0</v>
      </c>
      <c r="E85" s="11">
        <f t="shared" si="32"/>
        <v>4.1656394298333671E-5</v>
      </c>
      <c r="F85" s="11">
        <f t="shared" si="32"/>
        <v>0</v>
      </c>
      <c r="G85" s="11">
        <f t="shared" si="32"/>
        <v>4.6613632370468634E-4</v>
      </c>
      <c r="H85" s="11">
        <f t="shared" si="32"/>
        <v>0</v>
      </c>
      <c r="I85" s="11">
        <f t="shared" si="32"/>
        <v>6.8113604518827628E-3</v>
      </c>
      <c r="J85" s="11">
        <f t="shared" si="32"/>
        <v>1.347066951905513E-3</v>
      </c>
      <c r="K85" s="11">
        <f t="shared" si="32"/>
        <v>3.5061660000000002E-3</v>
      </c>
    </row>
    <row r="86" spans="1:13" x14ac:dyDescent="0.3">
      <c r="A86" s="183" t="s">
        <v>321</v>
      </c>
      <c r="B86" s="11">
        <f t="shared" ref="B86:H86" si="33">B49-B56-B66-B76</f>
        <v>0.15268169800450559</v>
      </c>
      <c r="C86" s="11">
        <f t="shared" si="33"/>
        <v>0</v>
      </c>
      <c r="D86" s="11">
        <f t="shared" si="33"/>
        <v>0</v>
      </c>
      <c r="E86" s="11">
        <f t="shared" si="33"/>
        <v>0.18833376751656292</v>
      </c>
      <c r="F86" s="11">
        <f t="shared" si="33"/>
        <v>0.1906688</v>
      </c>
      <c r="G86" s="11">
        <f t="shared" si="33"/>
        <v>0</v>
      </c>
      <c r="H86" s="11">
        <f t="shared" si="33"/>
        <v>0.10982587340436488</v>
      </c>
      <c r="I86" s="11">
        <f t="shared" ref="I86:K86" si="34">I49-I56-I66-I76</f>
        <v>0</v>
      </c>
      <c r="J86" s="11">
        <f t="shared" ref="J86" si="35">J49-J56-J66-J76</f>
        <v>0.2124915741199104</v>
      </c>
      <c r="K86" s="11">
        <f t="shared" si="34"/>
        <v>6.5372159999999985E-3</v>
      </c>
    </row>
    <row r="87" spans="1:13" x14ac:dyDescent="0.3">
      <c r="B87" s="11"/>
      <c r="C87" s="11"/>
      <c r="D87" s="11"/>
      <c r="E87" s="11"/>
      <c r="F87" s="11"/>
      <c r="G87" s="11"/>
      <c r="H87" s="11"/>
      <c r="I87" s="11"/>
      <c r="J87" s="11"/>
      <c r="K87" s="11"/>
    </row>
    <row r="88" spans="1:13" x14ac:dyDescent="0.3">
      <c r="A88" s="160" t="s">
        <v>355</v>
      </c>
      <c r="B88" s="210"/>
      <c r="C88" s="210"/>
      <c r="D88" s="210"/>
      <c r="E88" s="210"/>
      <c r="F88" s="210"/>
      <c r="G88" s="210"/>
      <c r="H88" s="210"/>
      <c r="I88" s="210"/>
      <c r="J88" s="210"/>
      <c r="K88" s="210"/>
      <c r="M88" s="172" t="s">
        <v>356</v>
      </c>
    </row>
    <row r="89" spans="1:13" x14ac:dyDescent="0.3">
      <c r="A89" s="183" t="s">
        <v>319</v>
      </c>
      <c r="B89" s="11">
        <f t="shared" ref="B89:K89" si="36">B84*B95</f>
        <v>0</v>
      </c>
      <c r="C89" s="11">
        <f t="shared" si="36"/>
        <v>0.10112256</v>
      </c>
      <c r="D89" s="11">
        <f t="shared" si="36"/>
        <v>7.6608000000000009E-2</v>
      </c>
      <c r="E89" s="11">
        <f t="shared" si="36"/>
        <v>2.2425642401124268E-2</v>
      </c>
      <c r="F89" s="11">
        <f t="shared" si="36"/>
        <v>0</v>
      </c>
      <c r="G89" s="11">
        <f t="shared" si="36"/>
        <v>7.3338384172409024E-2</v>
      </c>
      <c r="H89" s="11">
        <f t="shared" si="36"/>
        <v>4.2356601357147625E-2</v>
      </c>
      <c r="I89" s="11">
        <f t="shared" si="36"/>
        <v>9.8790284437723808E-2</v>
      </c>
      <c r="J89" s="11">
        <f t="shared" si="36"/>
        <v>0</v>
      </c>
      <c r="K89" s="11">
        <f t="shared" si="36"/>
        <v>8.2644710400000015E-2</v>
      </c>
    </row>
    <row r="90" spans="1:13" x14ac:dyDescent="0.3">
      <c r="A90" s="183" t="s">
        <v>320</v>
      </c>
      <c r="B90" s="11">
        <f t="shared" ref="B90:K90" si="37">B85*B96</f>
        <v>0</v>
      </c>
      <c r="C90" s="11">
        <f t="shared" si="37"/>
        <v>0</v>
      </c>
      <c r="D90" s="11">
        <f t="shared" si="37"/>
        <v>0</v>
      </c>
      <c r="E90" s="11">
        <f t="shared" si="37"/>
        <v>2.874291206585023E-5</v>
      </c>
      <c r="F90" s="11">
        <f t="shared" si="37"/>
        <v>0</v>
      </c>
      <c r="G90" s="11">
        <f t="shared" si="37"/>
        <v>3.2163406335623357E-4</v>
      </c>
      <c r="H90" s="11">
        <f t="shared" si="37"/>
        <v>0</v>
      </c>
      <c r="I90" s="11">
        <f t="shared" si="37"/>
        <v>4.6998387117991062E-3</v>
      </c>
      <c r="J90" s="11">
        <f t="shared" si="37"/>
        <v>9.2947619681480386E-4</v>
      </c>
      <c r="K90" s="11">
        <f t="shared" si="37"/>
        <v>2.41925454E-3</v>
      </c>
    </row>
    <row r="91" spans="1:13" x14ac:dyDescent="0.3">
      <c r="A91" s="183" t="s">
        <v>321</v>
      </c>
      <c r="B91" s="11">
        <f t="shared" ref="B91:K91" si="38">B86*B95</f>
        <v>6.8706764102027515E-2</v>
      </c>
      <c r="C91" s="11">
        <f t="shared" si="38"/>
        <v>0</v>
      </c>
      <c r="D91" s="11">
        <f t="shared" si="38"/>
        <v>0</v>
      </c>
      <c r="E91" s="11">
        <f t="shared" si="38"/>
        <v>8.4750195382453319E-2</v>
      </c>
      <c r="F91" s="11">
        <f t="shared" si="38"/>
        <v>8.5800959999999996E-2</v>
      </c>
      <c r="G91" s="11">
        <f t="shared" si="38"/>
        <v>0</v>
      </c>
      <c r="H91" s="11">
        <f t="shared" si="38"/>
        <v>4.9421643031964196E-2</v>
      </c>
      <c r="I91" s="11">
        <f t="shared" si="38"/>
        <v>0</v>
      </c>
      <c r="J91" s="11">
        <f t="shared" si="38"/>
        <v>9.562120835395968E-2</v>
      </c>
      <c r="K91" s="11">
        <f t="shared" si="38"/>
        <v>2.9417471999999994E-3</v>
      </c>
    </row>
    <row r="92" spans="1:13" x14ac:dyDescent="0.3">
      <c r="A92" s="183" t="s">
        <v>241</v>
      </c>
      <c r="B92" s="5">
        <f t="shared" ref="B92:K92" si="39">SUM(B89:B91)</f>
        <v>6.8706764102027515E-2</v>
      </c>
      <c r="C92" s="5">
        <f t="shared" si="39"/>
        <v>0.10112256</v>
      </c>
      <c r="D92" s="5">
        <f t="shared" si="39"/>
        <v>7.6608000000000009E-2</v>
      </c>
      <c r="E92" s="5">
        <f t="shared" si="39"/>
        <v>0.10720458069564344</v>
      </c>
      <c r="F92" s="5">
        <f t="shared" si="39"/>
        <v>8.5800959999999996E-2</v>
      </c>
      <c r="G92" s="5">
        <f t="shared" si="39"/>
        <v>7.3660018235765262E-2</v>
      </c>
      <c r="H92" s="5">
        <f t="shared" si="39"/>
        <v>9.1778244389111821E-2</v>
      </c>
      <c r="I92" s="5">
        <f t="shared" si="39"/>
        <v>0.10349012314952291</v>
      </c>
      <c r="J92" s="5">
        <f t="shared" si="39"/>
        <v>9.6550684550774479E-2</v>
      </c>
      <c r="K92" s="5">
        <f t="shared" si="39"/>
        <v>8.8005712140000011E-2</v>
      </c>
    </row>
    <row r="93" spans="1:13" x14ac:dyDescent="0.3">
      <c r="A93" s="183" t="s">
        <v>357</v>
      </c>
      <c r="B93" s="211">
        <f>B92/Production!B$14</f>
        <v>3.775534809858592E-5</v>
      </c>
      <c r="C93" s="211">
        <f>C92/Production!C$14</f>
        <v>5.5782920964809483E-5</v>
      </c>
      <c r="D93" s="211">
        <f>D92/Production!D$14</f>
        <v>5.28989776874577E-5</v>
      </c>
      <c r="E93" s="211">
        <f>E92/Production!E$14</f>
        <v>7.4026377430713499E-5</v>
      </c>
      <c r="F93" s="211">
        <f>F92/Production!F$14</f>
        <v>4.4145944180950626E-5</v>
      </c>
      <c r="G93" s="211">
        <f>G92/Production!G$14</f>
        <v>4.3896836714505903E-5</v>
      </c>
      <c r="H93" s="211">
        <f>H92/Production!H$14</f>
        <v>5.8769987570398498E-5</v>
      </c>
      <c r="I93" s="211">
        <f>I92/Production!I$14</f>
        <v>6.8146071608233118E-5</v>
      </c>
      <c r="J93" s="211">
        <f>J92/Production!J$14</f>
        <v>5.7538264799685377E-5</v>
      </c>
      <c r="K93" s="211">
        <f>K92/Production!K$14</f>
        <v>5.635425522702049E-5</v>
      </c>
    </row>
    <row r="95" spans="1:13" x14ac:dyDescent="0.3">
      <c r="A95" s="3" t="s">
        <v>358</v>
      </c>
      <c r="B95" s="15">
        <v>0.45</v>
      </c>
      <c r="C95" s="15">
        <v>0.45</v>
      </c>
      <c r="D95" s="15">
        <v>0.45</v>
      </c>
      <c r="E95" s="15">
        <v>0.45</v>
      </c>
      <c r="F95" s="15">
        <v>0.45</v>
      </c>
      <c r="G95" s="15">
        <v>0.45</v>
      </c>
      <c r="H95" s="15">
        <v>0.45</v>
      </c>
      <c r="I95" s="15">
        <v>0.45</v>
      </c>
      <c r="J95" s="15">
        <v>0.45</v>
      </c>
      <c r="K95" s="15">
        <v>0.45</v>
      </c>
      <c r="M95" s="182" t="s">
        <v>317</v>
      </c>
    </row>
    <row r="96" spans="1:13" x14ac:dyDescent="0.3">
      <c r="A96" s="3" t="s">
        <v>359</v>
      </c>
      <c r="B96" s="15">
        <v>0.69</v>
      </c>
      <c r="C96" s="15">
        <v>0.69</v>
      </c>
      <c r="D96" s="15">
        <v>0.69</v>
      </c>
      <c r="E96" s="15">
        <v>0.69</v>
      </c>
      <c r="F96" s="15">
        <v>0.69</v>
      </c>
      <c r="G96" s="15">
        <v>0.69</v>
      </c>
      <c r="H96" s="15">
        <v>0.69</v>
      </c>
      <c r="I96" s="15">
        <v>0.69</v>
      </c>
      <c r="J96" s="15">
        <v>0.69</v>
      </c>
      <c r="K96" s="15">
        <v>0.69</v>
      </c>
      <c r="M96" s="182" t="s">
        <v>317</v>
      </c>
    </row>
    <row r="97" spans="1:13" x14ac:dyDescent="0.3">
      <c r="A97" s="183" t="s">
        <v>360</v>
      </c>
      <c r="B97" s="13">
        <v>0.01</v>
      </c>
      <c r="C97" s="13">
        <v>0.01</v>
      </c>
      <c r="D97" s="13">
        <v>0.01</v>
      </c>
      <c r="E97" s="13">
        <v>0.01</v>
      </c>
      <c r="F97" s="13">
        <v>0.01</v>
      </c>
      <c r="G97" s="13">
        <v>0.01</v>
      </c>
      <c r="H97" s="13">
        <v>0.01</v>
      </c>
      <c r="I97" s="13">
        <v>0.01</v>
      </c>
      <c r="J97" s="13">
        <v>0.01</v>
      </c>
      <c r="K97" s="13">
        <v>0.01</v>
      </c>
      <c r="M97" s="182" t="s">
        <v>361</v>
      </c>
    </row>
    <row r="99" spans="1:13" x14ac:dyDescent="0.3">
      <c r="A99" s="207" t="s">
        <v>362</v>
      </c>
      <c r="B99" s="113"/>
      <c r="C99" s="113"/>
      <c r="D99" s="113"/>
      <c r="E99" s="113"/>
      <c r="F99" s="113"/>
      <c r="G99" s="113"/>
      <c r="H99" s="113"/>
      <c r="I99" s="113"/>
      <c r="J99" s="113"/>
      <c r="K99" s="113"/>
    </row>
    <row r="100" spans="1:13" x14ac:dyDescent="0.3">
      <c r="A100" s="183" t="s">
        <v>319</v>
      </c>
      <c r="B100" s="11">
        <f t="shared" ref="B100:K100" si="40">B84-B89</f>
        <v>0</v>
      </c>
      <c r="C100" s="11">
        <f t="shared" si="40"/>
        <v>0.12359423999999999</v>
      </c>
      <c r="D100" s="11">
        <f t="shared" si="40"/>
        <v>9.3631999999999993E-2</v>
      </c>
      <c r="E100" s="11">
        <f t="shared" si="40"/>
        <v>2.7409118490262993E-2</v>
      </c>
      <c r="F100" s="11">
        <f t="shared" si="40"/>
        <v>0</v>
      </c>
      <c r="G100" s="11">
        <f t="shared" si="40"/>
        <v>8.9635802877388801E-2</v>
      </c>
      <c r="H100" s="11">
        <f t="shared" si="40"/>
        <v>5.1769179436513754E-2</v>
      </c>
      <c r="I100" s="11">
        <f t="shared" si="40"/>
        <v>0.12074368097944022</v>
      </c>
      <c r="J100" s="11">
        <f t="shared" si="40"/>
        <v>0</v>
      </c>
      <c r="K100" s="11">
        <f t="shared" si="40"/>
        <v>0.10101020160000002</v>
      </c>
    </row>
    <row r="101" spans="1:13" x14ac:dyDescent="0.3">
      <c r="A101" s="183" t="s">
        <v>320</v>
      </c>
      <c r="B101" s="11">
        <f t="shared" ref="B101:H102" si="41">B85-B90</f>
        <v>0</v>
      </c>
      <c r="C101" s="11">
        <f t="shared" si="41"/>
        <v>0</v>
      </c>
      <c r="D101" s="11">
        <f t="shared" si="41"/>
        <v>0</v>
      </c>
      <c r="E101" s="11">
        <f t="shared" si="41"/>
        <v>1.2913482232483441E-5</v>
      </c>
      <c r="F101" s="11">
        <f t="shared" si="41"/>
        <v>0</v>
      </c>
      <c r="G101" s="11">
        <f t="shared" si="41"/>
        <v>1.4450226034845278E-4</v>
      </c>
      <c r="H101" s="11">
        <f t="shared" si="41"/>
        <v>0</v>
      </c>
      <c r="I101" s="11">
        <f t="shared" ref="I101:K101" si="42">I85-I90</f>
        <v>2.1115217400836566E-3</v>
      </c>
      <c r="J101" s="11">
        <f t="shared" ref="J101" si="43">J85-J90</f>
        <v>4.1759075509070916E-4</v>
      </c>
      <c r="K101" s="11">
        <f t="shared" si="42"/>
        <v>1.0869114600000002E-3</v>
      </c>
    </row>
    <row r="102" spans="1:13" x14ac:dyDescent="0.3">
      <c r="A102" s="183" t="s">
        <v>321</v>
      </c>
      <c r="B102" s="11">
        <f t="shared" si="41"/>
        <v>8.397493390247808E-2</v>
      </c>
      <c r="C102" s="11">
        <f t="shared" si="41"/>
        <v>0</v>
      </c>
      <c r="D102" s="11">
        <f t="shared" si="41"/>
        <v>0</v>
      </c>
      <c r="E102" s="11">
        <f t="shared" si="41"/>
        <v>0.1035835721341096</v>
      </c>
      <c r="F102" s="11">
        <f t="shared" si="41"/>
        <v>0.10486784</v>
      </c>
      <c r="G102" s="11">
        <f t="shared" si="41"/>
        <v>0</v>
      </c>
      <c r="H102" s="11">
        <f t="shared" si="41"/>
        <v>6.0404230372400683E-2</v>
      </c>
      <c r="I102" s="11">
        <f t="shared" ref="I102:K102" si="44">I86-I91</f>
        <v>0</v>
      </c>
      <c r="J102" s="11">
        <f t="shared" ref="J102" si="45">J86-J91</f>
        <v>0.11687036576595072</v>
      </c>
      <c r="K102" s="11">
        <f t="shared" si="44"/>
        <v>3.5954687999999991E-3</v>
      </c>
    </row>
    <row r="103" spans="1:13" x14ac:dyDescent="0.3">
      <c r="B103" s="5"/>
      <c r="C103" s="5"/>
      <c r="D103" s="5"/>
      <c r="E103" s="5"/>
      <c r="F103" s="5"/>
      <c r="G103" s="5"/>
      <c r="H103" s="5"/>
      <c r="I103" s="5"/>
      <c r="J103" s="5"/>
      <c r="K103" s="5"/>
    </row>
    <row r="104" spans="1:13" x14ac:dyDescent="0.3">
      <c r="A104" s="207" t="s">
        <v>363</v>
      </c>
      <c r="B104" s="200"/>
      <c r="C104" s="200"/>
      <c r="D104" s="200"/>
      <c r="E104" s="200"/>
      <c r="F104" s="200"/>
      <c r="G104" s="200"/>
      <c r="H104" s="200"/>
      <c r="I104" s="200"/>
      <c r="J104" s="200"/>
      <c r="K104" s="200"/>
    </row>
    <row r="105" spans="1:13" x14ac:dyDescent="0.3">
      <c r="A105" s="183" t="s">
        <v>319</v>
      </c>
      <c r="B105" s="5">
        <f t="shared" ref="B105:K105" si="46">B30+B54+B64+B74+B89</f>
        <v>0</v>
      </c>
      <c r="C105" s="5">
        <f t="shared" si="46"/>
        <v>0.33840576</v>
      </c>
      <c r="D105" s="5">
        <f t="shared" si="46"/>
        <v>0.25636799999999998</v>
      </c>
      <c r="E105" s="5">
        <f t="shared" si="46"/>
        <v>7.5047215579200965E-2</v>
      </c>
      <c r="F105" s="5">
        <f t="shared" si="46"/>
        <v>0</v>
      </c>
      <c r="G105" s="5">
        <f t="shared" si="46"/>
        <v>0.24542625931380735</v>
      </c>
      <c r="H105" s="5">
        <f t="shared" si="46"/>
        <v>0.14174599489255985</v>
      </c>
      <c r="I105" s="5">
        <f t="shared" si="46"/>
        <v>0.33060082028940024</v>
      </c>
      <c r="J105" s="5">
        <f t="shared" si="46"/>
        <v>0</v>
      </c>
      <c r="K105" s="5">
        <f t="shared" si="46"/>
        <v>0.27656979840000001</v>
      </c>
    </row>
    <row r="106" spans="1:13" x14ac:dyDescent="0.3">
      <c r="A106" s="183" t="s">
        <v>320</v>
      </c>
      <c r="B106" s="5">
        <f t="shared" ref="B106:H107" si="47">B31+B55+B65+B75+B90</f>
        <v>0</v>
      </c>
      <c r="C106" s="5">
        <f t="shared" si="47"/>
        <v>0</v>
      </c>
      <c r="D106" s="5">
        <f t="shared" si="47"/>
        <v>0</v>
      </c>
      <c r="E106" s="5">
        <f t="shared" si="47"/>
        <v>3.62734280265007E-5</v>
      </c>
      <c r="F106" s="5">
        <f t="shared" si="47"/>
        <v>0</v>
      </c>
      <c r="G106" s="5">
        <f t="shared" si="47"/>
        <v>4.0590076681495062E-4</v>
      </c>
      <c r="H106" s="5">
        <f t="shared" si="47"/>
        <v>0</v>
      </c>
      <c r="I106" s="5">
        <f t="shared" ref="I106:K106" si="48">I31+I55+I65+I75+I90</f>
        <v>5.9311756880457128E-3</v>
      </c>
      <c r="J106" s="5">
        <f t="shared" ref="J106" si="49">J31+J55+J65+J75+J90</f>
        <v>1.1729948534882411E-3</v>
      </c>
      <c r="K106" s="5">
        <f t="shared" si="48"/>
        <v>3.0530885400000003E-3</v>
      </c>
    </row>
    <row r="107" spans="1:13" x14ac:dyDescent="0.3">
      <c r="A107" s="183" t="s">
        <v>321</v>
      </c>
      <c r="B107" s="5">
        <f t="shared" si="47"/>
        <v>0.22992658337652194</v>
      </c>
      <c r="C107" s="5">
        <f t="shared" si="47"/>
        <v>0</v>
      </c>
      <c r="D107" s="5">
        <f t="shared" si="47"/>
        <v>0</v>
      </c>
      <c r="E107" s="5">
        <f t="shared" si="47"/>
        <v>0.28361578542461352</v>
      </c>
      <c r="F107" s="5">
        <f t="shared" si="47"/>
        <v>0.28713215999999997</v>
      </c>
      <c r="G107" s="5">
        <f t="shared" si="47"/>
        <v>0</v>
      </c>
      <c r="H107" s="5">
        <f t="shared" si="47"/>
        <v>0.16538909488328368</v>
      </c>
      <c r="I107" s="5">
        <f t="shared" ref="I107:K107" si="50">I32+I56+I66+I76+I91</f>
        <v>0</v>
      </c>
      <c r="J107" s="5">
        <f t="shared" ref="J107" si="51">J32+J56+J66+J76+J91</f>
        <v>0.31999553497399663</v>
      </c>
      <c r="K107" s="5">
        <f t="shared" si="50"/>
        <v>9.8445311999999993E-3</v>
      </c>
    </row>
    <row r="108" spans="1:13" x14ac:dyDescent="0.3">
      <c r="A108" s="183" t="s">
        <v>364</v>
      </c>
      <c r="B108" s="201" t="e">
        <f t="shared" ref="B108:K108" si="52">B105/B20</f>
        <v>#DIV/0!</v>
      </c>
      <c r="C108" s="201">
        <f t="shared" si="52"/>
        <v>0.51273599999999997</v>
      </c>
      <c r="D108" s="201">
        <f t="shared" si="52"/>
        <v>0.51273599999999997</v>
      </c>
      <c r="E108" s="201">
        <f t="shared" si="52"/>
        <v>0.51273599999999997</v>
      </c>
      <c r="F108" s="201" t="e">
        <f t="shared" si="52"/>
        <v>#DIV/0!</v>
      </c>
      <c r="G108" s="201">
        <f t="shared" si="52"/>
        <v>0.51273599999999986</v>
      </c>
      <c r="H108" s="201">
        <f t="shared" si="52"/>
        <v>0.51273599999999997</v>
      </c>
      <c r="I108" s="201">
        <f t="shared" si="52"/>
        <v>0.51273600000000008</v>
      </c>
      <c r="J108" s="201" t="e">
        <f t="shared" si="52"/>
        <v>#DIV/0!</v>
      </c>
      <c r="K108" s="201">
        <f t="shared" si="52"/>
        <v>0.51273600000000008</v>
      </c>
    </row>
    <row r="109" spans="1:13" x14ac:dyDescent="0.3">
      <c r="A109" s="183"/>
      <c r="B109" s="201" t="e">
        <f t="shared" ref="B109:H110" si="53">B106/B21</f>
        <v>#DIV/0!</v>
      </c>
      <c r="C109" s="201" t="e">
        <f t="shared" si="53"/>
        <v>#DIV/0!</v>
      </c>
      <c r="D109" s="201" t="e">
        <f t="shared" si="53"/>
        <v>#DIV/0!</v>
      </c>
      <c r="E109" s="201">
        <f t="shared" si="53"/>
        <v>7.3746099999999995E-2</v>
      </c>
      <c r="F109" s="201" t="e">
        <f t="shared" si="53"/>
        <v>#DIV/0!</v>
      </c>
      <c r="G109" s="201">
        <f t="shared" si="53"/>
        <v>7.3746099999999995E-2</v>
      </c>
      <c r="H109" s="201" t="e">
        <f t="shared" si="53"/>
        <v>#DIV/0!</v>
      </c>
      <c r="I109" s="201">
        <f t="shared" ref="I109:K109" si="54">I106/I21</f>
        <v>7.3746100000000009E-2</v>
      </c>
      <c r="J109" s="201">
        <f t="shared" ref="J109" si="55">J106/J21</f>
        <v>7.3746099999999995E-2</v>
      </c>
      <c r="K109" s="201">
        <f t="shared" si="54"/>
        <v>7.3746100000000009E-2</v>
      </c>
    </row>
    <row r="110" spans="1:13" x14ac:dyDescent="0.3">
      <c r="A110" s="183"/>
      <c r="B110" s="201">
        <f t="shared" si="53"/>
        <v>0.51273600000000008</v>
      </c>
      <c r="C110" s="201" t="e">
        <f t="shared" si="53"/>
        <v>#DIV/0!</v>
      </c>
      <c r="D110" s="201" t="e">
        <f t="shared" si="53"/>
        <v>#DIV/0!</v>
      </c>
      <c r="E110" s="201">
        <f t="shared" si="53"/>
        <v>0.51273599999999997</v>
      </c>
      <c r="F110" s="201">
        <f t="shared" si="53"/>
        <v>0.51273599999999986</v>
      </c>
      <c r="G110" s="201" t="e">
        <f t="shared" si="53"/>
        <v>#DIV/0!</v>
      </c>
      <c r="H110" s="201">
        <f t="shared" si="53"/>
        <v>0.51273600000000008</v>
      </c>
      <c r="I110" s="201" t="e">
        <f t="shared" ref="I110:K110" si="56">I107/I22</f>
        <v>#DIV/0!</v>
      </c>
      <c r="J110" s="201">
        <f t="shared" ref="J110" si="57">J107/J22</f>
        <v>0.51273599999999997</v>
      </c>
      <c r="K110" s="201">
        <f t="shared" si="56"/>
        <v>0.51273599999999997</v>
      </c>
    </row>
    <row r="111" spans="1:13" x14ac:dyDescent="0.3">
      <c r="A111" s="183"/>
    </row>
    <row r="112" spans="1:13" x14ac:dyDescent="0.3">
      <c r="A112" s="207" t="s">
        <v>365</v>
      </c>
      <c r="B112" s="113"/>
      <c r="C112" s="113"/>
      <c r="D112" s="113"/>
      <c r="E112" s="113"/>
      <c r="F112" s="113"/>
      <c r="G112" s="113"/>
      <c r="H112" s="113"/>
      <c r="I112" s="113"/>
      <c r="J112" s="113"/>
      <c r="K112" s="113"/>
    </row>
    <row r="113" spans="1:11" x14ac:dyDescent="0.3">
      <c r="A113" s="183" t="s">
        <v>319</v>
      </c>
      <c r="B113" s="11">
        <f t="shared" ref="B113:K113" si="58">B20-B105</f>
        <v>0</v>
      </c>
      <c r="C113" s="11">
        <f t="shared" si="58"/>
        <v>0.32159424000000003</v>
      </c>
      <c r="D113" s="11">
        <f t="shared" si="58"/>
        <v>0.24363200000000002</v>
      </c>
      <c r="E113" s="11">
        <f t="shared" si="58"/>
        <v>7.1318975948604701E-2</v>
      </c>
      <c r="F113" s="11">
        <f t="shared" si="58"/>
        <v>0</v>
      </c>
      <c r="G113" s="11">
        <f t="shared" si="58"/>
        <v>0.23323382953075866</v>
      </c>
      <c r="H113" s="11">
        <f t="shared" si="58"/>
        <v>0.13470425414897391</v>
      </c>
      <c r="I113" s="11">
        <f t="shared" si="58"/>
        <v>0.31417703866608598</v>
      </c>
      <c r="J113" s="11">
        <f t="shared" si="58"/>
        <v>0</v>
      </c>
      <c r="K113" s="11">
        <f t="shared" si="58"/>
        <v>0.26283020159999998</v>
      </c>
    </row>
    <row r="114" spans="1:11" x14ac:dyDescent="0.3">
      <c r="A114" s="183" t="s">
        <v>320</v>
      </c>
      <c r="B114" s="11">
        <f t="shared" ref="B114:H115" si="59">B21-B106</f>
        <v>0</v>
      </c>
      <c r="C114" s="11">
        <f t="shared" si="59"/>
        <v>0</v>
      </c>
      <c r="D114" s="11">
        <f t="shared" si="59"/>
        <v>0</v>
      </c>
      <c r="E114" s="11">
        <f t="shared" si="59"/>
        <v>4.5559567456334067E-4</v>
      </c>
      <c r="F114" s="11">
        <f t="shared" si="59"/>
        <v>0</v>
      </c>
      <c r="G114" s="11">
        <f t="shared" si="59"/>
        <v>5.0981295048190831E-3</v>
      </c>
      <c r="H114" s="11">
        <f t="shared" si="59"/>
        <v>0</v>
      </c>
      <c r="I114" s="11">
        <f t="shared" ref="I114:K114" si="60">I21-I106</f>
        <v>7.4495798593247967E-2</v>
      </c>
      <c r="J114" s="11">
        <f t="shared" ref="J114" si="61">J21-J106</f>
        <v>1.4732861232301261E-2</v>
      </c>
      <c r="K114" s="11">
        <f t="shared" si="60"/>
        <v>3.8346911460000001E-2</v>
      </c>
    </row>
    <row r="115" spans="1:11" x14ac:dyDescent="0.3">
      <c r="A115" s="183" t="s">
        <v>321</v>
      </c>
      <c r="B115" s="11">
        <f t="shared" si="59"/>
        <v>0.21850415559347808</v>
      </c>
      <c r="C115" s="11">
        <f t="shared" si="59"/>
        <v>0</v>
      </c>
      <c r="D115" s="11">
        <f t="shared" si="59"/>
        <v>0</v>
      </c>
      <c r="E115" s="11">
        <f t="shared" si="59"/>
        <v>0.26952615394499102</v>
      </c>
      <c r="F115" s="11">
        <f t="shared" si="59"/>
        <v>0.27286784000000008</v>
      </c>
      <c r="G115" s="11">
        <f t="shared" si="59"/>
        <v>0</v>
      </c>
      <c r="H115" s="11">
        <f t="shared" si="59"/>
        <v>0.15717279833912251</v>
      </c>
      <c r="I115" s="11">
        <f t="shared" ref="I115:K115" si="62">I22-I107</f>
        <v>0</v>
      </c>
      <c r="J115" s="11">
        <f t="shared" ref="J115" si="63">J22-J107</f>
        <v>0.30409860894021384</v>
      </c>
      <c r="K115" s="11">
        <f t="shared" si="62"/>
        <v>9.355468799999999E-3</v>
      </c>
    </row>
    <row r="116" spans="1:11" x14ac:dyDescent="0.3">
      <c r="A116" s="3" t="s">
        <v>366</v>
      </c>
      <c r="B116" s="18">
        <f t="shared" ref="B116:K116" si="64">SUM(B113:B115)</f>
        <v>0.21850415559347808</v>
      </c>
      <c r="C116" s="18">
        <f t="shared" si="64"/>
        <v>0.32159424000000003</v>
      </c>
      <c r="D116" s="18">
        <f t="shared" si="64"/>
        <v>0.24363200000000002</v>
      </c>
      <c r="E116" s="18">
        <f t="shared" si="64"/>
        <v>0.34130072556815905</v>
      </c>
      <c r="F116" s="18">
        <f t="shared" si="64"/>
        <v>0.27286784000000008</v>
      </c>
      <c r="G116" s="18">
        <f t="shared" si="64"/>
        <v>0.23833195903557775</v>
      </c>
      <c r="H116" s="18">
        <f t="shared" si="64"/>
        <v>0.29187705248809642</v>
      </c>
      <c r="I116" s="18">
        <f t="shared" si="64"/>
        <v>0.38867283725933394</v>
      </c>
      <c r="J116" s="18">
        <f t="shared" si="64"/>
        <v>0.31883147017251512</v>
      </c>
      <c r="K116" s="18">
        <f t="shared" si="64"/>
        <v>0.31053258185999999</v>
      </c>
    </row>
    <row r="118" spans="1:11" x14ac:dyDescent="0.3">
      <c r="A118" s="207" t="s">
        <v>367</v>
      </c>
      <c r="B118" s="113"/>
      <c r="C118" s="113"/>
      <c r="D118" s="113"/>
      <c r="E118" s="113"/>
      <c r="F118" s="113"/>
      <c r="G118" s="113"/>
      <c r="H118" s="113"/>
      <c r="I118" s="113"/>
      <c r="J118" s="113"/>
      <c r="K118" s="113"/>
    </row>
    <row r="119" spans="1:11" x14ac:dyDescent="0.3">
      <c r="A119" s="183" t="s">
        <v>368</v>
      </c>
      <c r="B119" s="34">
        <f>B116/Production!B$14</f>
        <v>1.2007115403031909E-4</v>
      </c>
      <c r="C119" s="34">
        <f>C116/Production!C$14</f>
        <v>1.7740320332730871E-4</v>
      </c>
      <c r="D119" s="34">
        <f>D116/Production!D$14</f>
        <v>1.6823156500562204E-4</v>
      </c>
      <c r="E119" s="34">
        <f>E116/Production!E$14</f>
        <v>2.3567329086444193E-4</v>
      </c>
      <c r="F119" s="34">
        <f>F116/Production!F$14</f>
        <v>1.4039479783695393E-4</v>
      </c>
      <c r="G119" s="34">
        <f>G116/Production!G$14</f>
        <v>1.4203117702397315E-4</v>
      </c>
      <c r="H119" s="34">
        <f>H116/Production!H$14</f>
        <v>1.8690279881672053E-4</v>
      </c>
      <c r="I119" s="34">
        <f>I116/Production!I$14</f>
        <v>2.5593289672466501E-4</v>
      </c>
      <c r="J119" s="34">
        <f>J116/Production!J$14</f>
        <v>1.9000393050151615E-4</v>
      </c>
      <c r="K119" s="34">
        <f>K116/Production!K$14</f>
        <v>1.9884882411502148E-4</v>
      </c>
    </row>
    <row r="120" spans="1:11" x14ac:dyDescent="0.3">
      <c r="A120" s="183"/>
      <c r="B120" s="34"/>
      <c r="C120" s="34"/>
      <c r="D120" s="34"/>
      <c r="E120" s="34"/>
      <c r="F120" s="34"/>
      <c r="G120" s="34"/>
      <c r="H120" s="34"/>
      <c r="I120" s="34"/>
      <c r="J120" s="34"/>
      <c r="K120" s="34"/>
    </row>
    <row r="121" spans="1:11" x14ac:dyDescent="0.3">
      <c r="A121" s="207" t="s">
        <v>369</v>
      </c>
      <c r="B121" s="113"/>
      <c r="C121" s="113"/>
      <c r="D121" s="113"/>
      <c r="E121" s="113"/>
      <c r="F121" s="113"/>
      <c r="G121" s="113"/>
      <c r="H121" s="113"/>
      <c r="I121" s="113"/>
      <c r="J121" s="113"/>
      <c r="K121" s="113"/>
    </row>
    <row r="122" spans="1:11" x14ac:dyDescent="0.3">
      <c r="A122" s="183" t="s">
        <v>370</v>
      </c>
      <c r="B122" s="34">
        <f t="shared" ref="B122:K122" si="65">(B34+B58+B93)*17/14</f>
        <v>1.0114222480921309E-4</v>
      </c>
      <c r="C122" s="34">
        <f t="shared" si="65"/>
        <v>1.4943601415102944E-4</v>
      </c>
      <c r="D122" s="34">
        <f t="shared" si="65"/>
        <v>1.4171026259569258E-4</v>
      </c>
      <c r="E122" s="34">
        <f t="shared" si="65"/>
        <v>1.9828483619682125E-4</v>
      </c>
      <c r="F122" s="34">
        <f t="shared" si="65"/>
        <v>1.1826189495341754E-4</v>
      </c>
      <c r="G122" s="34">
        <f t="shared" si="65"/>
        <v>1.1736960014518807E-4</v>
      </c>
      <c r="H122" s="34">
        <f t="shared" si="65"/>
        <v>1.5743802121380874E-4</v>
      </c>
      <c r="I122" s="34">
        <f t="shared" si="65"/>
        <v>1.7892321995008887E-4</v>
      </c>
      <c r="J122" s="34">
        <f t="shared" si="65"/>
        <v>1.5348826249520899E-4</v>
      </c>
      <c r="K122" s="34">
        <f t="shared" si="65"/>
        <v>1.4914832532768202E-4</v>
      </c>
    </row>
    <row r="124" spans="1:11" x14ac:dyDescent="0.3">
      <c r="A124" s="181"/>
      <c r="K124" s="17"/>
    </row>
    <row r="125" spans="1:11" x14ac:dyDescent="0.3">
      <c r="F125" s="182"/>
    </row>
  </sheetData>
  <phoneticPr fontId="8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theme="4" tint="0.79998168889431442"/>
  </sheetPr>
  <dimension ref="A2:S125"/>
  <sheetViews>
    <sheetView topLeftCell="F67" zoomScale="80" zoomScaleNormal="90" workbookViewId="0">
      <selection activeCell="S88" sqref="S88"/>
    </sheetView>
  </sheetViews>
  <sheetFormatPr defaultColWidth="8.88671875" defaultRowHeight="14.4" x14ac:dyDescent="0.3"/>
  <cols>
    <col min="1" max="1" width="8.5546875" customWidth="1"/>
    <col min="2" max="2" width="30.44140625" customWidth="1"/>
    <col min="3" max="3" width="19" customWidth="1"/>
    <col min="4" max="4" width="12.88671875" customWidth="1"/>
    <col min="5" max="5" width="10.44140625" customWidth="1"/>
    <col min="6" max="11" width="12.5546875" customWidth="1"/>
    <col min="12" max="12" width="14.109375" customWidth="1"/>
    <col min="13" max="18" width="12.5546875" customWidth="1"/>
  </cols>
  <sheetData>
    <row r="2" spans="1:18" ht="21" x14ac:dyDescent="0.4">
      <c r="A2" s="2" t="s">
        <v>371</v>
      </c>
      <c r="G2" t="s">
        <v>372</v>
      </c>
      <c r="Q2" t="s">
        <v>373</v>
      </c>
    </row>
    <row r="3" spans="1:18" x14ac:dyDescent="0.3">
      <c r="I3" s="8"/>
      <c r="J3" s="8"/>
      <c r="K3" s="8"/>
      <c r="L3" s="8"/>
      <c r="M3" s="8"/>
      <c r="N3" s="8"/>
      <c r="O3" s="8"/>
      <c r="P3" s="8"/>
    </row>
    <row r="4" spans="1:18" ht="28.8" x14ac:dyDescent="0.3">
      <c r="A4" s="150" t="s">
        <v>374</v>
      </c>
      <c r="B4" s="140"/>
      <c r="C4" s="140"/>
      <c r="D4" s="140"/>
      <c r="E4" s="140"/>
      <c r="F4" s="141" t="s">
        <v>102</v>
      </c>
      <c r="G4" s="141" t="s">
        <v>103</v>
      </c>
      <c r="H4" s="142"/>
      <c r="I4" s="141" t="s">
        <v>104</v>
      </c>
      <c r="J4" s="101"/>
      <c r="K4" s="141" t="s">
        <v>105</v>
      </c>
      <c r="L4" s="101"/>
      <c r="M4" s="101"/>
      <c r="N4" s="101"/>
      <c r="O4" s="102" t="s">
        <v>106</v>
      </c>
      <c r="P4" s="102" t="s">
        <v>107</v>
      </c>
      <c r="Q4" s="143" t="s">
        <v>108</v>
      </c>
      <c r="R4" s="141" t="s">
        <v>375</v>
      </c>
    </row>
    <row r="5" spans="1:18" ht="47.25" customHeight="1" x14ac:dyDescent="0.3">
      <c r="A5" s="95" t="s">
        <v>60</v>
      </c>
      <c r="B5" s="95" t="s">
        <v>374</v>
      </c>
      <c r="C5" s="95" t="s">
        <v>376</v>
      </c>
      <c r="D5" s="95" t="s">
        <v>63</v>
      </c>
      <c r="E5" s="145" t="s">
        <v>64</v>
      </c>
      <c r="F5" s="144"/>
      <c r="G5" s="96" t="s">
        <v>16</v>
      </c>
      <c r="H5" s="96" t="s">
        <v>17</v>
      </c>
      <c r="I5" s="96" t="s">
        <v>377</v>
      </c>
      <c r="J5" s="96" t="s">
        <v>378</v>
      </c>
      <c r="K5" s="96" t="s">
        <v>117</v>
      </c>
      <c r="L5" s="96" t="s">
        <v>118</v>
      </c>
      <c r="M5" s="96" t="s">
        <v>119</v>
      </c>
      <c r="N5" s="96" t="s">
        <v>120</v>
      </c>
      <c r="O5" s="96" t="s">
        <v>121</v>
      </c>
      <c r="P5" s="96" t="s">
        <v>379</v>
      </c>
      <c r="Q5" s="145" t="s">
        <v>380</v>
      </c>
      <c r="R5" s="96"/>
    </row>
    <row r="6" spans="1:18" x14ac:dyDescent="0.3">
      <c r="A6" s="21" t="s">
        <v>381</v>
      </c>
      <c r="B6" s="16" t="s">
        <v>169</v>
      </c>
      <c r="C6" s="16" t="s">
        <v>382</v>
      </c>
      <c r="D6" s="22" t="s">
        <v>36</v>
      </c>
      <c r="E6" s="22" t="s">
        <v>84</v>
      </c>
      <c r="F6" s="146">
        <f>SUM(G6:Q6)</f>
        <v>0.17100000000000001</v>
      </c>
      <c r="G6" s="78">
        <v>7.9000000000000001E-2</v>
      </c>
      <c r="H6" s="13">
        <v>2.7E-2</v>
      </c>
      <c r="I6" s="15">
        <v>0</v>
      </c>
      <c r="J6" s="13"/>
      <c r="K6" s="78">
        <v>0.03</v>
      </c>
      <c r="L6" s="13"/>
      <c r="M6" s="13">
        <v>0</v>
      </c>
      <c r="N6" s="78">
        <v>3.5000000000000003E-2</v>
      </c>
      <c r="O6" s="13"/>
      <c r="P6" s="13"/>
      <c r="R6" s="148">
        <f>'Parameters, country spec'!B13</f>
        <v>0.16402988956347125</v>
      </c>
    </row>
    <row r="7" spans="1:18" x14ac:dyDescent="0.3">
      <c r="A7" s="21" t="s">
        <v>383</v>
      </c>
      <c r="B7" s="16" t="s">
        <v>171</v>
      </c>
      <c r="C7" s="16" t="s">
        <v>382</v>
      </c>
      <c r="D7" s="22" t="s">
        <v>36</v>
      </c>
      <c r="E7" s="22" t="s">
        <v>84</v>
      </c>
      <c r="F7" s="146">
        <f t="shared" ref="F7:F16" si="0">SUM(G7:Q7)</f>
        <v>0.16600000000000001</v>
      </c>
      <c r="G7" s="78">
        <v>7.6999999999999999E-2</v>
      </c>
      <c r="H7" s="13">
        <v>2.7E-2</v>
      </c>
      <c r="I7" s="15">
        <v>0</v>
      </c>
      <c r="J7" s="13"/>
      <c r="K7" s="78">
        <v>0.02</v>
      </c>
      <c r="L7" s="13"/>
      <c r="M7" s="13">
        <v>7.0000000000000001E-3</v>
      </c>
      <c r="N7" s="78">
        <v>3.5000000000000003E-2</v>
      </c>
      <c r="O7" s="13"/>
      <c r="P7" s="13"/>
      <c r="R7" s="148">
        <f>'Parameters, country spec'!B14</f>
        <v>0.26979047748052715</v>
      </c>
    </row>
    <row r="8" spans="1:18" x14ac:dyDescent="0.3">
      <c r="A8" s="21" t="s">
        <v>384</v>
      </c>
      <c r="B8" s="16" t="s">
        <v>172</v>
      </c>
      <c r="C8" s="16" t="s">
        <v>382</v>
      </c>
      <c r="D8" s="22" t="s">
        <v>36</v>
      </c>
      <c r="E8" s="22" t="s">
        <v>84</v>
      </c>
      <c r="F8" s="146">
        <f t="shared" si="0"/>
        <v>0.17700000000000002</v>
      </c>
      <c r="G8" s="78">
        <v>7.0000000000000007E-2</v>
      </c>
      <c r="H8" s="13">
        <v>2.7E-2</v>
      </c>
      <c r="I8" s="15">
        <v>0</v>
      </c>
      <c r="J8" s="13"/>
      <c r="K8" s="78">
        <v>4.1000000000000002E-2</v>
      </c>
      <c r="L8" s="13"/>
      <c r="M8" s="13">
        <v>4.0000000000000001E-3</v>
      </c>
      <c r="N8" s="78">
        <v>3.5000000000000003E-2</v>
      </c>
      <c r="O8" s="13"/>
      <c r="P8" s="13"/>
      <c r="R8" s="148">
        <f>'Parameters, country spec'!B15</f>
        <v>1.8587387131106827E-2</v>
      </c>
    </row>
    <row r="9" spans="1:18" x14ac:dyDescent="0.3">
      <c r="A9" s="21" t="s">
        <v>385</v>
      </c>
      <c r="B9" s="16" t="s">
        <v>173</v>
      </c>
      <c r="C9" s="16" t="s">
        <v>382</v>
      </c>
      <c r="D9" s="22" t="s">
        <v>36</v>
      </c>
      <c r="E9" s="22" t="s">
        <v>84</v>
      </c>
      <c r="F9" s="146">
        <f t="shared" si="0"/>
        <v>0.16500000000000001</v>
      </c>
      <c r="G9" s="78">
        <v>6.2E-2</v>
      </c>
      <c r="H9" s="13">
        <v>2.7E-2</v>
      </c>
      <c r="I9" s="13">
        <v>0</v>
      </c>
      <c r="J9" s="13"/>
      <c r="K9" s="78">
        <v>4.1000000000000002E-2</v>
      </c>
      <c r="L9" s="13"/>
      <c r="M9" s="13">
        <v>0</v>
      </c>
      <c r="N9" s="78">
        <v>3.5000000000000003E-2</v>
      </c>
      <c r="O9" s="13"/>
      <c r="P9" s="13"/>
      <c r="R9" s="148">
        <f>'Parameters, country spec'!B16</f>
        <v>2.8544697829688604E-3</v>
      </c>
    </row>
    <row r="10" spans="1:18" x14ac:dyDescent="0.3">
      <c r="A10" s="21" t="s">
        <v>386</v>
      </c>
      <c r="B10" s="16" t="s">
        <v>174</v>
      </c>
      <c r="C10" s="16" t="s">
        <v>382</v>
      </c>
      <c r="D10" s="22" t="s">
        <v>36</v>
      </c>
      <c r="E10" s="22" t="s">
        <v>84</v>
      </c>
      <c r="F10" s="146">
        <f t="shared" si="0"/>
        <v>0.18</v>
      </c>
      <c r="G10" s="78">
        <v>9.0999999999999998E-2</v>
      </c>
      <c r="H10" s="13">
        <v>2.7E-2</v>
      </c>
      <c r="I10" s="13">
        <v>0</v>
      </c>
      <c r="J10" s="13"/>
      <c r="K10" s="78">
        <v>2.7E-2</v>
      </c>
      <c r="L10" s="13"/>
      <c r="M10" s="13">
        <v>0</v>
      </c>
      <c r="N10" s="78">
        <v>3.5000000000000003E-2</v>
      </c>
      <c r="O10" s="13"/>
      <c r="P10" s="13"/>
      <c r="R10" s="148">
        <f>'Parameters, country spec'!B17</f>
        <v>0.39960951046637888</v>
      </c>
    </row>
    <row r="11" spans="1:18" x14ac:dyDescent="0.3">
      <c r="A11" s="21" t="s">
        <v>387</v>
      </c>
      <c r="B11" s="16" t="s">
        <v>175</v>
      </c>
      <c r="C11" s="16" t="s">
        <v>388</v>
      </c>
      <c r="D11" s="22" t="s">
        <v>36</v>
      </c>
      <c r="E11" s="22" t="s">
        <v>84</v>
      </c>
      <c r="F11" s="146">
        <f t="shared" si="0"/>
        <v>0.115</v>
      </c>
      <c r="G11" s="78">
        <v>0</v>
      </c>
      <c r="H11" s="13">
        <v>2.7E-2</v>
      </c>
      <c r="I11" s="15">
        <v>0</v>
      </c>
      <c r="J11" s="13"/>
      <c r="K11" s="78">
        <v>5.0999999999999997E-2</v>
      </c>
      <c r="L11" s="15"/>
      <c r="M11" s="13">
        <v>2E-3</v>
      </c>
      <c r="N11" s="78">
        <v>3.5000000000000003E-2</v>
      </c>
      <c r="O11" s="13"/>
      <c r="P11" s="13"/>
      <c r="R11" s="148">
        <f>'Parameters, country spec'!B18</f>
        <v>0</v>
      </c>
    </row>
    <row r="12" spans="1:18" x14ac:dyDescent="0.3">
      <c r="A12" s="21" t="s">
        <v>389</v>
      </c>
      <c r="B12" s="16" t="s">
        <v>176</v>
      </c>
      <c r="C12" s="16" t="s">
        <v>388</v>
      </c>
      <c r="D12" s="22" t="s">
        <v>36</v>
      </c>
      <c r="E12" s="22" t="s">
        <v>84</v>
      </c>
      <c r="F12" s="146">
        <f t="shared" si="0"/>
        <v>0.13800000000000001</v>
      </c>
      <c r="G12" s="78">
        <v>4.0000000000000001E-3</v>
      </c>
      <c r="H12" s="13">
        <v>2.7E-2</v>
      </c>
      <c r="I12" s="15">
        <v>0</v>
      </c>
      <c r="J12" s="13"/>
      <c r="K12" s="78">
        <v>6.9000000000000006E-2</v>
      </c>
      <c r="L12" s="13"/>
      <c r="M12" s="13">
        <v>3.0000000000000001E-3</v>
      </c>
      <c r="N12" s="78">
        <v>3.5000000000000003E-2</v>
      </c>
      <c r="O12" s="13"/>
      <c r="P12" s="13"/>
      <c r="R12" s="148">
        <f>'Parameters, country spec'!B19</f>
        <v>0</v>
      </c>
    </row>
    <row r="13" spans="1:18" x14ac:dyDescent="0.3">
      <c r="B13" s="17" t="s">
        <v>178</v>
      </c>
      <c r="C13" s="16" t="s">
        <v>390</v>
      </c>
      <c r="D13" s="22" t="s">
        <v>466</v>
      </c>
      <c r="E13" s="22"/>
      <c r="F13" s="114">
        <f>SUM(G13:Q13)</f>
        <v>0.27085685084992916</v>
      </c>
      <c r="G13" s="19">
        <f>'Off-farm feed'!$F$74</f>
        <v>0.11176753125767681</v>
      </c>
      <c r="H13" s="19">
        <f>'Off-farm feed'!$G$74</f>
        <v>1.3034482758620692E-2</v>
      </c>
      <c r="I13" s="19">
        <f>'Off-farm feed'!$H$74</f>
        <v>0</v>
      </c>
      <c r="J13" s="19"/>
      <c r="K13" s="19">
        <f>'Off-farm feed'!$J$74</f>
        <v>2.4688740026345454E-2</v>
      </c>
      <c r="L13" s="19"/>
      <c r="M13" s="244">
        <f>'Off-farm feed'!$L$74</f>
        <v>1.931759303794134E-4</v>
      </c>
      <c r="N13" s="19">
        <f>'Off-farm feed'!$M$74</f>
        <v>3.6802128767029069E-2</v>
      </c>
      <c r="O13" s="19">
        <f>'Off-farm feed'!$N$74</f>
        <v>0</v>
      </c>
      <c r="P13" s="19">
        <f>'Off-farm feed'!$O$74</f>
        <v>2.1170792109877701E-2</v>
      </c>
      <c r="Q13" s="19">
        <f>'Off-farm feed'!$P$74</f>
        <v>6.3200000000000006E-2</v>
      </c>
      <c r="R13" s="148">
        <f>'Parameters, country spec'!B20</f>
        <v>4.3850784569502727E-2</v>
      </c>
    </row>
    <row r="14" spans="1:18" x14ac:dyDescent="0.3">
      <c r="B14" s="17" t="s">
        <v>391</v>
      </c>
      <c r="C14" s="16" t="s">
        <v>390</v>
      </c>
      <c r="D14" s="22" t="s">
        <v>442</v>
      </c>
      <c r="E14" s="22"/>
      <c r="F14" s="114">
        <f>SUM(G14:Q14)</f>
        <v>0.7061171705997602</v>
      </c>
      <c r="G14" s="19">
        <f>'Off-farm feed'!$F$23</f>
        <v>7.2632670993098931E-3</v>
      </c>
      <c r="H14" s="19">
        <f>'Off-farm feed'!$G$23</f>
        <v>2.1402439024390246E-2</v>
      </c>
      <c r="I14" s="19">
        <f>'Off-farm feed'!$H$23</f>
        <v>0</v>
      </c>
      <c r="J14" s="19"/>
      <c r="K14" s="19">
        <f>'Off-farm feed'!$J$23</f>
        <v>4.308361966433235E-2</v>
      </c>
      <c r="L14" s="19"/>
      <c r="M14" s="244">
        <f>'Off-farm feed'!$L$23</f>
        <v>1.7842060425123844E-4</v>
      </c>
      <c r="N14" s="19">
        <f>'Off-farm feed'!$M$23</f>
        <v>3.0432604948959403E-2</v>
      </c>
      <c r="O14" s="19">
        <f>'Off-farm feed'!$N$23</f>
        <v>0.31761120248475611</v>
      </c>
      <c r="P14" s="19">
        <f>'Off-farm feed'!$O$23</f>
        <v>3.5145616773760872E-2</v>
      </c>
      <c r="Q14" s="19">
        <f>'Off-farm feed'!$P$23</f>
        <v>0.251</v>
      </c>
      <c r="R14" s="148">
        <f>'Parameters, country spec'!B21</f>
        <v>3.9507741172757446E-2</v>
      </c>
    </row>
    <row r="15" spans="1:18" x14ac:dyDescent="0.3">
      <c r="B15" s="16" t="s">
        <v>182</v>
      </c>
      <c r="C15" s="16" t="s">
        <v>392</v>
      </c>
      <c r="D15" s="22" t="s">
        <v>36</v>
      </c>
      <c r="E15" s="22" t="s">
        <v>84</v>
      </c>
      <c r="F15" s="114">
        <f>SUM(G15:Q15)</f>
        <v>0.19784350000160197</v>
      </c>
      <c r="G15" s="78">
        <v>4.5495933369189799E-2</v>
      </c>
      <c r="H15" s="15">
        <v>1.3510799999999899E-2</v>
      </c>
      <c r="I15" s="15"/>
      <c r="J15" s="13"/>
      <c r="K15" s="78">
        <v>3.1270772847070999E-2</v>
      </c>
      <c r="L15" s="13"/>
      <c r="M15" s="13"/>
      <c r="N15" s="78"/>
      <c r="O15" s="13"/>
      <c r="P15" s="15">
        <v>0.102505251885267</v>
      </c>
      <c r="Q15" s="15">
        <v>5.06074190007427E-3</v>
      </c>
      <c r="R15" s="148">
        <f>'Parameters, country spec'!B22</f>
        <v>3.6206796949373676E-2</v>
      </c>
    </row>
    <row r="16" spans="1:18" x14ac:dyDescent="0.3">
      <c r="A16" s="81"/>
      <c r="B16" s="16" t="s">
        <v>393</v>
      </c>
      <c r="C16" s="82" t="s">
        <v>394</v>
      </c>
      <c r="D16" s="22" t="s">
        <v>36</v>
      </c>
      <c r="E16" s="22" t="s">
        <v>84</v>
      </c>
      <c r="F16" s="161">
        <f t="shared" si="0"/>
        <v>0.15564960112014387</v>
      </c>
      <c r="G16" s="79">
        <f t="shared" ref="G16:N16" si="1">AVERAGE(G6:G14)</f>
        <v>5.5781199817442971E-2</v>
      </c>
      <c r="H16" s="79">
        <f t="shared" si="1"/>
        <v>2.4826324642556769E-2</v>
      </c>
      <c r="I16" s="79">
        <f t="shared" si="1"/>
        <v>0</v>
      </c>
      <c r="J16" s="79"/>
      <c r="K16" s="79">
        <f t="shared" si="1"/>
        <v>3.853026218785309E-2</v>
      </c>
      <c r="L16" s="79"/>
      <c r="M16" s="79">
        <f t="shared" si="1"/>
        <v>1.8190662816256278E-3</v>
      </c>
      <c r="N16" s="79">
        <f t="shared" si="1"/>
        <v>3.4692748190665389E-2</v>
      </c>
      <c r="O16" s="79"/>
      <c r="P16" s="79"/>
      <c r="Q16" s="79"/>
      <c r="R16" s="148">
        <f>'Parameters, country spec'!B23</f>
        <v>2.556294288391299E-2</v>
      </c>
    </row>
    <row r="17" spans="1:18" x14ac:dyDescent="0.3">
      <c r="A17" s="147"/>
      <c r="B17" s="24" t="s">
        <v>395</v>
      </c>
      <c r="C17" s="25"/>
      <c r="D17" s="100"/>
      <c r="E17" s="100"/>
      <c r="F17" s="26">
        <f>SUMPRODUCT(F6:F16,$R$6:$R$16)</f>
        <v>0.19944151842260385</v>
      </c>
      <c r="G17" s="26">
        <f>SUMPRODUCT(G6:G16,$R$6:$R$16)</f>
        <v>7.9836030577800463E-2</v>
      </c>
      <c r="H17" s="26">
        <f>SUMPRODUCT(H6:H16,$R$6:$R$16)</f>
        <v>2.5622487857403491E-2</v>
      </c>
      <c r="I17" s="26">
        <f>SUMPRODUCT(I6:I16,$R$6:$R$16)</f>
        <v>0</v>
      </c>
      <c r="J17" s="26"/>
      <c r="K17" s="26">
        <f>SUMPRODUCT(K6:K16,$R$6:$R$16)</f>
        <v>2.6887197681789876E-2</v>
      </c>
      <c r="L17" s="26"/>
      <c r="M17" s="26">
        <f>SUMPRODUCT(M6:M16,$R$6:$R$16)</f>
        <v>2.0249034895070913E-3</v>
      </c>
      <c r="N17" s="26">
        <f>SUMPRODUCT(N6:N16,$R$6:$R$16)</f>
        <v>3.362348514513816E-2</v>
      </c>
      <c r="O17" s="26">
        <f>SUMPRODUCT(O6:O16,$R$6:$R$16)</f>
        <v>1.2548101181336001E-2</v>
      </c>
      <c r="P17" s="26">
        <f>SUMPRODUCT(P6:P16,R6:R16)</f>
        <v>6.0282666160849079E-3</v>
      </c>
      <c r="Q17" s="26">
        <f>SUMPRODUCT(Q6:Q16,$R$6:$R$16)</f>
        <v>1.2871045873543869E-2</v>
      </c>
      <c r="R17" s="149"/>
    </row>
    <row r="18" spans="1:18" x14ac:dyDescent="0.3">
      <c r="A18" s="21" t="s">
        <v>381</v>
      </c>
      <c r="B18" s="16" t="s">
        <v>169</v>
      </c>
      <c r="C18" s="16" t="s">
        <v>382</v>
      </c>
      <c r="D18" s="22" t="s">
        <v>33</v>
      </c>
      <c r="E18" s="22" t="s">
        <v>85</v>
      </c>
      <c r="F18" s="146">
        <f>SUM(G18:Q18)</f>
        <v>0.17700000000000002</v>
      </c>
      <c r="G18" s="78">
        <v>7.9000000000000001E-2</v>
      </c>
      <c r="H18" s="13">
        <v>2.7E-2</v>
      </c>
      <c r="I18" s="15">
        <v>0</v>
      </c>
      <c r="J18" s="13"/>
      <c r="K18" s="78">
        <v>2.9000000000000001E-2</v>
      </c>
      <c r="L18" s="13"/>
      <c r="M18" s="13">
        <v>0</v>
      </c>
      <c r="N18" s="78">
        <v>4.2000000000000003E-2</v>
      </c>
      <c r="O18" s="13"/>
      <c r="P18" s="13"/>
      <c r="R18" s="148">
        <f>'Parameters, country spec'!C13</f>
        <v>0.14354403090911608</v>
      </c>
    </row>
    <row r="19" spans="1:18" x14ac:dyDescent="0.3">
      <c r="A19" s="21" t="s">
        <v>383</v>
      </c>
      <c r="B19" s="16" t="s">
        <v>171</v>
      </c>
      <c r="C19" s="16" t="s">
        <v>382</v>
      </c>
      <c r="D19" s="22" t="s">
        <v>33</v>
      </c>
      <c r="E19" s="22" t="s">
        <v>85</v>
      </c>
      <c r="F19" s="146">
        <f t="shared" ref="F19:F28" si="2">SUM(G19:Q19)</f>
        <v>0.16700000000000001</v>
      </c>
      <c r="G19" s="78">
        <v>7.6999999999999999E-2</v>
      </c>
      <c r="H19" s="13">
        <v>2.7E-2</v>
      </c>
      <c r="I19" s="15">
        <v>0</v>
      </c>
      <c r="J19" s="13"/>
      <c r="K19" s="78">
        <v>1.9E-2</v>
      </c>
      <c r="L19" s="13"/>
      <c r="M19" s="13">
        <v>2E-3</v>
      </c>
      <c r="N19" s="78">
        <v>4.2000000000000003E-2</v>
      </c>
      <c r="O19" s="13"/>
      <c r="P19" s="13"/>
      <c r="R19" s="148">
        <f>'Parameters, country spec'!C14</f>
        <v>0.2137111814189753</v>
      </c>
    </row>
    <row r="20" spans="1:18" x14ac:dyDescent="0.3">
      <c r="A20" s="21" t="s">
        <v>384</v>
      </c>
      <c r="B20" s="16" t="s">
        <v>172</v>
      </c>
      <c r="C20" s="16" t="s">
        <v>382</v>
      </c>
      <c r="D20" s="22" t="s">
        <v>33</v>
      </c>
      <c r="E20" s="22" t="s">
        <v>85</v>
      </c>
      <c r="F20" s="146">
        <f t="shared" si="2"/>
        <v>0.18100000000000002</v>
      </c>
      <c r="G20" s="78">
        <v>7.0000000000000007E-2</v>
      </c>
      <c r="H20" s="13">
        <v>2.7E-2</v>
      </c>
      <c r="I20" s="15">
        <v>0</v>
      </c>
      <c r="J20" s="13"/>
      <c r="K20" s="78">
        <v>4.2000000000000003E-2</v>
      </c>
      <c r="L20" s="13"/>
      <c r="M20" s="13">
        <v>0</v>
      </c>
      <c r="N20" s="78">
        <v>4.2000000000000003E-2</v>
      </c>
      <c r="O20" s="13"/>
      <c r="P20" s="13"/>
      <c r="R20" s="148">
        <f>'Parameters, country spec'!C15</f>
        <v>2.8572983193664684E-5</v>
      </c>
    </row>
    <row r="21" spans="1:18" x14ac:dyDescent="0.3">
      <c r="A21" s="21" t="s">
        <v>385</v>
      </c>
      <c r="B21" s="16" t="s">
        <v>173</v>
      </c>
      <c r="C21" s="16" t="s">
        <v>382</v>
      </c>
      <c r="D21" s="22" t="s">
        <v>33</v>
      </c>
      <c r="E21" s="22" t="s">
        <v>85</v>
      </c>
      <c r="F21" s="146">
        <f t="shared" si="2"/>
        <v>0.16700000000000001</v>
      </c>
      <c r="G21" s="78">
        <v>6.2E-2</v>
      </c>
      <c r="H21" s="13">
        <v>2.7E-2</v>
      </c>
      <c r="I21" s="13">
        <v>0</v>
      </c>
      <c r="J21" s="13"/>
      <c r="K21" s="78">
        <v>3.5999999999999997E-2</v>
      </c>
      <c r="L21" s="13"/>
      <c r="M21" s="13">
        <v>0</v>
      </c>
      <c r="N21" s="78">
        <v>4.2000000000000003E-2</v>
      </c>
      <c r="O21" s="13"/>
      <c r="P21" s="13"/>
      <c r="R21" s="148">
        <f>'Parameters, country spec'!C16</f>
        <v>2.3447737151434674E-2</v>
      </c>
    </row>
    <row r="22" spans="1:18" x14ac:dyDescent="0.3">
      <c r="A22" s="21" t="s">
        <v>386</v>
      </c>
      <c r="B22" s="16" t="s">
        <v>174</v>
      </c>
      <c r="C22" s="16" t="s">
        <v>382</v>
      </c>
      <c r="D22" s="22" t="s">
        <v>33</v>
      </c>
      <c r="E22" s="22" t="s">
        <v>85</v>
      </c>
      <c r="F22" s="146">
        <f t="shared" si="2"/>
        <v>0.186</v>
      </c>
      <c r="G22" s="78">
        <v>9.0999999999999998E-2</v>
      </c>
      <c r="H22" s="13">
        <v>2.7E-2</v>
      </c>
      <c r="I22" s="13">
        <v>0</v>
      </c>
      <c r="J22" s="13"/>
      <c r="K22" s="78">
        <v>2.5999999999999999E-2</v>
      </c>
      <c r="L22" s="13"/>
      <c r="M22" s="13">
        <v>0</v>
      </c>
      <c r="N22" s="78">
        <v>4.2000000000000003E-2</v>
      </c>
      <c r="O22" s="13"/>
      <c r="P22" s="13"/>
      <c r="R22" s="148">
        <f>'Parameters, country spec'!C17</f>
        <v>0.47946147932032235</v>
      </c>
    </row>
    <row r="23" spans="1:18" x14ac:dyDescent="0.3">
      <c r="A23" s="21" t="s">
        <v>387</v>
      </c>
      <c r="B23" s="16" t="s">
        <v>175</v>
      </c>
      <c r="C23" s="16" t="s">
        <v>388</v>
      </c>
      <c r="D23" s="22" t="s">
        <v>33</v>
      </c>
      <c r="E23" s="22" t="s">
        <v>85</v>
      </c>
      <c r="F23" s="146">
        <f t="shared" si="2"/>
        <v>0.122</v>
      </c>
      <c r="G23" s="78">
        <v>0</v>
      </c>
      <c r="H23" s="13">
        <v>2.7E-2</v>
      </c>
      <c r="I23" s="15">
        <v>0</v>
      </c>
      <c r="J23" s="13"/>
      <c r="K23" s="78">
        <v>5.2999999999999999E-2</v>
      </c>
      <c r="L23" s="15"/>
      <c r="M23" s="13">
        <v>0</v>
      </c>
      <c r="N23" s="78">
        <v>4.2000000000000003E-2</v>
      </c>
      <c r="O23" s="13"/>
      <c r="P23" s="13"/>
      <c r="R23" s="148">
        <f>'Parameters, country spec'!C18</f>
        <v>6.205919903371391E-4</v>
      </c>
    </row>
    <row r="24" spans="1:18" x14ac:dyDescent="0.3">
      <c r="A24" s="21" t="s">
        <v>389</v>
      </c>
      <c r="B24" s="16" t="s">
        <v>176</v>
      </c>
      <c r="C24" s="16" t="s">
        <v>388</v>
      </c>
      <c r="D24" s="22" t="s">
        <v>33</v>
      </c>
      <c r="E24" s="22" t="s">
        <v>85</v>
      </c>
      <c r="F24" s="146">
        <f t="shared" si="2"/>
        <v>0.125</v>
      </c>
      <c r="G24" s="78">
        <v>4.0000000000000001E-3</v>
      </c>
      <c r="H24" s="13">
        <v>2.7E-2</v>
      </c>
      <c r="I24" s="15">
        <v>0</v>
      </c>
      <c r="J24" s="13"/>
      <c r="K24" s="78">
        <v>4.5999999999999999E-2</v>
      </c>
      <c r="L24" s="13"/>
      <c r="M24" s="13">
        <v>6.0000000000000001E-3</v>
      </c>
      <c r="N24" s="78">
        <v>4.2000000000000003E-2</v>
      </c>
      <c r="O24" s="13"/>
      <c r="P24" s="13"/>
      <c r="R24" s="148">
        <f>'Parameters, country spec'!C19</f>
        <v>6.0962584419075097E-4</v>
      </c>
    </row>
    <row r="25" spans="1:18" x14ac:dyDescent="0.3">
      <c r="B25" s="17" t="s">
        <v>178</v>
      </c>
      <c r="C25" s="16" t="s">
        <v>390</v>
      </c>
      <c r="D25" s="22" t="s">
        <v>466</v>
      </c>
      <c r="E25" s="22"/>
      <c r="F25" s="114">
        <f>SUM(G25:Q25)</f>
        <v>0.27085685084992916</v>
      </c>
      <c r="G25" s="19">
        <f>'Off-farm feed'!$F$74</f>
        <v>0.11176753125767681</v>
      </c>
      <c r="H25" s="19">
        <f>'Off-farm feed'!$G$74</f>
        <v>1.3034482758620692E-2</v>
      </c>
      <c r="I25" s="19">
        <f>'Off-farm feed'!$H$74</f>
        <v>0</v>
      </c>
      <c r="J25" s="19"/>
      <c r="K25" s="19">
        <f>'Off-farm feed'!$J$74</f>
        <v>2.4688740026345454E-2</v>
      </c>
      <c r="L25" s="19"/>
      <c r="M25" s="244">
        <f>'Off-farm feed'!$L$74</f>
        <v>1.931759303794134E-4</v>
      </c>
      <c r="N25" s="19">
        <f>'Off-farm feed'!$M$74</f>
        <v>3.6802128767029069E-2</v>
      </c>
      <c r="O25" s="19">
        <f>'Off-farm feed'!$N$74</f>
        <v>0</v>
      </c>
      <c r="P25" s="19">
        <f>'Off-farm feed'!$O$74</f>
        <v>2.1170792109877701E-2</v>
      </c>
      <c r="Q25" s="19">
        <f>'Off-farm feed'!$P$74</f>
        <v>6.3200000000000006E-2</v>
      </c>
      <c r="R25" s="148">
        <f>'Parameters, country spec'!C20</f>
        <v>6.2756108199759894E-2</v>
      </c>
    </row>
    <row r="26" spans="1:18" x14ac:dyDescent="0.3">
      <c r="B26" s="17" t="s">
        <v>391</v>
      </c>
      <c r="C26" s="16" t="s">
        <v>390</v>
      </c>
      <c r="D26" s="22" t="s">
        <v>442</v>
      </c>
      <c r="E26" s="22"/>
      <c r="F26" s="114">
        <f>SUM(G26:Q26)</f>
        <v>0.7061171705997602</v>
      </c>
      <c r="G26" s="19">
        <f>'Off-farm feed'!$F$23</f>
        <v>7.2632670993098931E-3</v>
      </c>
      <c r="H26" s="19">
        <f>'Off-farm feed'!$G$23</f>
        <v>2.1402439024390246E-2</v>
      </c>
      <c r="I26" s="19">
        <f>'Off-farm feed'!$H$23</f>
        <v>0</v>
      </c>
      <c r="J26" s="19"/>
      <c r="K26" s="19">
        <f>'Off-farm feed'!$J$23</f>
        <v>4.308361966433235E-2</v>
      </c>
      <c r="L26" s="19"/>
      <c r="M26" s="244">
        <f>'Off-farm feed'!$L$23</f>
        <v>1.7842060425123844E-4</v>
      </c>
      <c r="N26" s="19">
        <f>'Off-farm feed'!$M$23</f>
        <v>3.0432604948959403E-2</v>
      </c>
      <c r="O26" s="19">
        <f>'Off-farm feed'!$N$23</f>
        <v>0.31761120248475611</v>
      </c>
      <c r="P26" s="19">
        <f>'Off-farm feed'!$O$23</f>
        <v>3.5145616773760872E-2</v>
      </c>
      <c r="Q26" s="19">
        <f>'Off-farm feed'!$P$23</f>
        <v>0.251</v>
      </c>
      <c r="R26" s="148">
        <f>'Parameters, country spec'!C21</f>
        <v>6.029992977299907E-2</v>
      </c>
    </row>
    <row r="27" spans="1:18" x14ac:dyDescent="0.3">
      <c r="B27" s="16" t="s">
        <v>182</v>
      </c>
      <c r="C27" s="16" t="s">
        <v>392</v>
      </c>
      <c r="D27" s="22" t="s">
        <v>33</v>
      </c>
      <c r="E27" s="22" t="s">
        <v>85</v>
      </c>
      <c r="F27" s="114">
        <f>SUM(G27:Q27)</f>
        <v>0.63069821539340787</v>
      </c>
      <c r="G27" s="78">
        <v>4.5323617744314898E-2</v>
      </c>
      <c r="H27" s="15">
        <v>1.3510799999999899E-2</v>
      </c>
      <c r="I27" s="15"/>
      <c r="J27" s="13"/>
      <c r="K27" s="78">
        <v>3.4582976842042798E-2</v>
      </c>
      <c r="L27" s="13"/>
      <c r="M27" s="13"/>
      <c r="N27" s="78"/>
      <c r="O27" s="13"/>
      <c r="P27" s="15">
        <v>0.52550926010708199</v>
      </c>
      <c r="Q27" s="15">
        <v>1.1771560699968301E-2</v>
      </c>
      <c r="R27" s="148">
        <f>'Parameters, country spec'!C22</f>
        <v>1.202935742430772E-2</v>
      </c>
    </row>
    <row r="28" spans="1:18" x14ac:dyDescent="0.3">
      <c r="A28" s="81"/>
      <c r="B28" s="16" t="s">
        <v>393</v>
      </c>
      <c r="C28" s="82" t="s">
        <v>394</v>
      </c>
      <c r="D28" s="22" t="s">
        <v>33</v>
      </c>
      <c r="E28" s="22" t="s">
        <v>85</v>
      </c>
      <c r="F28" s="161">
        <f t="shared" si="2"/>
        <v>0.15709404556458828</v>
      </c>
      <c r="G28" s="79">
        <f t="shared" ref="G28:N28" si="3">AVERAGE(G18:G26)</f>
        <v>5.5781199817442971E-2</v>
      </c>
      <c r="H28" s="79">
        <f t="shared" si="3"/>
        <v>2.4826324642556769E-2</v>
      </c>
      <c r="I28" s="79">
        <f t="shared" si="3"/>
        <v>0</v>
      </c>
      <c r="J28" s="79"/>
      <c r="K28" s="79">
        <f t="shared" si="3"/>
        <v>3.5419151076741977E-2</v>
      </c>
      <c r="L28" s="79"/>
      <c r="M28" s="79">
        <f t="shared" si="3"/>
        <v>9.3017739273673899E-4</v>
      </c>
      <c r="N28" s="79">
        <f t="shared" si="3"/>
        <v>4.0137192635109828E-2</v>
      </c>
      <c r="O28" s="79"/>
      <c r="P28" s="79"/>
      <c r="Q28" s="79"/>
      <c r="R28" s="148">
        <f>'Parameters, country spec'!C23</f>
        <v>3.491384985363475E-3</v>
      </c>
    </row>
    <row r="29" spans="1:18" x14ac:dyDescent="0.3">
      <c r="A29" s="147"/>
      <c r="B29" s="24" t="s">
        <v>395</v>
      </c>
      <c r="C29" s="25"/>
      <c r="D29" s="100"/>
      <c r="E29" s="100"/>
      <c r="F29" s="26">
        <f>SUMPRODUCT(F18:F28,$R$18:$R$28)</f>
        <v>0.22206186287812824</v>
      </c>
      <c r="G29" s="26">
        <f>SUMPRODUCT(G18:G28,$R$18:$R$28)</f>
        <v>8.1076969766774837E-2</v>
      </c>
      <c r="H29" s="26">
        <f>SUMPRODUCT(H18:H28,$R$18:$R$28)</f>
        <v>2.5616190409531038E-2</v>
      </c>
      <c r="I29" s="26">
        <f>SUMPRODUCT(I18:I28,$R$18:$R$28)</f>
        <v>0</v>
      </c>
      <c r="J29" s="26"/>
      <c r="K29" s="26">
        <f>SUMPRODUCT(K18:K28,$R$18:$R$28)</f>
        <v>2.6282521934747772E-2</v>
      </c>
      <c r="L29" s="26"/>
      <c r="M29" s="26">
        <f>SUMPRODUCT(M18:M28,$R$18:$R$28)</f>
        <v>4.5720944478070622E-4</v>
      </c>
      <c r="N29" s="26">
        <f>SUMPRODUCT(N18:N28,$R$18:$R$28)</f>
        <v>4.0464551931775658E-2</v>
      </c>
      <c r="O29" s="26">
        <f>SUMPRODUCT(O18:O28,$R$18:$R$28)</f>
        <v>1.9151933204948582E-2</v>
      </c>
      <c r="P29" s="26">
        <f>SUMPRODUCT(P18:P28,R18:R28)</f>
        <v>9.7694134632202098E-3</v>
      </c>
      <c r="Q29" s="26">
        <f>SUMPRODUCT(Q18:Q28,$R$18:$R$28)</f>
        <v>1.9243072722349448E-2</v>
      </c>
      <c r="R29" s="149"/>
    </row>
    <row r="30" spans="1:18" x14ac:dyDescent="0.3">
      <c r="A30" s="21" t="s">
        <v>381</v>
      </c>
      <c r="B30" s="16" t="s">
        <v>169</v>
      </c>
      <c r="C30" s="16" t="s">
        <v>382</v>
      </c>
      <c r="D30" s="22" t="s">
        <v>31</v>
      </c>
      <c r="E30" s="22" t="s">
        <v>86</v>
      </c>
      <c r="F30" s="146">
        <f>SUM(G30:Q30)</f>
        <v>0.21899999999999997</v>
      </c>
      <c r="G30" s="78">
        <v>7.9000000000000001E-2</v>
      </c>
      <c r="H30" s="13">
        <v>2.7E-2</v>
      </c>
      <c r="I30" s="15">
        <v>0</v>
      </c>
      <c r="J30" s="13"/>
      <c r="K30" s="78">
        <v>6.6000000000000003E-2</v>
      </c>
      <c r="L30" s="13"/>
      <c r="M30" s="13">
        <v>1E-3</v>
      </c>
      <c r="N30" s="78">
        <v>4.5999999999999999E-2</v>
      </c>
      <c r="O30" s="13"/>
      <c r="P30" s="13"/>
      <c r="R30" s="148">
        <f>'Parameters, country spec'!D13</f>
        <v>0.17624165446480369</v>
      </c>
    </row>
    <row r="31" spans="1:18" x14ac:dyDescent="0.3">
      <c r="A31" s="21" t="s">
        <v>383</v>
      </c>
      <c r="B31" s="16" t="s">
        <v>171</v>
      </c>
      <c r="C31" s="16" t="s">
        <v>382</v>
      </c>
      <c r="D31" s="22" t="s">
        <v>31</v>
      </c>
      <c r="E31" s="22" t="s">
        <v>86</v>
      </c>
      <c r="F31" s="146">
        <f t="shared" ref="F31:F40" si="4">SUM(G31:Q31)</f>
        <v>0.182</v>
      </c>
      <c r="G31" s="78">
        <v>7.6999999999999999E-2</v>
      </c>
      <c r="H31" s="13">
        <v>2.7E-2</v>
      </c>
      <c r="I31" s="15">
        <v>0</v>
      </c>
      <c r="J31" s="13"/>
      <c r="K31" s="78">
        <v>1.7000000000000001E-2</v>
      </c>
      <c r="L31" s="13"/>
      <c r="M31" s="13">
        <v>1.4999999999999999E-2</v>
      </c>
      <c r="N31" s="78">
        <v>4.5999999999999999E-2</v>
      </c>
      <c r="O31" s="13"/>
      <c r="P31" s="13"/>
      <c r="R31" s="148">
        <f>'Parameters, country spec'!D14</f>
        <v>0.52712316765456624</v>
      </c>
    </row>
    <row r="32" spans="1:18" x14ac:dyDescent="0.3">
      <c r="A32" s="21" t="s">
        <v>384</v>
      </c>
      <c r="B32" s="16" t="s">
        <v>172</v>
      </c>
      <c r="C32" s="16" t="s">
        <v>382</v>
      </c>
      <c r="D32" s="22" t="s">
        <v>31</v>
      </c>
      <c r="E32" s="22" t="s">
        <v>86</v>
      </c>
      <c r="F32" s="146">
        <f t="shared" si="4"/>
        <v>0.29500000000000004</v>
      </c>
      <c r="G32" s="78">
        <v>7.0000000000000007E-2</v>
      </c>
      <c r="H32" s="13">
        <v>2.7E-2</v>
      </c>
      <c r="I32" s="15">
        <v>0</v>
      </c>
      <c r="J32" s="13"/>
      <c r="K32" s="78">
        <v>0.13900000000000001</v>
      </c>
      <c r="L32" s="13"/>
      <c r="M32" s="13">
        <v>1.2999999999999999E-2</v>
      </c>
      <c r="N32" s="78">
        <v>4.5999999999999999E-2</v>
      </c>
      <c r="O32" s="13"/>
      <c r="P32" s="13"/>
      <c r="R32" s="148">
        <f>'Parameters, country spec'!D15</f>
        <v>4.7896893432639032E-2</v>
      </c>
    </row>
    <row r="33" spans="1:18" x14ac:dyDescent="0.3">
      <c r="A33" s="21" t="s">
        <v>385</v>
      </c>
      <c r="B33" s="16" t="s">
        <v>173</v>
      </c>
      <c r="C33" s="16" t="s">
        <v>382</v>
      </c>
      <c r="D33" s="22" t="s">
        <v>31</v>
      </c>
      <c r="E33" s="22" t="s">
        <v>86</v>
      </c>
      <c r="F33" s="146">
        <f t="shared" si="4"/>
        <v>0.22499999999999998</v>
      </c>
      <c r="G33" s="78">
        <v>6.2E-2</v>
      </c>
      <c r="H33" s="13">
        <v>2.7E-2</v>
      </c>
      <c r="I33" s="13">
        <v>0</v>
      </c>
      <c r="J33" s="13"/>
      <c r="K33" s="78">
        <v>0.09</v>
      </c>
      <c r="L33" s="13"/>
      <c r="M33" s="13">
        <v>0</v>
      </c>
      <c r="N33" s="78">
        <v>4.5999999999999999E-2</v>
      </c>
      <c r="O33" s="13"/>
      <c r="P33" s="13"/>
      <c r="R33" s="148">
        <f>'Parameters, country spec'!D16</f>
        <v>1.056436574017274E-2</v>
      </c>
    </row>
    <row r="34" spans="1:18" x14ac:dyDescent="0.3">
      <c r="A34" s="21" t="s">
        <v>386</v>
      </c>
      <c r="B34" s="16" t="s">
        <v>174</v>
      </c>
      <c r="C34" s="16" t="s">
        <v>382</v>
      </c>
      <c r="D34" s="22" t="s">
        <v>31</v>
      </c>
      <c r="E34" s="22" t="s">
        <v>86</v>
      </c>
      <c r="F34" s="146">
        <f t="shared" si="4"/>
        <v>0.23199999999999998</v>
      </c>
      <c r="G34" s="78">
        <v>9.0999999999999998E-2</v>
      </c>
      <c r="H34" s="13">
        <v>2.7E-2</v>
      </c>
      <c r="I34" s="13">
        <v>0</v>
      </c>
      <c r="J34" s="13"/>
      <c r="K34" s="78">
        <v>6.6000000000000003E-2</v>
      </c>
      <c r="L34" s="13"/>
      <c r="M34" s="13">
        <v>2E-3</v>
      </c>
      <c r="N34" s="78">
        <v>4.5999999999999999E-2</v>
      </c>
      <c r="O34" s="13"/>
      <c r="P34" s="13"/>
      <c r="R34" s="148">
        <f>'Parameters, country spec'!D17</f>
        <v>7.5759890638728566E-3</v>
      </c>
    </row>
    <row r="35" spans="1:18" x14ac:dyDescent="0.3">
      <c r="A35" s="21" t="s">
        <v>387</v>
      </c>
      <c r="B35" s="16" t="s">
        <v>175</v>
      </c>
      <c r="C35" s="16" t="s">
        <v>388</v>
      </c>
      <c r="D35" s="22" t="s">
        <v>31</v>
      </c>
      <c r="E35" s="22" t="s">
        <v>86</v>
      </c>
      <c r="F35" s="146">
        <f t="shared" si="4"/>
        <v>0.18</v>
      </c>
      <c r="G35" s="78">
        <v>0</v>
      </c>
      <c r="H35" s="13">
        <v>2.7E-2</v>
      </c>
      <c r="I35" s="15">
        <v>0</v>
      </c>
      <c r="J35" s="13"/>
      <c r="K35" s="78">
        <v>0.104</v>
      </c>
      <c r="L35" s="15"/>
      <c r="M35" s="13">
        <v>3.0000000000000001E-3</v>
      </c>
      <c r="N35" s="78">
        <v>4.5999999999999999E-2</v>
      </c>
      <c r="O35" s="13"/>
      <c r="P35" s="13"/>
      <c r="R35" s="148">
        <f>'Parameters, country spec'!D18</f>
        <v>5.2541698729789991E-4</v>
      </c>
    </row>
    <row r="36" spans="1:18" x14ac:dyDescent="0.3">
      <c r="A36" s="21" t="s">
        <v>389</v>
      </c>
      <c r="B36" s="16" t="s">
        <v>176</v>
      </c>
      <c r="C36" s="16" t="s">
        <v>388</v>
      </c>
      <c r="D36" s="22" t="s">
        <v>31</v>
      </c>
      <c r="E36" s="22" t="s">
        <v>86</v>
      </c>
      <c r="F36" s="146">
        <f t="shared" si="4"/>
        <v>0.16499999999999998</v>
      </c>
      <c r="G36" s="78">
        <v>4.0000000000000001E-3</v>
      </c>
      <c r="H36" s="13">
        <v>2.7E-2</v>
      </c>
      <c r="I36" s="15">
        <v>0</v>
      </c>
      <c r="J36" s="13"/>
      <c r="K36" s="78">
        <v>6.5000000000000002E-2</v>
      </c>
      <c r="L36" s="13"/>
      <c r="M36" s="13">
        <v>2.3E-2</v>
      </c>
      <c r="N36" s="78">
        <v>4.5999999999999999E-2</v>
      </c>
      <c r="O36" s="13"/>
      <c r="P36" s="13"/>
      <c r="R36" s="148">
        <f>'Parameters, country spec'!D19</f>
        <v>5.1613262720405463E-4</v>
      </c>
    </row>
    <row r="37" spans="1:18" x14ac:dyDescent="0.3">
      <c r="B37" s="17" t="s">
        <v>178</v>
      </c>
      <c r="C37" s="16" t="s">
        <v>390</v>
      </c>
      <c r="D37" s="22" t="s">
        <v>466</v>
      </c>
      <c r="E37" s="22"/>
      <c r="F37" s="114">
        <f>SUM(G37:Q37)</f>
        <v>0.27085685084992916</v>
      </c>
      <c r="G37" s="19">
        <f>'Off-farm feed'!$F$74</f>
        <v>0.11176753125767681</v>
      </c>
      <c r="H37" s="19">
        <f>'Off-farm feed'!$G$74</f>
        <v>1.3034482758620692E-2</v>
      </c>
      <c r="I37" s="19">
        <f>'Off-farm feed'!$H$74</f>
        <v>0</v>
      </c>
      <c r="J37" s="19"/>
      <c r="K37" s="19">
        <f>'Off-farm feed'!$J$74</f>
        <v>2.4688740026345454E-2</v>
      </c>
      <c r="L37" s="19"/>
      <c r="M37" s="244">
        <f>'Off-farm feed'!$L$74</f>
        <v>1.931759303794134E-4</v>
      </c>
      <c r="N37" s="19">
        <f>'Off-farm feed'!$M$74</f>
        <v>3.6802128767029069E-2</v>
      </c>
      <c r="O37" s="19">
        <f>'Off-farm feed'!$N$74</f>
        <v>0</v>
      </c>
      <c r="P37" s="19">
        <f>'Off-farm feed'!$O$74</f>
        <v>2.1170792109877701E-2</v>
      </c>
      <c r="Q37" s="19">
        <f>'Off-farm feed'!$P$74</f>
        <v>6.3200000000000006E-2</v>
      </c>
      <c r="R37" s="148">
        <f>'Parameters, country spec'!D20</f>
        <v>5.7339277577128883E-4</v>
      </c>
    </row>
    <row r="38" spans="1:18" x14ac:dyDescent="0.3">
      <c r="B38" s="17" t="s">
        <v>391</v>
      </c>
      <c r="C38" s="16" t="s">
        <v>390</v>
      </c>
      <c r="D38" s="22" t="s">
        <v>442</v>
      </c>
      <c r="E38" s="22"/>
      <c r="F38" s="114">
        <f>SUM(G38:Q38)</f>
        <v>0.7061171705997602</v>
      </c>
      <c r="G38" s="19">
        <f>'Off-farm feed'!$F$23</f>
        <v>7.2632670993098931E-3</v>
      </c>
      <c r="H38" s="19">
        <f>'Off-farm feed'!$G$23</f>
        <v>2.1402439024390246E-2</v>
      </c>
      <c r="I38" s="19">
        <f>'Off-farm feed'!$H$23</f>
        <v>0</v>
      </c>
      <c r="J38" s="19"/>
      <c r="K38" s="19">
        <f>'Off-farm feed'!$J$23</f>
        <v>4.308361966433235E-2</v>
      </c>
      <c r="L38" s="19"/>
      <c r="M38" s="244">
        <f>'Off-farm feed'!$L$23</f>
        <v>1.7842060425123844E-4</v>
      </c>
      <c r="N38" s="19">
        <f>'Off-farm feed'!$M$23</f>
        <v>3.0432604948959403E-2</v>
      </c>
      <c r="O38" s="19">
        <f>'Off-farm feed'!$N$23</f>
        <v>0.31761120248475611</v>
      </c>
      <c r="P38" s="19">
        <f>'Off-farm feed'!$O$23</f>
        <v>3.5145616773760872E-2</v>
      </c>
      <c r="Q38" s="19">
        <f>'Off-farm feed'!$P$23</f>
        <v>0.251</v>
      </c>
      <c r="R38" s="148">
        <f>'Parameters, country spec'!D21</f>
        <v>0.10103549928103911</v>
      </c>
    </row>
    <row r="39" spans="1:18" x14ac:dyDescent="0.3">
      <c r="B39" s="16" t="s">
        <v>182</v>
      </c>
      <c r="C39" s="16" t="s">
        <v>392</v>
      </c>
      <c r="D39" s="22" t="s">
        <v>31</v>
      </c>
      <c r="E39" s="22" t="s">
        <v>86</v>
      </c>
      <c r="F39" s="114">
        <f>SUM(G39:Q39)</f>
        <v>0.86739429191291217</v>
      </c>
      <c r="G39" s="78">
        <v>4.5330908020751903E-2</v>
      </c>
      <c r="H39" s="15">
        <v>1.3510799999999899E-2</v>
      </c>
      <c r="K39" s="15">
        <v>5.0130956245903698E-2</v>
      </c>
      <c r="N39" s="103"/>
      <c r="O39" s="7"/>
      <c r="P39" s="15">
        <v>0.72382210600774899</v>
      </c>
      <c r="Q39" s="15">
        <v>3.4599521638507699E-2</v>
      </c>
      <c r="R39" s="148">
        <f>'Parameters, country spec'!D22</f>
        <v>6.3687941219233005E-2</v>
      </c>
    </row>
    <row r="40" spans="1:18" x14ac:dyDescent="0.3">
      <c r="A40" s="81"/>
      <c r="B40" s="16" t="s">
        <v>393</v>
      </c>
      <c r="C40" s="82" t="s">
        <v>394</v>
      </c>
      <c r="D40" s="22" t="s">
        <v>31</v>
      </c>
      <c r="E40" s="22" t="s">
        <v>86</v>
      </c>
      <c r="F40" s="161">
        <f t="shared" si="4"/>
        <v>0.19853849000903276</v>
      </c>
      <c r="G40" s="79">
        <f t="shared" ref="G40:N40" si="5">AVERAGE(G30:G38)</f>
        <v>5.5781199817442971E-2</v>
      </c>
      <c r="H40" s="79">
        <f t="shared" si="5"/>
        <v>2.4826324642556769E-2</v>
      </c>
      <c r="I40" s="79">
        <f t="shared" si="5"/>
        <v>0</v>
      </c>
      <c r="J40" s="79"/>
      <c r="K40" s="79">
        <f t="shared" si="5"/>
        <v>6.8308039965630882E-2</v>
      </c>
      <c r="L40" s="79"/>
      <c r="M40" s="79">
        <f t="shared" si="5"/>
        <v>6.3746218371811842E-3</v>
      </c>
      <c r="N40" s="79">
        <f t="shared" si="5"/>
        <v>4.3248303746220934E-2</v>
      </c>
      <c r="O40" s="79"/>
      <c r="P40" s="79"/>
      <c r="Q40" s="79"/>
      <c r="R40" s="148">
        <f>'Parameters, country spec'!D23</f>
        <v>6.4259546753399996E-2</v>
      </c>
    </row>
    <row r="41" spans="1:18" x14ac:dyDescent="0.3">
      <c r="A41" s="147"/>
      <c r="B41" s="24" t="s">
        <v>395</v>
      </c>
      <c r="C41" s="25"/>
      <c r="D41" s="100"/>
      <c r="E41" s="100"/>
      <c r="F41" s="26">
        <f>SUMPRODUCT(F30:F40,$R$30:$R$40)</f>
        <v>0.2924760294014509</v>
      </c>
      <c r="G41" s="26">
        <f>SUMPRODUCT(G30:G40,$R$30:$R$40)</f>
        <v>6.6480268699466868E-2</v>
      </c>
      <c r="H41" s="26">
        <f>SUMPRODUCT(H30:H40,$R$30:$R$40)</f>
        <v>2.542766113542427E-2</v>
      </c>
      <c r="I41" s="26">
        <f>SUMPRODUCT(I30:I40,$R$30:$R$40)</f>
        <v>0</v>
      </c>
      <c r="J41" s="26"/>
      <c r="K41" s="26">
        <f>SUMPRODUCT(K30:K40,$R$30:$R$40)</f>
        <v>4.0739023865471742E-2</v>
      </c>
      <c r="L41" s="26"/>
      <c r="M41" s="26">
        <f>SUMPRODUCT(M30:M40,$R$30:$R$40)</f>
        <v>9.1621159539200057E-3</v>
      </c>
      <c r="N41" s="26">
        <f>SUMPRODUCT(N30:N40,$R$30:$R$40)</f>
        <v>4.1315398425439895E-2</v>
      </c>
      <c r="O41" s="26">
        <f>SUMPRODUCT(O30:O40,$R$30:$R$40)</f>
        <v>3.2090006420298543E-2</v>
      </c>
      <c r="P41" s="26">
        <f>SUMPRODUCT(P30:P40,R30:R40)</f>
        <v>4.9661833858133116E-2</v>
      </c>
      <c r="Q41" s="26">
        <f>SUMPRODUCT(Q30:Q40,$R$30:$R$40)</f>
        <v>2.7599721043296419E-2</v>
      </c>
      <c r="R41" s="149"/>
    </row>
    <row r="42" spans="1:18" x14ac:dyDescent="0.3">
      <c r="A42" s="21" t="s">
        <v>381</v>
      </c>
      <c r="B42" s="16" t="s">
        <v>169</v>
      </c>
      <c r="C42" s="16" t="s">
        <v>382</v>
      </c>
      <c r="D42" s="22" t="s">
        <v>35</v>
      </c>
      <c r="E42" s="22" t="s">
        <v>87</v>
      </c>
      <c r="F42" s="146">
        <f>SUM(G42:Q42)</f>
        <v>0.18200000000000002</v>
      </c>
      <c r="G42" s="78">
        <v>7.9000000000000001E-2</v>
      </c>
      <c r="H42" s="13">
        <v>2.7E-2</v>
      </c>
      <c r="I42" s="15">
        <v>0</v>
      </c>
      <c r="J42" s="13"/>
      <c r="K42" s="78">
        <v>3.4000000000000002E-2</v>
      </c>
      <c r="L42" s="13"/>
      <c r="M42" s="13">
        <v>0</v>
      </c>
      <c r="N42" s="78">
        <v>4.2000000000000003E-2</v>
      </c>
      <c r="O42" s="13"/>
      <c r="P42" s="13"/>
      <c r="R42" s="148">
        <f>'Parameters, country spec'!E13</f>
        <v>9.4621646910172968E-2</v>
      </c>
    </row>
    <row r="43" spans="1:18" x14ac:dyDescent="0.3">
      <c r="A43" s="21" t="s">
        <v>383</v>
      </c>
      <c r="B43" s="16" t="s">
        <v>171</v>
      </c>
      <c r="C43" s="16" t="s">
        <v>382</v>
      </c>
      <c r="D43" s="22" t="s">
        <v>35</v>
      </c>
      <c r="E43" s="22" t="s">
        <v>87</v>
      </c>
      <c r="F43" s="146">
        <f t="shared" ref="F43:F52" si="6">SUM(G43:Q43)</f>
        <v>0.17</v>
      </c>
      <c r="G43" s="78">
        <v>7.6999999999999999E-2</v>
      </c>
      <c r="H43" s="13">
        <v>2.7E-2</v>
      </c>
      <c r="I43" s="15">
        <v>0</v>
      </c>
      <c r="J43" s="13"/>
      <c r="K43" s="78">
        <v>2.4E-2</v>
      </c>
      <c r="L43" s="13"/>
      <c r="M43" s="13">
        <v>0</v>
      </c>
      <c r="N43" s="78">
        <v>4.2000000000000003E-2</v>
      </c>
      <c r="O43" s="13"/>
      <c r="P43" s="13"/>
      <c r="R43" s="148">
        <f>'Parameters, country spec'!E14</f>
        <v>0.56124001601073992</v>
      </c>
    </row>
    <row r="44" spans="1:18" x14ac:dyDescent="0.3">
      <c r="A44" s="21" t="s">
        <v>384</v>
      </c>
      <c r="B44" s="16" t="s">
        <v>172</v>
      </c>
      <c r="C44" s="16" t="s">
        <v>382</v>
      </c>
      <c r="D44" s="22" t="s">
        <v>35</v>
      </c>
      <c r="E44" s="22" t="s">
        <v>87</v>
      </c>
      <c r="F44" s="146">
        <f t="shared" si="6"/>
        <v>0.20300000000000001</v>
      </c>
      <c r="G44" s="78">
        <v>7.0000000000000007E-2</v>
      </c>
      <c r="H44" s="13">
        <v>2.7E-2</v>
      </c>
      <c r="I44" s="15">
        <v>0</v>
      </c>
      <c r="J44" s="13"/>
      <c r="K44" s="78">
        <v>6.3E-2</v>
      </c>
      <c r="L44" s="13"/>
      <c r="M44" s="13">
        <v>1E-3</v>
      </c>
      <c r="N44" s="78">
        <v>4.2000000000000003E-2</v>
      </c>
      <c r="O44" s="13"/>
      <c r="P44" s="13"/>
      <c r="R44" s="148">
        <f>'Parameters, country spec'!E15</f>
        <v>5.0680010317105902E-2</v>
      </c>
    </row>
    <row r="45" spans="1:18" x14ac:dyDescent="0.3">
      <c r="A45" s="21" t="s">
        <v>385</v>
      </c>
      <c r="B45" s="16" t="s">
        <v>173</v>
      </c>
      <c r="C45" s="16" t="s">
        <v>382</v>
      </c>
      <c r="D45" s="22" t="s">
        <v>35</v>
      </c>
      <c r="E45" s="22" t="s">
        <v>87</v>
      </c>
      <c r="F45" s="146">
        <f t="shared" si="6"/>
        <v>0.186</v>
      </c>
      <c r="G45" s="78">
        <v>6.2E-2</v>
      </c>
      <c r="H45" s="13">
        <v>2.7E-2</v>
      </c>
      <c r="I45" s="13">
        <v>0</v>
      </c>
      <c r="J45" s="13"/>
      <c r="K45" s="78">
        <v>5.5E-2</v>
      </c>
      <c r="L45" s="13"/>
      <c r="M45" s="13">
        <v>0</v>
      </c>
      <c r="N45" s="78">
        <v>4.2000000000000003E-2</v>
      </c>
      <c r="O45" s="13"/>
      <c r="P45" s="13"/>
      <c r="R45" s="148">
        <f>'Parameters, country spec'!E16</f>
        <v>1.9697569305132029E-2</v>
      </c>
    </row>
    <row r="46" spans="1:18" x14ac:dyDescent="0.3">
      <c r="A46" s="21" t="s">
        <v>386</v>
      </c>
      <c r="B46" s="16" t="s">
        <v>174</v>
      </c>
      <c r="C46" s="16" t="s">
        <v>382</v>
      </c>
      <c r="D46" s="22" t="s">
        <v>35</v>
      </c>
      <c r="E46" s="22" t="s">
        <v>87</v>
      </c>
      <c r="F46" s="146">
        <f t="shared" si="6"/>
        <v>0.19500000000000001</v>
      </c>
      <c r="G46" s="78">
        <v>9.0999999999999998E-2</v>
      </c>
      <c r="H46" s="13">
        <v>2.7E-2</v>
      </c>
      <c r="I46" s="13">
        <v>0</v>
      </c>
      <c r="J46" s="13"/>
      <c r="K46" s="78">
        <v>3.5000000000000003E-2</v>
      </c>
      <c r="L46" s="13"/>
      <c r="M46" s="13">
        <v>0</v>
      </c>
      <c r="N46" s="78">
        <v>4.2000000000000003E-2</v>
      </c>
      <c r="O46" s="13"/>
      <c r="P46" s="13"/>
      <c r="R46" s="148">
        <f>'Parameters, country spec'!E17</f>
        <v>8.8612672319940383E-2</v>
      </c>
    </row>
    <row r="47" spans="1:18" x14ac:dyDescent="0.3">
      <c r="A47" s="21" t="s">
        <v>387</v>
      </c>
      <c r="B47" s="16" t="s">
        <v>175</v>
      </c>
      <c r="C47" s="16" t="s">
        <v>388</v>
      </c>
      <c r="D47" s="22" t="s">
        <v>35</v>
      </c>
      <c r="E47" s="22" t="s">
        <v>87</v>
      </c>
      <c r="F47" s="146">
        <f t="shared" si="6"/>
        <v>0.14599999999999999</v>
      </c>
      <c r="G47" s="78">
        <v>0</v>
      </c>
      <c r="H47" s="13">
        <v>2.7E-2</v>
      </c>
      <c r="I47" s="15">
        <v>0</v>
      </c>
      <c r="J47" s="13"/>
      <c r="K47" s="78">
        <v>7.0999999999999994E-2</v>
      </c>
      <c r="L47" s="15"/>
      <c r="M47" s="13">
        <v>6.0000000000000001E-3</v>
      </c>
      <c r="N47" s="78">
        <v>4.2000000000000003E-2</v>
      </c>
      <c r="O47" s="13"/>
      <c r="P47" s="13"/>
      <c r="R47" s="148">
        <f>'Parameters, country spec'!E18</f>
        <v>9.055122364146367E-4</v>
      </c>
    </row>
    <row r="48" spans="1:18" x14ac:dyDescent="0.3">
      <c r="A48" s="21" t="s">
        <v>389</v>
      </c>
      <c r="B48" s="16" t="s">
        <v>176</v>
      </c>
      <c r="C48" s="16" t="s">
        <v>388</v>
      </c>
      <c r="D48" s="22" t="s">
        <v>35</v>
      </c>
      <c r="E48" s="22" t="s">
        <v>87</v>
      </c>
      <c r="F48" s="146">
        <f t="shared" si="6"/>
        <v>0.17</v>
      </c>
      <c r="G48" s="78">
        <v>4.0000000000000001E-3</v>
      </c>
      <c r="H48" s="13">
        <v>2.7E-2</v>
      </c>
      <c r="I48" s="15">
        <v>0</v>
      </c>
      <c r="J48" s="13"/>
      <c r="K48" s="78">
        <v>8.8999999999999996E-2</v>
      </c>
      <c r="L48" s="13"/>
      <c r="M48" s="13">
        <v>8.0000000000000002E-3</v>
      </c>
      <c r="N48" s="78">
        <v>4.2000000000000003E-2</v>
      </c>
      <c r="O48" s="13"/>
      <c r="P48" s="13"/>
      <c r="R48" s="148">
        <f>'Parameters, country spec'!E19</f>
        <v>8.8951141806825748E-4</v>
      </c>
    </row>
    <row r="49" spans="1:18" x14ac:dyDescent="0.3">
      <c r="B49" s="17" t="s">
        <v>178</v>
      </c>
      <c r="C49" s="16" t="s">
        <v>390</v>
      </c>
      <c r="D49" s="22" t="s">
        <v>466</v>
      </c>
      <c r="E49" s="22"/>
      <c r="F49" s="114">
        <f>SUM(G49:Q49)</f>
        <v>0.27085685084992916</v>
      </c>
      <c r="G49" s="19">
        <f>'Off-farm feed'!$F$74</f>
        <v>0.11176753125767681</v>
      </c>
      <c r="H49" s="19">
        <f>'Off-farm feed'!$G$74</f>
        <v>1.3034482758620692E-2</v>
      </c>
      <c r="I49" s="19">
        <f>'Off-farm feed'!$H$74</f>
        <v>0</v>
      </c>
      <c r="J49" s="19"/>
      <c r="K49" s="19">
        <f>'Off-farm feed'!$J$74</f>
        <v>2.4688740026345454E-2</v>
      </c>
      <c r="L49" s="19"/>
      <c r="M49" s="244">
        <f>'Off-farm feed'!$L$74</f>
        <v>1.931759303794134E-4</v>
      </c>
      <c r="N49" s="19">
        <f>'Off-farm feed'!$M$74</f>
        <v>3.6802128767029069E-2</v>
      </c>
      <c r="O49" s="19">
        <f>'Off-farm feed'!$N$74</f>
        <v>0</v>
      </c>
      <c r="P49" s="19">
        <f>'Off-farm feed'!$O$74</f>
        <v>2.1170792109877701E-2</v>
      </c>
      <c r="Q49" s="19">
        <f>'Off-farm feed'!$P$74</f>
        <v>6.3200000000000006E-2</v>
      </c>
      <c r="R49" s="148">
        <f>'Parameters, country spec'!E20</f>
        <v>3.9081132627509534E-4</v>
      </c>
    </row>
    <row r="50" spans="1:18" x14ac:dyDescent="0.3">
      <c r="B50" s="17" t="s">
        <v>391</v>
      </c>
      <c r="C50" s="16" t="s">
        <v>390</v>
      </c>
      <c r="D50" s="22" t="s">
        <v>442</v>
      </c>
      <c r="E50" s="22"/>
      <c r="F50" s="114">
        <f>SUM(G50:Q50)</f>
        <v>0.7061171705997602</v>
      </c>
      <c r="G50" s="19">
        <f>'Off-farm feed'!$F$23</f>
        <v>7.2632670993098931E-3</v>
      </c>
      <c r="H50" s="19">
        <f>'Off-farm feed'!$G$23</f>
        <v>2.1402439024390246E-2</v>
      </c>
      <c r="I50" s="19">
        <f>'Off-farm feed'!$H$23</f>
        <v>0</v>
      </c>
      <c r="J50" s="19"/>
      <c r="K50" s="19">
        <f>'Off-farm feed'!$J$23</f>
        <v>4.308361966433235E-2</v>
      </c>
      <c r="L50" s="19"/>
      <c r="M50" s="244">
        <f>'Off-farm feed'!$L$23</f>
        <v>1.7842060425123844E-4</v>
      </c>
      <c r="N50" s="19">
        <f>'Off-farm feed'!$M$23</f>
        <v>3.0432604948959403E-2</v>
      </c>
      <c r="O50" s="19">
        <f>'Off-farm feed'!$N$23</f>
        <v>0.31761120248475611</v>
      </c>
      <c r="P50" s="19">
        <f>'Off-farm feed'!$O$23</f>
        <v>3.5145616773760872E-2</v>
      </c>
      <c r="Q50" s="19">
        <f>'Off-farm feed'!$P$23</f>
        <v>0.251</v>
      </c>
      <c r="R50" s="148">
        <f>'Parameters, country spec'!E21</f>
        <v>7.4520089695706837E-2</v>
      </c>
    </row>
    <row r="51" spans="1:18" x14ac:dyDescent="0.3">
      <c r="B51" s="16" t="s">
        <v>182</v>
      </c>
      <c r="C51" s="16" t="s">
        <v>392</v>
      </c>
      <c r="D51" s="22" t="s">
        <v>35</v>
      </c>
      <c r="E51" s="22" t="s">
        <v>87</v>
      </c>
      <c r="F51" s="114">
        <f>SUM(G51:Q51)</f>
        <v>0.59673569830802164</v>
      </c>
      <c r="G51" s="78">
        <v>4.5472074282668702E-2</v>
      </c>
      <c r="H51" s="15">
        <v>1.3510799999999899E-2</v>
      </c>
      <c r="K51" s="15">
        <v>3.8378539553255903E-2</v>
      </c>
      <c r="N51" s="103"/>
      <c r="O51" s="7"/>
      <c r="P51" s="15">
        <v>0.49589425967864798</v>
      </c>
      <c r="Q51" s="15">
        <v>3.4800247934492399E-3</v>
      </c>
      <c r="R51" s="148">
        <f>'Parameters, country spec'!E22</f>
        <v>5.8765674595574857E-2</v>
      </c>
    </row>
    <row r="52" spans="1:18" x14ac:dyDescent="0.3">
      <c r="A52" s="81"/>
      <c r="B52" s="16" t="s">
        <v>393</v>
      </c>
      <c r="C52" s="82" t="s">
        <v>394</v>
      </c>
      <c r="D52" s="22" t="s">
        <v>35</v>
      </c>
      <c r="E52" s="22" t="s">
        <v>87</v>
      </c>
      <c r="F52" s="161">
        <f t="shared" si="6"/>
        <v>0.17120515667569941</v>
      </c>
      <c r="G52" s="79">
        <f t="shared" ref="G52:N52" si="7">AVERAGE(G42:G50)</f>
        <v>5.5781199817442971E-2</v>
      </c>
      <c r="H52" s="79">
        <f t="shared" si="7"/>
        <v>2.4826324642556769E-2</v>
      </c>
      <c r="I52" s="79">
        <f t="shared" si="7"/>
        <v>0</v>
      </c>
      <c r="J52" s="79"/>
      <c r="K52" s="79">
        <f t="shared" si="7"/>
        <v>4.8752484410075313E-2</v>
      </c>
      <c r="L52" s="79"/>
      <c r="M52" s="79">
        <f t="shared" si="7"/>
        <v>1.7079551705145167E-3</v>
      </c>
      <c r="N52" s="79">
        <f t="shared" si="7"/>
        <v>4.0137192635109828E-2</v>
      </c>
      <c r="O52" s="79"/>
      <c r="P52" s="79"/>
      <c r="Q52" s="79"/>
      <c r="R52" s="148">
        <f>'Parameters, country spec'!E23</f>
        <v>4.9676485864869203E-2</v>
      </c>
    </row>
    <row r="53" spans="1:18" x14ac:dyDescent="0.3">
      <c r="A53" s="147"/>
      <c r="B53" s="24" t="s">
        <v>395</v>
      </c>
      <c r="C53" s="25"/>
      <c r="D53" s="100"/>
      <c r="E53" s="100"/>
      <c r="F53" s="26">
        <f>SUMPRODUCT(F42:F52,$R$42:$R$52)</f>
        <v>0.24044484050039047</v>
      </c>
      <c r="G53" s="26">
        <f>SUMPRODUCT(G42:G52,$R$42:$R$52)</f>
        <v>6.9554903022220588E-2</v>
      </c>
      <c r="H53" s="26">
        <f>SUMPRODUCT(H42:H52,$R$42:$R$52)</f>
        <v>2.567672888078168E-2</v>
      </c>
      <c r="I53" s="26">
        <f>SUMPRODUCT(I42:I52,$R$42:$R$52)</f>
        <v>0</v>
      </c>
      <c r="J53" s="26"/>
      <c r="K53" s="26">
        <f>SUMPRODUCT(K42:K52,$R$42:$R$52)</f>
        <v>3.2105441467704922E-2</v>
      </c>
      <c r="L53" s="26"/>
      <c r="M53" s="26">
        <f>SUMPRODUCT(M42:M52,$R$42:$R$52)</f>
        <v>1.6144580073995494E-4</v>
      </c>
      <c r="N53" s="26">
        <f>SUMPRODUCT(N42:N52,$R$42:$R$52)</f>
        <v>3.8575269239555329E-2</v>
      </c>
      <c r="O53" s="26">
        <f>SUMPRODUCT(O42:O52,$R$42:$R$52)</f>
        <v>2.3668415297525332E-2</v>
      </c>
      <c r="P53" s="26">
        <f>SUMPRODUCT(P42:P52,R42:R52)</f>
        <v>3.1768888997823277E-2</v>
      </c>
      <c r="Q53" s="26">
        <f>SUMPRODUCT(Q42:Q52,$R$42:$R$52)</f>
        <v>1.8933747794039373E-2</v>
      </c>
      <c r="R53" s="149"/>
    </row>
    <row r="54" spans="1:18" x14ac:dyDescent="0.3">
      <c r="A54" s="21" t="s">
        <v>381</v>
      </c>
      <c r="B54" s="16" t="s">
        <v>169</v>
      </c>
      <c r="C54" s="16" t="s">
        <v>382</v>
      </c>
      <c r="D54" s="22" t="s">
        <v>37</v>
      </c>
      <c r="E54" s="22" t="s">
        <v>88</v>
      </c>
      <c r="F54" s="146">
        <f>SUM(G54:Q54)</f>
        <v>0.17200000000000001</v>
      </c>
      <c r="G54" s="78">
        <v>7.9000000000000001E-2</v>
      </c>
      <c r="H54" s="13">
        <v>2.7E-2</v>
      </c>
      <c r="I54" s="15">
        <v>0</v>
      </c>
      <c r="J54" s="13"/>
      <c r="K54" s="78">
        <v>2.5000000000000001E-2</v>
      </c>
      <c r="L54" s="13"/>
      <c r="M54" s="13">
        <v>0</v>
      </c>
      <c r="N54" s="78">
        <v>4.1000000000000002E-2</v>
      </c>
      <c r="O54" s="13"/>
      <c r="P54" s="13"/>
      <c r="R54" s="148">
        <f>'Parameters, country spec'!F13</f>
        <v>1.5696345190060232E-2</v>
      </c>
    </row>
    <row r="55" spans="1:18" x14ac:dyDescent="0.3">
      <c r="A55" s="21" t="s">
        <v>383</v>
      </c>
      <c r="B55" s="16" t="s">
        <v>171</v>
      </c>
      <c r="C55" s="16" t="s">
        <v>382</v>
      </c>
      <c r="D55" s="22" t="s">
        <v>37</v>
      </c>
      <c r="E55" s="22" t="s">
        <v>88</v>
      </c>
      <c r="F55" s="146">
        <f t="shared" ref="F55:F64" si="8">SUM(G55:Q55)</f>
        <v>0</v>
      </c>
      <c r="G55" s="78"/>
      <c r="H55" s="13"/>
      <c r="I55" s="15"/>
      <c r="J55" s="13"/>
      <c r="K55" s="78"/>
      <c r="L55" s="13"/>
      <c r="M55" s="13"/>
      <c r="N55" s="78"/>
      <c r="O55" s="13"/>
      <c r="P55" s="13"/>
      <c r="R55" s="148">
        <f>'Parameters, country spec'!F14</f>
        <v>4.3262189278547086E-3</v>
      </c>
    </row>
    <row r="56" spans="1:18" x14ac:dyDescent="0.3">
      <c r="A56" s="21" t="s">
        <v>384</v>
      </c>
      <c r="B56" s="16" t="s">
        <v>172</v>
      </c>
      <c r="C56" s="16" t="s">
        <v>382</v>
      </c>
      <c r="D56" s="22" t="s">
        <v>37</v>
      </c>
      <c r="E56" s="22" t="s">
        <v>88</v>
      </c>
      <c r="F56" s="146">
        <f t="shared" si="8"/>
        <v>0.16200000000000001</v>
      </c>
      <c r="G56" s="78">
        <v>7.0000000000000007E-2</v>
      </c>
      <c r="H56" s="13">
        <v>2.7E-2</v>
      </c>
      <c r="I56" s="15">
        <v>0</v>
      </c>
      <c r="J56" s="13"/>
      <c r="K56" s="78">
        <v>2.4E-2</v>
      </c>
      <c r="L56" s="13"/>
      <c r="M56" s="13">
        <v>0</v>
      </c>
      <c r="N56" s="78">
        <v>4.1000000000000002E-2</v>
      </c>
      <c r="O56" s="13"/>
      <c r="P56" s="13"/>
      <c r="R56" s="148">
        <f>'Parameters, country spec'!F15</f>
        <v>9.0473725401480211E-4</v>
      </c>
    </row>
    <row r="57" spans="1:18" x14ac:dyDescent="0.3">
      <c r="A57" s="21" t="s">
        <v>385</v>
      </c>
      <c r="B57" s="16" t="s">
        <v>173</v>
      </c>
      <c r="C57" s="16" t="s">
        <v>382</v>
      </c>
      <c r="D57" s="22" t="s">
        <v>37</v>
      </c>
      <c r="E57" s="22" t="s">
        <v>88</v>
      </c>
      <c r="F57" s="146">
        <f t="shared" si="8"/>
        <v>0.185</v>
      </c>
      <c r="G57" s="78">
        <v>6.2E-2</v>
      </c>
      <c r="H57" s="13">
        <v>2.7E-2</v>
      </c>
      <c r="I57" s="13">
        <v>0</v>
      </c>
      <c r="J57" s="13"/>
      <c r="K57" s="78">
        <v>5.5E-2</v>
      </c>
      <c r="L57" s="13"/>
      <c r="M57" s="13">
        <v>0</v>
      </c>
      <c r="N57" s="78">
        <v>4.1000000000000002E-2</v>
      </c>
      <c r="O57" s="13"/>
      <c r="P57" s="13"/>
      <c r="R57" s="148">
        <f>'Parameters, country spec'!F16</f>
        <v>0</v>
      </c>
    </row>
    <row r="58" spans="1:18" x14ac:dyDescent="0.3">
      <c r="A58" s="21" t="s">
        <v>386</v>
      </c>
      <c r="B58" s="16" t="s">
        <v>174</v>
      </c>
      <c r="C58" s="16" t="s">
        <v>382</v>
      </c>
      <c r="D58" s="22" t="s">
        <v>37</v>
      </c>
      <c r="E58" s="22" t="s">
        <v>88</v>
      </c>
      <c r="F58" s="146">
        <f t="shared" si="8"/>
        <v>0.18</v>
      </c>
      <c r="G58" s="78">
        <v>9.0999999999999998E-2</v>
      </c>
      <c r="H58" s="13">
        <v>2.7E-2</v>
      </c>
      <c r="I58" s="13">
        <v>0</v>
      </c>
      <c r="J58" s="13"/>
      <c r="K58" s="78">
        <v>2.1000000000000001E-2</v>
      </c>
      <c r="L58" s="13"/>
      <c r="M58" s="13">
        <v>0</v>
      </c>
      <c r="N58" s="78">
        <v>4.1000000000000002E-2</v>
      </c>
      <c r="O58" s="13"/>
      <c r="P58" s="13"/>
      <c r="R58" s="148">
        <f>'Parameters, country spec'!F17</f>
        <v>6.7415867076212055E-3</v>
      </c>
    </row>
    <row r="59" spans="1:18" x14ac:dyDescent="0.3">
      <c r="A59" s="21" t="s">
        <v>387</v>
      </c>
      <c r="B59" s="16" t="s">
        <v>175</v>
      </c>
      <c r="C59" s="16" t="s">
        <v>388</v>
      </c>
      <c r="D59" s="22" t="s">
        <v>37</v>
      </c>
      <c r="E59" s="22" t="s">
        <v>88</v>
      </c>
      <c r="F59" s="146">
        <f t="shared" si="8"/>
        <v>0.11399999999999999</v>
      </c>
      <c r="G59" s="78">
        <v>0</v>
      </c>
      <c r="H59" s="13">
        <v>2.7E-2</v>
      </c>
      <c r="I59" s="15">
        <v>0</v>
      </c>
      <c r="J59" s="13"/>
      <c r="K59" s="78">
        <v>4.4999999999999998E-2</v>
      </c>
      <c r="L59" s="15"/>
      <c r="M59" s="13">
        <v>1E-3</v>
      </c>
      <c r="N59" s="78">
        <v>4.1000000000000002E-2</v>
      </c>
      <c r="O59" s="13"/>
      <c r="P59" s="13"/>
      <c r="R59" s="148">
        <f>'Parameters, country spec'!F18</f>
        <v>1.9914212520241563E-4</v>
      </c>
    </row>
    <row r="60" spans="1:18" x14ac:dyDescent="0.3">
      <c r="A60" s="21" t="s">
        <v>389</v>
      </c>
      <c r="B60" s="16" t="s">
        <v>176</v>
      </c>
      <c r="C60" s="16" t="s">
        <v>388</v>
      </c>
      <c r="D60" s="22" t="s">
        <v>37</v>
      </c>
      <c r="E60" s="22" t="s">
        <v>88</v>
      </c>
      <c r="F60" s="146">
        <f t="shared" si="8"/>
        <v>0.10700000000000001</v>
      </c>
      <c r="G60" s="78">
        <v>4.0000000000000001E-3</v>
      </c>
      <c r="H60" s="13">
        <v>2.7E-2</v>
      </c>
      <c r="I60" s="15">
        <v>0</v>
      </c>
      <c r="J60" s="13"/>
      <c r="K60" s="78">
        <v>3.5000000000000003E-2</v>
      </c>
      <c r="L60" s="13"/>
      <c r="M60" s="13">
        <v>0</v>
      </c>
      <c r="N60" s="78">
        <v>4.1000000000000002E-2</v>
      </c>
      <c r="O60" s="13"/>
      <c r="P60" s="13"/>
      <c r="R60" s="148">
        <f>'Parameters, country spec'!F19</f>
        <v>1.9562319212022632E-4</v>
      </c>
    </row>
    <row r="61" spans="1:18" x14ac:dyDescent="0.3">
      <c r="B61" s="17" t="s">
        <v>178</v>
      </c>
      <c r="C61" s="16" t="s">
        <v>390</v>
      </c>
      <c r="D61" s="22" t="s">
        <v>466</v>
      </c>
      <c r="E61" s="22"/>
      <c r="F61" s="114">
        <f>SUM(G61:Q61)</f>
        <v>0.27085685084992916</v>
      </c>
      <c r="G61" s="19">
        <f>'Off-farm feed'!$F$74</f>
        <v>0.11176753125767681</v>
      </c>
      <c r="H61" s="19">
        <f>'Off-farm feed'!$G$74</f>
        <v>1.3034482758620692E-2</v>
      </c>
      <c r="I61" s="19">
        <f>'Off-farm feed'!$H$74</f>
        <v>0</v>
      </c>
      <c r="J61" s="19"/>
      <c r="K61" s="19">
        <f>'Off-farm feed'!$J$74</f>
        <v>2.4688740026345454E-2</v>
      </c>
      <c r="L61" s="19"/>
      <c r="M61" s="244">
        <f>'Off-farm feed'!$L$74</f>
        <v>1.931759303794134E-4</v>
      </c>
      <c r="N61" s="19">
        <f>'Off-farm feed'!$M$74</f>
        <v>3.6802128767029069E-2</v>
      </c>
      <c r="O61" s="19">
        <f>'Off-farm feed'!$N$74</f>
        <v>0</v>
      </c>
      <c r="P61" s="19">
        <f>'Off-farm feed'!$O$74</f>
        <v>2.1170792109877701E-2</v>
      </c>
      <c r="Q61" s="19">
        <f>'Off-farm feed'!$P$74</f>
        <v>6.3200000000000006E-2</v>
      </c>
      <c r="R61" s="148">
        <f>'Parameters, country spec'!F20</f>
        <v>1.0661631618013182E-2</v>
      </c>
    </row>
    <row r="62" spans="1:18" x14ac:dyDescent="0.3">
      <c r="B62" s="17" t="s">
        <v>391</v>
      </c>
      <c r="C62" s="16" t="s">
        <v>390</v>
      </c>
      <c r="D62" s="22" t="s">
        <v>442</v>
      </c>
      <c r="E62" s="22"/>
      <c r="F62" s="114">
        <f>SUM(G62:Q62)</f>
        <v>0.7061171705997602</v>
      </c>
      <c r="G62" s="19">
        <f>'Off-farm feed'!$F$23</f>
        <v>7.2632670993098931E-3</v>
      </c>
      <c r="H62" s="19">
        <f>'Off-farm feed'!$G$23</f>
        <v>2.1402439024390246E-2</v>
      </c>
      <c r="I62" s="19">
        <f>'Off-farm feed'!$H$23</f>
        <v>0</v>
      </c>
      <c r="J62" s="19"/>
      <c r="K62" s="19">
        <f>'Off-farm feed'!$J$23</f>
        <v>4.308361966433235E-2</v>
      </c>
      <c r="L62" s="19"/>
      <c r="M62" s="244">
        <f>'Off-farm feed'!$L$23</f>
        <v>1.7842060425123844E-4</v>
      </c>
      <c r="N62" s="19">
        <f>'Off-farm feed'!$M$23</f>
        <v>3.0432604948959403E-2</v>
      </c>
      <c r="O62" s="19">
        <f>'Off-farm feed'!$N$23</f>
        <v>0.31761120248475611</v>
      </c>
      <c r="P62" s="19">
        <f>'Off-farm feed'!$O$23</f>
        <v>3.5145616773760872E-2</v>
      </c>
      <c r="Q62" s="19">
        <f>'Off-farm feed'!$P$23</f>
        <v>0.251</v>
      </c>
      <c r="R62" s="148">
        <f>'Parameters, country spec'!F21</f>
        <v>2.0288138727708262E-2</v>
      </c>
    </row>
    <row r="63" spans="1:18" x14ac:dyDescent="0.3">
      <c r="B63" s="16" t="s">
        <v>182</v>
      </c>
      <c r="C63" s="16" t="s">
        <v>392</v>
      </c>
      <c r="D63" s="22" t="s">
        <v>37</v>
      </c>
      <c r="E63" s="22" t="s">
        <v>88</v>
      </c>
      <c r="F63" s="114">
        <f>SUM(G63:Q63)</f>
        <v>0.56605495885048829</v>
      </c>
      <c r="G63" s="78">
        <v>4.4988265028212203E-2</v>
      </c>
      <c r="H63" s="15">
        <v>1.35108E-2</v>
      </c>
      <c r="K63" s="15">
        <v>3.2995894066916297E-2</v>
      </c>
      <c r="N63" s="103"/>
      <c r="O63" s="7"/>
      <c r="P63" s="15">
        <v>0.44500683667895402</v>
      </c>
      <c r="Q63" s="15">
        <v>2.9553163076405799E-2</v>
      </c>
      <c r="R63" s="148">
        <f>'Parameters, country spec'!F22</f>
        <v>2.0037841928894622E-2</v>
      </c>
    </row>
    <row r="64" spans="1:18" x14ac:dyDescent="0.3">
      <c r="A64" s="81"/>
      <c r="B64" s="16" t="s">
        <v>393</v>
      </c>
      <c r="C64" s="82" t="s">
        <v>394</v>
      </c>
      <c r="D64" s="22" t="s">
        <v>37</v>
      </c>
      <c r="E64" s="22" t="s">
        <v>88</v>
      </c>
      <c r="F64" s="161">
        <f t="shared" si="8"/>
        <v>0.15110580126016182</v>
      </c>
      <c r="G64" s="79">
        <f t="shared" ref="G64:N64" si="9">AVERAGE(G54:G62)</f>
        <v>5.3128849794623345E-2</v>
      </c>
      <c r="H64" s="79">
        <f t="shared" si="9"/>
        <v>2.4554615222876365E-2</v>
      </c>
      <c r="I64" s="79">
        <f t="shared" si="9"/>
        <v>0</v>
      </c>
      <c r="J64" s="79"/>
      <c r="K64" s="79">
        <f t="shared" si="9"/>
        <v>3.409654496133472E-2</v>
      </c>
      <c r="L64" s="79"/>
      <c r="M64" s="79">
        <f t="shared" si="9"/>
        <v>1.7144956682883149E-4</v>
      </c>
      <c r="N64" s="79">
        <f t="shared" si="9"/>
        <v>3.915434171449856E-2</v>
      </c>
      <c r="O64" s="79"/>
      <c r="P64" s="79"/>
      <c r="Q64" s="79"/>
      <c r="R64" s="148">
        <f>'Parameters, country spec'!F23</f>
        <v>0.92094873432851032</v>
      </c>
    </row>
    <row r="65" spans="1:18" x14ac:dyDescent="0.3">
      <c r="A65" s="147"/>
      <c r="B65" s="24" t="s">
        <v>395</v>
      </c>
      <c r="C65" s="25"/>
      <c r="D65" s="100"/>
      <c r="E65" s="100"/>
      <c r="F65" s="26">
        <f>SUMPRODUCT(F54:F64,$R$54:$R$64)</f>
        <v>0.17182025358791886</v>
      </c>
      <c r="G65" s="26">
        <f>SUMPRODUCT(G54:G64,$R$54:$R$64)</f>
        <v>5.308700689458757E-2</v>
      </c>
      <c r="H65" s="26">
        <f>SUMPRODUCT(H54:H64,$R$54:$R$64)</f>
        <v>2.4098364322369885E-2</v>
      </c>
      <c r="I65" s="26">
        <f>SUMPRODUCT(I54:I64,$R$54:$R$64)</f>
        <v>0</v>
      </c>
      <c r="J65" s="26"/>
      <c r="K65" s="26">
        <f>SUMPRODUCT(K54:K64,$R$54:$R$64)</f>
        <v>3.3771148992713586E-2</v>
      </c>
      <c r="L65" s="26"/>
      <c r="M65" s="26">
        <f>SUMPRODUCT(M54:M64,$R$54:$R$64)</f>
        <v>1.6377479627548906E-4</v>
      </c>
      <c r="N65" s="26">
        <f>SUMPRODUCT(N54:N64,$R$54:$R$64)</f>
        <v>3.8042167909385999E-2</v>
      </c>
      <c r="O65" s="26">
        <f>SUMPRODUCT(O54:O64,$R$54:$R$64)</f>
        <v>6.4437401374849712E-3</v>
      </c>
      <c r="P65" s="26">
        <f>SUMPRODUCT(P54:P64,R54:R64)</f>
        <v>9.8557309859642929E-3</v>
      </c>
      <c r="Q65" s="26">
        <f>SUMPRODUCT(Q54:Q64,$R$54:$R$64)</f>
        <v>6.3583195491370712E-3</v>
      </c>
      <c r="R65" s="149"/>
    </row>
    <row r="66" spans="1:18" x14ac:dyDescent="0.3">
      <c r="A66" s="21" t="s">
        <v>381</v>
      </c>
      <c r="B66" s="16" t="s">
        <v>169</v>
      </c>
      <c r="C66" s="16" t="s">
        <v>382</v>
      </c>
      <c r="D66" s="22" t="s">
        <v>39</v>
      </c>
      <c r="E66" s="22" t="s">
        <v>89</v>
      </c>
      <c r="F66" s="146">
        <f>SUM(G66:Q66)</f>
        <v>0.192</v>
      </c>
      <c r="G66" s="78">
        <v>7.9000000000000001E-2</v>
      </c>
      <c r="H66" s="13">
        <v>2.7E-2</v>
      </c>
      <c r="I66" s="15">
        <v>0</v>
      </c>
      <c r="J66" s="13"/>
      <c r="K66" s="78">
        <v>4.4999999999999998E-2</v>
      </c>
      <c r="L66" s="13"/>
      <c r="M66" s="13">
        <v>0</v>
      </c>
      <c r="N66" s="78">
        <v>4.1000000000000002E-2</v>
      </c>
      <c r="O66" s="13"/>
      <c r="P66" s="13"/>
      <c r="R66" s="148">
        <f>'Parameters, country spec'!G13</f>
        <v>8.7634739536272627E-2</v>
      </c>
    </row>
    <row r="67" spans="1:18" x14ac:dyDescent="0.3">
      <c r="A67" s="21" t="s">
        <v>383</v>
      </c>
      <c r="B67" s="16" t="s">
        <v>171</v>
      </c>
      <c r="C67" s="16" t="s">
        <v>382</v>
      </c>
      <c r="D67" s="22" t="s">
        <v>39</v>
      </c>
      <c r="E67" s="22" t="s">
        <v>89</v>
      </c>
      <c r="F67" s="146">
        <f t="shared" ref="F67:F76" si="10">SUM(G67:Q67)</f>
        <v>0.17100000000000001</v>
      </c>
      <c r="G67" s="78">
        <v>7.6999999999999999E-2</v>
      </c>
      <c r="H67" s="13">
        <v>2.7E-2</v>
      </c>
      <c r="I67" s="15">
        <v>0</v>
      </c>
      <c r="J67" s="13"/>
      <c r="K67" s="78">
        <v>1.7999999999999999E-2</v>
      </c>
      <c r="L67" s="13"/>
      <c r="M67" s="13">
        <v>8.0000000000000002E-3</v>
      </c>
      <c r="N67" s="78">
        <v>4.1000000000000002E-2</v>
      </c>
      <c r="O67" s="13"/>
      <c r="P67" s="13"/>
      <c r="R67" s="148">
        <f>'Parameters, country spec'!G14</f>
        <v>0.57303226549823605</v>
      </c>
    </row>
    <row r="68" spans="1:18" x14ac:dyDescent="0.3">
      <c r="A68" s="21" t="s">
        <v>384</v>
      </c>
      <c r="B68" s="16" t="s">
        <v>172</v>
      </c>
      <c r="C68" s="16" t="s">
        <v>382</v>
      </c>
      <c r="D68" s="22" t="s">
        <v>39</v>
      </c>
      <c r="E68" s="22" t="s">
        <v>89</v>
      </c>
      <c r="F68" s="146">
        <f t="shared" si="10"/>
        <v>0.22500000000000001</v>
      </c>
      <c r="G68" s="78">
        <v>7.0000000000000007E-2</v>
      </c>
      <c r="H68" s="13">
        <v>2.7E-2</v>
      </c>
      <c r="I68" s="15">
        <v>0</v>
      </c>
      <c r="J68" s="13"/>
      <c r="K68" s="78">
        <v>7.9000000000000001E-2</v>
      </c>
      <c r="L68" s="13"/>
      <c r="M68" s="13">
        <v>8.0000000000000002E-3</v>
      </c>
      <c r="N68" s="78">
        <v>4.1000000000000002E-2</v>
      </c>
      <c r="O68" s="13"/>
      <c r="P68" s="13"/>
      <c r="R68" s="148">
        <f>'Parameters, country spec'!G15</f>
        <v>1.8199416246980425E-2</v>
      </c>
    </row>
    <row r="69" spans="1:18" x14ac:dyDescent="0.3">
      <c r="A69" s="21" t="s">
        <v>385</v>
      </c>
      <c r="B69" s="16" t="s">
        <v>173</v>
      </c>
      <c r="C69" s="16" t="s">
        <v>382</v>
      </c>
      <c r="D69" s="22" t="s">
        <v>39</v>
      </c>
      <c r="E69" s="22" t="s">
        <v>89</v>
      </c>
      <c r="F69" s="146">
        <f t="shared" si="10"/>
        <v>0.187</v>
      </c>
      <c r="G69" s="78">
        <v>6.2E-2</v>
      </c>
      <c r="H69" s="13">
        <v>2.7E-2</v>
      </c>
      <c r="I69" s="13">
        <v>0</v>
      </c>
      <c r="J69" s="13"/>
      <c r="K69" s="78">
        <v>5.7000000000000002E-2</v>
      </c>
      <c r="L69" s="13"/>
      <c r="M69" s="13">
        <v>0</v>
      </c>
      <c r="N69" s="78">
        <v>4.1000000000000002E-2</v>
      </c>
      <c r="O69" s="13"/>
      <c r="P69" s="13"/>
      <c r="R69" s="148">
        <f>'Parameters, country spec'!G16</f>
        <v>1.4500630224108487E-3</v>
      </c>
    </row>
    <row r="70" spans="1:18" x14ac:dyDescent="0.3">
      <c r="A70" s="21" t="s">
        <v>386</v>
      </c>
      <c r="B70" s="16" t="s">
        <v>174</v>
      </c>
      <c r="C70" s="16" t="s">
        <v>382</v>
      </c>
      <c r="D70" s="22" t="s">
        <v>39</v>
      </c>
      <c r="E70" s="22" t="s">
        <v>89</v>
      </c>
      <c r="F70" s="146">
        <f t="shared" si="10"/>
        <v>0.20899999999999999</v>
      </c>
      <c r="G70" s="78">
        <v>9.0999999999999998E-2</v>
      </c>
      <c r="H70" s="13">
        <v>2.7E-2</v>
      </c>
      <c r="I70" s="13">
        <v>0</v>
      </c>
      <c r="J70" s="13"/>
      <c r="K70" s="78">
        <v>4.8000000000000001E-2</v>
      </c>
      <c r="L70" s="13"/>
      <c r="M70" s="13">
        <v>2E-3</v>
      </c>
      <c r="N70" s="78">
        <v>4.1000000000000002E-2</v>
      </c>
      <c r="O70" s="13"/>
      <c r="P70" s="13"/>
      <c r="R70" s="148">
        <f>'Parameters, country spec'!G17</f>
        <v>8.3008572023096597E-2</v>
      </c>
    </row>
    <row r="71" spans="1:18" x14ac:dyDescent="0.3">
      <c r="A71" s="21" t="s">
        <v>387</v>
      </c>
      <c r="B71" s="16" t="s">
        <v>175</v>
      </c>
      <c r="C71" s="16" t="s">
        <v>388</v>
      </c>
      <c r="D71" s="22" t="s">
        <v>39</v>
      </c>
      <c r="E71" s="22" t="s">
        <v>89</v>
      </c>
      <c r="F71" s="146">
        <f t="shared" si="10"/>
        <v>0.127</v>
      </c>
      <c r="G71" s="78">
        <v>0</v>
      </c>
      <c r="H71" s="13">
        <v>2.7E-2</v>
      </c>
      <c r="I71" s="15">
        <v>0</v>
      </c>
      <c r="J71" s="13"/>
      <c r="K71" s="78">
        <v>5.8000000000000003E-2</v>
      </c>
      <c r="L71" s="15"/>
      <c r="M71" s="13">
        <v>1E-3</v>
      </c>
      <c r="N71" s="78">
        <v>4.1000000000000002E-2</v>
      </c>
      <c r="O71" s="13"/>
      <c r="P71" s="13"/>
      <c r="R71" s="148">
        <f>'Parameters, country spec'!G18</f>
        <v>1.9271365501345272E-3</v>
      </c>
    </row>
    <row r="72" spans="1:18" x14ac:dyDescent="0.3">
      <c r="A72" s="21" t="s">
        <v>389</v>
      </c>
      <c r="B72" s="16" t="s">
        <v>176</v>
      </c>
      <c r="C72" s="16" t="s">
        <v>388</v>
      </c>
      <c r="D72" s="22" t="s">
        <v>39</v>
      </c>
      <c r="E72" s="22" t="s">
        <v>89</v>
      </c>
      <c r="F72" s="146">
        <f t="shared" si="10"/>
        <v>0.159</v>
      </c>
      <c r="G72" s="78">
        <v>4.0000000000000001E-3</v>
      </c>
      <c r="H72" s="13">
        <v>2.7E-2</v>
      </c>
      <c r="I72" s="15">
        <v>0</v>
      </c>
      <c r="J72" s="13"/>
      <c r="K72" s="78">
        <v>8.6999999999999994E-2</v>
      </c>
      <c r="L72" s="13"/>
      <c r="M72" s="13">
        <v>0</v>
      </c>
      <c r="N72" s="78">
        <v>4.1000000000000002E-2</v>
      </c>
      <c r="O72" s="13"/>
      <c r="P72" s="13"/>
      <c r="R72" s="148">
        <f>'Parameters, country spec'!G19</f>
        <v>1.8930831597192171E-3</v>
      </c>
    </row>
    <row r="73" spans="1:18" x14ac:dyDescent="0.3">
      <c r="B73" s="17" t="s">
        <v>178</v>
      </c>
      <c r="C73" s="16" t="s">
        <v>390</v>
      </c>
      <c r="D73" s="22" t="s">
        <v>466</v>
      </c>
      <c r="E73" s="22"/>
      <c r="F73" s="114">
        <f>SUM(G73:Q73)</f>
        <v>0.27085685084992916</v>
      </c>
      <c r="G73" s="19">
        <f>'Off-farm feed'!$F$74</f>
        <v>0.11176753125767681</v>
      </c>
      <c r="H73" s="19">
        <f>'Off-farm feed'!$G$74</f>
        <v>1.3034482758620692E-2</v>
      </c>
      <c r="I73" s="19">
        <f>'Off-farm feed'!$H$74</f>
        <v>0</v>
      </c>
      <c r="J73" s="19"/>
      <c r="K73" s="19">
        <f>'Off-farm feed'!$J$74</f>
        <v>2.4688740026345454E-2</v>
      </c>
      <c r="L73" s="19"/>
      <c r="M73" s="244">
        <f>'Off-farm feed'!$L$74</f>
        <v>1.931759303794134E-4</v>
      </c>
      <c r="N73" s="19">
        <f>'Off-farm feed'!$M$74</f>
        <v>3.6802128767029069E-2</v>
      </c>
      <c r="O73" s="19">
        <f>'Off-farm feed'!$N$74</f>
        <v>0</v>
      </c>
      <c r="P73" s="19">
        <f>'Off-farm feed'!$O$74</f>
        <v>2.1170792109877701E-2</v>
      </c>
      <c r="Q73" s="19">
        <f>'Off-farm feed'!$P$74</f>
        <v>6.3200000000000006E-2</v>
      </c>
      <c r="R73" s="148">
        <f>'Parameters, country spec'!G20</f>
        <v>3.2461288333790871E-3</v>
      </c>
    </row>
    <row r="74" spans="1:18" x14ac:dyDescent="0.3">
      <c r="B74" s="17" t="s">
        <v>391</v>
      </c>
      <c r="C74" s="16" t="s">
        <v>390</v>
      </c>
      <c r="D74" s="22" t="s">
        <v>442</v>
      </c>
      <c r="E74" s="22"/>
      <c r="F74" s="114">
        <f>SUM(G74:Q74)</f>
        <v>0.7061171705997602</v>
      </c>
      <c r="G74" s="19">
        <f>'Off-farm feed'!$F$23</f>
        <v>7.2632670993098931E-3</v>
      </c>
      <c r="H74" s="19">
        <f>'Off-farm feed'!$G$23</f>
        <v>2.1402439024390246E-2</v>
      </c>
      <c r="I74" s="19">
        <f>'Off-farm feed'!$H$23</f>
        <v>0</v>
      </c>
      <c r="J74" s="19"/>
      <c r="K74" s="19">
        <f>'Off-farm feed'!$J$23</f>
        <v>4.308361966433235E-2</v>
      </c>
      <c r="L74" s="19"/>
      <c r="M74" s="244">
        <f>'Off-farm feed'!$L$23</f>
        <v>1.7842060425123844E-4</v>
      </c>
      <c r="N74" s="19">
        <f>'Off-farm feed'!$M$23</f>
        <v>3.0432604948959403E-2</v>
      </c>
      <c r="O74" s="19">
        <f>'Off-farm feed'!$N$23</f>
        <v>0.31761120248475611</v>
      </c>
      <c r="P74" s="19">
        <f>'Off-farm feed'!$O$23</f>
        <v>3.5145616773760872E-2</v>
      </c>
      <c r="Q74" s="19">
        <f>'Off-farm feed'!$P$23</f>
        <v>0.251</v>
      </c>
      <c r="R74" s="148">
        <f>'Parameters, country spec'!G21</f>
        <v>8.0143174333338049E-2</v>
      </c>
    </row>
    <row r="75" spans="1:18" x14ac:dyDescent="0.3">
      <c r="B75" s="16" t="s">
        <v>182</v>
      </c>
      <c r="C75" s="16" t="s">
        <v>392</v>
      </c>
      <c r="D75" s="22" t="s">
        <v>39</v>
      </c>
      <c r="E75" s="22" t="s">
        <v>89</v>
      </c>
      <c r="F75" s="114">
        <f>SUM(G75:Q75)</f>
        <v>0.56869851281508266</v>
      </c>
      <c r="G75" s="78">
        <v>4.7383641604553002E-2</v>
      </c>
      <c r="H75" s="15">
        <v>1.41474345549738E-2</v>
      </c>
      <c r="K75" s="15">
        <v>4.30498153449922E-2</v>
      </c>
      <c r="P75" s="15">
        <v>0.429390280461106</v>
      </c>
      <c r="Q75" s="15">
        <v>3.4727340849457597E-2</v>
      </c>
      <c r="R75" s="148">
        <f>'Parameters, country spec'!G22</f>
        <v>8.4604092546848059E-2</v>
      </c>
    </row>
    <row r="76" spans="1:18" x14ac:dyDescent="0.3">
      <c r="A76" s="81"/>
      <c r="B76" s="16" t="s">
        <v>393</v>
      </c>
      <c r="C76" s="82" t="s">
        <v>394</v>
      </c>
      <c r="D76" s="22" t="s">
        <v>39</v>
      </c>
      <c r="E76" s="22" t="s">
        <v>89</v>
      </c>
      <c r="F76" s="161">
        <f t="shared" si="10"/>
        <v>0.17320515667569941</v>
      </c>
      <c r="G76" s="79">
        <f t="shared" ref="G76:N76" si="11">AVERAGE(G66:G74)</f>
        <v>5.5781199817442971E-2</v>
      </c>
      <c r="H76" s="79">
        <f t="shared" si="11"/>
        <v>2.4826324642556769E-2</v>
      </c>
      <c r="I76" s="79">
        <f t="shared" si="11"/>
        <v>0</v>
      </c>
      <c r="J76" s="79"/>
      <c r="K76" s="79">
        <f t="shared" si="11"/>
        <v>5.1085817743408646E-2</v>
      </c>
      <c r="L76" s="79"/>
      <c r="M76" s="79">
        <f t="shared" si="11"/>
        <v>2.1523996149589615E-3</v>
      </c>
      <c r="N76" s="79">
        <f t="shared" si="11"/>
        <v>3.9359414857332048E-2</v>
      </c>
      <c r="O76" s="79"/>
      <c r="P76" s="79"/>
      <c r="Q76" s="79"/>
      <c r="R76" s="148">
        <f>'Parameters, country spec'!G23</f>
        <v>6.4861328249584266E-2</v>
      </c>
    </row>
    <row r="77" spans="1:18" x14ac:dyDescent="0.3">
      <c r="A77" s="147"/>
      <c r="B77" s="24" t="s">
        <v>395</v>
      </c>
      <c r="C77" s="25"/>
      <c r="D77" s="100"/>
      <c r="E77" s="100"/>
      <c r="F77" s="26">
        <f>SUMPRODUCT(F66:F76,$R$66:$R$76)</f>
        <v>0.25389320181654129</v>
      </c>
      <c r="G77" s="26">
        <f>SUMPRODUCT(G66:G76,$R$66:$R$76)</f>
        <v>6.8543650096402314E-2</v>
      </c>
      <c r="H77" s="26">
        <f>SUMPRODUCT(H66:H76,$R$66:$R$76)</f>
        <v>2.5277692719457338E-2</v>
      </c>
      <c r="I77" s="26">
        <f>SUMPRODUCT(I66:I76,$R$66:$R$76)</f>
        <v>0</v>
      </c>
      <c r="J77" s="26"/>
      <c r="K77" s="26">
        <f>SUMPRODUCT(K66:K76,$R$66:$R$76)</f>
        <v>3.0528120573456642E-2</v>
      </c>
      <c r="L77" s="26"/>
      <c r="M77" s="26">
        <f>SUMPRODUCT(M66:M76,$R$66:$R$76)</f>
        <v>5.0523315000568772E-3</v>
      </c>
      <c r="N77" s="26">
        <f>SUMPRODUCT(N66:N76,$R$66:$R$76)</f>
        <v>3.6564290259446283E-2</v>
      </c>
      <c r="O77" s="26">
        <f>SUMPRODUCT(O66:O76,$R$66:$R$76)</f>
        <v>2.5454369970956941E-2</v>
      </c>
      <c r="P77" s="26">
        <f>SUMPRODUCT(P66:P76,R66:R76)</f>
        <v>3.9213579437694011E-2</v>
      </c>
      <c r="Q77" s="26">
        <f>SUMPRODUCT(Q66:Q76,$R$66:$R$76)</f>
        <v>2.3259167259070856E-2</v>
      </c>
      <c r="R77" s="149"/>
    </row>
    <row r="78" spans="1:18" x14ac:dyDescent="0.3">
      <c r="A78" s="21" t="s">
        <v>381</v>
      </c>
      <c r="B78" s="16" t="s">
        <v>169</v>
      </c>
      <c r="C78" s="16" t="s">
        <v>382</v>
      </c>
      <c r="D78" s="22" t="s">
        <v>32</v>
      </c>
      <c r="E78" s="22" t="s">
        <v>90</v>
      </c>
      <c r="F78" s="146">
        <f>SUM(G78:Q78)</f>
        <v>0.17699999999999999</v>
      </c>
      <c r="G78" s="78">
        <v>7.9000000000000001E-2</v>
      </c>
      <c r="H78" s="13">
        <v>2.7E-2</v>
      </c>
      <c r="I78" s="15">
        <v>0</v>
      </c>
      <c r="J78" s="13"/>
      <c r="K78" s="78">
        <v>2.7E-2</v>
      </c>
      <c r="L78" s="13"/>
      <c r="M78" s="13">
        <v>1E-3</v>
      </c>
      <c r="N78" s="78">
        <v>4.2999999999999997E-2</v>
      </c>
      <c r="O78" s="13"/>
      <c r="P78" s="13"/>
      <c r="R78" s="148">
        <f>'Parameters, country spec'!H13</f>
        <v>9.5526549752842554E-2</v>
      </c>
    </row>
    <row r="79" spans="1:18" x14ac:dyDescent="0.3">
      <c r="A79" s="21" t="s">
        <v>383</v>
      </c>
      <c r="B79" s="16" t="s">
        <v>171</v>
      </c>
      <c r="C79" s="16" t="s">
        <v>382</v>
      </c>
      <c r="D79" s="22" t="s">
        <v>32</v>
      </c>
      <c r="E79" s="22" t="s">
        <v>90</v>
      </c>
      <c r="F79" s="146">
        <f t="shared" ref="F79:F88" si="12">SUM(G79:Q79)</f>
        <v>0.17199999999999999</v>
      </c>
      <c r="G79" s="78">
        <v>7.6999999999999999E-2</v>
      </c>
      <c r="H79" s="13">
        <v>2.7E-2</v>
      </c>
      <c r="I79" s="15">
        <v>0</v>
      </c>
      <c r="J79" s="13"/>
      <c r="K79" s="78">
        <v>0.02</v>
      </c>
      <c r="L79" s="13"/>
      <c r="M79" s="13">
        <v>5.0000000000000001E-3</v>
      </c>
      <c r="N79" s="78">
        <v>4.2999999999999997E-2</v>
      </c>
      <c r="O79" s="13"/>
      <c r="P79" s="13"/>
      <c r="R79" s="148">
        <f>'Parameters, country spec'!H14</f>
        <v>0.28688514594124215</v>
      </c>
    </row>
    <row r="80" spans="1:18" x14ac:dyDescent="0.3">
      <c r="A80" s="21" t="s">
        <v>384</v>
      </c>
      <c r="B80" s="16" t="s">
        <v>172</v>
      </c>
      <c r="C80" s="16" t="s">
        <v>382</v>
      </c>
      <c r="D80" s="22" t="s">
        <v>32</v>
      </c>
      <c r="E80" s="22" t="s">
        <v>90</v>
      </c>
      <c r="F80" s="146">
        <f t="shared" si="12"/>
        <v>0.17899999999999999</v>
      </c>
      <c r="G80" s="78">
        <v>7.0000000000000007E-2</v>
      </c>
      <c r="H80" s="13">
        <v>2.7E-2</v>
      </c>
      <c r="I80" s="15">
        <v>0</v>
      </c>
      <c r="J80" s="13"/>
      <c r="K80" s="78">
        <v>3.5999999999999997E-2</v>
      </c>
      <c r="L80" s="13"/>
      <c r="M80" s="13">
        <v>3.0000000000000001E-3</v>
      </c>
      <c r="N80" s="78">
        <v>4.2999999999999997E-2</v>
      </c>
      <c r="O80" s="13"/>
      <c r="P80" s="13"/>
      <c r="R80" s="148">
        <f>'Parameters, country spec'!H15</f>
        <v>3.1378297013894313E-3</v>
      </c>
    </row>
    <row r="81" spans="1:19" x14ac:dyDescent="0.3">
      <c r="A81" s="21" t="s">
        <v>385</v>
      </c>
      <c r="B81" s="16" t="s">
        <v>173</v>
      </c>
      <c r="C81" s="16" t="s">
        <v>382</v>
      </c>
      <c r="D81" s="22" t="s">
        <v>32</v>
      </c>
      <c r="E81" s="22" t="s">
        <v>90</v>
      </c>
      <c r="F81" s="146">
        <f t="shared" si="12"/>
        <v>0.184</v>
      </c>
      <c r="G81" s="78">
        <v>6.2E-2</v>
      </c>
      <c r="H81" s="13">
        <v>2.7E-2</v>
      </c>
      <c r="I81" s="13">
        <v>0</v>
      </c>
      <c r="J81" s="13"/>
      <c r="K81" s="78">
        <v>5.1999999999999998E-2</v>
      </c>
      <c r="L81" s="13"/>
      <c r="M81" s="13">
        <v>0</v>
      </c>
      <c r="N81" s="78">
        <v>4.2999999999999997E-2</v>
      </c>
      <c r="O81" s="13"/>
      <c r="P81" s="13"/>
      <c r="R81" s="148">
        <f>'Parameters, country spec'!H16</f>
        <v>1.180760891727785E-2</v>
      </c>
    </row>
    <row r="82" spans="1:19" x14ac:dyDescent="0.3">
      <c r="A82" s="21" t="s">
        <v>386</v>
      </c>
      <c r="B82" s="16" t="s">
        <v>174</v>
      </c>
      <c r="C82" s="16" t="s">
        <v>382</v>
      </c>
      <c r="D82" s="22" t="s">
        <v>32</v>
      </c>
      <c r="E82" s="22" t="s">
        <v>90</v>
      </c>
      <c r="F82" s="146">
        <f t="shared" si="12"/>
        <v>0.184</v>
      </c>
      <c r="G82" s="78">
        <v>9.0999999999999998E-2</v>
      </c>
      <c r="H82" s="13">
        <v>2.7E-2</v>
      </c>
      <c r="I82" s="13">
        <v>0</v>
      </c>
      <c r="J82" s="13"/>
      <c r="K82" s="78">
        <v>2.1999999999999999E-2</v>
      </c>
      <c r="L82" s="13"/>
      <c r="M82" s="13">
        <v>1E-3</v>
      </c>
      <c r="N82" s="78">
        <v>4.2999999999999997E-2</v>
      </c>
      <c r="O82" s="13"/>
      <c r="P82" s="13"/>
      <c r="R82" s="148">
        <f>'Parameters, country spec'!H17</f>
        <v>0.32323260195937925</v>
      </c>
    </row>
    <row r="83" spans="1:19" x14ac:dyDescent="0.3">
      <c r="A83" s="21" t="s">
        <v>387</v>
      </c>
      <c r="B83" s="16" t="s">
        <v>175</v>
      </c>
      <c r="C83" s="16" t="s">
        <v>388</v>
      </c>
      <c r="D83" s="22" t="s">
        <v>32</v>
      </c>
      <c r="E83" s="22" t="s">
        <v>90</v>
      </c>
      <c r="F83" s="146">
        <f t="shared" si="12"/>
        <v>0.105</v>
      </c>
      <c r="G83" s="78">
        <v>0</v>
      </c>
      <c r="H83" s="13">
        <v>2.7E-2</v>
      </c>
      <c r="I83" s="15">
        <v>0</v>
      </c>
      <c r="J83" s="13"/>
      <c r="K83" s="78">
        <v>3.4000000000000002E-2</v>
      </c>
      <c r="L83" s="15"/>
      <c r="M83" s="13">
        <v>1E-3</v>
      </c>
      <c r="N83" s="78">
        <v>4.2999999999999997E-2</v>
      </c>
      <c r="O83" s="13"/>
      <c r="P83" s="13"/>
      <c r="R83" s="148">
        <f>'Parameters, country spec'!H18</f>
        <v>0</v>
      </c>
    </row>
    <row r="84" spans="1:19" x14ac:dyDescent="0.3">
      <c r="A84" s="21" t="s">
        <v>389</v>
      </c>
      <c r="B84" s="16" t="s">
        <v>176</v>
      </c>
      <c r="C84" s="16" t="s">
        <v>388</v>
      </c>
      <c r="D84" s="22" t="s">
        <v>32</v>
      </c>
      <c r="E84" s="22" t="s">
        <v>90</v>
      </c>
      <c r="F84" s="146">
        <f t="shared" si="12"/>
        <v>0.109</v>
      </c>
      <c r="G84" s="78">
        <v>4.0000000000000001E-3</v>
      </c>
      <c r="H84" s="13">
        <v>2.7E-2</v>
      </c>
      <c r="I84" s="15">
        <v>0</v>
      </c>
      <c r="J84" s="13"/>
      <c r="K84" s="78">
        <v>3.4000000000000002E-2</v>
      </c>
      <c r="L84" s="13"/>
      <c r="M84" s="13">
        <v>1E-3</v>
      </c>
      <c r="N84" s="78">
        <v>4.2999999999999997E-2</v>
      </c>
      <c r="O84" s="13"/>
      <c r="P84" s="13"/>
      <c r="R84" s="148">
        <f>'Parameters, country spec'!H19</f>
        <v>0</v>
      </c>
    </row>
    <row r="85" spans="1:19" x14ac:dyDescent="0.3">
      <c r="B85" s="17" t="s">
        <v>178</v>
      </c>
      <c r="C85" s="16" t="s">
        <v>390</v>
      </c>
      <c r="D85" s="22" t="s">
        <v>466</v>
      </c>
      <c r="E85" s="22"/>
      <c r="F85" s="114">
        <f>SUM(G85:Q85)</f>
        <v>0.27085685084992916</v>
      </c>
      <c r="G85" s="19">
        <f>'Off-farm feed'!$F$74</f>
        <v>0.11176753125767681</v>
      </c>
      <c r="H85" s="19">
        <f>'Off-farm feed'!$G$74</f>
        <v>1.3034482758620692E-2</v>
      </c>
      <c r="I85" s="19">
        <f>'Off-farm feed'!$H$74</f>
        <v>0</v>
      </c>
      <c r="J85" s="19"/>
      <c r="K85" s="19">
        <f>'Off-farm feed'!$J$74</f>
        <v>2.4688740026345454E-2</v>
      </c>
      <c r="L85" s="19"/>
      <c r="M85" s="244">
        <f>'Off-farm feed'!$L$74</f>
        <v>1.931759303794134E-4</v>
      </c>
      <c r="N85" s="19">
        <f>'Off-farm feed'!$M$74</f>
        <v>3.6802128767029069E-2</v>
      </c>
      <c r="O85" s="19">
        <f>'Off-farm feed'!$N$74</f>
        <v>0</v>
      </c>
      <c r="P85" s="19">
        <f>'Off-farm feed'!$O$74</f>
        <v>2.1170792109877701E-2</v>
      </c>
      <c r="Q85" s="19">
        <f>'Off-farm feed'!$P$74</f>
        <v>6.3200000000000006E-2</v>
      </c>
      <c r="R85" s="148">
        <f>'Parameters, country spec'!H20</f>
        <v>5.2461984284283551E-2</v>
      </c>
    </row>
    <row r="86" spans="1:19" x14ac:dyDescent="0.3">
      <c r="B86" s="17" t="s">
        <v>391</v>
      </c>
      <c r="C86" s="16" t="s">
        <v>390</v>
      </c>
      <c r="D86" s="22" t="s">
        <v>442</v>
      </c>
      <c r="E86" s="22"/>
      <c r="F86" s="114">
        <f>SUM(G86:Q86)</f>
        <v>0.7061171705997602</v>
      </c>
      <c r="G86" s="19">
        <f>'Off-farm feed'!$F$23</f>
        <v>7.2632670993098931E-3</v>
      </c>
      <c r="H86" s="19">
        <f>'Off-farm feed'!$G$23</f>
        <v>2.1402439024390246E-2</v>
      </c>
      <c r="I86" s="19">
        <f>'Off-farm feed'!$H$23</f>
        <v>0</v>
      </c>
      <c r="J86" s="19"/>
      <c r="K86" s="19">
        <f>'Off-farm feed'!$J$23</f>
        <v>4.308361966433235E-2</v>
      </c>
      <c r="L86" s="19"/>
      <c r="M86" s="244">
        <f>'Off-farm feed'!$L$23</f>
        <v>1.7842060425123844E-4</v>
      </c>
      <c r="N86" s="19">
        <f>'Off-farm feed'!$M$23</f>
        <v>3.0432604948959403E-2</v>
      </c>
      <c r="O86" s="19">
        <f>'Off-farm feed'!$N$23</f>
        <v>0.31761120248475611</v>
      </c>
      <c r="P86" s="19">
        <f>'Off-farm feed'!$O$23</f>
        <v>3.5145616773760872E-2</v>
      </c>
      <c r="Q86" s="19">
        <f>'Off-farm feed'!$P$23</f>
        <v>0.251</v>
      </c>
      <c r="R86" s="148">
        <f>'Parameters, country spec'!H21</f>
        <v>6.7752088819631406E-2</v>
      </c>
    </row>
    <row r="87" spans="1:19" x14ac:dyDescent="0.3">
      <c r="B87" s="16" t="s">
        <v>182</v>
      </c>
      <c r="C87" s="16" t="s">
        <v>392</v>
      </c>
      <c r="D87" s="22" t="s">
        <v>32</v>
      </c>
      <c r="E87" s="22" t="s">
        <v>90</v>
      </c>
      <c r="F87" s="114">
        <f>SUM(G87:Q87)</f>
        <v>0.63069821539340787</v>
      </c>
      <c r="G87" s="78">
        <v>4.5323617744314898E-2</v>
      </c>
      <c r="H87" s="15">
        <v>1.3510799999999899E-2</v>
      </c>
      <c r="I87" s="15"/>
      <c r="J87" s="13"/>
      <c r="K87" s="78">
        <v>3.4582976842042798E-2</v>
      </c>
      <c r="L87" s="13"/>
      <c r="M87" s="13"/>
      <c r="N87" s="78"/>
      <c r="O87" s="13"/>
      <c r="P87" s="15">
        <v>0.52550926010708199</v>
      </c>
      <c r="Q87" s="15">
        <v>1.1771560699968301E-2</v>
      </c>
      <c r="R87" s="148">
        <f>'Parameters, country spec'!H22</f>
        <v>7.382094479672017E-3</v>
      </c>
      <c r="S87" t="s">
        <v>491</v>
      </c>
    </row>
    <row r="88" spans="1:19" x14ac:dyDescent="0.3">
      <c r="A88" s="81"/>
      <c r="B88" s="16" t="s">
        <v>393</v>
      </c>
      <c r="C88" s="82" t="s">
        <v>394</v>
      </c>
      <c r="D88" s="22" t="s">
        <v>32</v>
      </c>
      <c r="E88" s="22" t="s">
        <v>90</v>
      </c>
      <c r="F88" s="161">
        <f t="shared" si="12"/>
        <v>0.1554273788979216</v>
      </c>
      <c r="G88" s="79">
        <f t="shared" ref="G88:N88" si="13">AVERAGE(G78:G86)</f>
        <v>5.5781199817442971E-2</v>
      </c>
      <c r="H88" s="79">
        <f t="shared" si="13"/>
        <v>2.4826324642556769E-2</v>
      </c>
      <c r="I88" s="79">
        <f t="shared" si="13"/>
        <v>0</v>
      </c>
      <c r="J88" s="79"/>
      <c r="K88" s="79">
        <f t="shared" si="13"/>
        <v>3.2530262187853085E-2</v>
      </c>
      <c r="L88" s="79"/>
      <c r="M88" s="79">
        <f t="shared" si="13"/>
        <v>1.3746218371811839E-3</v>
      </c>
      <c r="N88" s="79">
        <f t="shared" si="13"/>
        <v>4.0914970412887594E-2</v>
      </c>
      <c r="O88" s="79"/>
      <c r="P88" s="79"/>
      <c r="Q88" s="79"/>
      <c r="R88" s="148">
        <f>'Parameters, country spec'!H23</f>
        <v>0.15181409614428173</v>
      </c>
    </row>
    <row r="89" spans="1:19" x14ac:dyDescent="0.3">
      <c r="A89" s="147"/>
      <c r="B89" s="24" t="s">
        <v>395</v>
      </c>
      <c r="C89" s="25"/>
      <c r="D89" s="100"/>
      <c r="E89" s="100"/>
      <c r="F89" s="26">
        <f>SUMPRODUCT(F78:F88,$R$78:$R$88)</f>
        <v>0.21876405669577911</v>
      </c>
      <c r="G89" s="26">
        <f>SUMPRODUCT(G78:G88,$R$78:$R$88)</f>
        <v>7.5161243924666526E-2</v>
      </c>
      <c r="H89" s="26">
        <f>SUMPRODUCT(H78:H88,$R$78:$R$88)</f>
        <v>2.5458521697011516E-2</v>
      </c>
      <c r="I89" s="26">
        <f>SUMPRODUCT(I78:I88,$R$78:$R$88)</f>
        <v>0</v>
      </c>
      <c r="J89" s="26"/>
      <c r="K89" s="26">
        <f>SUMPRODUCT(K78:K88,$R$78:$R$88)</f>
        <v>2.5563067209458053E-2</v>
      </c>
      <c r="L89" s="26"/>
      <c r="M89" s="26">
        <f t="shared" ref="M89" si="14">SUMPRODUCT(M78:M88,$R$78:$R$88)</f>
        <v>2.093508103524603E-3</v>
      </c>
      <c r="N89" s="26">
        <f>SUMPRODUCT(N78:N88,$R$78:$R$88)</f>
        <v>4.1189413166222912E-2</v>
      </c>
      <c r="O89" s="26">
        <f>SUMPRODUCT(O78:O88,$R$78:$R$88)</f>
        <v>2.1518822400857132E-2</v>
      </c>
      <c r="P89" s="26">
        <f>SUMPRODUCT(P78:P88,R78:R88)</f>
        <v>7.3712097202838275E-3</v>
      </c>
      <c r="Q89" s="26">
        <f>SUMPRODUCT(Q78:Q88,$R$78:$R$88)</f>
        <v>2.0408270473754566E-2</v>
      </c>
      <c r="R89" s="149"/>
    </row>
    <row r="90" spans="1:19" x14ac:dyDescent="0.3">
      <c r="A90" s="21" t="s">
        <v>381</v>
      </c>
      <c r="B90" s="16" t="s">
        <v>169</v>
      </c>
      <c r="C90" s="16" t="s">
        <v>382</v>
      </c>
      <c r="D90" s="22" t="s">
        <v>30</v>
      </c>
      <c r="E90" s="22" t="s">
        <v>91</v>
      </c>
      <c r="F90" s="146">
        <f>SUM(G90:Q90)</f>
        <v>0.20799999999999999</v>
      </c>
      <c r="G90" s="78">
        <v>7.9000000000000001E-2</v>
      </c>
      <c r="H90" s="13">
        <v>2.7E-2</v>
      </c>
      <c r="I90" s="15">
        <v>0</v>
      </c>
      <c r="J90" s="13"/>
      <c r="K90" s="78">
        <v>4.9000000000000002E-2</v>
      </c>
      <c r="L90" s="13"/>
      <c r="M90" s="13">
        <v>0</v>
      </c>
      <c r="N90" s="78">
        <v>5.2999999999999999E-2</v>
      </c>
      <c r="O90" s="13"/>
      <c r="P90" s="13"/>
      <c r="R90" s="148">
        <f>'Parameters, country spec'!I13</f>
        <v>0.21737956315257037</v>
      </c>
    </row>
    <row r="91" spans="1:19" x14ac:dyDescent="0.3">
      <c r="A91" s="21" t="s">
        <v>383</v>
      </c>
      <c r="B91" s="16" t="s">
        <v>171</v>
      </c>
      <c r="C91" s="16" t="s">
        <v>382</v>
      </c>
      <c r="D91" s="22" t="s">
        <v>30</v>
      </c>
      <c r="E91" s="22" t="s">
        <v>91</v>
      </c>
      <c r="F91" s="146">
        <f t="shared" ref="F91:F100" si="15">SUM(G91:Q91)</f>
        <v>0.186</v>
      </c>
      <c r="G91" s="78">
        <v>7.6999999999999999E-2</v>
      </c>
      <c r="H91" s="13">
        <v>2.7E-2</v>
      </c>
      <c r="I91" s="15">
        <v>0</v>
      </c>
      <c r="J91" s="13"/>
      <c r="K91" s="78">
        <v>2.8000000000000001E-2</v>
      </c>
      <c r="L91" s="13"/>
      <c r="M91" s="13">
        <v>1E-3</v>
      </c>
      <c r="N91" s="78">
        <v>5.2999999999999999E-2</v>
      </c>
      <c r="O91" s="13"/>
      <c r="P91" s="13"/>
      <c r="R91" s="148">
        <f>'Parameters, country spec'!I14</f>
        <v>0.29778613267856163</v>
      </c>
    </row>
    <row r="92" spans="1:19" x14ac:dyDescent="0.3">
      <c r="A92" s="21" t="s">
        <v>384</v>
      </c>
      <c r="B92" s="16" t="s">
        <v>172</v>
      </c>
      <c r="C92" s="16" t="s">
        <v>382</v>
      </c>
      <c r="D92" s="22" t="s">
        <v>30</v>
      </c>
      <c r="E92" s="22" t="s">
        <v>91</v>
      </c>
      <c r="F92" s="146">
        <f t="shared" si="15"/>
        <v>0.215</v>
      </c>
      <c r="G92" s="78">
        <v>7.0000000000000007E-2</v>
      </c>
      <c r="H92" s="13">
        <v>2.7E-2</v>
      </c>
      <c r="I92" s="15">
        <v>0</v>
      </c>
      <c r="J92" s="13"/>
      <c r="K92" s="78">
        <v>6.5000000000000002E-2</v>
      </c>
      <c r="L92" s="13"/>
      <c r="M92" s="13">
        <v>0</v>
      </c>
      <c r="N92" s="78">
        <v>5.2999999999999999E-2</v>
      </c>
      <c r="O92" s="13"/>
      <c r="P92" s="13"/>
      <c r="R92" s="148">
        <f>'Parameters, country spec'!I15</f>
        <v>6.5103880953803588E-3</v>
      </c>
    </row>
    <row r="93" spans="1:19" x14ac:dyDescent="0.3">
      <c r="A93" s="21" t="s">
        <v>385</v>
      </c>
      <c r="B93" s="16" t="s">
        <v>173</v>
      </c>
      <c r="C93" s="16" t="s">
        <v>382</v>
      </c>
      <c r="D93" s="22" t="s">
        <v>30</v>
      </c>
      <c r="E93" s="22" t="s">
        <v>91</v>
      </c>
      <c r="F93" s="146">
        <f t="shared" si="15"/>
        <v>0.20399999999999999</v>
      </c>
      <c r="G93" s="78">
        <v>6.2E-2</v>
      </c>
      <c r="H93" s="13">
        <v>2.7E-2</v>
      </c>
      <c r="I93" s="13">
        <v>0</v>
      </c>
      <c r="J93" s="13"/>
      <c r="K93" s="78">
        <v>6.2E-2</v>
      </c>
      <c r="L93" s="13"/>
      <c r="M93" s="13">
        <v>0</v>
      </c>
      <c r="N93" s="78">
        <v>5.2999999999999999E-2</v>
      </c>
      <c r="O93" s="13"/>
      <c r="P93" s="13"/>
      <c r="R93" s="148">
        <f>'Parameters, country spec'!I16</f>
        <v>8.5001790646556635E-2</v>
      </c>
    </row>
    <row r="94" spans="1:19" x14ac:dyDescent="0.3">
      <c r="A94" s="21" t="s">
        <v>386</v>
      </c>
      <c r="B94" s="16" t="s">
        <v>174</v>
      </c>
      <c r="C94" s="16" t="s">
        <v>382</v>
      </c>
      <c r="D94" s="22" t="s">
        <v>30</v>
      </c>
      <c r="E94" s="22" t="s">
        <v>91</v>
      </c>
      <c r="F94" s="146">
        <f t="shared" si="15"/>
        <v>0.21199999999999999</v>
      </c>
      <c r="G94" s="78">
        <v>9.0999999999999998E-2</v>
      </c>
      <c r="H94" s="13">
        <v>2.7E-2</v>
      </c>
      <c r="I94" s="13">
        <v>0</v>
      </c>
      <c r="J94" s="13"/>
      <c r="K94" s="78">
        <v>4.1000000000000002E-2</v>
      </c>
      <c r="L94" s="13"/>
      <c r="M94" s="13">
        <v>0</v>
      </c>
      <c r="N94" s="78">
        <v>5.2999999999999999E-2</v>
      </c>
      <c r="O94" s="13"/>
      <c r="P94" s="13"/>
      <c r="R94" s="148">
        <f>'Parameters, country spec'!I17</f>
        <v>0.34177560689413961</v>
      </c>
    </row>
    <row r="95" spans="1:19" x14ac:dyDescent="0.3">
      <c r="A95" s="21" t="s">
        <v>387</v>
      </c>
      <c r="B95" s="16" t="s">
        <v>175</v>
      </c>
      <c r="C95" s="16" t="s">
        <v>388</v>
      </c>
      <c r="D95" s="22" t="s">
        <v>30</v>
      </c>
      <c r="E95" s="22" t="s">
        <v>91</v>
      </c>
      <c r="F95" s="146">
        <f t="shared" si="15"/>
        <v>0.16200000000000001</v>
      </c>
      <c r="G95" s="78">
        <v>0</v>
      </c>
      <c r="H95" s="13">
        <v>2.7E-2</v>
      </c>
      <c r="I95" s="15">
        <v>0</v>
      </c>
      <c r="J95" s="13"/>
      <c r="K95" s="78">
        <v>8.2000000000000003E-2</v>
      </c>
      <c r="L95" s="15"/>
      <c r="M95" s="13">
        <v>0</v>
      </c>
      <c r="N95" s="78">
        <v>5.2999999999999999E-2</v>
      </c>
      <c r="O95" s="13"/>
      <c r="P95" s="13"/>
      <c r="R95" s="148">
        <f>'Parameters, country spec'!I18</f>
        <v>8.3086315099621146E-4</v>
      </c>
    </row>
    <row r="96" spans="1:19" x14ac:dyDescent="0.3">
      <c r="A96" s="21" t="s">
        <v>389</v>
      </c>
      <c r="B96" s="16" t="s">
        <v>176</v>
      </c>
      <c r="C96" s="16" t="s">
        <v>388</v>
      </c>
      <c r="D96" s="22" t="s">
        <v>30</v>
      </c>
      <c r="E96" s="22" t="s">
        <v>91</v>
      </c>
      <c r="F96" s="146">
        <f t="shared" si="15"/>
        <v>0.15</v>
      </c>
      <c r="G96" s="78">
        <v>4.0000000000000001E-3</v>
      </c>
      <c r="H96" s="13">
        <v>2.7E-2</v>
      </c>
      <c r="I96" s="15">
        <v>0</v>
      </c>
      <c r="J96" s="13"/>
      <c r="K96" s="78">
        <v>6.6000000000000003E-2</v>
      </c>
      <c r="L96" s="13"/>
      <c r="M96" s="13">
        <v>0</v>
      </c>
      <c r="N96" s="78">
        <v>5.2999999999999999E-2</v>
      </c>
      <c r="O96" s="13"/>
      <c r="P96" s="13"/>
      <c r="R96" s="148">
        <f>'Parameters, country spec'!I19</f>
        <v>8.1618141653563262E-4</v>
      </c>
    </row>
    <row r="97" spans="1:18" x14ac:dyDescent="0.3">
      <c r="B97" s="17" t="s">
        <v>178</v>
      </c>
      <c r="C97" s="16" t="s">
        <v>390</v>
      </c>
      <c r="D97" s="22" t="s">
        <v>466</v>
      </c>
      <c r="E97" s="22"/>
      <c r="F97" s="114">
        <f>SUM(G97:Q97)</f>
        <v>0.27085685084992916</v>
      </c>
      <c r="G97" s="19">
        <f>'Off-farm feed'!$F$74</f>
        <v>0.11176753125767681</v>
      </c>
      <c r="H97" s="19">
        <f>'Off-farm feed'!$G$74</f>
        <v>1.3034482758620692E-2</v>
      </c>
      <c r="I97" s="19">
        <f>'Off-farm feed'!$H$74</f>
        <v>0</v>
      </c>
      <c r="J97" s="19"/>
      <c r="K97" s="19">
        <f>'Off-farm feed'!$J$74</f>
        <v>2.4688740026345454E-2</v>
      </c>
      <c r="L97" s="19"/>
      <c r="M97" s="244">
        <f>'Off-farm feed'!$L$74</f>
        <v>1.931759303794134E-4</v>
      </c>
      <c r="N97" s="19">
        <f>'Off-farm feed'!$M$74</f>
        <v>3.6802128767029069E-2</v>
      </c>
      <c r="O97" s="19">
        <f>'Off-farm feed'!$N$74</f>
        <v>0</v>
      </c>
      <c r="P97" s="19">
        <f>'Off-farm feed'!$O$74</f>
        <v>2.1170792109877701E-2</v>
      </c>
      <c r="Q97" s="19">
        <f>'Off-farm feed'!$P$74</f>
        <v>6.3200000000000006E-2</v>
      </c>
      <c r="R97" s="148">
        <f>'Parameters, country spec'!I20</f>
        <v>5.988480966048656E-3</v>
      </c>
    </row>
    <row r="98" spans="1:18" x14ac:dyDescent="0.3">
      <c r="B98" s="17" t="s">
        <v>391</v>
      </c>
      <c r="C98" s="16" t="s">
        <v>390</v>
      </c>
      <c r="D98" s="22" t="s">
        <v>442</v>
      </c>
      <c r="E98" s="22"/>
      <c r="F98" s="114">
        <f>SUM(G98:Q98)</f>
        <v>0.7061171705997602</v>
      </c>
      <c r="G98" s="19">
        <f>'Off-farm feed'!$F$23</f>
        <v>7.2632670993098931E-3</v>
      </c>
      <c r="H98" s="19">
        <f>'Off-farm feed'!$G$23</f>
        <v>2.1402439024390246E-2</v>
      </c>
      <c r="I98" s="19">
        <f>'Off-farm feed'!$H$23</f>
        <v>0</v>
      </c>
      <c r="J98" s="19"/>
      <c r="K98" s="19">
        <f>'Off-farm feed'!$J$23</f>
        <v>4.308361966433235E-2</v>
      </c>
      <c r="L98" s="19"/>
      <c r="M98" s="244">
        <f>'Off-farm feed'!$L$23</f>
        <v>1.7842060425123844E-4</v>
      </c>
      <c r="N98" s="19">
        <f>'Off-farm feed'!$M$23</f>
        <v>3.0432604948959403E-2</v>
      </c>
      <c r="O98" s="19">
        <f>'Off-farm feed'!$N$23</f>
        <v>0.31761120248475611</v>
      </c>
      <c r="P98" s="19">
        <f>'Off-farm feed'!$O$23</f>
        <v>3.5145616773760872E-2</v>
      </c>
      <c r="Q98" s="19">
        <f>'Off-farm feed'!$P$23</f>
        <v>0.251</v>
      </c>
      <c r="R98" s="148">
        <f>'Parameters, country spec'!I21</f>
        <v>2.088761505982905E-2</v>
      </c>
    </row>
    <row r="99" spans="1:18" x14ac:dyDescent="0.3">
      <c r="B99" s="16" t="s">
        <v>182</v>
      </c>
      <c r="C99" s="16" t="s">
        <v>392</v>
      </c>
      <c r="D99" s="22" t="s">
        <v>30</v>
      </c>
      <c r="E99" s="22" t="s">
        <v>91</v>
      </c>
      <c r="F99" s="114">
        <f>SUM(G99:Q99)</f>
        <v>1.2012178309838466</v>
      </c>
      <c r="G99" s="78">
        <v>4.4255923622493899E-2</v>
      </c>
      <c r="H99" s="15">
        <v>1.35108E-2</v>
      </c>
      <c r="K99" s="15">
        <v>3.84123307299589E-2</v>
      </c>
      <c r="N99" s="103"/>
      <c r="O99" s="7"/>
      <c r="P99" s="15">
        <v>1.10085799516881</v>
      </c>
      <c r="Q99" s="15">
        <v>4.1807814625837696E-3</v>
      </c>
      <c r="R99" s="148">
        <f>'Parameters, country spec'!I22</f>
        <v>1.0222176972034406E-2</v>
      </c>
    </row>
    <row r="100" spans="1:18" x14ac:dyDescent="0.3">
      <c r="A100" s="81"/>
      <c r="B100" s="16" t="s">
        <v>393</v>
      </c>
      <c r="C100" s="82" t="s">
        <v>394</v>
      </c>
      <c r="D100" s="22" t="s">
        <v>30</v>
      </c>
      <c r="E100" s="22" t="s">
        <v>91</v>
      </c>
      <c r="F100" s="161">
        <f t="shared" si="15"/>
        <v>0.18064960112014386</v>
      </c>
      <c r="G100" s="79">
        <f t="shared" ref="G100:N100" si="16">AVERAGE(G90:G98)</f>
        <v>5.5781199817442971E-2</v>
      </c>
      <c r="H100" s="79">
        <f t="shared" si="16"/>
        <v>2.4826324642556769E-2</v>
      </c>
      <c r="I100" s="79">
        <f t="shared" si="16"/>
        <v>0</v>
      </c>
      <c r="J100" s="79"/>
      <c r="K100" s="79">
        <f t="shared" si="16"/>
        <v>5.1196928854519756E-2</v>
      </c>
      <c r="L100" s="79"/>
      <c r="M100" s="79">
        <f t="shared" si="16"/>
        <v>1.5239961495896133E-4</v>
      </c>
      <c r="N100" s="79">
        <f t="shared" si="16"/>
        <v>4.869274819066538E-2</v>
      </c>
      <c r="O100" s="79"/>
      <c r="P100" s="79"/>
      <c r="Q100" s="79"/>
      <c r="R100" s="148">
        <f>'Parameters, country spec'!I23</f>
        <v>1.2801200967347369E-2</v>
      </c>
    </row>
    <row r="101" spans="1:18" x14ac:dyDescent="0.3">
      <c r="A101" s="147"/>
      <c r="B101" s="24" t="s">
        <v>395</v>
      </c>
      <c r="C101" s="25"/>
      <c r="D101" s="100"/>
      <c r="E101" s="100"/>
      <c r="F101" s="26">
        <f>SUMPRODUCT(F90:F100,$R$90:$R$100)</f>
        <v>0.22301944209220315</v>
      </c>
      <c r="G101" s="26">
        <f>SUMPRODUCT(G90:G100,$R$90:$R$100)</f>
        <v>7.8920689138297057E-2</v>
      </c>
      <c r="H101" s="26">
        <f>SUMPRODUCT(H90:H100,$R$90:$R$100)</f>
        <v>2.6633733422186945E-2</v>
      </c>
      <c r="I101" s="26">
        <f>SUMPRODUCT(I90:I100,$R$90:$R$100)</f>
        <v>0</v>
      </c>
      <c r="J101" s="26"/>
      <c r="K101" s="26">
        <f>SUMPRODUCT(K90:K100,$R$90:$R$100)</f>
        <v>4.0913497120758473E-2</v>
      </c>
      <c r="L101" s="26"/>
      <c r="M101" s="26">
        <f>SUMPRODUCT(M90:M100,$R$90:$R$100)</f>
        <v>3.0462064205951549E-4</v>
      </c>
      <c r="N101" s="26">
        <f>SUMPRODUCT(N90:N100,$R$90:$R$100)</f>
        <v>5.1834706920155529E-2</v>
      </c>
      <c r="O101" s="26">
        <f>SUMPRODUCT(O90:O100,$R$90:$R$100)</f>
        <v>6.634140536191005E-3</v>
      </c>
      <c r="P101" s="26">
        <f>SUMPRODUCT(P90:P100,R90:R100)</f>
        <v>1.2114054247491336E-2</v>
      </c>
      <c r="Q101" s="26">
        <f>SUMPRODUCT(Q90:Q100,$R$90:$R$100)</f>
        <v>5.6640000650632991E-3</v>
      </c>
      <c r="R101" s="149"/>
    </row>
    <row r="102" spans="1:18" x14ac:dyDescent="0.3">
      <c r="A102" s="21" t="s">
        <v>381</v>
      </c>
      <c r="B102" s="16" t="s">
        <v>169</v>
      </c>
      <c r="C102" s="16" t="s">
        <v>382</v>
      </c>
      <c r="D102" s="22" t="s">
        <v>38</v>
      </c>
      <c r="E102" s="22" t="s">
        <v>92</v>
      </c>
      <c r="F102" s="146">
        <f>SUM(G102:Q102)</f>
        <v>0.20600000000000002</v>
      </c>
      <c r="G102" s="78">
        <v>7.9000000000000001E-2</v>
      </c>
      <c r="H102" s="13">
        <v>2.7E-2</v>
      </c>
      <c r="I102" s="15">
        <v>0</v>
      </c>
      <c r="J102" s="13"/>
      <c r="K102" s="78">
        <v>5.6000000000000001E-2</v>
      </c>
      <c r="L102" s="13"/>
      <c r="M102" s="13">
        <v>6.0000000000000001E-3</v>
      </c>
      <c r="N102" s="78">
        <v>3.7999999999999999E-2</v>
      </c>
      <c r="O102" s="13"/>
      <c r="P102" s="13"/>
      <c r="R102" s="148">
        <f>'Parameters, country spec'!J13</f>
        <v>0.25867404183720522</v>
      </c>
    </row>
    <row r="103" spans="1:18" x14ac:dyDescent="0.3">
      <c r="A103" s="21" t="s">
        <v>383</v>
      </c>
      <c r="B103" s="16" t="s">
        <v>171</v>
      </c>
      <c r="C103" s="16" t="s">
        <v>382</v>
      </c>
      <c r="D103" s="22" t="s">
        <v>38</v>
      </c>
      <c r="E103" s="22" t="s">
        <v>92</v>
      </c>
      <c r="F103" s="146">
        <f t="shared" ref="F103:F112" si="17">SUM(G103:Q103)</f>
        <v>0.17499999999999999</v>
      </c>
      <c r="G103" s="78">
        <v>7.6999999999999999E-2</v>
      </c>
      <c r="H103" s="13">
        <v>2.7E-2</v>
      </c>
      <c r="I103" s="15">
        <v>0</v>
      </c>
      <c r="J103" s="13"/>
      <c r="K103" s="78">
        <v>1.4999999999999999E-2</v>
      </c>
      <c r="L103" s="13"/>
      <c r="M103" s="13">
        <v>1.7999999999999999E-2</v>
      </c>
      <c r="N103" s="78">
        <v>3.7999999999999999E-2</v>
      </c>
      <c r="O103" s="13"/>
      <c r="P103" s="13"/>
      <c r="R103" s="148">
        <f>'Parameters, country spec'!J14</f>
        <v>0.34116788941693649</v>
      </c>
    </row>
    <row r="104" spans="1:18" x14ac:dyDescent="0.3">
      <c r="A104" s="21" t="s">
        <v>384</v>
      </c>
      <c r="B104" s="16" t="s">
        <v>172</v>
      </c>
      <c r="C104" s="16" t="s">
        <v>382</v>
      </c>
      <c r="D104" s="22" t="s">
        <v>38</v>
      </c>
      <c r="E104" s="22" t="s">
        <v>92</v>
      </c>
      <c r="F104" s="146">
        <f t="shared" si="17"/>
        <v>0.30299999999999999</v>
      </c>
      <c r="G104" s="78">
        <v>7.0000000000000007E-2</v>
      </c>
      <c r="H104" s="13">
        <v>2.7E-2</v>
      </c>
      <c r="I104" s="15">
        <v>0</v>
      </c>
      <c r="J104" s="13"/>
      <c r="K104" s="78">
        <v>8.2000000000000003E-2</v>
      </c>
      <c r="L104" s="13"/>
      <c r="M104" s="13">
        <v>8.5999999999999993E-2</v>
      </c>
      <c r="N104" s="78">
        <v>3.7999999999999999E-2</v>
      </c>
      <c r="O104" s="13"/>
      <c r="P104" s="13"/>
      <c r="R104" s="148">
        <f>'Parameters, country spec'!J15</f>
        <v>4.0331815431012885E-2</v>
      </c>
    </row>
    <row r="105" spans="1:18" x14ac:dyDescent="0.3">
      <c r="A105" s="21" t="s">
        <v>385</v>
      </c>
      <c r="B105" s="16" t="s">
        <v>173</v>
      </c>
      <c r="C105" s="16" t="s">
        <v>382</v>
      </c>
      <c r="D105" s="22" t="s">
        <v>38</v>
      </c>
      <c r="E105" s="22" t="s">
        <v>92</v>
      </c>
      <c r="F105" s="146">
        <f t="shared" si="17"/>
        <v>0.20499999999999999</v>
      </c>
      <c r="G105" s="78">
        <v>6.2E-2</v>
      </c>
      <c r="H105" s="13">
        <v>2.7E-2</v>
      </c>
      <c r="I105" s="13">
        <v>0</v>
      </c>
      <c r="J105" s="13"/>
      <c r="K105" s="78">
        <v>7.8E-2</v>
      </c>
      <c r="L105" s="13"/>
      <c r="M105" s="13">
        <v>0</v>
      </c>
      <c r="N105" s="78">
        <v>3.7999999999999999E-2</v>
      </c>
      <c r="O105" s="13"/>
      <c r="P105" s="13"/>
      <c r="R105" s="148">
        <f>'Parameters, country spec'!J16</f>
        <v>1.0645865256161584E-2</v>
      </c>
    </row>
    <row r="106" spans="1:18" x14ac:dyDescent="0.3">
      <c r="A106" s="21" t="s">
        <v>386</v>
      </c>
      <c r="B106" s="16" t="s">
        <v>174</v>
      </c>
      <c r="C106" s="16" t="s">
        <v>382</v>
      </c>
      <c r="D106" s="22" t="s">
        <v>38</v>
      </c>
      <c r="E106" s="22" t="s">
        <v>92</v>
      </c>
      <c r="F106" s="146">
        <f t="shared" si="17"/>
        <v>0.21199999999999999</v>
      </c>
      <c r="G106" s="78">
        <v>9.0999999999999998E-2</v>
      </c>
      <c r="H106" s="13">
        <v>2.7E-2</v>
      </c>
      <c r="I106" s="13">
        <v>0</v>
      </c>
      <c r="J106" s="13"/>
      <c r="K106" s="78">
        <v>5.2999999999999999E-2</v>
      </c>
      <c r="L106" s="13"/>
      <c r="M106" s="13">
        <v>3.0000000000000001E-3</v>
      </c>
      <c r="N106" s="78">
        <v>3.7999999999999999E-2</v>
      </c>
      <c r="O106" s="13"/>
      <c r="P106" s="13"/>
      <c r="R106" s="148">
        <f>'Parameters, country spec'!J17</f>
        <v>0.21912340485214174</v>
      </c>
    </row>
    <row r="107" spans="1:18" x14ac:dyDescent="0.3">
      <c r="A107" s="21" t="s">
        <v>387</v>
      </c>
      <c r="B107" s="16" t="s">
        <v>175</v>
      </c>
      <c r="C107" s="16" t="s">
        <v>388</v>
      </c>
      <c r="D107" s="22" t="s">
        <v>38</v>
      </c>
      <c r="E107" s="22" t="s">
        <v>92</v>
      </c>
      <c r="F107" s="146">
        <f t="shared" si="17"/>
        <v>0.17900000000000002</v>
      </c>
      <c r="G107" s="78">
        <v>0</v>
      </c>
      <c r="H107" s="13">
        <v>2.7E-2</v>
      </c>
      <c r="I107" s="15">
        <v>0</v>
      </c>
      <c r="J107" s="13"/>
      <c r="K107" s="78">
        <v>0.113</v>
      </c>
      <c r="L107" s="15"/>
      <c r="M107" s="13">
        <v>1E-3</v>
      </c>
      <c r="N107" s="78">
        <v>3.7999999999999999E-2</v>
      </c>
      <c r="O107" s="13"/>
      <c r="P107" s="13"/>
      <c r="R107" s="148">
        <f>'Parameters, country spec'!J18</f>
        <v>3.4365153377819394E-3</v>
      </c>
    </row>
    <row r="108" spans="1:18" x14ac:dyDescent="0.3">
      <c r="A108" s="21" t="s">
        <v>389</v>
      </c>
      <c r="B108" s="16" t="s">
        <v>176</v>
      </c>
      <c r="C108" s="16" t="s">
        <v>388</v>
      </c>
      <c r="D108" s="22" t="s">
        <v>38</v>
      </c>
      <c r="E108" s="22" t="s">
        <v>92</v>
      </c>
      <c r="F108" s="146">
        <f t="shared" si="17"/>
        <v>0.216</v>
      </c>
      <c r="G108" s="78">
        <v>4.0000000000000001E-3</v>
      </c>
      <c r="H108" s="13">
        <v>2.7E-2</v>
      </c>
      <c r="I108" s="15">
        <v>0</v>
      </c>
      <c r="J108" s="13"/>
      <c r="K108" s="78">
        <v>0.13100000000000001</v>
      </c>
      <c r="L108" s="13"/>
      <c r="M108" s="13">
        <v>1.6E-2</v>
      </c>
      <c r="N108" s="78">
        <v>3.7999999999999999E-2</v>
      </c>
      <c r="O108" s="13"/>
      <c r="P108" s="13"/>
      <c r="R108" s="148">
        <f>'Parameters, country spec'!J19</f>
        <v>3.3757905268185459E-3</v>
      </c>
    </row>
    <row r="109" spans="1:18" x14ac:dyDescent="0.3">
      <c r="B109" s="17" t="s">
        <v>178</v>
      </c>
      <c r="C109" s="16" t="s">
        <v>390</v>
      </c>
      <c r="D109" s="22" t="s">
        <v>466</v>
      </c>
      <c r="E109" s="22"/>
      <c r="F109" s="114">
        <f>SUM(G109:Q109)</f>
        <v>0.27085685084992916</v>
      </c>
      <c r="G109" s="19">
        <f>'Off-farm feed'!$F$74</f>
        <v>0.11176753125767681</v>
      </c>
      <c r="H109" s="19">
        <f>'Off-farm feed'!$G$74</f>
        <v>1.3034482758620692E-2</v>
      </c>
      <c r="I109" s="19">
        <f>'Off-farm feed'!$H$74</f>
        <v>0</v>
      </c>
      <c r="J109" s="19"/>
      <c r="K109" s="19">
        <f>'Off-farm feed'!$J$74</f>
        <v>2.4688740026345454E-2</v>
      </c>
      <c r="L109" s="19"/>
      <c r="M109" s="244">
        <f>'Off-farm feed'!$L$74</f>
        <v>1.931759303794134E-4</v>
      </c>
      <c r="N109" s="19">
        <f>'Off-farm feed'!$M$74</f>
        <v>3.6802128767029069E-2</v>
      </c>
      <c r="O109" s="19">
        <f>'Off-farm feed'!$N$74</f>
        <v>0</v>
      </c>
      <c r="P109" s="19">
        <f>'Off-farm feed'!$O$74</f>
        <v>2.1170792109877701E-2</v>
      </c>
      <c r="Q109" s="19">
        <f>'Off-farm feed'!$P$74</f>
        <v>6.3200000000000006E-2</v>
      </c>
      <c r="R109" s="148">
        <f>'Parameters, country spec'!J20</f>
        <v>9.9524742143764257E-3</v>
      </c>
    </row>
    <row r="110" spans="1:18" x14ac:dyDescent="0.3">
      <c r="B110" s="17" t="s">
        <v>391</v>
      </c>
      <c r="C110" s="16" t="s">
        <v>390</v>
      </c>
      <c r="D110" s="22" t="s">
        <v>442</v>
      </c>
      <c r="E110" s="22"/>
      <c r="F110" s="114">
        <f>SUM(G110:Q110)</f>
        <v>0.7061171705997602</v>
      </c>
      <c r="G110" s="19">
        <f>'Off-farm feed'!$F$23</f>
        <v>7.2632670993098931E-3</v>
      </c>
      <c r="H110" s="19">
        <f>'Off-farm feed'!$G$23</f>
        <v>2.1402439024390246E-2</v>
      </c>
      <c r="I110" s="19">
        <f>'Off-farm feed'!$H$23</f>
        <v>0</v>
      </c>
      <c r="J110" s="19"/>
      <c r="K110" s="19">
        <f>'Off-farm feed'!$J$23</f>
        <v>4.308361966433235E-2</v>
      </c>
      <c r="L110" s="19"/>
      <c r="M110" s="244">
        <f>'Off-farm feed'!$L$23</f>
        <v>1.7842060425123844E-4</v>
      </c>
      <c r="N110" s="19">
        <f>'Off-farm feed'!$M$23</f>
        <v>3.0432604948959403E-2</v>
      </c>
      <c r="O110" s="19">
        <f>'Off-farm feed'!$N$23</f>
        <v>0.31761120248475611</v>
      </c>
      <c r="P110" s="19">
        <f>'Off-farm feed'!$O$23</f>
        <v>3.5145616773760872E-2</v>
      </c>
      <c r="Q110" s="19">
        <f>'Off-farm feed'!$P$23</f>
        <v>0.251</v>
      </c>
      <c r="R110" s="148">
        <f>'Parameters, country spec'!J21</f>
        <v>8.507721741542934E-2</v>
      </c>
    </row>
    <row r="111" spans="1:18" x14ac:dyDescent="0.3">
      <c r="B111" s="16" t="s">
        <v>182</v>
      </c>
      <c r="C111" s="16" t="s">
        <v>392</v>
      </c>
      <c r="D111" s="22" t="s">
        <v>38</v>
      </c>
      <c r="E111" s="22" t="s">
        <v>92</v>
      </c>
      <c r="F111" s="114">
        <f>SUM(G111:Q111)</f>
        <v>0.50525475451354629</v>
      </c>
      <c r="G111" s="78">
        <v>4.5328919763541801E-2</v>
      </c>
      <c r="H111" s="15">
        <v>1.35108E-2</v>
      </c>
      <c r="K111" s="15">
        <v>4.3295223107013898E-2</v>
      </c>
      <c r="N111" s="103"/>
      <c r="O111" s="7"/>
      <c r="P111" s="15">
        <v>0.30592349396770402</v>
      </c>
      <c r="Q111" s="15">
        <v>9.7196317675286595E-2</v>
      </c>
      <c r="R111" s="148">
        <f>'Parameters, country spec'!J22</f>
        <v>1.3071081676498808E-2</v>
      </c>
    </row>
    <row r="112" spans="1:18" x14ac:dyDescent="0.3">
      <c r="A112" s="81"/>
      <c r="B112" s="16" t="s">
        <v>393</v>
      </c>
      <c r="C112" s="82" t="s">
        <v>394</v>
      </c>
      <c r="D112" s="22" t="s">
        <v>38</v>
      </c>
      <c r="E112" s="22" t="s">
        <v>92</v>
      </c>
      <c r="F112" s="161">
        <f t="shared" si="17"/>
        <v>0.19831626778681055</v>
      </c>
      <c r="G112" s="79">
        <f t="shared" ref="G112:N112" si="18">AVERAGE(G102:G110)</f>
        <v>5.5781199817442971E-2</v>
      </c>
      <c r="H112" s="79">
        <f t="shared" si="18"/>
        <v>2.4826324642556769E-2</v>
      </c>
      <c r="I112" s="79">
        <f t="shared" si="18"/>
        <v>0</v>
      </c>
      <c r="J112" s="79"/>
      <c r="K112" s="79">
        <f t="shared" si="18"/>
        <v>6.6196928854519763E-2</v>
      </c>
      <c r="L112" s="79"/>
      <c r="M112" s="79">
        <f t="shared" si="18"/>
        <v>1.4485732948292295E-2</v>
      </c>
      <c r="N112" s="79">
        <f t="shared" si="18"/>
        <v>3.7026081523998715E-2</v>
      </c>
      <c r="O112" s="79"/>
      <c r="P112" s="79"/>
      <c r="Q112" s="79"/>
      <c r="R112" s="148">
        <f>'Parameters, country spec'!J23</f>
        <v>1.5143904035636976E-2</v>
      </c>
    </row>
    <row r="113" spans="1:18" x14ac:dyDescent="0.3">
      <c r="A113" s="147"/>
      <c r="B113" s="24" t="s">
        <v>395</v>
      </c>
      <c r="C113" s="25"/>
      <c r="D113" s="100"/>
      <c r="E113" s="100"/>
      <c r="F113" s="26">
        <f>SUMPRODUCT(F102:F112,$R$102:$R$112)</f>
        <v>0.24757033310695778</v>
      </c>
      <c r="G113" s="26">
        <f>SUMPRODUCT(G102:G112,$R$102:$R$112)</f>
        <v>7.3309725696514033E-2</v>
      </c>
      <c r="H113" s="26">
        <f>SUMPRODUCT(H102:H112,$R$102:$R$112)</f>
        <v>2.6175547271678288E-2</v>
      </c>
      <c r="I113" s="26">
        <f>SUMPRODUCT(I102:I112,$R$102:$R$112)</f>
        <v>0</v>
      </c>
      <c r="J113" s="26"/>
      <c r="K113" s="26">
        <f>SUMPRODUCT(K102:K112,$R$102:$R$112)</f>
        <v>4.1664490149991767E-2</v>
      </c>
      <c r="L113" s="26"/>
      <c r="M113" s="26">
        <f>SUMPRODUCT(M102:M112,$R$102:$R$112)</f>
        <v>1.2112894422578516E-2</v>
      </c>
      <c r="N113" s="26">
        <f>SUMPRODUCT(N102:N112,$R$102:$R$112)</f>
        <v>3.6832815271769834E-2</v>
      </c>
      <c r="O113" s="26">
        <f>SUMPRODUCT(O102:O112,$R$102:$R$112)</f>
        <v>2.7021477327371545E-2</v>
      </c>
      <c r="P113" s="26">
        <f>SUMPRODUCT(P102:P112,R102:R112)</f>
        <v>7.1995440184438458E-3</v>
      </c>
      <c r="Q113" s="26">
        <f>SUMPRODUCT(Q102:Q112,$R$102:$R$112)</f>
        <v>2.3253838948609953E-2</v>
      </c>
      <c r="R113" s="149"/>
    </row>
    <row r="114" spans="1:18" x14ac:dyDescent="0.3">
      <c r="A114" s="21" t="s">
        <v>381</v>
      </c>
      <c r="B114" s="16" t="s">
        <v>169</v>
      </c>
      <c r="C114" s="16" t="s">
        <v>382</v>
      </c>
      <c r="D114" s="22" t="s">
        <v>34</v>
      </c>
      <c r="E114" s="22" t="s">
        <v>93</v>
      </c>
      <c r="F114" s="146">
        <f>SUM(G114:Q114)</f>
        <v>0.16700000000000001</v>
      </c>
      <c r="G114" s="78">
        <v>6.4000000000000001E-2</v>
      </c>
      <c r="H114" s="13">
        <v>2.7E-2</v>
      </c>
      <c r="I114" s="15">
        <v>0</v>
      </c>
      <c r="J114" s="13"/>
      <c r="K114" s="78">
        <v>4.1000000000000002E-2</v>
      </c>
      <c r="L114" s="13"/>
      <c r="M114" s="13">
        <v>0</v>
      </c>
      <c r="N114" s="78">
        <v>3.5000000000000003E-2</v>
      </c>
      <c r="O114" s="13"/>
      <c r="P114" s="13"/>
      <c r="R114" s="148">
        <f>'Parameters, country spec'!K13</f>
        <v>0.13430583669548862</v>
      </c>
    </row>
    <row r="115" spans="1:18" x14ac:dyDescent="0.3">
      <c r="A115" s="21" t="s">
        <v>383</v>
      </c>
      <c r="B115" s="16" t="s">
        <v>171</v>
      </c>
      <c r="C115" s="16" t="s">
        <v>382</v>
      </c>
      <c r="D115" s="22" t="s">
        <v>34</v>
      </c>
      <c r="E115" s="22" t="s">
        <v>93</v>
      </c>
      <c r="F115" s="146">
        <f t="shared" ref="F115:F120" si="19">SUM(G115:Q115)</f>
        <v>0.157</v>
      </c>
      <c r="G115" s="78">
        <v>6.3E-2</v>
      </c>
      <c r="H115" s="13">
        <v>2.7E-2</v>
      </c>
      <c r="I115" s="15">
        <v>0</v>
      </c>
      <c r="J115" s="13"/>
      <c r="K115" s="78">
        <v>2.8000000000000001E-2</v>
      </c>
      <c r="L115" s="13"/>
      <c r="M115" s="13">
        <v>4.0000000000000001E-3</v>
      </c>
      <c r="N115" s="78">
        <v>3.5000000000000003E-2</v>
      </c>
      <c r="O115" s="13"/>
      <c r="P115" s="13"/>
      <c r="R115" s="148">
        <f>'Parameters, country spec'!K14</f>
        <v>5.9748696560920867E-3</v>
      </c>
    </row>
    <row r="116" spans="1:18" x14ac:dyDescent="0.3">
      <c r="A116" s="21" t="s">
        <v>384</v>
      </c>
      <c r="B116" s="16" t="s">
        <v>172</v>
      </c>
      <c r="C116" s="16" t="s">
        <v>382</v>
      </c>
      <c r="D116" s="22" t="s">
        <v>34</v>
      </c>
      <c r="E116" s="22" t="s">
        <v>93</v>
      </c>
      <c r="F116" s="146">
        <f t="shared" si="19"/>
        <v>0.16600000000000001</v>
      </c>
      <c r="G116" s="78">
        <v>5.7000000000000002E-2</v>
      </c>
      <c r="H116" s="13">
        <v>2.7E-2</v>
      </c>
      <c r="I116" s="15">
        <v>0</v>
      </c>
      <c r="J116" s="13"/>
      <c r="K116" s="78">
        <v>4.7E-2</v>
      </c>
      <c r="L116" s="13"/>
      <c r="M116" s="13">
        <v>0</v>
      </c>
      <c r="N116" s="78">
        <v>3.5000000000000003E-2</v>
      </c>
      <c r="O116" s="13"/>
      <c r="P116" s="13"/>
      <c r="R116" s="148">
        <f>'Parameters, country spec'!K15</f>
        <v>0.14610456381313297</v>
      </c>
    </row>
    <row r="117" spans="1:18" x14ac:dyDescent="0.3">
      <c r="A117" s="21" t="s">
        <v>385</v>
      </c>
      <c r="B117" s="16" t="s">
        <v>173</v>
      </c>
      <c r="C117" s="16" t="s">
        <v>382</v>
      </c>
      <c r="D117" s="22" t="s">
        <v>34</v>
      </c>
      <c r="E117" s="22" t="s">
        <v>93</v>
      </c>
      <c r="F117" s="146">
        <f t="shared" si="19"/>
        <v>0.14300000000000002</v>
      </c>
      <c r="G117" s="78">
        <v>0.05</v>
      </c>
      <c r="H117" s="13">
        <v>2.7E-2</v>
      </c>
      <c r="I117" s="13">
        <v>0</v>
      </c>
      <c r="J117" s="13"/>
      <c r="K117" s="78">
        <v>3.1E-2</v>
      </c>
      <c r="L117" s="13"/>
      <c r="M117" s="13">
        <v>0</v>
      </c>
      <c r="N117" s="78">
        <v>3.5000000000000003E-2</v>
      </c>
      <c r="O117" s="13"/>
      <c r="P117" s="13"/>
      <c r="R117" s="148">
        <f>'Parameters, country spec'!K16</f>
        <v>9.236749949865944E-5</v>
      </c>
    </row>
    <row r="118" spans="1:18" x14ac:dyDescent="0.3">
      <c r="A118" s="21" t="s">
        <v>386</v>
      </c>
      <c r="B118" s="16" t="s">
        <v>174</v>
      </c>
      <c r="C118" s="16" t="s">
        <v>382</v>
      </c>
      <c r="D118" s="22" t="s">
        <v>34</v>
      </c>
      <c r="E118" s="22" t="s">
        <v>93</v>
      </c>
      <c r="F118" s="146">
        <f t="shared" si="19"/>
        <v>0.16500000000000001</v>
      </c>
      <c r="G118" s="78">
        <v>7.3999999999999996E-2</v>
      </c>
      <c r="H118" s="13">
        <v>2.7E-2</v>
      </c>
      <c r="I118" s="13">
        <v>0</v>
      </c>
      <c r="J118" s="13"/>
      <c r="K118" s="78">
        <v>2.9000000000000001E-2</v>
      </c>
      <c r="L118" s="13"/>
      <c r="M118" s="13">
        <v>0</v>
      </c>
      <c r="N118" s="78">
        <v>3.5000000000000003E-2</v>
      </c>
      <c r="O118" s="13"/>
      <c r="P118" s="13"/>
      <c r="R118" s="148">
        <f>'Parameters, country spec'!K17</f>
        <v>0.58258426025934973</v>
      </c>
    </row>
    <row r="119" spans="1:18" x14ac:dyDescent="0.3">
      <c r="A119" s="21" t="s">
        <v>387</v>
      </c>
      <c r="B119" s="16" t="s">
        <v>175</v>
      </c>
      <c r="C119" s="16" t="s">
        <v>388</v>
      </c>
      <c r="D119" s="22" t="s">
        <v>34</v>
      </c>
      <c r="E119" s="22" t="s">
        <v>93</v>
      </c>
      <c r="F119" s="146">
        <f t="shared" si="19"/>
        <v>0.11900000000000001</v>
      </c>
      <c r="G119" s="78">
        <v>0</v>
      </c>
      <c r="H119" s="13">
        <v>2.7E-2</v>
      </c>
      <c r="I119" s="15">
        <v>0</v>
      </c>
      <c r="J119" s="13"/>
      <c r="K119" s="78">
        <v>5.7000000000000002E-2</v>
      </c>
      <c r="L119" s="15"/>
      <c r="M119" s="13">
        <v>0</v>
      </c>
      <c r="N119" s="78">
        <v>3.5000000000000003E-2</v>
      </c>
      <c r="O119" s="13"/>
      <c r="P119" s="13"/>
      <c r="R119" s="148">
        <f>'Parameters, country spec'!K18</f>
        <v>4.9593085693149293E-3</v>
      </c>
    </row>
    <row r="120" spans="1:18" x14ac:dyDescent="0.3">
      <c r="A120" s="21" t="s">
        <v>389</v>
      </c>
      <c r="B120" s="16" t="s">
        <v>176</v>
      </c>
      <c r="C120" s="16" t="s">
        <v>388</v>
      </c>
      <c r="D120" s="22" t="s">
        <v>34</v>
      </c>
      <c r="E120" s="22" t="s">
        <v>93</v>
      </c>
      <c r="F120" s="146">
        <f t="shared" si="19"/>
        <v>0.15000000000000002</v>
      </c>
      <c r="G120" s="78">
        <v>3.0000000000000001E-3</v>
      </c>
      <c r="H120" s="13">
        <v>2.7E-2</v>
      </c>
      <c r="I120" s="15">
        <v>0</v>
      </c>
      <c r="J120" s="13"/>
      <c r="K120" s="78">
        <v>8.5000000000000006E-2</v>
      </c>
      <c r="L120" s="13"/>
      <c r="M120" s="13">
        <v>0</v>
      </c>
      <c r="N120" s="78">
        <v>3.5000000000000003E-2</v>
      </c>
      <c r="O120" s="13"/>
      <c r="P120" s="13"/>
      <c r="R120" s="148">
        <f>'Parameters, country spec'!K19</f>
        <v>4.8716753013175445E-3</v>
      </c>
    </row>
    <row r="121" spans="1:18" x14ac:dyDescent="0.3">
      <c r="B121" s="17" t="s">
        <v>178</v>
      </c>
      <c r="C121" s="16" t="s">
        <v>390</v>
      </c>
      <c r="D121" s="22" t="s">
        <v>466</v>
      </c>
      <c r="E121" s="22"/>
      <c r="F121" s="114">
        <f>SUM(G121:Q121)</f>
        <v>0.27085685084992916</v>
      </c>
      <c r="G121" s="19">
        <f>'Off-farm feed'!$F$74</f>
        <v>0.11176753125767681</v>
      </c>
      <c r="H121" s="19">
        <f>'Off-farm feed'!$G$74</f>
        <v>1.3034482758620692E-2</v>
      </c>
      <c r="I121" s="19">
        <f>'Off-farm feed'!$H$74</f>
        <v>0</v>
      </c>
      <c r="J121" s="19"/>
      <c r="K121" s="19">
        <f>'Off-farm feed'!$J$74</f>
        <v>2.4688740026345454E-2</v>
      </c>
      <c r="L121" s="19"/>
      <c r="M121" s="244">
        <f>'Off-farm feed'!$L$74</f>
        <v>1.931759303794134E-4</v>
      </c>
      <c r="N121" s="19">
        <f>'Off-farm feed'!$M$74</f>
        <v>3.6802128767029069E-2</v>
      </c>
      <c r="O121" s="19">
        <f>'Off-farm feed'!$N$74</f>
        <v>0</v>
      </c>
      <c r="P121" s="19">
        <f>'Off-farm feed'!$O$74</f>
        <v>2.1170792109877701E-2</v>
      </c>
      <c r="Q121" s="19">
        <f>'Off-farm feed'!$P$74</f>
        <v>6.3200000000000006E-2</v>
      </c>
      <c r="R121" s="148">
        <f>'Parameters, country spec'!K20</f>
        <v>2.1892083763360489E-2</v>
      </c>
    </row>
    <row r="122" spans="1:18" x14ac:dyDescent="0.3">
      <c r="B122" s="17" t="s">
        <v>391</v>
      </c>
      <c r="C122" s="16" t="s">
        <v>390</v>
      </c>
      <c r="D122" s="22" t="s">
        <v>442</v>
      </c>
      <c r="E122" s="22"/>
      <c r="F122" s="114">
        <f>SUM(G122:Q122)</f>
        <v>0.7061171705997602</v>
      </c>
      <c r="G122" s="19">
        <f>'Off-farm feed'!$F$23</f>
        <v>7.2632670993098931E-3</v>
      </c>
      <c r="H122" s="19">
        <f>'Off-farm feed'!$G$23</f>
        <v>2.1402439024390246E-2</v>
      </c>
      <c r="I122" s="19">
        <f>'Off-farm feed'!$H$23</f>
        <v>0</v>
      </c>
      <c r="J122" s="19"/>
      <c r="K122" s="19">
        <f>'Off-farm feed'!$J$23</f>
        <v>4.308361966433235E-2</v>
      </c>
      <c r="L122" s="19"/>
      <c r="M122" s="244">
        <f>'Off-farm feed'!$L$23</f>
        <v>1.7842060425123844E-4</v>
      </c>
      <c r="N122" s="19">
        <f>'Off-farm feed'!$M$23</f>
        <v>3.0432604948959403E-2</v>
      </c>
      <c r="O122" s="19">
        <f>'Off-farm feed'!$N$23</f>
        <v>0.31761120248475611</v>
      </c>
      <c r="P122" s="19">
        <f>'Off-farm feed'!$O$23</f>
        <v>3.5145616773760872E-2</v>
      </c>
      <c r="Q122" s="19">
        <f>'Off-farm feed'!$P$23</f>
        <v>0.251</v>
      </c>
      <c r="R122" s="148">
        <f>'Parameters, country spec'!K21</f>
        <v>3.411102350419503E-2</v>
      </c>
    </row>
    <row r="123" spans="1:18" x14ac:dyDescent="0.3">
      <c r="B123" s="16" t="s">
        <v>182</v>
      </c>
      <c r="C123" s="16" t="s">
        <v>392</v>
      </c>
      <c r="D123" s="22" t="s">
        <v>34</v>
      </c>
      <c r="E123" s="22" t="s">
        <v>93</v>
      </c>
      <c r="F123" s="114">
        <f>SUM(G123:Q123)</f>
        <v>0.20786505990095008</v>
      </c>
      <c r="G123" s="78">
        <v>3.8442922292579597E-2</v>
      </c>
      <c r="H123" s="15">
        <v>1.35108E-2</v>
      </c>
      <c r="K123" s="15">
        <v>3.3024922817634902E-2</v>
      </c>
      <c r="N123" s="103"/>
      <c r="O123" s="7"/>
      <c r="P123" s="15">
        <v>0.104008553970993</v>
      </c>
      <c r="Q123" s="15">
        <v>1.88778608197426E-2</v>
      </c>
      <c r="R123" s="148">
        <f>'Parameters, country spec'!K22</f>
        <v>2.7931248345105162E-2</v>
      </c>
    </row>
    <row r="124" spans="1:18" x14ac:dyDescent="0.3">
      <c r="A124" s="81"/>
      <c r="B124" s="16" t="s">
        <v>393</v>
      </c>
      <c r="C124" s="82" t="s">
        <v>394</v>
      </c>
      <c r="D124" s="22" t="s">
        <v>34</v>
      </c>
      <c r="E124" s="22" t="s">
        <v>93</v>
      </c>
      <c r="F124" s="161">
        <f>SUM(G124:Q124)</f>
        <v>0.15064960112014386</v>
      </c>
      <c r="G124" s="79">
        <f>AVERAGE(G114:G122)</f>
        <v>4.7781199817442971E-2</v>
      </c>
      <c r="H124" s="79">
        <f>AVERAGE(H114:H122)</f>
        <v>2.4826324642556769E-2</v>
      </c>
      <c r="I124" s="79">
        <f t="shared" ref="I124:N124" si="20">AVERAGE(I114:I122)</f>
        <v>0</v>
      </c>
      <c r="J124" s="79"/>
      <c r="K124" s="79">
        <f t="shared" si="20"/>
        <v>4.2863595521186425E-2</v>
      </c>
      <c r="L124" s="79"/>
      <c r="M124" s="79">
        <f t="shared" si="20"/>
        <v>4.8573294829229474E-4</v>
      </c>
      <c r="N124" s="79">
        <f t="shared" si="20"/>
        <v>3.4692748190665389E-2</v>
      </c>
      <c r="O124" s="79"/>
      <c r="P124" s="79"/>
      <c r="Q124" s="79"/>
      <c r="R124" s="148">
        <f>'Parameters, country spec'!K23</f>
        <v>3.7172762593144865E-2</v>
      </c>
    </row>
    <row r="125" spans="1:18" x14ac:dyDescent="0.3">
      <c r="A125" s="147"/>
      <c r="B125" s="24" t="s">
        <v>395</v>
      </c>
      <c r="C125" s="25"/>
      <c r="D125" s="100"/>
      <c r="E125" s="100"/>
      <c r="F125" s="26">
        <f>SUMPRODUCT(F114:F124,$R$114:$R$124)</f>
        <v>0.18650300010458573</v>
      </c>
      <c r="G125" s="26">
        <f t="shared" ref="G125:Q125" si="21">SUMPRODUCT(G114:G124,$R$114:$R$124)</f>
        <v>6.5974918772218338E-2</v>
      </c>
      <c r="H125" s="26">
        <f t="shared" si="21"/>
        <v>2.6045755479554285E-2</v>
      </c>
      <c r="I125" s="26">
        <f t="shared" si="21"/>
        <v>0</v>
      </c>
      <c r="J125" s="26"/>
      <c r="K125" s="26">
        <f t="shared" si="21"/>
        <v>3.466122999185077E-2</v>
      </c>
      <c r="L125" s="26"/>
      <c r="M125" s="26">
        <f t="shared" si="21"/>
        <v>5.227064726908402E-5</v>
      </c>
      <c r="N125" s="26">
        <f t="shared" si="21"/>
        <v>3.3894638743337792E-2</v>
      </c>
      <c r="O125" s="26">
        <f t="shared" si="21"/>
        <v>1.0834043193153162E-2</v>
      </c>
      <c r="P125" s="26">
        <f>SUMPRODUCT(P114:P124,R114:R124)</f>
        <v>4.5674144650244015E-3</v>
      </c>
      <c r="Q125" s="26">
        <f t="shared" si="21"/>
        <v>1.0472728812177897E-2</v>
      </c>
      <c r="R125" s="14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tabColor theme="4" tint="0.79998168889431442"/>
  </sheetPr>
  <dimension ref="A2:S125"/>
  <sheetViews>
    <sheetView topLeftCell="B61" zoomScale="74" zoomScaleNormal="80" workbookViewId="0">
      <selection activeCell="S88" sqref="S88"/>
    </sheetView>
  </sheetViews>
  <sheetFormatPr defaultColWidth="8.88671875" defaultRowHeight="14.4" x14ac:dyDescent="0.3"/>
  <cols>
    <col min="1" max="1" width="8.5546875" customWidth="1"/>
    <col min="2" max="2" width="30.44140625" customWidth="1"/>
    <col min="3" max="3" width="19" customWidth="1"/>
    <col min="4" max="4" width="12.88671875" customWidth="1"/>
    <col min="5" max="5" width="11.44140625" customWidth="1"/>
    <col min="6" max="10" width="12.5546875" customWidth="1"/>
    <col min="11" max="11" width="14.44140625" customWidth="1"/>
    <col min="12" max="18" width="12.5546875" customWidth="1"/>
  </cols>
  <sheetData>
    <row r="2" spans="1:18" ht="21" x14ac:dyDescent="0.4">
      <c r="A2" s="2" t="s">
        <v>396</v>
      </c>
      <c r="F2" t="s">
        <v>372</v>
      </c>
      <c r="O2" t="s">
        <v>373</v>
      </c>
    </row>
    <row r="3" spans="1:18" x14ac:dyDescent="0.3">
      <c r="H3" s="8"/>
      <c r="I3" s="8"/>
      <c r="J3" s="8"/>
      <c r="K3" s="8"/>
      <c r="L3" s="8"/>
      <c r="M3" s="8"/>
      <c r="N3" s="8"/>
    </row>
    <row r="4" spans="1:18" ht="28.8" x14ac:dyDescent="0.3">
      <c r="A4" s="150" t="s">
        <v>374</v>
      </c>
      <c r="B4" s="140"/>
      <c r="C4" s="140"/>
      <c r="D4" s="140"/>
      <c r="E4" s="140"/>
      <c r="F4" s="141" t="s">
        <v>102</v>
      </c>
      <c r="G4" s="141" t="s">
        <v>103</v>
      </c>
      <c r="H4" s="142"/>
      <c r="I4" s="141" t="s">
        <v>104</v>
      </c>
      <c r="J4" s="101"/>
      <c r="K4" s="141" t="s">
        <v>105</v>
      </c>
      <c r="L4" s="101"/>
      <c r="M4" s="101"/>
      <c r="N4" s="101"/>
      <c r="O4" s="102" t="s">
        <v>106</v>
      </c>
      <c r="P4" s="102" t="s">
        <v>107</v>
      </c>
      <c r="Q4" s="143" t="s">
        <v>108</v>
      </c>
      <c r="R4" s="141" t="s">
        <v>375</v>
      </c>
    </row>
    <row r="5" spans="1:18" ht="57" customHeight="1" x14ac:dyDescent="0.3">
      <c r="A5" s="95" t="s">
        <v>60</v>
      </c>
      <c r="B5" s="95" t="s">
        <v>374</v>
      </c>
      <c r="C5" s="95" t="s">
        <v>376</v>
      </c>
      <c r="D5" s="95" t="s">
        <v>63</v>
      </c>
      <c r="E5" s="145" t="s">
        <v>64</v>
      </c>
      <c r="F5" s="144"/>
      <c r="G5" s="96" t="s">
        <v>16</v>
      </c>
      <c r="H5" s="96" t="s">
        <v>17</v>
      </c>
      <c r="I5" s="96" t="s">
        <v>377</v>
      </c>
      <c r="J5" s="96" t="s">
        <v>378</v>
      </c>
      <c r="K5" s="96" t="s">
        <v>117</v>
      </c>
      <c r="L5" s="96" t="s">
        <v>118</v>
      </c>
      <c r="M5" s="96" t="s">
        <v>119</v>
      </c>
      <c r="N5" s="96" t="s">
        <v>120</v>
      </c>
      <c r="O5" s="96" t="s">
        <v>121</v>
      </c>
      <c r="P5" s="96" t="s">
        <v>107</v>
      </c>
      <c r="Q5" s="145" t="s">
        <v>380</v>
      </c>
      <c r="R5" s="96"/>
    </row>
    <row r="6" spans="1:18" x14ac:dyDescent="0.3">
      <c r="A6" s="21" t="s">
        <v>381</v>
      </c>
      <c r="B6" s="16" t="s">
        <v>169</v>
      </c>
      <c r="C6" s="16" t="s">
        <v>382</v>
      </c>
      <c r="D6" s="22" t="s">
        <v>36</v>
      </c>
      <c r="E6" s="22" t="s">
        <v>84</v>
      </c>
      <c r="F6" s="162">
        <f>SUM(G6:Q6)</f>
        <v>2.8210000000000003E-4</v>
      </c>
      <c r="G6" s="97">
        <v>1.4999999999999999E-4</v>
      </c>
      <c r="H6" s="98">
        <v>1E-4</v>
      </c>
      <c r="I6" s="15"/>
      <c r="J6" s="13"/>
      <c r="K6" s="99">
        <v>1.3200000000000001E-5</v>
      </c>
      <c r="L6" s="99"/>
      <c r="M6" s="99">
        <v>9.9999999999999995E-7</v>
      </c>
      <c r="N6" s="99">
        <v>1.7900000000000001E-5</v>
      </c>
      <c r="O6" s="99"/>
      <c r="P6" s="99"/>
      <c r="Q6" s="13"/>
      <c r="R6" s="148">
        <f>'Parameters, country spec'!B13</f>
        <v>0.16402988956347125</v>
      </c>
    </row>
    <row r="7" spans="1:18" x14ac:dyDescent="0.3">
      <c r="A7" s="21" t="s">
        <v>383</v>
      </c>
      <c r="B7" s="16" t="s">
        <v>171</v>
      </c>
      <c r="C7" s="16" t="s">
        <v>382</v>
      </c>
      <c r="D7" s="22" t="s">
        <v>36</v>
      </c>
      <c r="E7" s="22" t="s">
        <v>84</v>
      </c>
      <c r="F7" s="162">
        <f t="shared" ref="F7:F15" si="0">SUM(G7:Q7)</f>
        <v>2.9971000000000002E-4</v>
      </c>
      <c r="G7" s="97">
        <v>1.4999999999999999E-4</v>
      </c>
      <c r="H7" s="98">
        <v>1E-4</v>
      </c>
      <c r="I7" s="15"/>
      <c r="J7" s="13"/>
      <c r="K7" s="99">
        <v>9.0100000000000001E-6</v>
      </c>
      <c r="L7" s="99"/>
      <c r="M7" s="99">
        <v>2.2799999999999999E-5</v>
      </c>
      <c r="N7" s="99">
        <v>1.7900000000000001E-5</v>
      </c>
      <c r="O7" s="99"/>
      <c r="P7" s="99"/>
      <c r="Q7" s="13"/>
      <c r="R7" s="148">
        <f>'Parameters, country spec'!B14</f>
        <v>0.26979047748052715</v>
      </c>
    </row>
    <row r="8" spans="1:18" x14ac:dyDescent="0.3">
      <c r="A8" s="21" t="s">
        <v>384</v>
      </c>
      <c r="B8" s="16" t="s">
        <v>172</v>
      </c>
      <c r="C8" s="16" t="s">
        <v>382</v>
      </c>
      <c r="D8" s="22" t="s">
        <v>36</v>
      </c>
      <c r="E8" s="22" t="s">
        <v>84</v>
      </c>
      <c r="F8" s="162">
        <f t="shared" si="0"/>
        <v>2.7940000000000002E-4</v>
      </c>
      <c r="G8" s="97">
        <v>1.2999999999999999E-4</v>
      </c>
      <c r="H8" s="98">
        <v>1E-4</v>
      </c>
      <c r="I8" s="15"/>
      <c r="J8" s="13"/>
      <c r="K8" s="99">
        <v>1.8199999999999999E-5</v>
      </c>
      <c r="L8" s="99"/>
      <c r="M8" s="99">
        <v>1.33E-5</v>
      </c>
      <c r="N8" s="99">
        <v>1.7900000000000001E-5</v>
      </c>
      <c r="O8" s="99"/>
      <c r="P8" s="99"/>
      <c r="Q8" s="13"/>
      <c r="R8" s="148">
        <f>'Parameters, country spec'!B15</f>
        <v>1.8587387131106827E-2</v>
      </c>
    </row>
    <row r="9" spans="1:18" x14ac:dyDescent="0.3">
      <c r="A9" s="21" t="s">
        <v>385</v>
      </c>
      <c r="B9" s="16" t="s">
        <v>173</v>
      </c>
      <c r="C9" s="16" t="s">
        <v>382</v>
      </c>
      <c r="D9" s="22" t="s">
        <v>36</v>
      </c>
      <c r="E9" s="22" t="s">
        <v>84</v>
      </c>
      <c r="F9" s="162">
        <f t="shared" si="0"/>
        <v>2.5635100000000004E-4</v>
      </c>
      <c r="G9" s="97">
        <v>1.2E-4</v>
      </c>
      <c r="H9" s="98">
        <v>1E-4</v>
      </c>
      <c r="I9" s="13"/>
      <c r="J9" s="13"/>
      <c r="K9" s="99">
        <v>1.8199999999999999E-5</v>
      </c>
      <c r="L9" s="99"/>
      <c r="M9" s="99">
        <v>2.5100000000000001E-7</v>
      </c>
      <c r="N9" s="99">
        <v>1.7900000000000001E-5</v>
      </c>
      <c r="O9" s="99"/>
      <c r="P9" s="99"/>
      <c r="Q9" s="13"/>
      <c r="R9" s="148">
        <f>'Parameters, country spec'!B16</f>
        <v>2.8544697829688604E-3</v>
      </c>
    </row>
    <row r="10" spans="1:18" x14ac:dyDescent="0.3">
      <c r="A10" s="21" t="s">
        <v>386</v>
      </c>
      <c r="B10" s="16" t="s">
        <v>174</v>
      </c>
      <c r="C10" s="16" t="s">
        <v>382</v>
      </c>
      <c r="D10" s="22" t="s">
        <v>36</v>
      </c>
      <c r="E10" s="22" t="s">
        <v>84</v>
      </c>
      <c r="F10" s="162">
        <f t="shared" si="0"/>
        <v>3.0055300000000001E-4</v>
      </c>
      <c r="G10" s="97">
        <v>1.7000000000000001E-4</v>
      </c>
      <c r="H10" s="98">
        <v>1E-4</v>
      </c>
      <c r="I10" s="13"/>
      <c r="J10" s="13"/>
      <c r="K10" s="99">
        <v>1.19E-5</v>
      </c>
      <c r="L10" s="99"/>
      <c r="M10" s="99">
        <v>7.5300000000000003E-7</v>
      </c>
      <c r="N10" s="99">
        <v>1.7900000000000001E-5</v>
      </c>
      <c r="O10" s="99"/>
      <c r="P10" s="99"/>
      <c r="Q10" s="13"/>
      <c r="R10" s="148">
        <f>'Parameters, country spec'!B17</f>
        <v>0.39960951046637888</v>
      </c>
    </row>
    <row r="11" spans="1:18" x14ac:dyDescent="0.3">
      <c r="A11" s="21" t="s">
        <v>387</v>
      </c>
      <c r="B11" s="16" t="s">
        <v>175</v>
      </c>
      <c r="C11" s="16" t="s">
        <v>388</v>
      </c>
      <c r="D11" s="22" t="s">
        <v>36</v>
      </c>
      <c r="E11" s="22" t="s">
        <v>84</v>
      </c>
      <c r="F11" s="162">
        <f t="shared" si="0"/>
        <v>1.4692000000000001E-4</v>
      </c>
      <c r="G11" s="97">
        <v>0</v>
      </c>
      <c r="H11" s="98">
        <v>1E-4</v>
      </c>
      <c r="I11" s="15"/>
      <c r="J11" s="13"/>
      <c r="K11" s="99">
        <v>2.2500000000000001E-5</v>
      </c>
      <c r="L11" s="99"/>
      <c r="M11" s="99">
        <v>6.5200000000000003E-6</v>
      </c>
      <c r="N11" s="99">
        <v>1.7900000000000001E-5</v>
      </c>
      <c r="O11" s="99"/>
      <c r="P11" s="99"/>
      <c r="Q11" s="13"/>
      <c r="R11" s="148">
        <f>'Parameters, country spec'!B18</f>
        <v>0</v>
      </c>
    </row>
    <row r="12" spans="1:18" x14ac:dyDescent="0.3">
      <c r="A12" s="21" t="s">
        <v>389</v>
      </c>
      <c r="B12" s="16" t="s">
        <v>176</v>
      </c>
      <c r="C12" s="16" t="s">
        <v>388</v>
      </c>
      <c r="D12" s="22" t="s">
        <v>36</v>
      </c>
      <c r="E12" s="22" t="s">
        <v>84</v>
      </c>
      <c r="F12" s="162">
        <f t="shared" si="0"/>
        <v>1.674E-4</v>
      </c>
      <c r="G12" s="97">
        <v>7.5000000000000002E-6</v>
      </c>
      <c r="H12" s="98">
        <v>1E-4</v>
      </c>
      <c r="I12" s="15"/>
      <c r="J12" s="13"/>
      <c r="K12" s="99">
        <v>3.0700000000000001E-5</v>
      </c>
      <c r="L12" s="99"/>
      <c r="M12" s="99">
        <v>1.13E-5</v>
      </c>
      <c r="N12" s="99">
        <v>1.7900000000000001E-5</v>
      </c>
      <c r="O12" s="99"/>
      <c r="P12" s="99"/>
      <c r="Q12" s="13"/>
      <c r="R12" s="148">
        <f>'Parameters, country spec'!B19</f>
        <v>0</v>
      </c>
    </row>
    <row r="13" spans="1:18" x14ac:dyDescent="0.3">
      <c r="B13" s="17" t="s">
        <v>178</v>
      </c>
      <c r="C13" s="16" t="s">
        <v>390</v>
      </c>
      <c r="D13" s="22" t="s">
        <v>466</v>
      </c>
      <c r="E13" s="22"/>
      <c r="F13" s="123">
        <f t="shared" si="0"/>
        <v>3.8246443678729497E-4</v>
      </c>
      <c r="G13" s="33">
        <f>'Off-farm feed'!$F$75</f>
        <v>1.684774766302073E-4</v>
      </c>
      <c r="H13" s="33">
        <f>'Off-farm feed'!$G$75</f>
        <v>4.5862068965517246E-5</v>
      </c>
      <c r="I13" s="33"/>
      <c r="J13" s="33"/>
      <c r="K13" s="33">
        <f>'Off-farm feed'!$J$75</f>
        <v>1.0936279334641699E-5</v>
      </c>
      <c r="L13" s="33"/>
      <c r="M13" s="33">
        <f>'Off-farm feed'!$L$75</f>
        <v>6.4606960551724142E-7</v>
      </c>
      <c r="N13" s="33">
        <f>'Off-farm feed'!$M$75</f>
        <v>2.1884761697575221E-5</v>
      </c>
      <c r="O13" s="33"/>
      <c r="P13" s="33">
        <f>'Off-farm feed'!$O$75</f>
        <v>4.5962128379923281E-5</v>
      </c>
      <c r="Q13" s="33">
        <f>'Off-farm feed'!$P$75</f>
        <v>8.8695652173913049E-5</v>
      </c>
      <c r="R13" s="148">
        <f>'Parameters, country spec'!B20</f>
        <v>4.3850784569502727E-2</v>
      </c>
    </row>
    <row r="14" spans="1:18" x14ac:dyDescent="0.3">
      <c r="B14" s="17" t="s">
        <v>391</v>
      </c>
      <c r="C14" s="16" t="s">
        <v>390</v>
      </c>
      <c r="D14" s="22" t="s">
        <v>442</v>
      </c>
      <c r="E14" s="22"/>
      <c r="F14" s="123">
        <f t="shared" si="0"/>
        <v>4.7266553697523981E-4</v>
      </c>
      <c r="G14" s="33">
        <f>'Off-farm feed'!$F$24</f>
        <v>1.5603516238625262E-5</v>
      </c>
      <c r="H14" s="33">
        <f>'Off-farm feed'!$G$24</f>
        <v>7.5304878048780503E-5</v>
      </c>
      <c r="I14" s="33"/>
      <c r="J14" s="33"/>
      <c r="K14" s="33">
        <f>'Off-farm feed'!$J$24</f>
        <v>1.908459074435586E-5</v>
      </c>
      <c r="L14" s="33"/>
      <c r="M14" s="33">
        <f>'Off-farm feed'!$L$24</f>
        <v>5.9672097439024396E-7</v>
      </c>
      <c r="N14" s="33">
        <f>'Off-farm feed'!$M$24</f>
        <v>2.3084271612619523E-5</v>
      </c>
      <c r="O14" s="33"/>
      <c r="P14" s="33">
        <f>'Off-farm feed'!$O$24</f>
        <v>1.2899155935646844E-4</v>
      </c>
      <c r="Q14" s="33">
        <f>'Off-farm feed'!$P$24</f>
        <v>2.1000000000000001E-4</v>
      </c>
      <c r="R14" s="148">
        <f>'Parameters, country spec'!B21</f>
        <v>3.9507741172757446E-2</v>
      </c>
    </row>
    <row r="15" spans="1:18" x14ac:dyDescent="0.3">
      <c r="B15" s="16" t="s">
        <v>182</v>
      </c>
      <c r="C15" s="16" t="s">
        <v>392</v>
      </c>
      <c r="D15" s="22" t="s">
        <v>36</v>
      </c>
      <c r="E15" s="22" t="s">
        <v>84</v>
      </c>
      <c r="F15" s="162">
        <f t="shared" si="0"/>
        <v>4.6000977921061839E-4</v>
      </c>
      <c r="G15" s="99">
        <v>8.6947637393862496E-5</v>
      </c>
      <c r="H15" s="99">
        <v>4.7537999999999998E-5</v>
      </c>
      <c r="I15" s="48"/>
      <c r="J15" s="48"/>
      <c r="K15" s="99">
        <v>1.5728572781534499E-5</v>
      </c>
      <c r="L15" s="48"/>
      <c r="M15" s="48"/>
      <c r="N15" s="99"/>
      <c r="O15" s="99"/>
      <c r="P15" s="99">
        <v>3.05272119125027E-4</v>
      </c>
      <c r="Q15" s="99">
        <v>4.5234499101943599E-6</v>
      </c>
      <c r="R15" s="148">
        <f>'Parameters, country spec'!B22</f>
        <v>3.6206796949373676E-2</v>
      </c>
    </row>
    <row r="16" spans="1:18" x14ac:dyDescent="0.3">
      <c r="A16" s="81"/>
      <c r="B16" s="16" t="s">
        <v>393</v>
      </c>
      <c r="C16" s="82" t="s">
        <v>394</v>
      </c>
      <c r="D16" s="22" t="s">
        <v>36</v>
      </c>
      <c r="E16" s="22" t="s">
        <v>84</v>
      </c>
      <c r="F16" s="163">
        <f>SUM(G16:Q16)</f>
        <v>2.3487940376135891E-4</v>
      </c>
      <c r="G16" s="80">
        <f t="shared" ref="G16:N16" si="1">AVERAGE(G6:G14)</f>
        <v>1.0128677698542583E-4</v>
      </c>
      <c r="H16" s="80">
        <f t="shared" si="1"/>
        <v>9.1240771890477534E-5</v>
      </c>
      <c r="I16" s="80"/>
      <c r="J16" s="80"/>
      <c r="K16" s="80">
        <f t="shared" si="1"/>
        <v>1.7081207786555287E-5</v>
      </c>
      <c r="L16" s="80"/>
      <c r="M16" s="80">
        <f t="shared" si="1"/>
        <v>6.3518656199897199E-6</v>
      </c>
      <c r="N16" s="80">
        <f t="shared" si="1"/>
        <v>1.8918781478910528E-5</v>
      </c>
      <c r="O16" s="80"/>
      <c r="P16" s="80"/>
      <c r="Q16" s="80"/>
      <c r="R16" s="148">
        <f>'Parameters, country spec'!B23</f>
        <v>2.556294288391299E-2</v>
      </c>
    </row>
    <row r="17" spans="1:18" x14ac:dyDescent="0.3">
      <c r="A17" s="147"/>
      <c r="B17" s="24" t="s">
        <v>395</v>
      </c>
      <c r="C17" s="25"/>
      <c r="D17" s="100"/>
      <c r="E17" s="100"/>
      <c r="F17" s="46">
        <f t="shared" ref="F17:O17" si="2">SUMPRODUCT(F6:F16,$R$6:$R$16)</f>
        <v>3.1126563797123104E-4</v>
      </c>
      <c r="G17" s="46">
        <f t="shared" si="2"/>
        <v>1.4950718129767094E-4</v>
      </c>
      <c r="H17" s="46">
        <f t="shared" si="2"/>
        <v>9.45269681334609E-5</v>
      </c>
      <c r="I17" s="46">
        <f t="shared" si="2"/>
        <v>0</v>
      </c>
      <c r="J17" s="46">
        <f t="shared" si="2"/>
        <v>0</v>
      </c>
      <c r="K17" s="46">
        <f t="shared" si="2"/>
        <v>1.1981282395375175E-5</v>
      </c>
      <c r="L17" s="46">
        <f t="shared" si="2"/>
        <v>0</v>
      </c>
      <c r="M17" s="46">
        <f t="shared" si="2"/>
        <v>7.0783655932070122E-6</v>
      </c>
      <c r="N17" s="46">
        <f t="shared" si="2"/>
        <v>1.7657495175164612E-5</v>
      </c>
      <c r="O17" s="46">
        <f t="shared" si="2"/>
        <v>0</v>
      </c>
      <c r="P17" s="46">
        <f>SUMPRODUCT(P6:P16,R6:R16)</f>
        <v>1.8164566161934443E-5</v>
      </c>
      <c r="Q17" s="46">
        <f>SUMPRODUCT(Q6:Q16,$R$6:$R$16)</f>
        <v>1.2349779214417941E-5</v>
      </c>
      <c r="R17" s="149"/>
    </row>
    <row r="18" spans="1:18" x14ac:dyDescent="0.3">
      <c r="A18" s="21" t="s">
        <v>381</v>
      </c>
      <c r="B18" s="16" t="s">
        <v>169</v>
      </c>
      <c r="C18" s="16" t="s">
        <v>382</v>
      </c>
      <c r="D18" s="22" t="s">
        <v>33</v>
      </c>
      <c r="E18" s="22" t="s">
        <v>85</v>
      </c>
      <c r="F18" s="278">
        <f>SUM(G18:Q18)</f>
        <v>2.9299999999999997E-4</v>
      </c>
      <c r="G18" s="279">
        <v>1.4999999999999999E-4</v>
      </c>
      <c r="H18" s="280">
        <v>1E-4</v>
      </c>
      <c r="I18" s="281"/>
      <c r="J18" s="282"/>
      <c r="K18" s="283">
        <v>1.27E-5</v>
      </c>
      <c r="L18" s="283"/>
      <c r="M18" s="283">
        <v>0</v>
      </c>
      <c r="N18" s="283">
        <v>3.0300000000000001E-5</v>
      </c>
      <c r="O18" s="283"/>
      <c r="P18" s="283"/>
      <c r="Q18" s="282"/>
      <c r="R18" s="148">
        <f>'Parameters, country spec'!C13</f>
        <v>0.14354403090911608</v>
      </c>
    </row>
    <row r="19" spans="1:18" x14ac:dyDescent="0.3">
      <c r="A19" s="21" t="s">
        <v>383</v>
      </c>
      <c r="B19" s="16" t="s">
        <v>171</v>
      </c>
      <c r="C19" s="16" t="s">
        <v>382</v>
      </c>
      <c r="D19" s="22" t="s">
        <v>33</v>
      </c>
      <c r="E19" s="22" t="s">
        <v>85</v>
      </c>
      <c r="F19" s="162">
        <f t="shared" ref="F19:F28" si="3">SUM(G19:Q19)</f>
        <v>2.9417999999999995E-4</v>
      </c>
      <c r="G19" s="97">
        <v>1.4999999999999999E-4</v>
      </c>
      <c r="H19" s="98">
        <v>1E-4</v>
      </c>
      <c r="I19" s="15"/>
      <c r="J19" s="13"/>
      <c r="K19" s="99">
        <v>8.6100000000000006E-6</v>
      </c>
      <c r="L19" s="99"/>
      <c r="M19" s="99">
        <v>5.2700000000000004E-6</v>
      </c>
      <c r="N19" s="99">
        <v>3.0300000000000001E-5</v>
      </c>
      <c r="O19" s="99"/>
      <c r="P19" s="99"/>
      <c r="Q19" s="13"/>
      <c r="R19" s="148">
        <f>'Parameters, country spec'!C14</f>
        <v>0.2137111814189753</v>
      </c>
    </row>
    <row r="20" spans="1:18" x14ac:dyDescent="0.3">
      <c r="A20" s="21" t="s">
        <v>384</v>
      </c>
      <c r="B20" s="16" t="s">
        <v>172</v>
      </c>
      <c r="C20" s="16" t="s">
        <v>382</v>
      </c>
      <c r="D20" s="22" t="s">
        <v>33</v>
      </c>
      <c r="E20" s="22" t="s">
        <v>85</v>
      </c>
      <c r="F20" s="162">
        <f t="shared" si="3"/>
        <v>2.8010000000000003E-4</v>
      </c>
      <c r="G20" s="97">
        <v>1.2999999999999999E-4</v>
      </c>
      <c r="H20" s="98">
        <v>1E-4</v>
      </c>
      <c r="I20" s="15"/>
      <c r="J20" s="13"/>
      <c r="K20" s="99">
        <v>1.88E-5</v>
      </c>
      <c r="L20" s="99"/>
      <c r="M20" s="99">
        <v>9.9999999999999995E-7</v>
      </c>
      <c r="N20" s="99">
        <v>3.0300000000000001E-5</v>
      </c>
      <c r="O20" s="99"/>
      <c r="P20" s="99"/>
      <c r="Q20" s="13"/>
      <c r="R20" s="148">
        <f>'Parameters, country spec'!C15</f>
        <v>2.8572983193664684E-5</v>
      </c>
    </row>
    <row r="21" spans="1:18" x14ac:dyDescent="0.3">
      <c r="A21" s="21" t="s">
        <v>385</v>
      </c>
      <c r="B21" s="16" t="s">
        <v>173</v>
      </c>
      <c r="C21" s="16" t="s">
        <v>382</v>
      </c>
      <c r="D21" s="22" t="s">
        <v>33</v>
      </c>
      <c r="E21" s="22" t="s">
        <v>85</v>
      </c>
      <c r="F21" s="162">
        <f t="shared" si="3"/>
        <v>2.6639999999999997E-4</v>
      </c>
      <c r="G21" s="97">
        <v>1.2E-4</v>
      </c>
      <c r="H21" s="98">
        <v>1E-4</v>
      </c>
      <c r="I21" s="13"/>
      <c r="J21" s="13"/>
      <c r="K21" s="99">
        <v>1.6099999999999998E-5</v>
      </c>
      <c r="L21" s="99"/>
      <c r="M21" s="99">
        <v>0</v>
      </c>
      <c r="N21" s="99">
        <v>3.0300000000000001E-5</v>
      </c>
      <c r="O21" s="99"/>
      <c r="P21" s="99"/>
      <c r="Q21" s="13"/>
      <c r="R21" s="148">
        <f>'Parameters, country spec'!C16</f>
        <v>2.3447737151434674E-2</v>
      </c>
    </row>
    <row r="22" spans="1:18" x14ac:dyDescent="0.3">
      <c r="A22" s="21" t="s">
        <v>386</v>
      </c>
      <c r="B22" s="16" t="s">
        <v>174</v>
      </c>
      <c r="C22" s="16" t="s">
        <v>382</v>
      </c>
      <c r="D22" s="22" t="s">
        <v>33</v>
      </c>
      <c r="E22" s="22" t="s">
        <v>85</v>
      </c>
      <c r="F22" s="162">
        <f t="shared" si="3"/>
        <v>3.1195099999999998E-4</v>
      </c>
      <c r="G22" s="97">
        <v>1.7000000000000001E-4</v>
      </c>
      <c r="H22" s="98">
        <v>1E-4</v>
      </c>
      <c r="I22" s="13"/>
      <c r="J22" s="13"/>
      <c r="K22" s="99">
        <v>1.1399999999999999E-5</v>
      </c>
      <c r="L22" s="99"/>
      <c r="M22" s="99">
        <v>2.5100000000000001E-7</v>
      </c>
      <c r="N22" s="99">
        <v>3.0300000000000001E-5</v>
      </c>
      <c r="O22" s="99"/>
      <c r="P22" s="99"/>
      <c r="Q22" s="13"/>
      <c r="R22" s="148">
        <f>'Parameters, country spec'!C17</f>
        <v>0.47946147932032235</v>
      </c>
    </row>
    <row r="23" spans="1:18" x14ac:dyDescent="0.3">
      <c r="A23" s="21" t="s">
        <v>387</v>
      </c>
      <c r="B23" s="16" t="s">
        <v>175</v>
      </c>
      <c r="C23" s="16" t="s">
        <v>388</v>
      </c>
      <c r="D23" s="22" t="s">
        <v>33</v>
      </c>
      <c r="E23" s="22" t="s">
        <v>85</v>
      </c>
      <c r="F23" s="162">
        <f t="shared" si="3"/>
        <v>1.5420200000000001E-4</v>
      </c>
      <c r="G23" s="97">
        <v>0</v>
      </c>
      <c r="H23" s="98">
        <v>1E-4</v>
      </c>
      <c r="I23" s="15"/>
      <c r="J23" s="13"/>
      <c r="K23" s="99">
        <v>2.34E-5</v>
      </c>
      <c r="L23" s="99"/>
      <c r="M23" s="99">
        <v>5.0200000000000002E-7</v>
      </c>
      <c r="N23" s="99">
        <v>3.0300000000000001E-5</v>
      </c>
      <c r="O23" s="99"/>
      <c r="P23" s="99"/>
      <c r="Q23" s="13"/>
      <c r="R23" s="148">
        <f>'Parameters, country spec'!C18</f>
        <v>6.205919903371391E-4</v>
      </c>
    </row>
    <row r="24" spans="1:18" x14ac:dyDescent="0.3">
      <c r="A24" s="21" t="s">
        <v>389</v>
      </c>
      <c r="B24" s="16" t="s">
        <v>176</v>
      </c>
      <c r="C24" s="16" t="s">
        <v>388</v>
      </c>
      <c r="D24" s="22" t="s">
        <v>33</v>
      </c>
      <c r="E24" s="22" t="s">
        <v>85</v>
      </c>
      <c r="F24" s="162">
        <f t="shared" si="3"/>
        <v>1.7880000000000004E-4</v>
      </c>
      <c r="G24" s="97">
        <v>7.5000000000000002E-6</v>
      </c>
      <c r="H24" s="98">
        <v>1E-4</v>
      </c>
      <c r="I24" s="15"/>
      <c r="J24" s="13"/>
      <c r="K24" s="99">
        <v>2.0400000000000001E-5</v>
      </c>
      <c r="L24" s="99"/>
      <c r="M24" s="99">
        <v>2.0599999999999999E-5</v>
      </c>
      <c r="N24" s="99">
        <v>3.0300000000000001E-5</v>
      </c>
      <c r="O24" s="99"/>
      <c r="P24" s="99"/>
      <c r="Q24" s="13"/>
      <c r="R24" s="148">
        <f>'Parameters, country spec'!C19</f>
        <v>6.0962584419075097E-4</v>
      </c>
    </row>
    <row r="25" spans="1:18" x14ac:dyDescent="0.3">
      <c r="B25" s="17" t="s">
        <v>178</v>
      </c>
      <c r="C25" s="16" t="s">
        <v>390</v>
      </c>
      <c r="D25" s="22" t="s">
        <v>466</v>
      </c>
      <c r="E25" s="22"/>
      <c r="F25" s="123">
        <f t="shared" si="3"/>
        <v>3.8246443678729497E-4</v>
      </c>
      <c r="G25" s="33">
        <f>'Off-farm feed'!$F$75</f>
        <v>1.684774766302073E-4</v>
      </c>
      <c r="H25" s="33">
        <f>'Off-farm feed'!$G$75</f>
        <v>4.5862068965517246E-5</v>
      </c>
      <c r="I25" s="33"/>
      <c r="J25" s="33"/>
      <c r="K25" s="33">
        <f>'Off-farm feed'!$J$75</f>
        <v>1.0936279334641699E-5</v>
      </c>
      <c r="L25" s="33"/>
      <c r="M25" s="33">
        <f>'Off-farm feed'!$L$75</f>
        <v>6.4606960551724142E-7</v>
      </c>
      <c r="N25" s="33">
        <f>'Off-farm feed'!$M$75</f>
        <v>2.1884761697575221E-5</v>
      </c>
      <c r="O25" s="33"/>
      <c r="P25" s="33">
        <f>'Off-farm feed'!$O$75</f>
        <v>4.5962128379923281E-5</v>
      </c>
      <c r="Q25" s="33">
        <f>'Off-farm feed'!$P$75</f>
        <v>8.8695652173913049E-5</v>
      </c>
      <c r="R25" s="148">
        <f>'Parameters, country spec'!C20</f>
        <v>6.2756108199759894E-2</v>
      </c>
    </row>
    <row r="26" spans="1:18" x14ac:dyDescent="0.3">
      <c r="B26" s="17" t="s">
        <v>391</v>
      </c>
      <c r="C26" s="16" t="s">
        <v>390</v>
      </c>
      <c r="D26" s="22" t="s">
        <v>442</v>
      </c>
      <c r="E26" s="22"/>
      <c r="F26" s="123">
        <f t="shared" si="3"/>
        <v>4.7266553697523981E-4</v>
      </c>
      <c r="G26" s="33">
        <f>'Off-farm feed'!$F$24</f>
        <v>1.5603516238625262E-5</v>
      </c>
      <c r="H26" s="33">
        <f>'Off-farm feed'!$G$24</f>
        <v>7.5304878048780503E-5</v>
      </c>
      <c r="I26" s="33"/>
      <c r="J26" s="33"/>
      <c r="K26" s="33">
        <f>'Off-farm feed'!$J$24</f>
        <v>1.908459074435586E-5</v>
      </c>
      <c r="L26" s="33"/>
      <c r="M26" s="33">
        <f>'Off-farm feed'!$L$24</f>
        <v>5.9672097439024396E-7</v>
      </c>
      <c r="N26" s="33">
        <f>'Off-farm feed'!$M$24</f>
        <v>2.3084271612619523E-5</v>
      </c>
      <c r="O26" s="33"/>
      <c r="P26" s="33">
        <f>'Off-farm feed'!$O$24</f>
        <v>1.2899155935646844E-4</v>
      </c>
      <c r="Q26" s="33">
        <f>'Off-farm feed'!$P$24</f>
        <v>2.1000000000000001E-4</v>
      </c>
      <c r="R26" s="148">
        <f>'Parameters, country spec'!C21</f>
        <v>6.029992977299907E-2</v>
      </c>
    </row>
    <row r="27" spans="1:18" x14ac:dyDescent="0.3">
      <c r="B27" s="16" t="s">
        <v>182</v>
      </c>
      <c r="C27" s="16" t="s">
        <v>392</v>
      </c>
      <c r="D27" s="22" t="s">
        <v>33</v>
      </c>
      <c r="E27" s="22" t="s">
        <v>85</v>
      </c>
      <c r="F27" s="162">
        <f t="shared" si="3"/>
        <v>1.1635230536951896E-3</v>
      </c>
      <c r="G27" s="99">
        <v>8.6135251234116994E-5</v>
      </c>
      <c r="H27" s="99">
        <v>4.7537999999999998E-5</v>
      </c>
      <c r="I27" s="48"/>
      <c r="J27" s="48"/>
      <c r="K27" s="99">
        <v>2.1158324202862201E-5</v>
      </c>
      <c r="L27" s="48"/>
      <c r="M27" s="48"/>
      <c r="N27" s="99"/>
      <c r="O27" s="99"/>
      <c r="P27" s="99">
        <v>9.9818289932063491E-4</v>
      </c>
      <c r="Q27" s="99">
        <v>1.05085789375756E-5</v>
      </c>
      <c r="R27" s="148">
        <f>'Parameters, country spec'!C22</f>
        <v>1.202935742430772E-2</v>
      </c>
    </row>
    <row r="28" spans="1:18" x14ac:dyDescent="0.3">
      <c r="A28" s="81"/>
      <c r="B28" s="16" t="s">
        <v>393</v>
      </c>
      <c r="C28" s="82" t="s">
        <v>394</v>
      </c>
      <c r="D28" s="22" t="s">
        <v>33</v>
      </c>
      <c r="E28" s="22" t="s">
        <v>85</v>
      </c>
      <c r="F28" s="163">
        <f t="shared" si="3"/>
        <v>2.4001262598358114E-4</v>
      </c>
      <c r="G28" s="80">
        <f t="shared" ref="G28:N28" si="4">AVERAGE(G18:G26)</f>
        <v>1.0128677698542583E-4</v>
      </c>
      <c r="H28" s="80">
        <f t="shared" si="4"/>
        <v>9.1240771890477534E-5</v>
      </c>
      <c r="I28" s="80"/>
      <c r="J28" s="80"/>
      <c r="K28" s="80">
        <f t="shared" si="4"/>
        <v>1.5714541119888615E-5</v>
      </c>
      <c r="L28" s="80"/>
      <c r="M28" s="80">
        <f t="shared" si="4"/>
        <v>3.2073100644341652E-6</v>
      </c>
      <c r="N28" s="80">
        <f t="shared" si="4"/>
        <v>2.8563225923354969E-5</v>
      </c>
      <c r="O28" s="80"/>
      <c r="P28" s="80"/>
      <c r="Q28" s="80"/>
      <c r="R28" s="148">
        <f>'Parameters, country spec'!C23</f>
        <v>3.491384985363475E-3</v>
      </c>
    </row>
    <row r="29" spans="1:18" x14ac:dyDescent="0.3">
      <c r="A29" s="147"/>
      <c r="B29" s="24" t="s">
        <v>395</v>
      </c>
      <c r="C29" s="25"/>
      <c r="D29" s="100"/>
      <c r="E29" s="100"/>
      <c r="F29" s="46">
        <f t="shared" ref="F29:O29" si="5">SUMPRODUCT(F18:F28,$R$18:$R$28)</f>
        <v>3.282937118647147E-4</v>
      </c>
      <c r="G29" s="46">
        <f t="shared" si="5"/>
        <v>1.5082241301582656E-4</v>
      </c>
      <c r="H29" s="46">
        <f t="shared" si="5"/>
        <v>9.4451734036195699E-5</v>
      </c>
      <c r="I29" s="46">
        <f t="shared" si="5"/>
        <v>0</v>
      </c>
      <c r="J29" s="46">
        <f t="shared" si="5"/>
        <v>0</v>
      </c>
      <c r="K29" s="46">
        <f t="shared" si="5"/>
        <v>1.168043165694447E-5</v>
      </c>
      <c r="L29" s="46">
        <f t="shared" si="5"/>
        <v>0</v>
      </c>
      <c r="M29" s="46">
        <f t="shared" si="5"/>
        <v>1.347226161060667E-6</v>
      </c>
      <c r="N29" s="46">
        <f t="shared" si="5"/>
        <v>2.8966231202655504E-5</v>
      </c>
      <c r="O29" s="46">
        <f t="shared" si="5"/>
        <v>0</v>
      </c>
      <c r="P29" s="46">
        <f>SUMPRODUCT(P18:P28,R18:R28)</f>
        <v>2.2670085142966094E-5</v>
      </c>
      <c r="Q29" s="46">
        <f>SUMPRODUCT(Q18:Q28,$R$18:$R$28)</f>
        <v>1.835559064906581E-5</v>
      </c>
      <c r="R29" s="149"/>
    </row>
    <row r="30" spans="1:18" x14ac:dyDescent="0.3">
      <c r="A30" s="21" t="s">
        <v>381</v>
      </c>
      <c r="B30" s="16" t="s">
        <v>169</v>
      </c>
      <c r="C30" s="16" t="s">
        <v>382</v>
      </c>
      <c r="D30" s="22" t="s">
        <v>31</v>
      </c>
      <c r="E30" s="22" t="s">
        <v>86</v>
      </c>
      <c r="F30" s="278">
        <f>SUM(G30:Q30)</f>
        <v>3.1946000000000003E-4</v>
      </c>
      <c r="G30" s="279">
        <v>1.4999999999999999E-4</v>
      </c>
      <c r="H30" s="280">
        <v>1E-4</v>
      </c>
      <c r="I30" s="281"/>
      <c r="J30" s="282"/>
      <c r="K30" s="283">
        <v>2.9200000000000002E-5</v>
      </c>
      <c r="L30" s="283"/>
      <c r="M30" s="283">
        <v>2.26E-6</v>
      </c>
      <c r="N30" s="283">
        <v>3.8000000000000002E-5</v>
      </c>
      <c r="O30" s="283"/>
      <c r="P30" s="283"/>
      <c r="Q30" s="282"/>
      <c r="R30" s="148">
        <f>'Parameters, country spec'!D13</f>
        <v>0.17624165446480369</v>
      </c>
    </row>
    <row r="31" spans="1:18" x14ac:dyDescent="0.3">
      <c r="A31" s="21" t="s">
        <v>383</v>
      </c>
      <c r="B31" s="16" t="s">
        <v>171</v>
      </c>
      <c r="C31" s="16" t="s">
        <v>382</v>
      </c>
      <c r="D31" s="22" t="s">
        <v>31</v>
      </c>
      <c r="E31" s="22" t="s">
        <v>86</v>
      </c>
      <c r="F31" s="162">
        <f t="shared" ref="F31:F40" si="6">SUM(G31:Q31)</f>
        <v>3.4726000000000001E-4</v>
      </c>
      <c r="G31" s="97">
        <v>1.4999999999999999E-4</v>
      </c>
      <c r="H31" s="98">
        <v>1E-4</v>
      </c>
      <c r="I31" s="15"/>
      <c r="J31" s="13"/>
      <c r="K31" s="99">
        <v>7.5599999999999996E-6</v>
      </c>
      <c r="L31" s="99"/>
      <c r="M31" s="99">
        <v>5.1700000000000003E-5</v>
      </c>
      <c r="N31" s="99">
        <v>3.8000000000000002E-5</v>
      </c>
      <c r="O31" s="99"/>
      <c r="P31" s="99"/>
      <c r="Q31" s="13"/>
      <c r="R31" s="148">
        <f>'Parameters, country spec'!D14</f>
        <v>0.52712316765456624</v>
      </c>
    </row>
    <row r="32" spans="1:18" x14ac:dyDescent="0.3">
      <c r="A32" s="21" t="s">
        <v>384</v>
      </c>
      <c r="B32" s="16" t="s">
        <v>172</v>
      </c>
      <c r="C32" s="16" t="s">
        <v>382</v>
      </c>
      <c r="D32" s="22" t="s">
        <v>31</v>
      </c>
      <c r="E32" s="22" t="s">
        <v>86</v>
      </c>
      <c r="F32" s="162">
        <f t="shared" si="6"/>
        <v>3.7189999999999999E-4</v>
      </c>
      <c r="G32" s="97">
        <v>1.2999999999999999E-4</v>
      </c>
      <c r="H32" s="98">
        <v>1E-4</v>
      </c>
      <c r="I32" s="15"/>
      <c r="J32" s="13"/>
      <c r="K32" s="99">
        <v>6.1500000000000004E-5</v>
      </c>
      <c r="L32" s="99"/>
      <c r="M32" s="99">
        <v>4.2400000000000001E-5</v>
      </c>
      <c r="N32" s="99">
        <v>3.8000000000000002E-5</v>
      </c>
      <c r="O32" s="99"/>
      <c r="P32" s="99"/>
      <c r="Q32" s="13"/>
      <c r="R32" s="148">
        <f>'Parameters, country spec'!D15</f>
        <v>4.7896893432639032E-2</v>
      </c>
    </row>
    <row r="33" spans="1:18" x14ac:dyDescent="0.3">
      <c r="A33" s="21" t="s">
        <v>385</v>
      </c>
      <c r="B33" s="16" t="s">
        <v>173</v>
      </c>
      <c r="C33" s="16" t="s">
        <v>382</v>
      </c>
      <c r="D33" s="22" t="s">
        <v>31</v>
      </c>
      <c r="E33" s="22" t="s">
        <v>86</v>
      </c>
      <c r="F33" s="162">
        <f t="shared" si="6"/>
        <v>2.9825100000000003E-4</v>
      </c>
      <c r="G33" s="97">
        <v>1.2E-4</v>
      </c>
      <c r="H33" s="98">
        <v>1E-4</v>
      </c>
      <c r="I33" s="13"/>
      <c r="J33" s="13"/>
      <c r="K33" s="99">
        <v>4.0000000000000003E-5</v>
      </c>
      <c r="L33" s="99"/>
      <c r="M33" s="99">
        <v>2.5100000000000001E-7</v>
      </c>
      <c r="N33" s="99">
        <v>3.8000000000000002E-5</v>
      </c>
      <c r="O33" s="99"/>
      <c r="P33" s="99"/>
      <c r="Q33" s="13"/>
      <c r="R33" s="148">
        <f>'Parameters, country spec'!D16</f>
        <v>1.056436574017274E-2</v>
      </c>
    </row>
    <row r="34" spans="1:18" x14ac:dyDescent="0.3">
      <c r="A34" s="21" t="s">
        <v>386</v>
      </c>
      <c r="B34" s="16" t="s">
        <v>174</v>
      </c>
      <c r="C34" s="16" t="s">
        <v>382</v>
      </c>
      <c r="D34" s="22" t="s">
        <v>31</v>
      </c>
      <c r="E34" s="22" t="s">
        <v>86</v>
      </c>
      <c r="F34" s="162">
        <f t="shared" si="6"/>
        <v>3.4382E-4</v>
      </c>
      <c r="G34" s="97">
        <v>1.7000000000000001E-4</v>
      </c>
      <c r="H34" s="98">
        <v>1E-4</v>
      </c>
      <c r="I34" s="13"/>
      <c r="J34" s="13"/>
      <c r="K34" s="99">
        <v>2.9300000000000001E-5</v>
      </c>
      <c r="L34" s="99"/>
      <c r="M34" s="99">
        <v>6.5200000000000003E-6</v>
      </c>
      <c r="N34" s="99">
        <v>3.8000000000000002E-5</v>
      </c>
      <c r="O34" s="99"/>
      <c r="P34" s="99"/>
      <c r="Q34" s="13"/>
      <c r="R34" s="148">
        <f>'Parameters, country spec'!D17</f>
        <v>7.5759890638728566E-3</v>
      </c>
    </row>
    <row r="35" spans="1:18" x14ac:dyDescent="0.3">
      <c r="A35" s="21" t="s">
        <v>387</v>
      </c>
      <c r="B35" s="16" t="s">
        <v>175</v>
      </c>
      <c r="C35" s="16" t="s">
        <v>388</v>
      </c>
      <c r="D35" s="22" t="s">
        <v>31</v>
      </c>
      <c r="E35" s="22" t="s">
        <v>86</v>
      </c>
      <c r="F35" s="162">
        <f t="shared" si="6"/>
        <v>1.9450000000000001E-4</v>
      </c>
      <c r="G35" s="97">
        <v>0</v>
      </c>
      <c r="H35" s="98">
        <v>1E-4</v>
      </c>
      <c r="I35" s="15"/>
      <c r="J35" s="13"/>
      <c r="K35" s="99">
        <v>4.6199999999999998E-5</v>
      </c>
      <c r="L35" s="99"/>
      <c r="M35" s="99">
        <v>1.03E-5</v>
      </c>
      <c r="N35" s="99">
        <v>3.8000000000000002E-5</v>
      </c>
      <c r="O35" s="99"/>
      <c r="P35" s="99"/>
      <c r="Q35" s="13"/>
      <c r="R35" s="148">
        <f>'Parameters, country spec'!D18</f>
        <v>5.2541698729789991E-4</v>
      </c>
    </row>
    <row r="36" spans="1:18" x14ac:dyDescent="0.3">
      <c r="A36" s="21" t="s">
        <v>389</v>
      </c>
      <c r="B36" s="16" t="s">
        <v>176</v>
      </c>
      <c r="C36" s="16" t="s">
        <v>388</v>
      </c>
      <c r="D36" s="22" t="s">
        <v>31</v>
      </c>
      <c r="E36" s="22" t="s">
        <v>86</v>
      </c>
      <c r="F36" s="162">
        <f t="shared" si="6"/>
        <v>2.496E-4</v>
      </c>
      <c r="G36" s="97">
        <v>7.5000000000000002E-6</v>
      </c>
      <c r="H36" s="98">
        <v>1E-4</v>
      </c>
      <c r="I36" s="15"/>
      <c r="J36" s="13"/>
      <c r="K36" s="99">
        <v>2.8600000000000001E-5</v>
      </c>
      <c r="L36" s="99"/>
      <c r="M36" s="99">
        <v>7.5500000000000006E-5</v>
      </c>
      <c r="N36" s="99">
        <v>3.8000000000000002E-5</v>
      </c>
      <c r="O36" s="99"/>
      <c r="P36" s="99"/>
      <c r="Q36" s="13"/>
      <c r="R36" s="148">
        <f>'Parameters, country spec'!D19</f>
        <v>5.1613262720405463E-4</v>
      </c>
    </row>
    <row r="37" spans="1:18" x14ac:dyDescent="0.3">
      <c r="B37" s="17" t="s">
        <v>178</v>
      </c>
      <c r="C37" s="16" t="s">
        <v>390</v>
      </c>
      <c r="D37" s="22" t="s">
        <v>466</v>
      </c>
      <c r="E37" s="22"/>
      <c r="F37" s="123">
        <f t="shared" si="6"/>
        <v>3.8246443678729497E-4</v>
      </c>
      <c r="G37" s="33">
        <f>'Off-farm feed'!$F$75</f>
        <v>1.684774766302073E-4</v>
      </c>
      <c r="H37" s="33">
        <f>'Off-farm feed'!$G$75</f>
        <v>4.5862068965517246E-5</v>
      </c>
      <c r="I37" s="33"/>
      <c r="J37" s="33"/>
      <c r="K37" s="33">
        <f>'Off-farm feed'!$J$75</f>
        <v>1.0936279334641699E-5</v>
      </c>
      <c r="L37" s="33"/>
      <c r="M37" s="33">
        <f>'Off-farm feed'!$L$75</f>
        <v>6.4606960551724142E-7</v>
      </c>
      <c r="N37" s="33">
        <f>'Off-farm feed'!$M$75</f>
        <v>2.1884761697575221E-5</v>
      </c>
      <c r="O37" s="33"/>
      <c r="P37" s="33">
        <f>'Off-farm feed'!$O$75</f>
        <v>4.5962128379923281E-5</v>
      </c>
      <c r="Q37" s="33">
        <f>'Off-farm feed'!$P$75</f>
        <v>8.8695652173913049E-5</v>
      </c>
      <c r="R37" s="148">
        <f>'Parameters, country spec'!D20</f>
        <v>5.7339277577128883E-4</v>
      </c>
    </row>
    <row r="38" spans="1:18" x14ac:dyDescent="0.3">
      <c r="B38" s="17" t="s">
        <v>391</v>
      </c>
      <c r="C38" s="16" t="s">
        <v>390</v>
      </c>
      <c r="D38" s="22" t="s">
        <v>442</v>
      </c>
      <c r="E38" s="22"/>
      <c r="F38" s="123">
        <f t="shared" si="6"/>
        <v>4.7266553697523981E-4</v>
      </c>
      <c r="G38" s="33">
        <f>'Off-farm feed'!$F$24</f>
        <v>1.5603516238625262E-5</v>
      </c>
      <c r="H38" s="33">
        <f>'Off-farm feed'!$G$24</f>
        <v>7.5304878048780503E-5</v>
      </c>
      <c r="I38" s="33"/>
      <c r="J38" s="33"/>
      <c r="K38" s="33">
        <f>'Off-farm feed'!$J$24</f>
        <v>1.908459074435586E-5</v>
      </c>
      <c r="L38" s="33"/>
      <c r="M38" s="33">
        <f>'Off-farm feed'!$L$24</f>
        <v>5.9672097439024396E-7</v>
      </c>
      <c r="N38" s="33">
        <f>'Off-farm feed'!$M$24</f>
        <v>2.3084271612619523E-5</v>
      </c>
      <c r="O38" s="33"/>
      <c r="P38" s="33">
        <f>'Off-farm feed'!$O$24</f>
        <v>1.2899155935646844E-4</v>
      </c>
      <c r="Q38" s="33">
        <f>'Off-farm feed'!$P$24</f>
        <v>2.1000000000000001E-4</v>
      </c>
      <c r="R38" s="148">
        <f>'Parameters, country spec'!D21</f>
        <v>0.10103549928103911</v>
      </c>
    </row>
    <row r="39" spans="1:18" x14ac:dyDescent="0.3">
      <c r="B39" s="16" t="s">
        <v>182</v>
      </c>
      <c r="C39" s="16" t="s">
        <v>392</v>
      </c>
      <c r="D39" s="22" t="s">
        <v>31</v>
      </c>
      <c r="E39" s="22" t="s">
        <v>86</v>
      </c>
      <c r="F39" s="162">
        <f t="shared" si="6"/>
        <v>1.6252379039289314E-3</v>
      </c>
      <c r="G39" s="99">
        <v>8.6169621417798601E-5</v>
      </c>
      <c r="H39" s="99">
        <v>4.7537999999999998E-5</v>
      </c>
      <c r="I39" s="48"/>
      <c r="J39" s="48"/>
      <c r="K39" s="99">
        <v>3.12048551328049E-5</v>
      </c>
      <c r="L39" s="48"/>
      <c r="M39" s="48"/>
      <c r="N39" s="99"/>
      <c r="O39" s="99"/>
      <c r="P39" s="99">
        <v>1.4294971164590801E-3</v>
      </c>
      <c r="Q39" s="99">
        <v>3.0828310919247803E-5</v>
      </c>
      <c r="R39" s="148">
        <f>'Parameters, country spec'!D22</f>
        <v>6.3687941219233005E-2</v>
      </c>
    </row>
    <row r="40" spans="1:18" x14ac:dyDescent="0.3">
      <c r="A40" s="81"/>
      <c r="B40" s="16" t="s">
        <v>393</v>
      </c>
      <c r="C40" s="82" t="s">
        <v>394</v>
      </c>
      <c r="D40" s="22" t="s">
        <v>31</v>
      </c>
      <c r="E40" s="22" t="s">
        <v>86</v>
      </c>
      <c r="F40" s="163">
        <f t="shared" si="6"/>
        <v>4.2782245207053765E-4</v>
      </c>
      <c r="G40" s="80">
        <f t="shared" ref="G40:Q40" si="7">AVERAGE(G30:G38)</f>
        <v>1.0128677698542583E-4</v>
      </c>
      <c r="H40" s="80">
        <f t="shared" si="7"/>
        <v>9.1240771890477534E-5</v>
      </c>
      <c r="I40" s="80"/>
      <c r="J40" s="80"/>
      <c r="K40" s="80">
        <f t="shared" si="7"/>
        <v>3.026454111988862E-5</v>
      </c>
      <c r="L40" s="80"/>
      <c r="M40" s="80">
        <f t="shared" si="7"/>
        <v>2.1130421175545275E-5</v>
      </c>
      <c r="N40" s="80">
        <f t="shared" si="7"/>
        <v>3.4552114812243863E-5</v>
      </c>
      <c r="O40" s="80"/>
      <c r="P40" s="80"/>
      <c r="Q40" s="80">
        <f t="shared" si="7"/>
        <v>1.4934782608695652E-4</v>
      </c>
      <c r="R40" s="148">
        <f>'Parameters, country spec'!D23</f>
        <v>6.4259546753399996E-2</v>
      </c>
    </row>
    <row r="41" spans="1:18" x14ac:dyDescent="0.3">
      <c r="A41" s="147"/>
      <c r="B41" s="24" t="s">
        <v>395</v>
      </c>
      <c r="C41" s="25"/>
      <c r="D41" s="100"/>
      <c r="E41" s="100"/>
      <c r="F41" s="46">
        <f t="shared" ref="F41:O41" si="8">SUMPRODUCT(F30:F40,$R$30:$R$40)</f>
        <v>4.4212546813669518E-4</v>
      </c>
      <c r="G41" s="46">
        <f t="shared" si="8"/>
        <v>1.2796055347515743E-4</v>
      </c>
      <c r="H41" s="46">
        <f t="shared" si="8"/>
        <v>9.3569812924831073E-5</v>
      </c>
      <c r="I41" s="46">
        <f t="shared" si="8"/>
        <v>0</v>
      </c>
      <c r="J41" s="46">
        <f t="shared" si="8"/>
        <v>0</v>
      </c>
      <c r="K41" s="46">
        <f t="shared" si="8"/>
        <v>1.8627203783588704E-5</v>
      </c>
      <c r="L41" s="46">
        <f t="shared" si="8"/>
        <v>0</v>
      </c>
      <c r="M41" s="46">
        <f t="shared" si="8"/>
        <v>3.1196320841868153E-5</v>
      </c>
      <c r="N41" s="46">
        <f t="shared" si="8"/>
        <v>3.3842040268264369E-5</v>
      </c>
      <c r="O41" s="46">
        <f t="shared" si="8"/>
        <v>0</v>
      </c>
      <c r="P41" s="46">
        <f>SUMPRODUCT(P30:P40,R30:R40)</f>
        <v>1.0410080928110167E-4</v>
      </c>
      <c r="Q41" s="46">
        <f>SUMPRODUCT(Q30:Q40,$R$30:$R$40)</f>
        <v>3.2828727561883792E-5</v>
      </c>
      <c r="R41" s="149"/>
    </row>
    <row r="42" spans="1:18" x14ac:dyDescent="0.3">
      <c r="A42" s="21" t="s">
        <v>381</v>
      </c>
      <c r="B42" s="16" t="s">
        <v>169</v>
      </c>
      <c r="C42" s="16" t="s">
        <v>382</v>
      </c>
      <c r="D42" s="22" t="s">
        <v>35</v>
      </c>
      <c r="E42" s="22" t="s">
        <v>87</v>
      </c>
      <c r="F42" s="278">
        <f>SUM(G42:Q42)</f>
        <v>2.9985099999999996E-4</v>
      </c>
      <c r="G42" s="279">
        <v>1.4999999999999999E-4</v>
      </c>
      <c r="H42" s="280">
        <v>1E-4</v>
      </c>
      <c r="I42" s="281"/>
      <c r="J42" s="282"/>
      <c r="K42" s="283">
        <v>1.5E-5</v>
      </c>
      <c r="L42" s="283"/>
      <c r="M42" s="283">
        <v>2.5100000000000001E-7</v>
      </c>
      <c r="N42" s="283">
        <v>3.4600000000000001E-5</v>
      </c>
      <c r="O42" s="283"/>
      <c r="P42" s="283"/>
      <c r="Q42" s="282"/>
      <c r="R42" s="148">
        <f>'Parameters, country spec'!E13</f>
        <v>9.4621646910172968E-2</v>
      </c>
    </row>
    <row r="43" spans="1:18" x14ac:dyDescent="0.3">
      <c r="A43" s="21" t="s">
        <v>383</v>
      </c>
      <c r="B43" s="16" t="s">
        <v>171</v>
      </c>
      <c r="C43" s="16" t="s">
        <v>382</v>
      </c>
      <c r="D43" s="22" t="s">
        <v>35</v>
      </c>
      <c r="E43" s="22" t="s">
        <v>87</v>
      </c>
      <c r="F43" s="162">
        <f t="shared" ref="F43:F52" si="9">SUM(G43:Q43)</f>
        <v>2.9590200000000001E-4</v>
      </c>
      <c r="G43" s="97">
        <v>1.4999999999999999E-4</v>
      </c>
      <c r="H43" s="98">
        <v>1E-4</v>
      </c>
      <c r="I43" s="15"/>
      <c r="J43" s="13"/>
      <c r="K43" s="99">
        <v>1.08E-5</v>
      </c>
      <c r="L43" s="99"/>
      <c r="M43" s="99">
        <v>5.0200000000000002E-7</v>
      </c>
      <c r="N43" s="99">
        <v>3.4600000000000001E-5</v>
      </c>
      <c r="O43" s="99"/>
      <c r="P43" s="99"/>
      <c r="Q43" s="13"/>
      <c r="R43" s="148">
        <f>'Parameters, country spec'!E14</f>
        <v>0.56124001601073992</v>
      </c>
    </row>
    <row r="44" spans="1:18" x14ac:dyDescent="0.3">
      <c r="A44" s="21" t="s">
        <v>384</v>
      </c>
      <c r="B44" s="16" t="s">
        <v>172</v>
      </c>
      <c r="C44" s="16" t="s">
        <v>382</v>
      </c>
      <c r="D44" s="22" t="s">
        <v>35</v>
      </c>
      <c r="E44" s="22" t="s">
        <v>87</v>
      </c>
      <c r="F44" s="162">
        <f t="shared" si="9"/>
        <v>2.9496000000000004E-4</v>
      </c>
      <c r="G44" s="97">
        <v>1.2999999999999999E-4</v>
      </c>
      <c r="H44" s="98">
        <v>1E-4</v>
      </c>
      <c r="I44" s="15"/>
      <c r="J44" s="13"/>
      <c r="K44" s="99">
        <v>2.8099999999999999E-5</v>
      </c>
      <c r="L44" s="99"/>
      <c r="M44" s="99">
        <v>2.26E-6</v>
      </c>
      <c r="N44" s="99">
        <v>3.4600000000000001E-5</v>
      </c>
      <c r="O44" s="99"/>
      <c r="P44" s="99"/>
      <c r="Q44" s="13"/>
      <c r="R44" s="148">
        <f>'Parameters, country spec'!E15</f>
        <v>5.0680010317105902E-2</v>
      </c>
    </row>
    <row r="45" spans="1:18" x14ac:dyDescent="0.3">
      <c r="A45" s="21" t="s">
        <v>385</v>
      </c>
      <c r="B45" s="16" t="s">
        <v>173</v>
      </c>
      <c r="C45" s="16" t="s">
        <v>382</v>
      </c>
      <c r="D45" s="22" t="s">
        <v>35</v>
      </c>
      <c r="E45" s="22" t="s">
        <v>87</v>
      </c>
      <c r="F45" s="162">
        <f t="shared" si="9"/>
        <v>2.7900000000000006E-4</v>
      </c>
      <c r="G45" s="97">
        <v>1.2E-4</v>
      </c>
      <c r="H45" s="98">
        <v>1E-4</v>
      </c>
      <c r="I45" s="13"/>
      <c r="J45" s="13"/>
      <c r="K45" s="99">
        <v>2.44E-5</v>
      </c>
      <c r="L45" s="99"/>
      <c r="M45" s="99">
        <v>0</v>
      </c>
      <c r="N45" s="99">
        <v>3.4600000000000001E-5</v>
      </c>
      <c r="O45" s="99"/>
      <c r="P45" s="99"/>
      <c r="Q45" s="13"/>
      <c r="R45" s="148">
        <f>'Parameters, country spec'!E16</f>
        <v>1.9697569305132029E-2</v>
      </c>
    </row>
    <row r="46" spans="1:18" x14ac:dyDescent="0.3">
      <c r="A46" s="21" t="s">
        <v>386</v>
      </c>
      <c r="B46" s="16" t="s">
        <v>174</v>
      </c>
      <c r="C46" s="16" t="s">
        <v>382</v>
      </c>
      <c r="D46" s="22" t="s">
        <v>35</v>
      </c>
      <c r="E46" s="22" t="s">
        <v>87</v>
      </c>
      <c r="F46" s="162">
        <f t="shared" si="9"/>
        <v>3.2050199999999996E-4</v>
      </c>
      <c r="G46" s="97">
        <v>1.7000000000000001E-4</v>
      </c>
      <c r="H46" s="98">
        <v>1E-4</v>
      </c>
      <c r="I46" s="13"/>
      <c r="J46" s="13"/>
      <c r="K46" s="99">
        <v>1.5400000000000002E-5</v>
      </c>
      <c r="L46" s="99"/>
      <c r="M46" s="99">
        <v>5.0200000000000002E-7</v>
      </c>
      <c r="N46" s="99">
        <v>3.4600000000000001E-5</v>
      </c>
      <c r="O46" s="99"/>
      <c r="P46" s="99"/>
      <c r="Q46" s="13"/>
      <c r="R46" s="148">
        <f>'Parameters, country spec'!E17</f>
        <v>8.8612672319940383E-2</v>
      </c>
    </row>
    <row r="47" spans="1:18" x14ac:dyDescent="0.3">
      <c r="A47" s="21" t="s">
        <v>387</v>
      </c>
      <c r="B47" s="16" t="s">
        <v>175</v>
      </c>
      <c r="C47" s="16" t="s">
        <v>388</v>
      </c>
      <c r="D47" s="22" t="s">
        <v>35</v>
      </c>
      <c r="E47" s="22" t="s">
        <v>87</v>
      </c>
      <c r="F47" s="162">
        <f t="shared" si="9"/>
        <v>1.8469999999999999E-4</v>
      </c>
      <c r="G47" s="97">
        <v>0</v>
      </c>
      <c r="H47" s="98">
        <v>1E-4</v>
      </c>
      <c r="I47" s="15"/>
      <c r="J47" s="13"/>
      <c r="K47" s="99">
        <v>3.15E-5</v>
      </c>
      <c r="L47" s="99"/>
      <c r="M47" s="99">
        <v>1.8600000000000001E-5</v>
      </c>
      <c r="N47" s="99">
        <v>3.4600000000000001E-5</v>
      </c>
      <c r="O47" s="99"/>
      <c r="P47" s="99"/>
      <c r="Q47" s="13"/>
      <c r="R47" s="148">
        <f>'Parameters, country spec'!E18</f>
        <v>9.055122364146367E-4</v>
      </c>
    </row>
    <row r="48" spans="1:18" x14ac:dyDescent="0.3">
      <c r="A48" s="21" t="s">
        <v>389</v>
      </c>
      <c r="B48" s="16" t="s">
        <v>176</v>
      </c>
      <c r="C48" s="16" t="s">
        <v>388</v>
      </c>
      <c r="D48" s="22" t="s">
        <v>35</v>
      </c>
      <c r="E48" s="22" t="s">
        <v>87</v>
      </c>
      <c r="F48" s="162">
        <f t="shared" si="9"/>
        <v>2.0880000000000001E-4</v>
      </c>
      <c r="G48" s="97">
        <v>7.5000000000000002E-6</v>
      </c>
      <c r="H48" s="98">
        <v>1E-4</v>
      </c>
      <c r="I48" s="15"/>
      <c r="J48" s="13"/>
      <c r="K48" s="99">
        <v>3.93E-5</v>
      </c>
      <c r="L48" s="99"/>
      <c r="M48" s="99">
        <v>2.7399999999999999E-5</v>
      </c>
      <c r="N48" s="99">
        <v>3.4600000000000001E-5</v>
      </c>
      <c r="O48" s="99"/>
      <c r="P48" s="99"/>
      <c r="Q48" s="13"/>
      <c r="R48" s="148">
        <f>'Parameters, country spec'!E19</f>
        <v>8.8951141806825748E-4</v>
      </c>
    </row>
    <row r="49" spans="1:18" x14ac:dyDescent="0.3">
      <c r="B49" s="17" t="s">
        <v>178</v>
      </c>
      <c r="C49" s="16" t="s">
        <v>390</v>
      </c>
      <c r="D49" s="22" t="s">
        <v>466</v>
      </c>
      <c r="E49" s="22"/>
      <c r="F49" s="123">
        <f t="shared" si="9"/>
        <v>3.8246443678729497E-4</v>
      </c>
      <c r="G49" s="33">
        <f>'Off-farm feed'!$F$75</f>
        <v>1.684774766302073E-4</v>
      </c>
      <c r="H49" s="33">
        <f>'Off-farm feed'!$G$75</f>
        <v>4.5862068965517246E-5</v>
      </c>
      <c r="I49" s="33"/>
      <c r="J49" s="33"/>
      <c r="K49" s="33">
        <f>'Off-farm feed'!$J$75</f>
        <v>1.0936279334641699E-5</v>
      </c>
      <c r="L49" s="33"/>
      <c r="M49" s="33">
        <f>'Off-farm feed'!$L$75</f>
        <v>6.4606960551724142E-7</v>
      </c>
      <c r="N49" s="33">
        <f>'Off-farm feed'!$M$75</f>
        <v>2.1884761697575221E-5</v>
      </c>
      <c r="O49" s="33"/>
      <c r="P49" s="33">
        <f>'Off-farm feed'!$O$75</f>
        <v>4.5962128379923281E-5</v>
      </c>
      <c r="Q49" s="33">
        <f>'Off-farm feed'!$P$75</f>
        <v>8.8695652173913049E-5</v>
      </c>
      <c r="R49" s="148">
        <f>'Parameters, country spec'!E20</f>
        <v>3.9081132627509534E-4</v>
      </c>
    </row>
    <row r="50" spans="1:18" x14ac:dyDescent="0.3">
      <c r="B50" s="17" t="s">
        <v>391</v>
      </c>
      <c r="C50" s="16" t="s">
        <v>390</v>
      </c>
      <c r="D50" s="22" t="s">
        <v>442</v>
      </c>
      <c r="E50" s="22"/>
      <c r="F50" s="123">
        <f t="shared" si="9"/>
        <v>4.7266553697523981E-4</v>
      </c>
      <c r="G50" s="33">
        <f>'Off-farm feed'!$F$24</f>
        <v>1.5603516238625262E-5</v>
      </c>
      <c r="H50" s="33">
        <f>'Off-farm feed'!$G$24</f>
        <v>7.5304878048780503E-5</v>
      </c>
      <c r="I50" s="33"/>
      <c r="J50" s="33"/>
      <c r="K50" s="33">
        <f>'Off-farm feed'!$J$24</f>
        <v>1.908459074435586E-5</v>
      </c>
      <c r="L50" s="33"/>
      <c r="M50" s="33">
        <f>'Off-farm feed'!$L$24</f>
        <v>5.9672097439024396E-7</v>
      </c>
      <c r="N50" s="33">
        <f>'Off-farm feed'!$M$24</f>
        <v>2.3084271612619523E-5</v>
      </c>
      <c r="O50" s="33"/>
      <c r="P50" s="33">
        <f>'Off-farm feed'!$O$24</f>
        <v>1.2899155935646844E-4</v>
      </c>
      <c r="Q50" s="33">
        <f>'Off-farm feed'!$P$24</f>
        <v>2.1000000000000001E-4</v>
      </c>
      <c r="R50" s="148">
        <f>'Parameters, country spec'!E21</f>
        <v>7.4520089695706837E-2</v>
      </c>
    </row>
    <row r="51" spans="1:18" x14ac:dyDescent="0.3">
      <c r="B51" s="16" t="s">
        <v>182</v>
      </c>
      <c r="C51" s="16" t="s">
        <v>392</v>
      </c>
      <c r="D51" s="22" t="s">
        <v>35</v>
      </c>
      <c r="E51" s="22" t="s">
        <v>87</v>
      </c>
      <c r="F51" s="162">
        <f t="shared" si="9"/>
        <v>1.4048667020930565E-3</v>
      </c>
      <c r="G51" s="99">
        <v>8.6835153156359304E-5</v>
      </c>
      <c r="H51" s="99">
        <v>4.7537999999999998E-5</v>
      </c>
      <c r="I51" s="48"/>
      <c r="J51" s="48"/>
      <c r="K51" s="99">
        <v>2.5195708664316999E-5</v>
      </c>
      <c r="L51" s="48"/>
      <c r="M51" s="48"/>
      <c r="N51" s="99"/>
      <c r="O51" s="99"/>
      <c r="P51" s="99">
        <v>1.2421904527491999E-3</v>
      </c>
      <c r="Q51" s="99">
        <v>3.10738752318024E-6</v>
      </c>
      <c r="R51" s="148">
        <f>'Parameters, country spec'!E22</f>
        <v>5.8765674595574857E-2</v>
      </c>
    </row>
    <row r="52" spans="1:18" x14ac:dyDescent="0.3">
      <c r="A52" s="81"/>
      <c r="B52" s="16" t="s">
        <v>393</v>
      </c>
      <c r="C52" s="82" t="s">
        <v>394</v>
      </c>
      <c r="D52" s="22" t="s">
        <v>35</v>
      </c>
      <c r="E52" s="22" t="s">
        <v>87</v>
      </c>
      <c r="F52" s="163">
        <f t="shared" si="9"/>
        <v>2.5168840376135889E-4</v>
      </c>
      <c r="G52" s="80">
        <f t="shared" ref="G52:N52" si="10">AVERAGE(G42:G50)</f>
        <v>1.0128677698542583E-4</v>
      </c>
      <c r="H52" s="80">
        <f t="shared" si="10"/>
        <v>9.1240771890477534E-5</v>
      </c>
      <c r="I52" s="80"/>
      <c r="J52" s="80"/>
      <c r="K52" s="80">
        <f t="shared" si="10"/>
        <v>2.1613430008777509E-5</v>
      </c>
      <c r="L52" s="80"/>
      <c r="M52" s="80">
        <f t="shared" si="10"/>
        <v>5.639754508878609E-6</v>
      </c>
      <c r="N52" s="80">
        <f t="shared" si="10"/>
        <v>3.1907670367799416E-5</v>
      </c>
      <c r="O52" s="80"/>
      <c r="P52" s="80"/>
      <c r="Q52" s="80"/>
      <c r="R52" s="148">
        <f>'Parameters, country spec'!E23</f>
        <v>4.9676485864869203E-2</v>
      </c>
    </row>
    <row r="53" spans="1:18" x14ac:dyDescent="0.3">
      <c r="A53" s="147"/>
      <c r="B53" s="24" t="s">
        <v>395</v>
      </c>
      <c r="C53" s="25"/>
      <c r="D53" s="100"/>
      <c r="E53" s="100"/>
      <c r="F53" s="46">
        <f t="shared" ref="F53:O53" si="11">SUMPRODUCT(F42:F52,$R$42:$R$52)</f>
        <v>3.740756376850014E-4</v>
      </c>
      <c r="G53" s="46">
        <f t="shared" si="11"/>
        <v>1.3376530056082017E-4</v>
      </c>
      <c r="H53" s="46">
        <f t="shared" si="11"/>
        <v>9.4620467088516437E-5</v>
      </c>
      <c r="I53" s="46">
        <f t="shared" si="11"/>
        <v>0</v>
      </c>
      <c r="J53" s="46">
        <f t="shared" si="11"/>
        <v>0</v>
      </c>
      <c r="K53" s="46">
        <f t="shared" si="11"/>
        <v>1.4794343948229784E-5</v>
      </c>
      <c r="L53" s="46">
        <f t="shared" si="11"/>
        <v>0</v>
      </c>
      <c r="M53" s="46">
        <f t="shared" si="11"/>
        <v>8.3061142368140611E-7</v>
      </c>
      <c r="N53" s="46">
        <f t="shared" si="11"/>
        <v>3.1569839812591663E-5</v>
      </c>
      <c r="O53" s="46">
        <f t="shared" si="11"/>
        <v>0</v>
      </c>
      <c r="P53" s="46">
        <f>SUMPRODUCT(P42:P52,R42:R52)</f>
        <v>8.2628585025572998E-5</v>
      </c>
      <c r="Q53" s="46">
        <f>SUMPRODUCT(Q42:Q52,$R$42:$R$52)</f>
        <v>1.586648982558892E-5</v>
      </c>
      <c r="R53" s="149"/>
    </row>
    <row r="54" spans="1:18" x14ac:dyDescent="0.3">
      <c r="A54" s="21" t="s">
        <v>381</v>
      </c>
      <c r="B54" s="16" t="s">
        <v>169</v>
      </c>
      <c r="C54" s="16" t="s">
        <v>382</v>
      </c>
      <c r="D54" s="22" t="s">
        <v>37</v>
      </c>
      <c r="E54" s="22" t="s">
        <v>88</v>
      </c>
      <c r="F54" s="278">
        <f>SUM(G54:Q54)</f>
        <v>2.8265300000000001E-4</v>
      </c>
      <c r="G54" s="279">
        <v>1.4999999999999999E-4</v>
      </c>
      <c r="H54" s="280">
        <v>1E-4</v>
      </c>
      <c r="I54" s="281"/>
      <c r="J54" s="282"/>
      <c r="K54" s="283">
        <v>1.0900000000000001E-5</v>
      </c>
      <c r="L54" s="283"/>
      <c r="M54" s="283">
        <v>7.5300000000000003E-7</v>
      </c>
      <c r="N54" s="283">
        <v>2.0999999999999999E-5</v>
      </c>
      <c r="O54" s="283"/>
      <c r="P54" s="283"/>
      <c r="Q54" s="282"/>
      <c r="R54" s="148">
        <f>'Parameters, country spec'!F13</f>
        <v>1.5696345190060232E-2</v>
      </c>
    </row>
    <row r="55" spans="1:18" x14ac:dyDescent="0.3">
      <c r="A55" s="21" t="s">
        <v>383</v>
      </c>
      <c r="B55" s="16" t="s">
        <v>171</v>
      </c>
      <c r="C55" s="16" t="s">
        <v>382</v>
      </c>
      <c r="D55" s="22" t="s">
        <v>37</v>
      </c>
      <c r="E55" s="22" t="s">
        <v>88</v>
      </c>
      <c r="F55" s="162">
        <f t="shared" ref="F55:F64" si="12">SUM(G55:Q55)</f>
        <v>0</v>
      </c>
      <c r="G55" s="97"/>
      <c r="H55" s="98"/>
      <c r="I55" s="15"/>
      <c r="J55" s="13"/>
      <c r="K55" s="99"/>
      <c r="L55" s="99"/>
      <c r="M55" s="99"/>
      <c r="N55" s="99"/>
      <c r="O55" s="99"/>
      <c r="P55" s="99"/>
      <c r="Q55" s="13"/>
      <c r="R55" s="148">
        <f>'Parameters, country spec'!F14</f>
        <v>4.3262189278547086E-3</v>
      </c>
    </row>
    <row r="56" spans="1:18" x14ac:dyDescent="0.3">
      <c r="A56" s="21" t="s">
        <v>384</v>
      </c>
      <c r="B56" s="16" t="s">
        <v>172</v>
      </c>
      <c r="C56" s="16" t="s">
        <v>382</v>
      </c>
      <c r="D56" s="22" t="s">
        <v>37</v>
      </c>
      <c r="E56" s="22" t="s">
        <v>88</v>
      </c>
      <c r="F56" s="162">
        <f t="shared" si="12"/>
        <v>2.6160000000000002E-4</v>
      </c>
      <c r="G56" s="97">
        <v>1.2999999999999999E-4</v>
      </c>
      <c r="H56" s="98">
        <v>1E-4</v>
      </c>
      <c r="I56" s="15"/>
      <c r="J56" s="13"/>
      <c r="K56" s="99">
        <v>1.06E-5</v>
      </c>
      <c r="L56" s="99"/>
      <c r="M56" s="99">
        <v>0</v>
      </c>
      <c r="N56" s="99">
        <v>2.0999999999999999E-5</v>
      </c>
      <c r="O56" s="99"/>
      <c r="P56" s="99"/>
      <c r="Q56" s="13"/>
      <c r="R56" s="148">
        <f>'Parameters, country spec'!F15</f>
        <v>9.0473725401480211E-4</v>
      </c>
    </row>
    <row r="57" spans="1:18" x14ac:dyDescent="0.3">
      <c r="A57" s="21" t="s">
        <v>385</v>
      </c>
      <c r="B57" s="16" t="s">
        <v>173</v>
      </c>
      <c r="C57" s="16" t="s">
        <v>382</v>
      </c>
      <c r="D57" s="22" t="s">
        <v>37</v>
      </c>
      <c r="E57" s="22" t="s">
        <v>88</v>
      </c>
      <c r="F57" s="162">
        <f t="shared" si="12"/>
        <v>2.6615300000000004E-4</v>
      </c>
      <c r="G57" s="97">
        <v>1.2E-4</v>
      </c>
      <c r="H57" s="98">
        <v>1E-4</v>
      </c>
      <c r="I57" s="13"/>
      <c r="J57" s="13"/>
      <c r="K57" s="99">
        <v>2.44E-5</v>
      </c>
      <c r="L57" s="99"/>
      <c r="M57" s="99">
        <v>7.5300000000000003E-7</v>
      </c>
      <c r="N57" s="99">
        <v>2.0999999999999999E-5</v>
      </c>
      <c r="O57" s="99"/>
      <c r="P57" s="99"/>
      <c r="Q57" s="13"/>
      <c r="R57" s="148">
        <f>'Parameters, country spec'!F16</f>
        <v>0</v>
      </c>
    </row>
    <row r="58" spans="1:18" x14ac:dyDescent="0.3">
      <c r="A58" s="21" t="s">
        <v>386</v>
      </c>
      <c r="B58" s="16" t="s">
        <v>174</v>
      </c>
      <c r="C58" s="16" t="s">
        <v>382</v>
      </c>
      <c r="D58" s="22" t="s">
        <v>37</v>
      </c>
      <c r="E58" s="22" t="s">
        <v>88</v>
      </c>
      <c r="F58" s="162">
        <f t="shared" si="12"/>
        <v>3.0043100000000004E-4</v>
      </c>
      <c r="G58" s="97">
        <v>1.7000000000000001E-4</v>
      </c>
      <c r="H58" s="98">
        <v>1E-4</v>
      </c>
      <c r="I58" s="13"/>
      <c r="J58" s="13"/>
      <c r="K58" s="99">
        <v>9.1800000000000002E-6</v>
      </c>
      <c r="L58" s="99"/>
      <c r="M58" s="99">
        <v>2.5100000000000001E-7</v>
      </c>
      <c r="N58" s="99">
        <v>2.0999999999999999E-5</v>
      </c>
      <c r="O58" s="99"/>
      <c r="P58" s="99"/>
      <c r="Q58" s="13"/>
      <c r="R58" s="148">
        <f>'Parameters, country spec'!F17</f>
        <v>6.7415867076212055E-3</v>
      </c>
    </row>
    <row r="59" spans="1:18" x14ac:dyDescent="0.3">
      <c r="A59" s="21" t="s">
        <v>387</v>
      </c>
      <c r="B59" s="16" t="s">
        <v>175</v>
      </c>
      <c r="C59" s="16" t="s">
        <v>388</v>
      </c>
      <c r="D59" s="22" t="s">
        <v>37</v>
      </c>
      <c r="E59" s="22" t="s">
        <v>88</v>
      </c>
      <c r="F59" s="162">
        <f t="shared" si="12"/>
        <v>1.4256000000000002E-4</v>
      </c>
      <c r="G59" s="97">
        <v>0</v>
      </c>
      <c r="H59" s="98">
        <v>1E-4</v>
      </c>
      <c r="I59" s="15"/>
      <c r="J59" s="13"/>
      <c r="K59" s="99">
        <v>1.98E-5</v>
      </c>
      <c r="L59" s="99"/>
      <c r="M59" s="99">
        <v>1.7600000000000001E-6</v>
      </c>
      <c r="N59" s="99">
        <v>2.0999999999999999E-5</v>
      </c>
      <c r="O59" s="99"/>
      <c r="P59" s="99"/>
      <c r="Q59" s="13"/>
      <c r="R59" s="148">
        <f>'Parameters, country spec'!F18</f>
        <v>1.9914212520241563E-4</v>
      </c>
    </row>
    <row r="60" spans="1:18" x14ac:dyDescent="0.3">
      <c r="A60" s="21" t="s">
        <v>389</v>
      </c>
      <c r="B60" s="16" t="s">
        <v>176</v>
      </c>
      <c r="C60" s="16" t="s">
        <v>388</v>
      </c>
      <c r="D60" s="22" t="s">
        <v>37</v>
      </c>
      <c r="E60" s="22" t="s">
        <v>88</v>
      </c>
      <c r="F60" s="162">
        <f t="shared" si="12"/>
        <v>1.4410000000000001E-4</v>
      </c>
      <c r="G60" s="97">
        <v>7.5000000000000002E-6</v>
      </c>
      <c r="H60" s="98">
        <v>1E-4</v>
      </c>
      <c r="I60" s="15"/>
      <c r="J60" s="13"/>
      <c r="K60" s="99">
        <v>1.56E-5</v>
      </c>
      <c r="L60" s="99"/>
      <c r="M60" s="99">
        <v>0</v>
      </c>
      <c r="N60" s="99">
        <v>2.0999999999999999E-5</v>
      </c>
      <c r="O60" s="99"/>
      <c r="P60" s="99"/>
      <c r="Q60" s="13"/>
      <c r="R60" s="148">
        <f>'Parameters, country spec'!F19</f>
        <v>1.9562319212022632E-4</v>
      </c>
    </row>
    <row r="61" spans="1:18" x14ac:dyDescent="0.3">
      <c r="B61" s="17" t="s">
        <v>178</v>
      </c>
      <c r="C61" s="16" t="s">
        <v>390</v>
      </c>
      <c r="D61" s="22" t="s">
        <v>466</v>
      </c>
      <c r="E61" s="22"/>
      <c r="F61" s="123">
        <f t="shared" si="12"/>
        <v>3.8246443678729497E-4</v>
      </c>
      <c r="G61" s="33">
        <f>'Off-farm feed'!$F$75</f>
        <v>1.684774766302073E-4</v>
      </c>
      <c r="H61" s="33">
        <f>'Off-farm feed'!$G$75</f>
        <v>4.5862068965517246E-5</v>
      </c>
      <c r="I61" s="33"/>
      <c r="J61" s="33"/>
      <c r="K61" s="33">
        <f>'Off-farm feed'!$J$75</f>
        <v>1.0936279334641699E-5</v>
      </c>
      <c r="L61" s="33"/>
      <c r="M61" s="33">
        <f>'Off-farm feed'!$L$75</f>
        <v>6.4606960551724142E-7</v>
      </c>
      <c r="N61" s="33">
        <f>'Off-farm feed'!$M$75</f>
        <v>2.1884761697575221E-5</v>
      </c>
      <c r="O61" s="33"/>
      <c r="P61" s="33">
        <f>'Off-farm feed'!$O$75</f>
        <v>4.5962128379923281E-5</v>
      </c>
      <c r="Q61" s="33">
        <f>'Off-farm feed'!$P$75</f>
        <v>8.8695652173913049E-5</v>
      </c>
      <c r="R61" s="148">
        <f>'Parameters, country spec'!F20</f>
        <v>1.0661631618013182E-2</v>
      </c>
    </row>
    <row r="62" spans="1:18" x14ac:dyDescent="0.3">
      <c r="B62" s="17" t="s">
        <v>391</v>
      </c>
      <c r="C62" s="16" t="s">
        <v>390</v>
      </c>
      <c r="D62" s="22" t="s">
        <v>442</v>
      </c>
      <c r="E62" s="22"/>
      <c r="F62" s="123">
        <f t="shared" si="12"/>
        <v>4.7266553697523981E-4</v>
      </c>
      <c r="G62" s="33">
        <f>'Off-farm feed'!$F$24</f>
        <v>1.5603516238625262E-5</v>
      </c>
      <c r="H62" s="33">
        <f>'Off-farm feed'!$G$24</f>
        <v>7.5304878048780503E-5</v>
      </c>
      <c r="I62" s="33"/>
      <c r="J62" s="33"/>
      <c r="K62" s="33">
        <f>'Off-farm feed'!$J$24</f>
        <v>1.908459074435586E-5</v>
      </c>
      <c r="L62" s="33"/>
      <c r="M62" s="33">
        <f>'Off-farm feed'!$L$24</f>
        <v>5.9672097439024396E-7</v>
      </c>
      <c r="N62" s="33">
        <f>'Off-farm feed'!$M$24</f>
        <v>2.3084271612619523E-5</v>
      </c>
      <c r="O62" s="33"/>
      <c r="P62" s="33">
        <f>'Off-farm feed'!$O$24</f>
        <v>1.2899155935646844E-4</v>
      </c>
      <c r="Q62" s="33">
        <f>'Off-farm feed'!$P$24</f>
        <v>2.1000000000000001E-4</v>
      </c>
      <c r="R62" s="148">
        <f>'Parameters, country spec'!F21</f>
        <v>2.0288138727708262E-2</v>
      </c>
    </row>
    <row r="63" spans="1:18" x14ac:dyDescent="0.3">
      <c r="B63" s="16" t="s">
        <v>182</v>
      </c>
      <c r="C63" s="16" t="s">
        <v>392</v>
      </c>
      <c r="D63" s="22" t="s">
        <v>37</v>
      </c>
      <c r="E63" s="22" t="s">
        <v>88</v>
      </c>
      <c r="F63" s="162">
        <f t="shared" si="12"/>
        <v>6.523832252484027E-4</v>
      </c>
      <c r="G63" s="99">
        <v>8.4554222784766103E-5</v>
      </c>
      <c r="H63" s="99">
        <v>4.7537999999999998E-5</v>
      </c>
      <c r="I63" s="48"/>
      <c r="J63" s="48"/>
      <c r="K63" s="99">
        <v>1.7594966226416302E-5</v>
      </c>
      <c r="L63" s="48"/>
      <c r="M63" s="48"/>
      <c r="N63" s="99"/>
      <c r="O63" s="99"/>
      <c r="P63" s="99">
        <v>4.7636352423280299E-4</v>
      </c>
      <c r="Q63" s="99">
        <v>2.6332512004417299E-5</v>
      </c>
      <c r="R63" s="148">
        <f>'Parameters, country spec'!F22</f>
        <v>2.0037841928894622E-2</v>
      </c>
    </row>
    <row r="64" spans="1:18" x14ac:dyDescent="0.3">
      <c r="A64" s="81"/>
      <c r="B64" s="16" t="s">
        <v>393</v>
      </c>
      <c r="C64" s="82" t="s">
        <v>394</v>
      </c>
      <c r="D64" s="22" t="s">
        <v>37</v>
      </c>
      <c r="E64" s="22" t="s">
        <v>88</v>
      </c>
      <c r="F64" s="163">
        <f t="shared" si="12"/>
        <v>2.223722042315288E-4</v>
      </c>
      <c r="G64" s="80">
        <f t="shared" ref="G64:N64" si="13">AVERAGE(G54:G62)</f>
        <v>9.5197624108604075E-5</v>
      </c>
      <c r="H64" s="80">
        <f t="shared" si="13"/>
        <v>9.0145868376787224E-5</v>
      </c>
      <c r="I64" s="80"/>
      <c r="J64" s="80"/>
      <c r="K64" s="80">
        <f t="shared" si="13"/>
        <v>1.5062608759874696E-5</v>
      </c>
      <c r="L64" s="80"/>
      <c r="M64" s="80">
        <f t="shared" si="13"/>
        <v>5.9497382248843576E-7</v>
      </c>
      <c r="N64" s="80">
        <f t="shared" si="13"/>
        <v>2.1371129163774344E-5</v>
      </c>
      <c r="O64" s="80"/>
      <c r="P64" s="80"/>
      <c r="Q64" s="80"/>
      <c r="R64" s="148">
        <f>'Parameters, country spec'!F23</f>
        <v>0.92094873432851032</v>
      </c>
    </row>
    <row r="65" spans="1:18" x14ac:dyDescent="0.3">
      <c r="A65" s="147"/>
      <c r="B65" s="24" t="s">
        <v>395</v>
      </c>
      <c r="C65" s="25"/>
      <c r="D65" s="100"/>
      <c r="E65" s="100"/>
      <c r="F65" s="46">
        <f t="shared" ref="F65:O65" si="14">SUMPRODUCT(F54:F64,$R$54:$R$64)</f>
        <v>2.3828820986160191E-4</v>
      </c>
      <c r="G65" s="46">
        <f t="shared" si="14"/>
        <v>9.5098831214102326E-5</v>
      </c>
      <c r="H65" s="46">
        <f t="shared" si="14"/>
        <v>8.836278606034143E-5</v>
      </c>
      <c r="I65" s="46">
        <f t="shared" si="14"/>
        <v>0</v>
      </c>
      <c r="J65" s="46">
        <f t="shared" si="14"/>
        <v>0</v>
      </c>
      <c r="K65" s="46">
        <f t="shared" si="14"/>
        <v>1.4977807910518233E-5</v>
      </c>
      <c r="L65" s="46">
        <f t="shared" si="14"/>
        <v>0</v>
      </c>
      <c r="M65" s="46">
        <f t="shared" si="14"/>
        <v>5.8079687915518768E-7</v>
      </c>
      <c r="N65" s="46">
        <f t="shared" si="14"/>
        <v>2.0881864650570966E-5</v>
      </c>
      <c r="O65" s="46">
        <f t="shared" si="14"/>
        <v>0</v>
      </c>
      <c r="P65" s="46">
        <f>SUMPRODUCT(P54:P64,R54:R64)</f>
        <v>1.2652326931362086E-5</v>
      </c>
      <c r="Q65" s="46">
        <f>SUMPRODUCT(Q54:Q64,$R$54:$R$64)</f>
        <v>5.7337962155516603E-6</v>
      </c>
      <c r="R65" s="149"/>
    </row>
    <row r="66" spans="1:18" x14ac:dyDescent="0.3">
      <c r="A66" s="21" t="s">
        <v>381</v>
      </c>
      <c r="B66" s="16" t="s">
        <v>169</v>
      </c>
      <c r="C66" s="16" t="s">
        <v>382</v>
      </c>
      <c r="D66" s="22" t="s">
        <v>39</v>
      </c>
      <c r="E66" s="22" t="s">
        <v>89</v>
      </c>
      <c r="F66" s="278">
        <f>SUM(G66:Q66)</f>
        <v>3.1615300000000001E-4</v>
      </c>
      <c r="G66" s="279">
        <v>1.4999999999999999E-4</v>
      </c>
      <c r="H66" s="280">
        <v>1E-4</v>
      </c>
      <c r="I66" s="281"/>
      <c r="J66" s="282"/>
      <c r="K66" s="283">
        <v>2.0000000000000002E-5</v>
      </c>
      <c r="L66" s="283"/>
      <c r="M66" s="283">
        <v>7.5300000000000003E-7</v>
      </c>
      <c r="N66" s="283">
        <v>4.5399999999999999E-5</v>
      </c>
      <c r="O66" s="283"/>
      <c r="P66" s="283"/>
      <c r="Q66" s="282"/>
      <c r="R66" s="148">
        <f>'Parameters, country spec'!G13</f>
        <v>8.7634739536272627E-2</v>
      </c>
    </row>
    <row r="67" spans="1:18" x14ac:dyDescent="0.3">
      <c r="A67" s="21" t="s">
        <v>383</v>
      </c>
      <c r="B67" s="16" t="s">
        <v>171</v>
      </c>
      <c r="C67" s="16" t="s">
        <v>382</v>
      </c>
      <c r="D67" s="22" t="s">
        <v>39</v>
      </c>
      <c r="E67" s="22" t="s">
        <v>89</v>
      </c>
      <c r="F67" s="162">
        <f t="shared" ref="F67:F76" si="15">SUM(G67:Q67)</f>
        <v>3.2844000000000005E-4</v>
      </c>
      <c r="G67" s="97">
        <v>1.4999999999999999E-4</v>
      </c>
      <c r="H67" s="98">
        <v>1E-4</v>
      </c>
      <c r="I67" s="15"/>
      <c r="J67" s="13"/>
      <c r="K67" s="99">
        <v>7.9400000000000002E-6</v>
      </c>
      <c r="L67" s="99"/>
      <c r="M67" s="99">
        <v>2.51E-5</v>
      </c>
      <c r="N67" s="99">
        <v>4.5399999999999999E-5</v>
      </c>
      <c r="O67" s="99"/>
      <c r="P67" s="99"/>
      <c r="Q67" s="13"/>
      <c r="R67" s="148">
        <f>'Parameters, country spec'!G14</f>
        <v>0.57303226549823605</v>
      </c>
    </row>
    <row r="68" spans="1:18" x14ac:dyDescent="0.3">
      <c r="A68" s="21" t="s">
        <v>384</v>
      </c>
      <c r="B68" s="16" t="s">
        <v>172</v>
      </c>
      <c r="C68" s="16" t="s">
        <v>382</v>
      </c>
      <c r="D68" s="22" t="s">
        <v>39</v>
      </c>
      <c r="E68" s="22" t="s">
        <v>89</v>
      </c>
      <c r="F68" s="162">
        <f t="shared" si="15"/>
        <v>3.3830000000000004E-4</v>
      </c>
      <c r="G68" s="97">
        <v>1.2999999999999999E-4</v>
      </c>
      <c r="H68" s="98">
        <v>1E-4</v>
      </c>
      <c r="I68" s="15"/>
      <c r="J68" s="13"/>
      <c r="K68" s="99">
        <v>3.4999999999999997E-5</v>
      </c>
      <c r="L68" s="99"/>
      <c r="M68" s="99">
        <v>2.7900000000000001E-5</v>
      </c>
      <c r="N68" s="99">
        <v>4.5399999999999999E-5</v>
      </c>
      <c r="O68" s="99"/>
      <c r="P68" s="99"/>
      <c r="Q68" s="13"/>
      <c r="R68" s="148">
        <f>'Parameters, country spec'!G15</f>
        <v>1.8199416246980425E-2</v>
      </c>
    </row>
    <row r="69" spans="1:18" x14ac:dyDescent="0.3">
      <c r="A69" s="21" t="s">
        <v>385</v>
      </c>
      <c r="B69" s="16" t="s">
        <v>173</v>
      </c>
      <c r="C69" s="16" t="s">
        <v>382</v>
      </c>
      <c r="D69" s="22" t="s">
        <v>39</v>
      </c>
      <c r="E69" s="22" t="s">
        <v>89</v>
      </c>
      <c r="F69" s="162">
        <f t="shared" si="15"/>
        <v>2.9170000000000004E-4</v>
      </c>
      <c r="G69" s="97">
        <v>1.2E-4</v>
      </c>
      <c r="H69" s="98">
        <v>1E-4</v>
      </c>
      <c r="I69" s="13"/>
      <c r="J69" s="13"/>
      <c r="K69" s="99">
        <v>2.5299999999999998E-5</v>
      </c>
      <c r="L69" s="99"/>
      <c r="M69" s="99">
        <v>9.9999999999999995E-7</v>
      </c>
      <c r="N69" s="99">
        <v>4.5399999999999999E-5</v>
      </c>
      <c r="O69" s="99"/>
      <c r="P69" s="99"/>
      <c r="Q69" s="13"/>
      <c r="R69" s="148">
        <f>'Parameters, country spec'!G16</f>
        <v>1.4500630224108487E-3</v>
      </c>
    </row>
    <row r="70" spans="1:18" x14ac:dyDescent="0.3">
      <c r="A70" s="21" t="s">
        <v>386</v>
      </c>
      <c r="B70" s="16" t="s">
        <v>174</v>
      </c>
      <c r="C70" s="16" t="s">
        <v>382</v>
      </c>
      <c r="D70" s="22" t="s">
        <v>39</v>
      </c>
      <c r="E70" s="22" t="s">
        <v>89</v>
      </c>
      <c r="F70" s="162">
        <f t="shared" si="15"/>
        <v>3.4172E-4</v>
      </c>
      <c r="G70" s="97">
        <v>1.7000000000000001E-4</v>
      </c>
      <c r="H70" s="98">
        <v>1E-4</v>
      </c>
      <c r="I70" s="13"/>
      <c r="J70" s="13"/>
      <c r="K70" s="99">
        <v>2.1299999999999999E-5</v>
      </c>
      <c r="L70" s="99"/>
      <c r="M70" s="99">
        <v>5.0200000000000002E-6</v>
      </c>
      <c r="N70" s="99">
        <v>4.5399999999999999E-5</v>
      </c>
      <c r="O70" s="99"/>
      <c r="P70" s="99"/>
      <c r="Q70" s="13"/>
      <c r="R70" s="148">
        <f>'Parameters, country spec'!G17</f>
        <v>8.3008572023096597E-2</v>
      </c>
    </row>
    <row r="71" spans="1:18" x14ac:dyDescent="0.3">
      <c r="A71" s="21" t="s">
        <v>387</v>
      </c>
      <c r="B71" s="16" t="s">
        <v>175</v>
      </c>
      <c r="C71" s="16" t="s">
        <v>388</v>
      </c>
      <c r="D71" s="22" t="s">
        <v>39</v>
      </c>
      <c r="E71" s="22" t="s">
        <v>89</v>
      </c>
      <c r="F71" s="162">
        <f t="shared" si="15"/>
        <v>1.7426E-4</v>
      </c>
      <c r="G71" s="97">
        <v>0</v>
      </c>
      <c r="H71" s="98">
        <v>1E-4</v>
      </c>
      <c r="I71" s="15"/>
      <c r="J71" s="13"/>
      <c r="K71" s="99">
        <v>2.5599999999999999E-5</v>
      </c>
      <c r="L71" s="99"/>
      <c r="M71" s="99">
        <v>3.2600000000000001E-6</v>
      </c>
      <c r="N71" s="99">
        <v>4.5399999999999999E-5</v>
      </c>
      <c r="O71" s="99"/>
      <c r="P71" s="99"/>
      <c r="Q71" s="13"/>
      <c r="R71" s="148">
        <f>'Parameters, country spec'!G18</f>
        <v>1.9271365501345272E-3</v>
      </c>
    </row>
    <row r="72" spans="1:18" x14ac:dyDescent="0.3">
      <c r="A72" s="21" t="s">
        <v>389</v>
      </c>
      <c r="B72" s="16" t="s">
        <v>176</v>
      </c>
      <c r="C72" s="16" t="s">
        <v>388</v>
      </c>
      <c r="D72" s="22" t="s">
        <v>39</v>
      </c>
      <c r="E72" s="22" t="s">
        <v>89</v>
      </c>
      <c r="F72" s="162">
        <f t="shared" si="15"/>
        <v>1.9220000000000001E-4</v>
      </c>
      <c r="G72" s="97">
        <v>7.5000000000000002E-6</v>
      </c>
      <c r="H72" s="98">
        <v>1E-4</v>
      </c>
      <c r="I72" s="15"/>
      <c r="J72" s="13"/>
      <c r="K72" s="99">
        <v>3.8300000000000003E-5</v>
      </c>
      <c r="L72" s="99"/>
      <c r="M72" s="99">
        <v>9.9999999999999995E-7</v>
      </c>
      <c r="N72" s="99">
        <v>4.5399999999999999E-5</v>
      </c>
      <c r="O72" s="99"/>
      <c r="P72" s="99"/>
      <c r="Q72" s="13"/>
      <c r="R72" s="148">
        <f>'Parameters, country spec'!G19</f>
        <v>1.8930831597192171E-3</v>
      </c>
    </row>
    <row r="73" spans="1:18" x14ac:dyDescent="0.3">
      <c r="B73" s="17" t="s">
        <v>178</v>
      </c>
      <c r="C73" s="16" t="s">
        <v>390</v>
      </c>
      <c r="D73" s="22" t="s">
        <v>466</v>
      </c>
      <c r="E73" s="22"/>
      <c r="F73" s="123">
        <f t="shared" si="15"/>
        <v>3.8246443678729497E-4</v>
      </c>
      <c r="G73" s="33">
        <f>'Off-farm feed'!$F$75</f>
        <v>1.684774766302073E-4</v>
      </c>
      <c r="H73" s="33">
        <f>'Off-farm feed'!$G$75</f>
        <v>4.5862068965517246E-5</v>
      </c>
      <c r="I73" s="33"/>
      <c r="J73" s="33"/>
      <c r="K73" s="33">
        <f>'Off-farm feed'!$J$75</f>
        <v>1.0936279334641699E-5</v>
      </c>
      <c r="L73" s="33"/>
      <c r="M73" s="33">
        <f>'Off-farm feed'!$L$75</f>
        <v>6.4606960551724142E-7</v>
      </c>
      <c r="N73" s="33">
        <f>'Off-farm feed'!$M$75</f>
        <v>2.1884761697575221E-5</v>
      </c>
      <c r="O73" s="33"/>
      <c r="P73" s="33">
        <f>'Off-farm feed'!$O$75</f>
        <v>4.5962128379923281E-5</v>
      </c>
      <c r="Q73" s="33">
        <f>'Off-farm feed'!$P$75</f>
        <v>8.8695652173913049E-5</v>
      </c>
      <c r="R73" s="148">
        <f>'Parameters, country spec'!G20</f>
        <v>3.2461288333790871E-3</v>
      </c>
    </row>
    <row r="74" spans="1:18" x14ac:dyDescent="0.3">
      <c r="B74" s="17" t="s">
        <v>391</v>
      </c>
      <c r="C74" s="16" t="s">
        <v>390</v>
      </c>
      <c r="D74" s="22" t="s">
        <v>442</v>
      </c>
      <c r="E74" s="22"/>
      <c r="F74" s="123">
        <f t="shared" si="15"/>
        <v>4.7266553697523981E-4</v>
      </c>
      <c r="G74" s="33">
        <f>'Off-farm feed'!$F$24</f>
        <v>1.5603516238625262E-5</v>
      </c>
      <c r="H74" s="33">
        <f>'Off-farm feed'!$G$24</f>
        <v>7.5304878048780503E-5</v>
      </c>
      <c r="I74" s="33"/>
      <c r="J74" s="33"/>
      <c r="K74" s="33">
        <f>'Off-farm feed'!$J$24</f>
        <v>1.908459074435586E-5</v>
      </c>
      <c r="L74" s="33"/>
      <c r="M74" s="33">
        <f>'Off-farm feed'!$L$24</f>
        <v>5.9672097439024396E-7</v>
      </c>
      <c r="N74" s="33">
        <f>'Off-farm feed'!$M$24</f>
        <v>2.3084271612619523E-5</v>
      </c>
      <c r="O74" s="33"/>
      <c r="P74" s="33">
        <f>'Off-farm feed'!$O$24</f>
        <v>1.2899155935646844E-4</v>
      </c>
      <c r="Q74" s="33">
        <f>'Off-farm feed'!$P$24</f>
        <v>2.1000000000000001E-4</v>
      </c>
      <c r="R74" s="148">
        <f>'Parameters, country spec'!G21</f>
        <v>8.0143174333338049E-2</v>
      </c>
    </row>
    <row r="75" spans="1:18" x14ac:dyDescent="0.3">
      <c r="B75" s="16" t="s">
        <v>182</v>
      </c>
      <c r="C75" s="16" t="s">
        <v>392</v>
      </c>
      <c r="D75" s="22" t="s">
        <v>39</v>
      </c>
      <c r="E75" s="22" t="s">
        <v>89</v>
      </c>
      <c r="F75" s="162">
        <f t="shared" si="15"/>
        <v>2.0494297585875614E-3</v>
      </c>
      <c r="G75" s="99">
        <v>8.9837354931365901E-5</v>
      </c>
      <c r="H75" s="99">
        <v>4.9778010471204101E-5</v>
      </c>
      <c r="K75" s="99">
        <v>3.0411124322263398E-5</v>
      </c>
      <c r="N75" s="99"/>
      <c r="O75" s="99"/>
      <c r="P75" s="99">
        <v>1.84838955963081E-3</v>
      </c>
      <c r="Q75" s="99">
        <v>3.1013709231917901E-5</v>
      </c>
      <c r="R75" s="148">
        <f>'Parameters, country spec'!G22</f>
        <v>8.4604092546848059E-2</v>
      </c>
    </row>
    <row r="76" spans="1:18" x14ac:dyDescent="0.3">
      <c r="A76" s="81"/>
      <c r="B76" s="16" t="s">
        <v>393</v>
      </c>
      <c r="C76" s="82" t="s">
        <v>394</v>
      </c>
      <c r="D76" s="22" t="s">
        <v>39</v>
      </c>
      <c r="E76" s="22" t="s">
        <v>89</v>
      </c>
      <c r="F76" s="163">
        <f t="shared" si="15"/>
        <v>4.1204267429275986E-4</v>
      </c>
      <c r="G76" s="80">
        <f t="shared" ref="G76:Q76" si="16">AVERAGE(G66:G74)</f>
        <v>1.0128677698542583E-4</v>
      </c>
      <c r="H76" s="80">
        <f t="shared" si="16"/>
        <v>9.1240771890477534E-5</v>
      </c>
      <c r="I76" s="80"/>
      <c r="J76" s="80"/>
      <c r="K76" s="80">
        <f t="shared" si="16"/>
        <v>2.2606763342110838E-5</v>
      </c>
      <c r="L76" s="80"/>
      <c r="M76" s="80">
        <f t="shared" si="16"/>
        <v>7.2528656199897211E-6</v>
      </c>
      <c r="N76" s="80">
        <f t="shared" si="16"/>
        <v>4.0307670367799424E-5</v>
      </c>
      <c r="O76" s="80"/>
      <c r="P76" s="80"/>
      <c r="Q76" s="80">
        <f t="shared" si="16"/>
        <v>1.4934782608695652E-4</v>
      </c>
      <c r="R76" s="148">
        <f>'Parameters, country spec'!G23</f>
        <v>6.4861328249584266E-2</v>
      </c>
    </row>
    <row r="77" spans="1:18" x14ac:dyDescent="0.3">
      <c r="A77" s="147"/>
      <c r="B77" s="24" t="s">
        <v>395</v>
      </c>
      <c r="C77" s="25"/>
      <c r="D77" s="100"/>
      <c r="E77" s="100"/>
      <c r="F77" s="46">
        <f t="shared" ref="F77:O77" si="17">SUMPRODUCT(F66:F76,$R$66:$R$76)</f>
        <v>4.9079613710021025E-4</v>
      </c>
      <c r="G77" s="46">
        <f t="shared" si="17"/>
        <v>1.3173325549455832E-4</v>
      </c>
      <c r="H77" s="46">
        <f t="shared" si="17"/>
        <v>9.3027994817764016E-5</v>
      </c>
      <c r="I77" s="46">
        <f t="shared" si="17"/>
        <v>0</v>
      </c>
      <c r="J77" s="46">
        <f t="shared" si="17"/>
        <v>0</v>
      </c>
      <c r="K77" s="46">
        <f t="shared" si="17"/>
        <v>1.4470370035876588E-5</v>
      </c>
      <c r="L77" s="46">
        <f t="shared" si="17"/>
        <v>0</v>
      </c>
      <c r="M77" s="46">
        <f t="shared" si="17"/>
        <v>1.5903542015040838E-5</v>
      </c>
      <c r="N77" s="46">
        <f t="shared" si="17"/>
        <v>3.9363892130941315E-5</v>
      </c>
      <c r="O77" s="46">
        <f t="shared" si="17"/>
        <v>0</v>
      </c>
      <c r="P77" s="46">
        <f>SUMPRODUCT(P66:P76,R66:R76)</f>
        <v>1.668683133848449E-4</v>
      </c>
      <c r="Q77" s="46">
        <f>SUMPRODUCT(Q66:Q76,$R$66:$R$76)</f>
        <v>2.9428769221184227E-5</v>
      </c>
      <c r="R77" s="149"/>
    </row>
    <row r="78" spans="1:18" x14ac:dyDescent="0.3">
      <c r="A78" s="21" t="s">
        <v>381</v>
      </c>
      <c r="B78" s="16" t="s">
        <v>169</v>
      </c>
      <c r="C78" s="16" t="s">
        <v>382</v>
      </c>
      <c r="D78" s="22" t="s">
        <v>32</v>
      </c>
      <c r="E78" s="22" t="s">
        <v>90</v>
      </c>
      <c r="F78" s="278">
        <f>SUM(G78:Q78)</f>
        <v>2.9616000000000006E-4</v>
      </c>
      <c r="G78" s="279">
        <v>1.4999999999999999E-4</v>
      </c>
      <c r="H78" s="280">
        <v>1E-4</v>
      </c>
      <c r="I78" s="281"/>
      <c r="J78" s="282"/>
      <c r="K78" s="283">
        <v>1.22E-5</v>
      </c>
      <c r="L78" s="283"/>
      <c r="M78" s="283">
        <v>1.7600000000000001E-6</v>
      </c>
      <c r="N78" s="283">
        <v>3.2199999999999997E-5</v>
      </c>
      <c r="O78" s="283"/>
      <c r="P78" s="283"/>
      <c r="Q78" s="282"/>
      <c r="R78" s="148">
        <f>'Parameters, country spec'!H13</f>
        <v>9.5526549752842554E-2</v>
      </c>
    </row>
    <row r="79" spans="1:18" x14ac:dyDescent="0.3">
      <c r="A79" s="21" t="s">
        <v>383</v>
      </c>
      <c r="B79" s="16" t="s">
        <v>171</v>
      </c>
      <c r="C79" s="16" t="s">
        <v>382</v>
      </c>
      <c r="D79" s="22" t="s">
        <v>32</v>
      </c>
      <c r="E79" s="22" t="s">
        <v>90</v>
      </c>
      <c r="F79" s="162">
        <f t="shared" ref="F79:F88" si="18">SUM(G79:Q79)</f>
        <v>3.0712999999999997E-4</v>
      </c>
      <c r="G79" s="97">
        <v>1.4999999999999999E-4</v>
      </c>
      <c r="H79" s="98">
        <v>1E-4</v>
      </c>
      <c r="I79" s="15"/>
      <c r="J79" s="13"/>
      <c r="K79" s="99">
        <v>8.8300000000000002E-6</v>
      </c>
      <c r="L79" s="99"/>
      <c r="M79" s="99">
        <v>1.6099999999999998E-5</v>
      </c>
      <c r="N79" s="99">
        <v>3.2199999999999997E-5</v>
      </c>
      <c r="O79" s="99"/>
      <c r="P79" s="99"/>
      <c r="Q79" s="13"/>
      <c r="R79" s="148">
        <f>'Parameters, country spec'!H14</f>
        <v>0.28688514594124215</v>
      </c>
    </row>
    <row r="80" spans="1:18" x14ac:dyDescent="0.3">
      <c r="A80" s="21" t="s">
        <v>384</v>
      </c>
      <c r="B80" s="16" t="s">
        <v>172</v>
      </c>
      <c r="C80" s="16" t="s">
        <v>382</v>
      </c>
      <c r="D80" s="22" t="s">
        <v>32</v>
      </c>
      <c r="E80" s="22" t="s">
        <v>90</v>
      </c>
      <c r="F80" s="162">
        <f t="shared" si="18"/>
        <v>2.8722999999999997E-4</v>
      </c>
      <c r="G80" s="97">
        <v>1.2999999999999999E-4</v>
      </c>
      <c r="H80" s="98">
        <v>1E-4</v>
      </c>
      <c r="I80" s="15"/>
      <c r="J80" s="13"/>
      <c r="K80" s="99">
        <v>1.5999999999999999E-5</v>
      </c>
      <c r="L80" s="99"/>
      <c r="M80" s="99">
        <v>9.0299999999999999E-6</v>
      </c>
      <c r="N80" s="99">
        <v>3.2199999999999997E-5</v>
      </c>
      <c r="O80" s="99"/>
      <c r="P80" s="99"/>
      <c r="Q80" s="13"/>
      <c r="R80" s="148">
        <f>'Parameters, country spec'!H15</f>
        <v>3.1378297013894313E-3</v>
      </c>
    </row>
    <row r="81" spans="1:19" x14ac:dyDescent="0.3">
      <c r="A81" s="21" t="s">
        <v>385</v>
      </c>
      <c r="B81" s="16" t="s">
        <v>173</v>
      </c>
      <c r="C81" s="16" t="s">
        <v>382</v>
      </c>
      <c r="D81" s="22" t="s">
        <v>32</v>
      </c>
      <c r="E81" s="22" t="s">
        <v>90</v>
      </c>
      <c r="F81" s="162">
        <f t="shared" si="18"/>
        <v>2.7539999999999997E-4</v>
      </c>
      <c r="G81" s="97">
        <v>1.2E-4</v>
      </c>
      <c r="H81" s="98">
        <v>1E-4</v>
      </c>
      <c r="I81" s="13"/>
      <c r="J81" s="13"/>
      <c r="K81" s="99">
        <v>2.3200000000000001E-5</v>
      </c>
      <c r="L81" s="99"/>
      <c r="M81" s="99">
        <v>0</v>
      </c>
      <c r="N81" s="99">
        <v>3.2199999999999997E-5</v>
      </c>
      <c r="O81" s="99"/>
      <c r="P81" s="99"/>
      <c r="Q81" s="13"/>
      <c r="R81" s="148">
        <f>'Parameters, country spec'!H16</f>
        <v>1.180760891727785E-2</v>
      </c>
    </row>
    <row r="82" spans="1:19" x14ac:dyDescent="0.3">
      <c r="A82" s="21" t="s">
        <v>386</v>
      </c>
      <c r="B82" s="16" t="s">
        <v>174</v>
      </c>
      <c r="C82" s="16" t="s">
        <v>382</v>
      </c>
      <c r="D82" s="22" t="s">
        <v>32</v>
      </c>
      <c r="E82" s="22" t="s">
        <v>90</v>
      </c>
      <c r="F82" s="162">
        <f t="shared" si="18"/>
        <v>3.1559000000000003E-4</v>
      </c>
      <c r="G82" s="97">
        <v>1.7000000000000001E-4</v>
      </c>
      <c r="H82" s="98">
        <v>1E-4</v>
      </c>
      <c r="I82" s="13"/>
      <c r="J82" s="13"/>
      <c r="K82" s="99">
        <v>9.6299999999999993E-6</v>
      </c>
      <c r="L82" s="99"/>
      <c r="M82" s="99">
        <v>3.76E-6</v>
      </c>
      <c r="N82" s="99">
        <v>3.2199999999999997E-5</v>
      </c>
      <c r="O82" s="99"/>
      <c r="P82" s="99"/>
      <c r="Q82" s="13"/>
      <c r="R82" s="148">
        <f>'Parameters, country spec'!H17</f>
        <v>0.32323260195937925</v>
      </c>
    </row>
    <row r="83" spans="1:19" x14ac:dyDescent="0.3">
      <c r="A83" s="21" t="s">
        <v>387</v>
      </c>
      <c r="B83" s="16" t="s">
        <v>175</v>
      </c>
      <c r="C83" s="16" t="s">
        <v>388</v>
      </c>
      <c r="D83" s="22" t="s">
        <v>32</v>
      </c>
      <c r="E83" s="22" t="s">
        <v>90</v>
      </c>
      <c r="F83" s="162">
        <f t="shared" si="18"/>
        <v>1.5197E-4</v>
      </c>
      <c r="G83" s="97">
        <v>0</v>
      </c>
      <c r="H83" s="98">
        <v>1E-4</v>
      </c>
      <c r="I83" s="15"/>
      <c r="J83" s="13"/>
      <c r="K83" s="99">
        <v>1.5E-5</v>
      </c>
      <c r="L83" s="99"/>
      <c r="M83" s="99">
        <v>4.7700000000000001E-6</v>
      </c>
      <c r="N83" s="99">
        <v>3.2199999999999997E-5</v>
      </c>
      <c r="O83" s="99"/>
      <c r="P83" s="99"/>
      <c r="Q83" s="13"/>
      <c r="R83" s="148">
        <f>'Parameters, country spec'!H18</f>
        <v>0</v>
      </c>
    </row>
    <row r="84" spans="1:19" x14ac:dyDescent="0.3">
      <c r="A84" s="21" t="s">
        <v>389</v>
      </c>
      <c r="B84" s="16" t="s">
        <v>176</v>
      </c>
      <c r="C84" s="16" t="s">
        <v>388</v>
      </c>
      <c r="D84" s="22" t="s">
        <v>32</v>
      </c>
      <c r="E84" s="22" t="s">
        <v>90</v>
      </c>
      <c r="F84" s="162">
        <f t="shared" si="18"/>
        <v>1.5696000000000002E-4</v>
      </c>
      <c r="G84" s="97">
        <v>7.5000000000000002E-6</v>
      </c>
      <c r="H84" s="98">
        <v>1E-4</v>
      </c>
      <c r="I84" s="15"/>
      <c r="J84" s="13"/>
      <c r="K84" s="99">
        <v>1.5E-5</v>
      </c>
      <c r="L84" s="99"/>
      <c r="M84" s="99">
        <v>2.26E-6</v>
      </c>
      <c r="N84" s="99">
        <v>3.2199999999999997E-5</v>
      </c>
      <c r="O84" s="99"/>
      <c r="P84" s="99"/>
      <c r="Q84" s="13"/>
      <c r="R84" s="148">
        <f>'Parameters, country spec'!H19</f>
        <v>0</v>
      </c>
    </row>
    <row r="85" spans="1:19" x14ac:dyDescent="0.3">
      <c r="B85" s="17" t="s">
        <v>178</v>
      </c>
      <c r="C85" s="16" t="s">
        <v>390</v>
      </c>
      <c r="D85" s="22" t="s">
        <v>466</v>
      </c>
      <c r="E85" s="22"/>
      <c r="F85" s="123">
        <f t="shared" si="18"/>
        <v>3.8246443678729497E-4</v>
      </c>
      <c r="G85" s="33">
        <f>'Off-farm feed'!$F$75</f>
        <v>1.684774766302073E-4</v>
      </c>
      <c r="H85" s="33">
        <f>'Off-farm feed'!$G$75</f>
        <v>4.5862068965517246E-5</v>
      </c>
      <c r="I85" s="33"/>
      <c r="J85" s="33"/>
      <c r="K85" s="33">
        <f>'Off-farm feed'!$J$75</f>
        <v>1.0936279334641699E-5</v>
      </c>
      <c r="L85" s="33"/>
      <c r="M85" s="33">
        <f>'Off-farm feed'!$L$75</f>
        <v>6.4606960551724142E-7</v>
      </c>
      <c r="N85" s="33">
        <f>'Off-farm feed'!$M$75</f>
        <v>2.1884761697575221E-5</v>
      </c>
      <c r="O85" s="33"/>
      <c r="P85" s="33">
        <f>'Off-farm feed'!$O$75</f>
        <v>4.5962128379923281E-5</v>
      </c>
      <c r="Q85" s="33">
        <f>'Off-farm feed'!$P$75</f>
        <v>8.8695652173913049E-5</v>
      </c>
      <c r="R85" s="148">
        <f>'Parameters, country spec'!H20</f>
        <v>5.2461984284283551E-2</v>
      </c>
    </row>
    <row r="86" spans="1:19" x14ac:dyDescent="0.3">
      <c r="B86" s="17" t="s">
        <v>391</v>
      </c>
      <c r="C86" s="16" t="s">
        <v>390</v>
      </c>
      <c r="D86" s="22" t="s">
        <v>442</v>
      </c>
      <c r="E86" s="22"/>
      <c r="F86" s="123">
        <f t="shared" si="18"/>
        <v>4.7266553697523981E-4</v>
      </c>
      <c r="G86" s="33">
        <f>'Off-farm feed'!$F$24</f>
        <v>1.5603516238625262E-5</v>
      </c>
      <c r="H86" s="33">
        <f>'Off-farm feed'!$G$24</f>
        <v>7.5304878048780503E-5</v>
      </c>
      <c r="I86" s="33"/>
      <c r="J86" s="33"/>
      <c r="K86" s="33">
        <f>'Off-farm feed'!$J$24</f>
        <v>1.908459074435586E-5</v>
      </c>
      <c r="L86" s="33"/>
      <c r="M86" s="33">
        <f>'Off-farm feed'!$L$24</f>
        <v>5.9672097439024396E-7</v>
      </c>
      <c r="N86" s="33">
        <f>'Off-farm feed'!$M$24</f>
        <v>2.3084271612619523E-5</v>
      </c>
      <c r="O86" s="33"/>
      <c r="P86" s="33">
        <f>'Off-farm feed'!$O$24</f>
        <v>1.2899155935646844E-4</v>
      </c>
      <c r="Q86" s="33">
        <f>'Off-farm feed'!$P$24</f>
        <v>2.1000000000000001E-4</v>
      </c>
      <c r="R86" s="148">
        <f>'Parameters, country spec'!H21</f>
        <v>6.7752088819631406E-2</v>
      </c>
    </row>
    <row r="87" spans="1:19" x14ac:dyDescent="0.3">
      <c r="B87" s="16" t="s">
        <v>182</v>
      </c>
      <c r="C87" s="16" t="s">
        <v>392</v>
      </c>
      <c r="D87" s="22" t="s">
        <v>32</v>
      </c>
      <c r="E87" s="22" t="s">
        <v>90</v>
      </c>
      <c r="F87" s="162">
        <f t="shared" si="18"/>
        <v>1.1635230536951896E-3</v>
      </c>
      <c r="G87" s="99">
        <v>8.6135251234116994E-5</v>
      </c>
      <c r="H87" s="99">
        <v>4.7537999999999998E-5</v>
      </c>
      <c r="I87" s="48"/>
      <c r="J87" s="48"/>
      <c r="K87" s="99">
        <v>2.1158324202862201E-5</v>
      </c>
      <c r="L87" s="48"/>
      <c r="M87" s="48"/>
      <c r="N87" s="99"/>
      <c r="O87" s="99"/>
      <c r="P87" s="99">
        <v>9.9818289932063491E-4</v>
      </c>
      <c r="Q87" s="99">
        <v>1.05085789375756E-5</v>
      </c>
      <c r="R87" s="148">
        <f>'Parameters, country spec'!H22</f>
        <v>7.382094479672017E-3</v>
      </c>
      <c r="S87" t="s">
        <v>491</v>
      </c>
    </row>
    <row r="88" spans="1:19" x14ac:dyDescent="0.3">
      <c r="A88" s="81"/>
      <c r="B88" s="16" t="s">
        <v>393</v>
      </c>
      <c r="C88" s="82" t="s">
        <v>394</v>
      </c>
      <c r="D88" s="22" t="s">
        <v>32</v>
      </c>
      <c r="E88" s="22" t="s">
        <v>90</v>
      </c>
      <c r="F88" s="163">
        <f t="shared" si="18"/>
        <v>2.4132451487247003E-4</v>
      </c>
      <c r="G88" s="80">
        <f t="shared" ref="G88:N88" si="19">AVERAGE(G78:G86)</f>
        <v>1.0128677698542583E-4</v>
      </c>
      <c r="H88" s="80">
        <f t="shared" si="19"/>
        <v>9.1240771890477534E-5</v>
      </c>
      <c r="I88" s="80"/>
      <c r="J88" s="80"/>
      <c r="K88" s="80">
        <f t="shared" si="19"/>
        <v>1.4431207786555285E-5</v>
      </c>
      <c r="L88" s="80"/>
      <c r="M88" s="80">
        <f t="shared" si="19"/>
        <v>4.3247545088786089E-6</v>
      </c>
      <c r="N88" s="80">
        <f t="shared" si="19"/>
        <v>3.0041003701132749E-5</v>
      </c>
      <c r="O88" s="80"/>
      <c r="P88" s="80"/>
      <c r="Q88" s="80"/>
      <c r="R88" s="148">
        <f>'Parameters, country spec'!H23</f>
        <v>0.15181409614428173</v>
      </c>
    </row>
    <row r="89" spans="1:19" x14ac:dyDescent="0.3">
      <c r="A89" s="147"/>
      <c r="B89" s="24" t="s">
        <v>395</v>
      </c>
      <c r="C89" s="25"/>
      <c r="D89" s="100"/>
      <c r="E89" s="100"/>
      <c r="F89" s="46">
        <f t="shared" ref="F89:O89" si="20">SUMPRODUCT(F78:F88,$R$78:$R$88)</f>
        <v>3.1987886995067785E-4</v>
      </c>
      <c r="G89" s="46">
        <f t="shared" si="20"/>
        <v>1.4004458022983914E-4</v>
      </c>
      <c r="H89" s="46">
        <f t="shared" si="20"/>
        <v>9.3769616878073379E-5</v>
      </c>
      <c r="I89" s="46">
        <f t="shared" si="20"/>
        <v>0</v>
      </c>
      <c r="J89" s="46">
        <f t="shared" si="20"/>
        <v>0</v>
      </c>
      <c r="K89" s="46">
        <f t="shared" si="20"/>
        <v>1.1349304821081441E-5</v>
      </c>
      <c r="L89" s="46">
        <f t="shared" si="20"/>
        <v>0</v>
      </c>
      <c r="M89" s="46">
        <f t="shared" si="20"/>
        <v>6.7615486455497495E-6</v>
      </c>
      <c r="N89" s="46">
        <f t="shared" si="20"/>
        <v>3.0475762976995286E-5</v>
      </c>
      <c r="O89" s="46">
        <f t="shared" si="20"/>
        <v>0</v>
      </c>
      <c r="P89" s="46">
        <f>SUMPRODUCT(P78:P88,R78:R88)</f>
        <v>1.8519392514019832E-5</v>
      </c>
      <c r="Q89" s="46">
        <f>SUMPRODUCT(Q78:Q88,$R$78:$R$88)</f>
        <v>1.8958663885118975E-5</v>
      </c>
      <c r="R89" s="149"/>
    </row>
    <row r="90" spans="1:19" x14ac:dyDescent="0.3">
      <c r="A90" s="21" t="s">
        <v>381</v>
      </c>
      <c r="B90" s="16" t="s">
        <v>169</v>
      </c>
      <c r="C90" s="16" t="s">
        <v>382</v>
      </c>
      <c r="D90" s="22" t="s">
        <v>30</v>
      </c>
      <c r="E90" s="22" t="s">
        <v>91</v>
      </c>
      <c r="F90" s="278">
        <f>SUM(G90:Q90)</f>
        <v>3.2225099999999996E-4</v>
      </c>
      <c r="G90" s="279">
        <v>1.4999999999999999E-4</v>
      </c>
      <c r="H90" s="280">
        <v>1E-4</v>
      </c>
      <c r="I90" s="281"/>
      <c r="J90" s="282"/>
      <c r="K90" s="283">
        <v>2.19E-5</v>
      </c>
      <c r="L90" s="283"/>
      <c r="M90" s="283">
        <v>2.5100000000000001E-7</v>
      </c>
      <c r="N90" s="283">
        <v>5.0099999999999998E-5</v>
      </c>
      <c r="O90" s="283"/>
      <c r="P90" s="283"/>
      <c r="Q90" s="282"/>
      <c r="R90" s="148">
        <f>'Parameters, country spec'!I13</f>
        <v>0.21737956315257037</v>
      </c>
    </row>
    <row r="91" spans="1:19" x14ac:dyDescent="0.3">
      <c r="A91" s="21" t="s">
        <v>383</v>
      </c>
      <c r="B91" s="16" t="s">
        <v>171</v>
      </c>
      <c r="C91" s="16" t="s">
        <v>382</v>
      </c>
      <c r="D91" s="22" t="s">
        <v>30</v>
      </c>
      <c r="E91" s="22" t="s">
        <v>91</v>
      </c>
      <c r="F91" s="162">
        <f t="shared" ref="F91:F100" si="21">SUM(G91:Q91)</f>
        <v>3.1550999999999997E-4</v>
      </c>
      <c r="G91" s="97">
        <v>1.4999999999999999E-4</v>
      </c>
      <c r="H91" s="98">
        <v>1E-4</v>
      </c>
      <c r="I91" s="15"/>
      <c r="J91" s="13"/>
      <c r="K91" s="99">
        <v>1.24E-5</v>
      </c>
      <c r="L91" s="99"/>
      <c r="M91" s="99">
        <v>3.01E-6</v>
      </c>
      <c r="N91" s="99">
        <v>5.0099999999999998E-5</v>
      </c>
      <c r="O91" s="99"/>
      <c r="P91" s="99"/>
      <c r="Q91" s="13"/>
      <c r="R91" s="148">
        <f>'Parameters, country spec'!I14</f>
        <v>0.29778613267856163</v>
      </c>
    </row>
    <row r="92" spans="1:19" x14ac:dyDescent="0.3">
      <c r="A92" s="21" t="s">
        <v>384</v>
      </c>
      <c r="B92" s="16" t="s">
        <v>172</v>
      </c>
      <c r="C92" s="16" t="s">
        <v>382</v>
      </c>
      <c r="D92" s="22" t="s">
        <v>30</v>
      </c>
      <c r="E92" s="22" t="s">
        <v>91</v>
      </c>
      <c r="F92" s="162">
        <f t="shared" si="21"/>
        <v>3.0925099999999997E-4</v>
      </c>
      <c r="G92" s="97">
        <v>1.2999999999999999E-4</v>
      </c>
      <c r="H92" s="98">
        <v>1E-4</v>
      </c>
      <c r="I92" s="15"/>
      <c r="J92" s="13"/>
      <c r="K92" s="99">
        <v>2.8900000000000001E-5</v>
      </c>
      <c r="L92" s="99"/>
      <c r="M92" s="99">
        <v>2.5100000000000001E-7</v>
      </c>
      <c r="N92" s="99">
        <v>5.0099999999999998E-5</v>
      </c>
      <c r="O92" s="99"/>
      <c r="P92" s="99"/>
      <c r="Q92" s="13"/>
      <c r="R92" s="148">
        <f>'Parameters, country spec'!I15</f>
        <v>6.5103880953803588E-3</v>
      </c>
    </row>
    <row r="93" spans="1:19" x14ac:dyDescent="0.3">
      <c r="A93" s="21" t="s">
        <v>385</v>
      </c>
      <c r="B93" s="16" t="s">
        <v>173</v>
      </c>
      <c r="C93" s="16" t="s">
        <v>382</v>
      </c>
      <c r="D93" s="22" t="s">
        <v>30</v>
      </c>
      <c r="E93" s="22" t="s">
        <v>91</v>
      </c>
      <c r="F93" s="162">
        <f t="shared" si="21"/>
        <v>2.9759999999999997E-4</v>
      </c>
      <c r="G93" s="97">
        <v>1.2E-4</v>
      </c>
      <c r="H93" s="98">
        <v>1E-4</v>
      </c>
      <c r="I93" s="13"/>
      <c r="J93" s="13"/>
      <c r="K93" s="99">
        <v>2.7500000000000001E-5</v>
      </c>
      <c r="L93" s="99"/>
      <c r="M93" s="99">
        <v>0</v>
      </c>
      <c r="N93" s="99">
        <v>5.0099999999999998E-5</v>
      </c>
      <c r="O93" s="99"/>
      <c r="P93" s="99"/>
      <c r="Q93" s="13"/>
      <c r="R93" s="148">
        <f>'Parameters, country spec'!I16</f>
        <v>8.5001790646556635E-2</v>
      </c>
    </row>
    <row r="94" spans="1:19" x14ac:dyDescent="0.3">
      <c r="A94" s="21" t="s">
        <v>386</v>
      </c>
      <c r="B94" s="16" t="s">
        <v>174</v>
      </c>
      <c r="C94" s="16" t="s">
        <v>382</v>
      </c>
      <c r="D94" s="22" t="s">
        <v>30</v>
      </c>
      <c r="E94" s="22" t="s">
        <v>91</v>
      </c>
      <c r="F94" s="162">
        <f t="shared" si="21"/>
        <v>3.3835099999999997E-4</v>
      </c>
      <c r="G94" s="97">
        <v>1.7000000000000001E-4</v>
      </c>
      <c r="H94" s="98">
        <v>1E-4</v>
      </c>
      <c r="I94" s="13"/>
      <c r="J94" s="13"/>
      <c r="K94" s="99">
        <v>1.8E-5</v>
      </c>
      <c r="L94" s="99"/>
      <c r="M94" s="99">
        <v>2.5100000000000001E-7</v>
      </c>
      <c r="N94" s="99">
        <v>5.0099999999999998E-5</v>
      </c>
      <c r="O94" s="99"/>
      <c r="P94" s="99"/>
      <c r="Q94" s="13"/>
      <c r="R94" s="148">
        <f>'Parameters, country spec'!I17</f>
        <v>0.34177560689413961</v>
      </c>
    </row>
    <row r="95" spans="1:19" x14ac:dyDescent="0.3">
      <c r="A95" s="21" t="s">
        <v>387</v>
      </c>
      <c r="B95" s="16" t="s">
        <v>175</v>
      </c>
      <c r="C95" s="16" t="s">
        <v>388</v>
      </c>
      <c r="D95" s="22" t="s">
        <v>30</v>
      </c>
      <c r="E95" s="22" t="s">
        <v>91</v>
      </c>
      <c r="F95" s="162">
        <f t="shared" si="21"/>
        <v>1.8650000000000001E-4</v>
      </c>
      <c r="G95" s="97">
        <v>0</v>
      </c>
      <c r="H95" s="98">
        <v>1E-4</v>
      </c>
      <c r="I95" s="15"/>
      <c r="J95" s="13"/>
      <c r="K95" s="99">
        <v>3.6399999999999997E-5</v>
      </c>
      <c r="L95" s="99"/>
      <c r="M95" s="99">
        <v>0</v>
      </c>
      <c r="N95" s="99">
        <v>5.0099999999999998E-5</v>
      </c>
      <c r="O95" s="99"/>
      <c r="P95" s="99"/>
      <c r="Q95" s="13"/>
      <c r="R95" s="148">
        <f>'Parameters, country spec'!I18</f>
        <v>8.3086315099621146E-4</v>
      </c>
    </row>
    <row r="96" spans="1:19" x14ac:dyDescent="0.3">
      <c r="A96" s="21" t="s">
        <v>389</v>
      </c>
      <c r="B96" s="16" t="s">
        <v>176</v>
      </c>
      <c r="C96" s="16" t="s">
        <v>388</v>
      </c>
      <c r="D96" s="22" t="s">
        <v>30</v>
      </c>
      <c r="E96" s="22" t="s">
        <v>91</v>
      </c>
      <c r="F96" s="162">
        <f t="shared" si="21"/>
        <v>1.8700000000000002E-4</v>
      </c>
      <c r="G96" s="97">
        <v>7.5000000000000002E-6</v>
      </c>
      <c r="H96" s="98">
        <v>1E-4</v>
      </c>
      <c r="I96" s="15"/>
      <c r="J96" s="13"/>
      <c r="K96" s="99">
        <v>2.94E-5</v>
      </c>
      <c r="L96" s="99"/>
      <c r="M96" s="99">
        <v>0</v>
      </c>
      <c r="N96" s="99">
        <v>5.0099999999999998E-5</v>
      </c>
      <c r="O96" s="99"/>
      <c r="P96" s="99"/>
      <c r="Q96" s="13"/>
      <c r="R96" s="148">
        <f>'Parameters, country spec'!I19</f>
        <v>8.1618141653563262E-4</v>
      </c>
    </row>
    <row r="97" spans="1:18" x14ac:dyDescent="0.3">
      <c r="B97" s="17" t="s">
        <v>178</v>
      </c>
      <c r="C97" s="16" t="s">
        <v>390</v>
      </c>
      <c r="D97" s="22" t="s">
        <v>466</v>
      </c>
      <c r="E97" s="22"/>
      <c r="F97" s="123">
        <f t="shared" si="21"/>
        <v>3.8246443678729497E-4</v>
      </c>
      <c r="G97" s="33">
        <f>'Off-farm feed'!$F$75</f>
        <v>1.684774766302073E-4</v>
      </c>
      <c r="H97" s="33">
        <f>'Off-farm feed'!$G$75</f>
        <v>4.5862068965517246E-5</v>
      </c>
      <c r="I97" s="33"/>
      <c r="J97" s="33"/>
      <c r="K97" s="33">
        <f>'Off-farm feed'!$J$75</f>
        <v>1.0936279334641699E-5</v>
      </c>
      <c r="L97" s="33"/>
      <c r="M97" s="33">
        <f>'Off-farm feed'!$L$75</f>
        <v>6.4606960551724142E-7</v>
      </c>
      <c r="N97" s="33">
        <f>'Off-farm feed'!$M$75</f>
        <v>2.1884761697575221E-5</v>
      </c>
      <c r="O97" s="33"/>
      <c r="P97" s="33">
        <f>'Off-farm feed'!$O$75</f>
        <v>4.5962128379923281E-5</v>
      </c>
      <c r="Q97" s="33">
        <f>'Off-farm feed'!$P$75</f>
        <v>8.8695652173913049E-5</v>
      </c>
      <c r="R97" s="148">
        <f>'Parameters, country spec'!I20</f>
        <v>5.988480966048656E-3</v>
      </c>
    </row>
    <row r="98" spans="1:18" x14ac:dyDescent="0.3">
      <c r="B98" s="17" t="s">
        <v>391</v>
      </c>
      <c r="C98" s="16" t="s">
        <v>390</v>
      </c>
      <c r="D98" s="22" t="s">
        <v>442</v>
      </c>
      <c r="E98" s="22"/>
      <c r="F98" s="123">
        <f t="shared" si="21"/>
        <v>4.7266553697523981E-4</v>
      </c>
      <c r="G98" s="33">
        <f>'Off-farm feed'!$F$24</f>
        <v>1.5603516238625262E-5</v>
      </c>
      <c r="H98" s="33">
        <f>'Off-farm feed'!$G$24</f>
        <v>7.5304878048780503E-5</v>
      </c>
      <c r="I98" s="33"/>
      <c r="J98" s="33"/>
      <c r="K98" s="33">
        <f>'Off-farm feed'!$J$24</f>
        <v>1.908459074435586E-5</v>
      </c>
      <c r="L98" s="33"/>
      <c r="M98" s="33">
        <f>'Off-farm feed'!$L$24</f>
        <v>5.9672097439024396E-7</v>
      </c>
      <c r="N98" s="33">
        <f>'Off-farm feed'!$M$24</f>
        <v>2.3084271612619523E-5</v>
      </c>
      <c r="O98" s="33"/>
      <c r="P98" s="33">
        <f>'Off-farm feed'!$O$24</f>
        <v>1.2899155935646844E-4</v>
      </c>
      <c r="Q98" s="33">
        <f>'Off-farm feed'!$P$24</f>
        <v>2.1000000000000001E-4</v>
      </c>
      <c r="R98" s="148">
        <f>'Parameters, country spec'!I21</f>
        <v>2.088761505982905E-2</v>
      </c>
    </row>
    <row r="99" spans="1:18" x14ac:dyDescent="0.3">
      <c r="B99" s="16" t="s">
        <v>182</v>
      </c>
      <c r="C99" s="16" t="s">
        <v>392</v>
      </c>
      <c r="D99" s="22" t="s">
        <v>30</v>
      </c>
      <c r="E99" s="22" t="s">
        <v>91</v>
      </c>
      <c r="F99" s="162">
        <f t="shared" si="21"/>
        <v>2.26969488258856E-3</v>
      </c>
      <c r="G99" s="99">
        <v>8.1101581605847706E-5</v>
      </c>
      <c r="H99" s="99">
        <v>4.7537999999999998E-5</v>
      </c>
      <c r="K99" s="99">
        <v>2.34544912894639E-5</v>
      </c>
      <c r="N99" s="13"/>
      <c r="O99" s="13"/>
      <c r="P99" s="99">
        <v>2.1139001122159199E-3</v>
      </c>
      <c r="Q99" s="99">
        <v>3.7006974773287098E-6</v>
      </c>
      <c r="R99" s="148">
        <f>'Parameters, country spec'!I22</f>
        <v>1.0222176972034406E-2</v>
      </c>
    </row>
    <row r="100" spans="1:18" x14ac:dyDescent="0.3">
      <c r="A100" s="81"/>
      <c r="B100" s="16" t="s">
        <v>393</v>
      </c>
      <c r="C100" s="82" t="s">
        <v>394</v>
      </c>
      <c r="D100" s="22" t="s">
        <v>30</v>
      </c>
      <c r="E100" s="22" t="s">
        <v>91</v>
      </c>
      <c r="F100" s="163">
        <f t="shared" si="21"/>
        <v>4.0911934095942654E-4</v>
      </c>
      <c r="G100" s="80">
        <f t="shared" ref="G100:Q100" si="22">AVERAGE(G90:G98)</f>
        <v>1.0128677698542583E-4</v>
      </c>
      <c r="H100" s="80">
        <f t="shared" si="22"/>
        <v>9.1240771890477534E-5</v>
      </c>
      <c r="I100" s="80"/>
      <c r="J100" s="80"/>
      <c r="K100" s="80">
        <f t="shared" si="22"/>
        <v>2.2724541119888618E-5</v>
      </c>
      <c r="L100" s="80"/>
      <c r="M100" s="80">
        <f t="shared" si="22"/>
        <v>5.561989533230539E-7</v>
      </c>
      <c r="N100" s="80">
        <f t="shared" si="22"/>
        <v>4.3963225923354967E-5</v>
      </c>
      <c r="O100" s="80"/>
      <c r="P100" s="80"/>
      <c r="Q100" s="80">
        <f t="shared" si="22"/>
        <v>1.4934782608695652E-4</v>
      </c>
      <c r="R100" s="148">
        <f>'Parameters, country spec'!I23</f>
        <v>1.2801200967347369E-2</v>
      </c>
    </row>
    <row r="101" spans="1:18" x14ac:dyDescent="0.3">
      <c r="A101" s="147"/>
      <c r="B101" s="24" t="s">
        <v>395</v>
      </c>
      <c r="C101" s="25"/>
      <c r="D101" s="100"/>
      <c r="E101" s="100"/>
      <c r="F101" s="46">
        <f t="shared" ref="F101:O101" si="23">SUMPRODUCT(F90:F100,$R$90:$R$100)</f>
        <v>3.4786453997685249E-4</v>
      </c>
      <c r="G101" s="46">
        <f t="shared" si="23"/>
        <v>1.4988986574747607E-4</v>
      </c>
      <c r="H101" s="46">
        <f t="shared" si="23"/>
        <v>9.851156934163042E-5</v>
      </c>
      <c r="I101" s="46">
        <f t="shared" si="23"/>
        <v>0</v>
      </c>
      <c r="J101" s="46">
        <f t="shared" si="23"/>
        <v>0</v>
      </c>
      <c r="K101" s="46">
        <f t="shared" si="23"/>
        <v>1.8179840677622937E-5</v>
      </c>
      <c r="L101" s="46">
        <f t="shared" si="23"/>
        <v>0</v>
      </c>
      <c r="M101" s="46">
        <f t="shared" si="23"/>
        <v>1.0617713825820238E-6</v>
      </c>
      <c r="N101" s="46">
        <f t="shared" si="23"/>
        <v>4.8776050302811628E-5</v>
      </c>
      <c r="O101" s="46">
        <f t="shared" si="23"/>
        <v>0</v>
      </c>
      <c r="P101" s="46">
        <f>SUMPRODUCT(P90:P100,R90:R100)</f>
        <v>2.4578230417041777E-5</v>
      </c>
      <c r="Q101" s="46">
        <f>SUMPRODUCT(Q90:Q100,$R$90:$R$100)</f>
        <v>6.8672121076876409E-6</v>
      </c>
      <c r="R101" s="149"/>
    </row>
    <row r="102" spans="1:18" x14ac:dyDescent="0.3">
      <c r="A102" s="21" t="s">
        <v>381</v>
      </c>
      <c r="B102" s="16" t="s">
        <v>169</v>
      </c>
      <c r="C102" s="16" t="s">
        <v>382</v>
      </c>
      <c r="D102" s="22" t="s">
        <v>38</v>
      </c>
      <c r="E102" s="22" t="s">
        <v>92</v>
      </c>
      <c r="F102" s="278">
        <f>SUM(G102:Q102)</f>
        <v>3.232E-4</v>
      </c>
      <c r="G102" s="279">
        <v>1.4999999999999999E-4</v>
      </c>
      <c r="H102" s="280">
        <v>1E-4</v>
      </c>
      <c r="I102" s="281"/>
      <c r="J102" s="282"/>
      <c r="K102" s="283">
        <v>2.48E-5</v>
      </c>
      <c r="L102" s="283"/>
      <c r="M102" s="283">
        <v>1.9300000000000002E-5</v>
      </c>
      <c r="N102" s="283">
        <v>2.9099999999999999E-5</v>
      </c>
      <c r="O102" s="283"/>
      <c r="P102" s="283"/>
      <c r="Q102" s="282"/>
      <c r="R102" s="148">
        <f>'Parameters, country spec'!J13</f>
        <v>0.25867404183720522</v>
      </c>
    </row>
    <row r="103" spans="1:18" x14ac:dyDescent="0.3">
      <c r="A103" s="21" t="s">
        <v>383</v>
      </c>
      <c r="B103" s="16" t="s">
        <v>171</v>
      </c>
      <c r="C103" s="16" t="s">
        <v>382</v>
      </c>
      <c r="D103" s="22" t="s">
        <v>38</v>
      </c>
      <c r="E103" s="22" t="s">
        <v>92</v>
      </c>
      <c r="F103" s="162">
        <f t="shared" ref="F103:F112" si="24">SUM(G103:Q103)</f>
        <v>3.4489999999999998E-4</v>
      </c>
      <c r="G103" s="97">
        <v>1.4999999999999999E-4</v>
      </c>
      <c r="H103" s="98">
        <v>1E-4</v>
      </c>
      <c r="I103" s="15"/>
      <c r="J103" s="13"/>
      <c r="K103" s="99">
        <v>6.8000000000000001E-6</v>
      </c>
      <c r="L103" s="99"/>
      <c r="M103" s="99">
        <v>5.8999999999999998E-5</v>
      </c>
      <c r="N103" s="99">
        <v>2.9099999999999999E-5</v>
      </c>
      <c r="O103" s="99"/>
      <c r="P103" s="99"/>
      <c r="Q103" s="13"/>
      <c r="R103" s="148">
        <f>'Parameters, country spec'!J14</f>
        <v>0.34116788941693649</v>
      </c>
    </row>
    <row r="104" spans="1:18" x14ac:dyDescent="0.3">
      <c r="A104" s="21" t="s">
        <v>384</v>
      </c>
      <c r="B104" s="16" t="s">
        <v>172</v>
      </c>
      <c r="C104" s="16" t="s">
        <v>382</v>
      </c>
      <c r="D104" s="22" t="s">
        <v>38</v>
      </c>
      <c r="E104" s="22" t="s">
        <v>92</v>
      </c>
      <c r="F104" s="162">
        <f t="shared" si="24"/>
        <v>5.8219999999999995E-4</v>
      </c>
      <c r="G104" s="97">
        <v>1.2999999999999999E-4</v>
      </c>
      <c r="H104" s="98">
        <v>1E-4</v>
      </c>
      <c r="I104" s="15"/>
      <c r="J104" s="13"/>
      <c r="K104" s="99">
        <v>3.6100000000000003E-5</v>
      </c>
      <c r="L104" s="99"/>
      <c r="M104" s="99">
        <v>2.8699999999999998E-4</v>
      </c>
      <c r="N104" s="99">
        <v>2.9099999999999999E-5</v>
      </c>
      <c r="O104" s="99"/>
      <c r="P104" s="99"/>
      <c r="Q104" s="13"/>
      <c r="R104" s="148">
        <f>'Parameters, country spec'!J15</f>
        <v>4.0331815431012885E-2</v>
      </c>
    </row>
    <row r="105" spans="1:18" x14ac:dyDescent="0.3">
      <c r="A105" s="21" t="s">
        <v>385</v>
      </c>
      <c r="B105" s="16" t="s">
        <v>173</v>
      </c>
      <c r="C105" s="16" t="s">
        <v>382</v>
      </c>
      <c r="D105" s="22" t="s">
        <v>38</v>
      </c>
      <c r="E105" s="22" t="s">
        <v>92</v>
      </c>
      <c r="F105" s="162">
        <f t="shared" si="24"/>
        <v>2.8435299999999999E-4</v>
      </c>
      <c r="G105" s="97">
        <v>1.2E-4</v>
      </c>
      <c r="H105" s="98">
        <v>1E-4</v>
      </c>
      <c r="I105" s="13"/>
      <c r="J105" s="13"/>
      <c r="K105" s="99">
        <v>3.4499999999999998E-5</v>
      </c>
      <c r="L105" s="99"/>
      <c r="M105" s="99">
        <v>7.5300000000000003E-7</v>
      </c>
      <c r="N105" s="99">
        <v>2.9099999999999999E-5</v>
      </c>
      <c r="O105" s="99"/>
      <c r="P105" s="99"/>
      <c r="Q105" s="13"/>
      <c r="R105" s="148">
        <f>'Parameters, country spec'!J16</f>
        <v>1.0645865256161584E-2</v>
      </c>
    </row>
    <row r="106" spans="1:18" x14ac:dyDescent="0.3">
      <c r="A106" s="21" t="s">
        <v>386</v>
      </c>
      <c r="B106" s="16" t="s">
        <v>174</v>
      </c>
      <c r="C106" s="16" t="s">
        <v>382</v>
      </c>
      <c r="D106" s="22" t="s">
        <v>38</v>
      </c>
      <c r="E106" s="22" t="s">
        <v>92</v>
      </c>
      <c r="F106" s="162">
        <f t="shared" si="24"/>
        <v>3.3172999999999997E-4</v>
      </c>
      <c r="G106" s="97">
        <v>1.7000000000000001E-4</v>
      </c>
      <c r="H106" s="98">
        <v>1E-4</v>
      </c>
      <c r="I106" s="13"/>
      <c r="J106" s="13"/>
      <c r="K106" s="99">
        <v>2.3600000000000001E-5</v>
      </c>
      <c r="L106" s="99"/>
      <c r="M106" s="99">
        <v>9.0299999999999999E-6</v>
      </c>
      <c r="N106" s="99">
        <v>2.9099999999999999E-5</v>
      </c>
      <c r="O106" s="99"/>
      <c r="P106" s="99"/>
      <c r="Q106" s="13"/>
      <c r="R106" s="148">
        <f>'Parameters, country spec'!J17</f>
        <v>0.21912340485214174</v>
      </c>
    </row>
    <row r="107" spans="1:18" x14ac:dyDescent="0.3">
      <c r="A107" s="21" t="s">
        <v>387</v>
      </c>
      <c r="B107" s="16" t="s">
        <v>175</v>
      </c>
      <c r="C107" s="16" t="s">
        <v>388</v>
      </c>
      <c r="D107" s="22" t="s">
        <v>38</v>
      </c>
      <c r="E107" s="22" t="s">
        <v>92</v>
      </c>
      <c r="F107" s="162">
        <f t="shared" si="24"/>
        <v>1.8352E-4</v>
      </c>
      <c r="G107" s="97">
        <v>0</v>
      </c>
      <c r="H107" s="98">
        <v>1E-4</v>
      </c>
      <c r="I107" s="15"/>
      <c r="J107" s="13"/>
      <c r="K107" s="99">
        <v>4.99E-5</v>
      </c>
      <c r="L107" s="99"/>
      <c r="M107" s="99">
        <v>4.5199999999999999E-6</v>
      </c>
      <c r="N107" s="99">
        <v>2.9099999999999999E-5</v>
      </c>
      <c r="O107" s="99"/>
      <c r="P107" s="99"/>
      <c r="Q107" s="13"/>
      <c r="R107" s="148">
        <f>'Parameters, country spec'!J18</f>
        <v>3.4365153377819394E-3</v>
      </c>
    </row>
    <row r="108" spans="1:18" x14ac:dyDescent="0.3">
      <c r="A108" s="21" t="s">
        <v>389</v>
      </c>
      <c r="B108" s="16" t="s">
        <v>176</v>
      </c>
      <c r="C108" s="16" t="s">
        <v>388</v>
      </c>
      <c r="D108" s="22" t="s">
        <v>38</v>
      </c>
      <c r="E108" s="22" t="s">
        <v>92</v>
      </c>
      <c r="F108" s="162">
        <f t="shared" si="24"/>
        <v>2.4729999999999999E-4</v>
      </c>
      <c r="G108" s="97">
        <v>7.5000000000000002E-6</v>
      </c>
      <c r="H108" s="98">
        <v>1E-4</v>
      </c>
      <c r="I108" s="15"/>
      <c r="J108" s="13"/>
      <c r="K108" s="99">
        <v>5.7800000000000002E-5</v>
      </c>
      <c r="L108" s="99"/>
      <c r="M108" s="99">
        <v>5.2899999999999998E-5</v>
      </c>
      <c r="N108" s="99">
        <v>2.9099999999999999E-5</v>
      </c>
      <c r="O108" s="99"/>
      <c r="P108" s="99"/>
      <c r="Q108" s="13"/>
      <c r="R108" s="148">
        <f>'Parameters, country spec'!J19</f>
        <v>3.3757905268185459E-3</v>
      </c>
    </row>
    <row r="109" spans="1:18" x14ac:dyDescent="0.3">
      <c r="B109" s="17" t="s">
        <v>178</v>
      </c>
      <c r="C109" s="16" t="s">
        <v>390</v>
      </c>
      <c r="D109" s="22" t="s">
        <v>466</v>
      </c>
      <c r="E109" s="22"/>
      <c r="F109" s="123">
        <f t="shared" si="24"/>
        <v>3.8246443678729497E-4</v>
      </c>
      <c r="G109" s="33">
        <f>'Off-farm feed'!$F$75</f>
        <v>1.684774766302073E-4</v>
      </c>
      <c r="H109" s="33">
        <f>'Off-farm feed'!$G$75</f>
        <v>4.5862068965517246E-5</v>
      </c>
      <c r="I109" s="33"/>
      <c r="J109" s="33"/>
      <c r="K109" s="33">
        <f>'Off-farm feed'!$J$75</f>
        <v>1.0936279334641699E-5</v>
      </c>
      <c r="L109" s="33"/>
      <c r="M109" s="33">
        <f>'Off-farm feed'!$L$75</f>
        <v>6.4606960551724142E-7</v>
      </c>
      <c r="N109" s="33">
        <f>'Off-farm feed'!$M$75</f>
        <v>2.1884761697575221E-5</v>
      </c>
      <c r="O109" s="33"/>
      <c r="P109" s="33">
        <f>'Off-farm feed'!$O$75</f>
        <v>4.5962128379923281E-5</v>
      </c>
      <c r="Q109" s="33">
        <f>'Off-farm feed'!$P$75</f>
        <v>8.8695652173913049E-5</v>
      </c>
      <c r="R109" s="148">
        <f>'Parameters, country spec'!J20</f>
        <v>9.9524742143764257E-3</v>
      </c>
    </row>
    <row r="110" spans="1:18" x14ac:dyDescent="0.3">
      <c r="B110" s="17" t="s">
        <v>391</v>
      </c>
      <c r="C110" s="16" t="s">
        <v>390</v>
      </c>
      <c r="D110" s="22" t="s">
        <v>442</v>
      </c>
      <c r="E110" s="22"/>
      <c r="F110" s="123">
        <f t="shared" si="24"/>
        <v>4.7266553697523981E-4</v>
      </c>
      <c r="G110" s="33">
        <f>'Off-farm feed'!$F$24</f>
        <v>1.5603516238625262E-5</v>
      </c>
      <c r="H110" s="33">
        <f>'Off-farm feed'!$G$24</f>
        <v>7.5304878048780503E-5</v>
      </c>
      <c r="I110" s="33"/>
      <c r="J110" s="33"/>
      <c r="K110" s="33">
        <f>'Off-farm feed'!$J$24</f>
        <v>1.908459074435586E-5</v>
      </c>
      <c r="L110" s="33"/>
      <c r="M110" s="33">
        <f>'Off-farm feed'!$L$24</f>
        <v>5.9672097439024396E-7</v>
      </c>
      <c r="N110" s="33">
        <f>'Off-farm feed'!$M$24</f>
        <v>2.3084271612619523E-5</v>
      </c>
      <c r="O110" s="33"/>
      <c r="P110" s="33">
        <f>'Off-farm feed'!$O$24</f>
        <v>1.2899155935646844E-4</v>
      </c>
      <c r="Q110" s="33">
        <f>'Off-farm feed'!$P$24</f>
        <v>2.1000000000000001E-4</v>
      </c>
      <c r="R110" s="148">
        <f>'Parameters, country spec'!J21</f>
        <v>8.507721741542934E-2</v>
      </c>
    </row>
    <row r="111" spans="1:18" x14ac:dyDescent="0.3">
      <c r="B111" s="16" t="s">
        <v>182</v>
      </c>
      <c r="C111" s="16" t="s">
        <v>392</v>
      </c>
      <c r="D111" s="22" t="s">
        <v>38</v>
      </c>
      <c r="E111" s="22" t="s">
        <v>92</v>
      </c>
      <c r="F111" s="162">
        <f t="shared" si="24"/>
        <v>1.1800079428461339E-3</v>
      </c>
      <c r="G111" s="99">
        <v>8.6160247731340001E-5</v>
      </c>
      <c r="H111" s="99">
        <v>4.7537999999999998E-5</v>
      </c>
      <c r="K111" s="99">
        <v>2.6999625124000199E-5</v>
      </c>
      <c r="N111" s="13"/>
      <c r="O111" s="13"/>
      <c r="P111" s="99">
        <v>9.3317281206467095E-4</v>
      </c>
      <c r="Q111" s="99">
        <v>8.6137257926122794E-5</v>
      </c>
      <c r="R111" s="148">
        <f>'Parameters, country spec'!J22</f>
        <v>1.3071081676498808E-2</v>
      </c>
    </row>
    <row r="112" spans="1:18" x14ac:dyDescent="0.3">
      <c r="A112" s="81"/>
      <c r="B112" s="16" t="s">
        <v>393</v>
      </c>
      <c r="C112" s="82" t="s">
        <v>394</v>
      </c>
      <c r="D112" s="22" t="s">
        <v>38</v>
      </c>
      <c r="E112" s="22" t="s">
        <v>92</v>
      </c>
      <c r="F112" s="163">
        <f t="shared" si="24"/>
        <v>2.9763151487246999E-4</v>
      </c>
      <c r="G112" s="80">
        <f t="shared" ref="G112:N112" si="25">AVERAGE(G102:G110)</f>
        <v>1.0128677698542583E-4</v>
      </c>
      <c r="H112" s="80">
        <f t="shared" si="25"/>
        <v>9.1240771890477534E-5</v>
      </c>
      <c r="I112" s="80"/>
      <c r="J112" s="80"/>
      <c r="K112" s="80">
        <f t="shared" si="25"/>
        <v>2.9280096675444174E-5</v>
      </c>
      <c r="L112" s="80"/>
      <c r="M112" s="80">
        <f t="shared" si="25"/>
        <v>4.8193976731100822E-5</v>
      </c>
      <c r="N112" s="80">
        <f t="shared" si="25"/>
        <v>2.7629892590021639E-5</v>
      </c>
      <c r="O112" s="80"/>
      <c r="P112" s="80"/>
      <c r="Q112" s="80"/>
      <c r="R112" s="148">
        <f>'Parameters, country spec'!J23</f>
        <v>1.5143904035636976E-2</v>
      </c>
    </row>
    <row r="113" spans="1:18" x14ac:dyDescent="0.3">
      <c r="A113" s="42"/>
      <c r="B113" s="43" t="s">
        <v>395</v>
      </c>
      <c r="C113" s="44"/>
      <c r="D113" s="45"/>
      <c r="E113" s="45"/>
      <c r="F113" s="46">
        <f t="shared" ref="F113:O113" si="26">SUMPRODUCT(F102:F112,$R$102:$R$112)</f>
        <v>3.6588675083061388E-4</v>
      </c>
      <c r="G113" s="46">
        <f t="shared" si="26"/>
        <v>1.3943758313016155E-4</v>
      </c>
      <c r="H113" s="46">
        <f t="shared" si="26"/>
        <v>9.654181738118583E-5</v>
      </c>
      <c r="I113" s="46">
        <f t="shared" si="26"/>
        <v>0</v>
      </c>
      <c r="J113" s="46">
        <f t="shared" si="26"/>
        <v>0</v>
      </c>
      <c r="K113" s="46">
        <f t="shared" si="26"/>
        <v>1.8625070129870019E-5</v>
      </c>
      <c r="L113" s="46">
        <f t="shared" si="26"/>
        <v>0</v>
      </c>
      <c r="M113" s="46">
        <f t="shared" si="26"/>
        <v>3.9664400872181876E-5</v>
      </c>
      <c r="N113" s="46">
        <f t="shared" si="26"/>
        <v>2.8113757452594289E-5</v>
      </c>
      <c r="O113" s="46">
        <f t="shared" si="26"/>
        <v>0</v>
      </c>
      <c r="P113" s="46">
        <f>SUMPRODUCT(P102:P112,R102:R112)</f>
        <v>2.3629257882449956E-5</v>
      </c>
      <c r="Q113" s="46">
        <f>SUMPRODUCT(Q102:Q112,$R$102:$R$112)</f>
        <v>1.9874863982170326E-5</v>
      </c>
      <c r="R113" s="149"/>
    </row>
    <row r="114" spans="1:18" x14ac:dyDescent="0.3">
      <c r="A114" s="284" t="s">
        <v>381</v>
      </c>
      <c r="B114" s="268" t="s">
        <v>169</v>
      </c>
      <c r="C114" s="268" t="s">
        <v>382</v>
      </c>
      <c r="D114" s="285" t="s">
        <v>34</v>
      </c>
      <c r="E114" s="285" t="s">
        <v>93</v>
      </c>
      <c r="F114" s="278">
        <f>SUM(G114:Q114)</f>
        <v>2.0655355021385218E-4</v>
      </c>
      <c r="G114" s="279">
        <v>8.0930691575108743E-5</v>
      </c>
      <c r="H114" s="280">
        <v>9.5000000000000005E-5</v>
      </c>
      <c r="I114" s="281"/>
      <c r="J114" s="282"/>
      <c r="K114" s="283">
        <v>1.8076858638743458E-5</v>
      </c>
      <c r="L114" s="283"/>
      <c r="M114" s="283">
        <v>0</v>
      </c>
      <c r="N114" s="283">
        <v>1.2546000000000003E-5</v>
      </c>
      <c r="O114" s="283"/>
      <c r="P114" s="283"/>
      <c r="Q114" s="282"/>
      <c r="R114" s="148">
        <f>'Parameters, country spec'!K13</f>
        <v>0.13430583669548862</v>
      </c>
    </row>
    <row r="115" spans="1:18" x14ac:dyDescent="0.3">
      <c r="A115" s="21" t="s">
        <v>383</v>
      </c>
      <c r="B115" s="16" t="s">
        <v>171</v>
      </c>
      <c r="C115" s="16" t="s">
        <v>382</v>
      </c>
      <c r="D115" s="22" t="s">
        <v>34</v>
      </c>
      <c r="E115" s="22" t="s">
        <v>93</v>
      </c>
      <c r="F115" s="162">
        <f t="shared" ref="F115:F124" si="27">SUM(G115:Q115)</f>
        <v>1.9871902439798405E-4</v>
      </c>
      <c r="G115" s="97">
        <v>7.8815626877616721E-5</v>
      </c>
      <c r="H115" s="98">
        <v>9.5000000000000005E-5</v>
      </c>
      <c r="I115" s="15"/>
      <c r="J115" s="13"/>
      <c r="K115" s="99">
        <v>1.2357397520367332E-5</v>
      </c>
      <c r="L115" s="99"/>
      <c r="M115" s="99">
        <v>0</v>
      </c>
      <c r="N115" s="99">
        <v>1.2546000000000003E-5</v>
      </c>
      <c r="O115" s="99"/>
      <c r="P115" s="99"/>
      <c r="Q115" s="13"/>
      <c r="R115" s="148">
        <f>'Parameters, country spec'!K14</f>
        <v>5.9748696560920867E-3</v>
      </c>
    </row>
    <row r="116" spans="1:18" x14ac:dyDescent="0.3">
      <c r="A116" s="21" t="s">
        <v>384</v>
      </c>
      <c r="B116" s="16" t="s">
        <v>172</v>
      </c>
      <c r="C116" s="16" t="s">
        <v>382</v>
      </c>
      <c r="D116" s="22" t="s">
        <v>34</v>
      </c>
      <c r="E116" s="22" t="s">
        <v>93</v>
      </c>
      <c r="F116" s="162">
        <f t="shared" si="27"/>
        <v>1.9956753055993292E-4</v>
      </c>
      <c r="G116" s="97">
        <v>7.134532609711123E-5</v>
      </c>
      <c r="H116" s="98">
        <v>9.5000000000000005E-5</v>
      </c>
      <c r="I116" s="15"/>
      <c r="J116" s="13"/>
      <c r="K116" s="99">
        <v>2.0676204462821701E-5</v>
      </c>
      <c r="L116" s="99"/>
      <c r="M116" s="99">
        <v>0</v>
      </c>
      <c r="N116" s="99">
        <v>1.2546000000000003E-5</v>
      </c>
      <c r="O116" s="99"/>
      <c r="P116" s="99"/>
      <c r="Q116" s="13"/>
      <c r="R116" s="148">
        <f>'Parameters, country spec'!K15</f>
        <v>0.14610456381313297</v>
      </c>
    </row>
    <row r="117" spans="1:18" x14ac:dyDescent="0.3">
      <c r="A117" s="21" t="s">
        <v>385</v>
      </c>
      <c r="B117" s="16" t="s">
        <v>173</v>
      </c>
      <c r="C117" s="16" t="s">
        <v>382</v>
      </c>
      <c r="D117" s="22" t="s">
        <v>34</v>
      </c>
      <c r="E117" s="22" t="s">
        <v>93</v>
      </c>
      <c r="F117" s="162">
        <f t="shared" si="27"/>
        <v>1.840193507270561E-4</v>
      </c>
      <c r="G117" s="97">
        <v>6.2842418816841267E-5</v>
      </c>
      <c r="H117" s="98">
        <v>9.5000000000000005E-5</v>
      </c>
      <c r="I117" s="13"/>
      <c r="J117" s="13"/>
      <c r="K117" s="99">
        <v>1.3630931910214812E-5</v>
      </c>
      <c r="L117" s="99"/>
      <c r="M117" s="99">
        <v>0</v>
      </c>
      <c r="N117" s="99">
        <v>1.2546000000000003E-5</v>
      </c>
      <c r="O117" s="99"/>
      <c r="P117" s="99"/>
      <c r="Q117" s="13"/>
      <c r="R117" s="148">
        <f>'Parameters, country spec'!K16</f>
        <v>9.236749949865944E-5</v>
      </c>
    </row>
    <row r="118" spans="1:18" x14ac:dyDescent="0.3">
      <c r="A118" s="21" t="s">
        <v>386</v>
      </c>
      <c r="B118" s="16" t="s">
        <v>174</v>
      </c>
      <c r="C118" s="16" t="s">
        <v>382</v>
      </c>
      <c r="D118" s="22" t="s">
        <v>34</v>
      </c>
      <c r="E118" s="22" t="s">
        <v>93</v>
      </c>
      <c r="F118" s="162">
        <f t="shared" si="27"/>
        <v>2.1322851393583626E-4</v>
      </c>
      <c r="G118" s="97">
        <v>9.2769916609057948E-5</v>
      </c>
      <c r="H118" s="98">
        <v>9.5000000000000005E-5</v>
      </c>
      <c r="I118" s="13"/>
      <c r="J118" s="13"/>
      <c r="K118" s="99">
        <v>1.291259732677831E-5</v>
      </c>
      <c r="L118" s="99"/>
      <c r="M118" s="99">
        <v>0</v>
      </c>
      <c r="N118" s="99">
        <v>1.2546000000000003E-5</v>
      </c>
      <c r="O118" s="99"/>
      <c r="P118" s="99"/>
      <c r="Q118" s="13"/>
      <c r="R118" s="148">
        <f>'Parameters, country spec'!K17</f>
        <v>0.58258426025934973</v>
      </c>
    </row>
    <row r="119" spans="1:18" x14ac:dyDescent="0.3">
      <c r="A119" s="21" t="s">
        <v>387</v>
      </c>
      <c r="B119" s="16" t="s">
        <v>175</v>
      </c>
      <c r="C119" s="16" t="s">
        <v>388</v>
      </c>
      <c r="D119" s="22" t="s">
        <v>34</v>
      </c>
      <c r="E119" s="22" t="s">
        <v>93</v>
      </c>
      <c r="F119" s="162">
        <f t="shared" si="27"/>
        <v>1.3280125199673234E-4</v>
      </c>
      <c r="G119" s="97">
        <v>0</v>
      </c>
      <c r="H119" s="98">
        <v>9.5000000000000005E-5</v>
      </c>
      <c r="I119" s="15"/>
      <c r="J119" s="13"/>
      <c r="K119" s="99">
        <v>2.5255251996732317E-5</v>
      </c>
      <c r="L119" s="99"/>
      <c r="M119" s="99">
        <v>0</v>
      </c>
      <c r="N119" s="99">
        <v>1.2546000000000003E-5</v>
      </c>
      <c r="O119" s="99"/>
      <c r="P119" s="99"/>
      <c r="Q119" s="13"/>
      <c r="R119" s="148">
        <f>'Parameters, country spec'!K18</f>
        <v>4.9593085693149293E-3</v>
      </c>
    </row>
    <row r="120" spans="1:18" x14ac:dyDescent="0.3">
      <c r="A120" s="21" t="s">
        <v>389</v>
      </c>
      <c r="B120" s="16" t="s">
        <v>176</v>
      </c>
      <c r="C120" s="16" t="s">
        <v>388</v>
      </c>
      <c r="D120" s="22" t="s">
        <v>34</v>
      </c>
      <c r="E120" s="22" t="s">
        <v>93</v>
      </c>
      <c r="F120" s="162">
        <f t="shared" si="27"/>
        <v>1.4931770127423491E-4</v>
      </c>
      <c r="G120" s="97">
        <v>3.9865279409015522E-6</v>
      </c>
      <c r="H120" s="98">
        <v>9.5000000000000005E-5</v>
      </c>
      <c r="I120" s="15"/>
      <c r="J120" s="13"/>
      <c r="K120" s="99">
        <v>3.7785173333333341E-5</v>
      </c>
      <c r="L120" s="99"/>
      <c r="M120" s="99">
        <v>0</v>
      </c>
      <c r="N120" s="99">
        <v>1.2546000000000003E-5</v>
      </c>
      <c r="O120" s="99"/>
      <c r="P120" s="99"/>
      <c r="Q120" s="13"/>
      <c r="R120" s="148">
        <f>'Parameters, country spec'!K19</f>
        <v>4.8716753013175445E-3</v>
      </c>
    </row>
    <row r="121" spans="1:18" x14ac:dyDescent="0.3">
      <c r="B121" s="17" t="s">
        <v>178</v>
      </c>
      <c r="C121" s="16" t="s">
        <v>390</v>
      </c>
      <c r="D121" s="22" t="s">
        <v>466</v>
      </c>
      <c r="E121" s="22"/>
      <c r="F121" s="123">
        <f t="shared" si="27"/>
        <v>3.8246443678729497E-4</v>
      </c>
      <c r="G121" s="33">
        <f>'Off-farm feed'!$F$75</f>
        <v>1.684774766302073E-4</v>
      </c>
      <c r="H121" s="33">
        <f>'Off-farm feed'!$G$75</f>
        <v>4.5862068965517246E-5</v>
      </c>
      <c r="I121" s="33"/>
      <c r="J121" s="33"/>
      <c r="K121" s="33">
        <f>'Off-farm feed'!$J$75</f>
        <v>1.0936279334641699E-5</v>
      </c>
      <c r="L121" s="33"/>
      <c r="M121" s="33">
        <f>'Off-farm feed'!$L$75</f>
        <v>6.4606960551724142E-7</v>
      </c>
      <c r="N121" s="33">
        <f>'Off-farm feed'!$M$75</f>
        <v>2.1884761697575221E-5</v>
      </c>
      <c r="O121" s="33"/>
      <c r="P121" s="33">
        <f>'Off-farm feed'!$O$75</f>
        <v>4.5962128379923281E-5</v>
      </c>
      <c r="Q121" s="33">
        <f>'Off-farm feed'!$P$75</f>
        <v>8.8695652173913049E-5</v>
      </c>
      <c r="R121" s="148">
        <f>'Parameters, country spec'!K20</f>
        <v>2.1892083763360489E-2</v>
      </c>
    </row>
    <row r="122" spans="1:18" x14ac:dyDescent="0.3">
      <c r="B122" s="17" t="s">
        <v>391</v>
      </c>
      <c r="C122" s="16" t="s">
        <v>390</v>
      </c>
      <c r="D122" s="22" t="s">
        <v>442</v>
      </c>
      <c r="E122" s="22"/>
      <c r="F122" s="123">
        <f t="shared" si="27"/>
        <v>4.7266553697523981E-4</v>
      </c>
      <c r="G122" s="33">
        <f>'Off-farm feed'!$F$24</f>
        <v>1.5603516238625262E-5</v>
      </c>
      <c r="H122" s="33">
        <f>'Off-farm feed'!$G$24</f>
        <v>7.5304878048780503E-5</v>
      </c>
      <c r="I122" s="33"/>
      <c r="J122" s="33"/>
      <c r="K122" s="33">
        <f>'Off-farm feed'!$J$24</f>
        <v>1.908459074435586E-5</v>
      </c>
      <c r="L122" s="33"/>
      <c r="M122" s="33">
        <f>'Off-farm feed'!$L$24</f>
        <v>5.9672097439024396E-7</v>
      </c>
      <c r="N122" s="33">
        <f>'Off-farm feed'!$M$24</f>
        <v>2.3084271612619523E-5</v>
      </c>
      <c r="O122" s="33"/>
      <c r="P122" s="33">
        <f>'Off-farm feed'!$O$24</f>
        <v>1.2899155935646844E-4</v>
      </c>
      <c r="Q122" s="33">
        <f>'Off-farm feed'!$P$24</f>
        <v>2.1000000000000001E-4</v>
      </c>
      <c r="R122" s="148">
        <f>'Parameters, country spec'!K21</f>
        <v>3.411102350419503E-2</v>
      </c>
    </row>
    <row r="123" spans="1:18" x14ac:dyDescent="0.3">
      <c r="B123" s="16" t="s">
        <v>182</v>
      </c>
      <c r="C123" s="16" t="s">
        <v>392</v>
      </c>
      <c r="D123" s="22" t="s">
        <v>34</v>
      </c>
      <c r="E123" s="22" t="s">
        <v>93</v>
      </c>
      <c r="F123" s="162">
        <f t="shared" si="27"/>
        <v>2.4590017139572402E-4</v>
      </c>
      <c r="G123" s="99">
        <v>5.3696046963047799E-5</v>
      </c>
      <c r="H123" s="99">
        <v>4.7537999999999998E-5</v>
      </c>
      <c r="K123" s="99">
        <v>1.5715693358092801E-5</v>
      </c>
      <c r="N123" s="13"/>
      <c r="O123" s="13"/>
      <c r="P123" s="99">
        <v>1.12198537729509E-4</v>
      </c>
      <c r="Q123" s="99">
        <v>1.6751893345074401E-5</v>
      </c>
      <c r="R123" s="148">
        <f>'Parameters, country spec'!K22</f>
        <v>2.7931248345105162E-2</v>
      </c>
    </row>
    <row r="124" spans="1:18" x14ac:dyDescent="0.3">
      <c r="A124" s="81"/>
      <c r="B124" s="16" t="s">
        <v>393</v>
      </c>
      <c r="C124" s="82" t="s">
        <v>394</v>
      </c>
      <c r="D124" s="22" t="s">
        <v>34</v>
      </c>
      <c r="E124" s="22" t="s">
        <v>93</v>
      </c>
      <c r="F124" s="163">
        <f t="shared" si="27"/>
        <v>1.850763952175399E-4</v>
      </c>
      <c r="G124" s="80">
        <f t="shared" ref="G124:N124" si="28">AVERAGE(G114:G122)</f>
        <v>6.3863500087274442E-5</v>
      </c>
      <c r="H124" s="80">
        <f t="shared" si="28"/>
        <v>8.7351883001588647E-5</v>
      </c>
      <c r="I124" s="80"/>
      <c r="J124" s="80"/>
      <c r="K124" s="80">
        <f t="shared" si="28"/>
        <v>1.8968365029776536E-5</v>
      </c>
      <c r="L124" s="80"/>
      <c r="M124" s="80">
        <f t="shared" si="28"/>
        <v>1.3808784221194281E-7</v>
      </c>
      <c r="N124" s="80">
        <f t="shared" si="28"/>
        <v>1.4754559256688307E-5</v>
      </c>
      <c r="O124" s="80"/>
      <c r="P124" s="80"/>
      <c r="Q124" s="80"/>
      <c r="R124" s="148">
        <f>'Parameters, country spec'!K23</f>
        <v>3.7172762593144865E-2</v>
      </c>
    </row>
    <row r="125" spans="1:18" x14ac:dyDescent="0.3">
      <c r="A125" s="147"/>
      <c r="B125" s="24" t="s">
        <v>395</v>
      </c>
      <c r="C125" s="25"/>
      <c r="D125" s="100"/>
      <c r="E125" s="100"/>
      <c r="F125" s="29">
        <f>SUMPRODUCT(F114:F124,$R$114:$R$124)</f>
        <v>2.2195714625018173E-4</v>
      </c>
      <c r="G125" s="29">
        <f t="shared" ref="G125:Q125" si="29">SUMPRODUCT(G114:G124,$R$114:$R$124)</f>
        <v>8.3930129291905271E-5</v>
      </c>
      <c r="H125" s="29">
        <f t="shared" si="29"/>
        <v>9.1642472983616928E-5</v>
      </c>
      <c r="I125" s="29">
        <f t="shared" si="29"/>
        <v>0</v>
      </c>
      <c r="J125" s="29">
        <f t="shared" si="29"/>
        <v>0</v>
      </c>
      <c r="K125" s="29">
        <f t="shared" si="29"/>
        <v>1.5390288329037481E-5</v>
      </c>
      <c r="L125" s="29">
        <f t="shared" si="29"/>
        <v>0</v>
      </c>
      <c r="M125" s="29">
        <f t="shared" si="29"/>
        <v>3.9631679679360692E-8</v>
      </c>
      <c r="N125" s="29">
        <f t="shared" si="29"/>
        <v>1.2841588991185117E-5</v>
      </c>
      <c r="O125" s="29">
        <f t="shared" si="29"/>
        <v>0</v>
      </c>
      <c r="P125" s="29">
        <f>SUMPRODUCT(P114:P124,R114:R124)</f>
        <v>8.5400860987674398E-6</v>
      </c>
      <c r="Q125" s="29">
        <f t="shared" si="29"/>
        <v>9.5729488759901347E-6</v>
      </c>
      <c r="R125" s="149"/>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tabColor theme="4" tint="0.79998168889431442"/>
  </sheetPr>
  <dimension ref="A2:S125"/>
  <sheetViews>
    <sheetView topLeftCell="D70" zoomScale="80" zoomScaleNormal="80" workbookViewId="0">
      <selection activeCell="S88" sqref="S88"/>
    </sheetView>
  </sheetViews>
  <sheetFormatPr defaultColWidth="8.88671875" defaultRowHeight="14.4" x14ac:dyDescent="0.3"/>
  <cols>
    <col min="1" max="1" width="8.5546875" customWidth="1"/>
    <col min="2" max="2" width="30.44140625" customWidth="1"/>
    <col min="3" max="3" width="19" customWidth="1"/>
    <col min="4" max="4" width="12.88671875" customWidth="1"/>
    <col min="5" max="10" width="12.5546875" customWidth="1"/>
    <col min="11" max="11" width="14.44140625" customWidth="1"/>
    <col min="12" max="12" width="15" customWidth="1"/>
    <col min="13" max="18" width="12.5546875" customWidth="1"/>
  </cols>
  <sheetData>
    <row r="2" spans="1:18" ht="21" x14ac:dyDescent="0.4">
      <c r="A2" s="2" t="s">
        <v>397</v>
      </c>
      <c r="F2" t="s">
        <v>372</v>
      </c>
      <c r="O2" t="s">
        <v>373</v>
      </c>
    </row>
    <row r="3" spans="1:18" x14ac:dyDescent="0.3">
      <c r="H3" s="8"/>
      <c r="I3" s="8"/>
      <c r="J3" s="8"/>
      <c r="K3" s="8"/>
      <c r="L3" s="8"/>
      <c r="M3" s="8"/>
      <c r="N3" s="8"/>
    </row>
    <row r="4" spans="1:18" ht="28.8" x14ac:dyDescent="0.3">
      <c r="A4" s="150" t="s">
        <v>374</v>
      </c>
      <c r="B4" s="140"/>
      <c r="C4" s="140"/>
      <c r="D4" s="140"/>
      <c r="E4" s="140"/>
      <c r="F4" s="141" t="s">
        <v>102</v>
      </c>
      <c r="G4" s="141" t="s">
        <v>103</v>
      </c>
      <c r="H4" s="142"/>
      <c r="I4" s="141" t="s">
        <v>104</v>
      </c>
      <c r="J4" s="101"/>
      <c r="K4" s="141" t="s">
        <v>105</v>
      </c>
      <c r="L4" s="101"/>
      <c r="M4" s="101"/>
      <c r="N4" s="101"/>
      <c r="O4" s="102" t="s">
        <v>106</v>
      </c>
      <c r="P4" s="102" t="s">
        <v>107</v>
      </c>
      <c r="Q4" s="143" t="s">
        <v>108</v>
      </c>
      <c r="R4" s="141" t="s">
        <v>375</v>
      </c>
    </row>
    <row r="5" spans="1:18" ht="55.5" customHeight="1" x14ac:dyDescent="0.3">
      <c r="A5" s="95" t="s">
        <v>60</v>
      </c>
      <c r="B5" s="95" t="s">
        <v>374</v>
      </c>
      <c r="C5" s="95" t="s">
        <v>376</v>
      </c>
      <c r="D5" s="95" t="s">
        <v>63</v>
      </c>
      <c r="E5" s="145" t="s">
        <v>64</v>
      </c>
      <c r="F5" s="144"/>
      <c r="G5" s="96" t="s">
        <v>16</v>
      </c>
      <c r="H5" s="96" t="s">
        <v>17</v>
      </c>
      <c r="I5" s="96" t="s">
        <v>377</v>
      </c>
      <c r="J5" s="96" t="s">
        <v>378</v>
      </c>
      <c r="K5" s="96" t="s">
        <v>117</v>
      </c>
      <c r="L5" s="96" t="s">
        <v>118</v>
      </c>
      <c r="M5" s="96" t="s">
        <v>119</v>
      </c>
      <c r="N5" s="96" t="s">
        <v>120</v>
      </c>
      <c r="O5" s="96" t="s">
        <v>121</v>
      </c>
      <c r="P5" s="96" t="s">
        <v>107</v>
      </c>
      <c r="Q5" s="145" t="s">
        <v>380</v>
      </c>
      <c r="R5" s="96"/>
    </row>
    <row r="6" spans="1:18" x14ac:dyDescent="0.3">
      <c r="A6" s="21" t="s">
        <v>381</v>
      </c>
      <c r="B6" s="16" t="s">
        <v>169</v>
      </c>
      <c r="C6" s="16" t="s">
        <v>382</v>
      </c>
      <c r="D6" s="22" t="s">
        <v>36</v>
      </c>
      <c r="E6" s="22" t="s">
        <v>84</v>
      </c>
      <c r="F6" s="162">
        <f>SUM(G6:Q6)</f>
        <v>6.9794440000000017E-4</v>
      </c>
      <c r="G6" s="97">
        <v>1.8000000000000001E-4</v>
      </c>
      <c r="H6" s="98">
        <v>9.9999999999999995E-7</v>
      </c>
      <c r="I6" s="99">
        <v>4.6799999999999999E-4</v>
      </c>
      <c r="J6" s="99">
        <v>4.6799999999999999E-5</v>
      </c>
      <c r="K6" s="99">
        <v>8.0200000000000001E-7</v>
      </c>
      <c r="L6" s="99"/>
      <c r="M6" s="99">
        <v>1.24E-8</v>
      </c>
      <c r="N6" s="99">
        <v>1.33E-6</v>
      </c>
      <c r="O6" s="99"/>
      <c r="P6" s="99"/>
      <c r="Q6" s="13"/>
      <c r="R6" s="148">
        <f>'Parameters, country spec'!B13</f>
        <v>0.16402988956347125</v>
      </c>
    </row>
    <row r="7" spans="1:18" x14ac:dyDescent="0.3">
      <c r="A7" s="21" t="s">
        <v>383</v>
      </c>
      <c r="B7" s="16" t="s">
        <v>171</v>
      </c>
      <c r="C7" s="16" t="s">
        <v>382</v>
      </c>
      <c r="D7" s="22" t="s">
        <v>36</v>
      </c>
      <c r="E7" s="22" t="s">
        <v>84</v>
      </c>
      <c r="F7" s="162">
        <f t="shared" ref="F7:F16" si="0">SUM(G7:Q7)</f>
        <v>6.5715800000000003E-4</v>
      </c>
      <c r="G7" s="97">
        <v>1.7000000000000001E-4</v>
      </c>
      <c r="H7" s="98">
        <v>9.9999999999999995E-7</v>
      </c>
      <c r="I7" s="99">
        <v>4.4000000000000002E-4</v>
      </c>
      <c r="J7" s="99">
        <v>4.3999999999999999E-5</v>
      </c>
      <c r="K7" s="99">
        <v>5.4700000000000001E-7</v>
      </c>
      <c r="L7" s="99"/>
      <c r="M7" s="99">
        <v>2.8099999999999999E-7</v>
      </c>
      <c r="N7" s="99">
        <v>1.33E-6</v>
      </c>
      <c r="O7" s="99"/>
      <c r="P7" s="99"/>
      <c r="Q7" s="13"/>
      <c r="R7" s="148">
        <f>'Parameters, country spec'!B14</f>
        <v>0.26979047748052715</v>
      </c>
    </row>
    <row r="8" spans="1:18" x14ac:dyDescent="0.3">
      <c r="A8" s="21" t="s">
        <v>384</v>
      </c>
      <c r="B8" s="16" t="s">
        <v>172</v>
      </c>
      <c r="C8" s="16" t="s">
        <v>382</v>
      </c>
      <c r="D8" s="22" t="s">
        <v>36</v>
      </c>
      <c r="E8" s="22" t="s">
        <v>84</v>
      </c>
      <c r="F8" s="162">
        <f t="shared" si="0"/>
        <v>6.6289399999999992E-4</v>
      </c>
      <c r="G8" s="97">
        <v>1.4999999999999999E-4</v>
      </c>
      <c r="H8" s="98">
        <v>9.9999999999999995E-7</v>
      </c>
      <c r="I8" s="99">
        <v>4.6299999999999998E-4</v>
      </c>
      <c r="J8" s="99">
        <v>4.6300000000000001E-5</v>
      </c>
      <c r="K8" s="99">
        <v>1.1000000000000001E-6</v>
      </c>
      <c r="L8" s="99"/>
      <c r="M8" s="99">
        <v>1.6400000000000001E-7</v>
      </c>
      <c r="N8" s="99">
        <v>1.33E-6</v>
      </c>
      <c r="O8" s="99"/>
      <c r="P8" s="99"/>
      <c r="Q8" s="13"/>
      <c r="R8" s="148">
        <f>'Parameters, country spec'!B15</f>
        <v>1.8587387131106827E-2</v>
      </c>
    </row>
    <row r="9" spans="1:18" x14ac:dyDescent="0.3">
      <c r="A9" s="21" t="s">
        <v>385</v>
      </c>
      <c r="B9" s="16" t="s">
        <v>173</v>
      </c>
      <c r="C9" s="16" t="s">
        <v>382</v>
      </c>
      <c r="D9" s="22" t="s">
        <v>36</v>
      </c>
      <c r="E9" s="22" t="s">
        <v>84</v>
      </c>
      <c r="F9" s="162">
        <f t="shared" si="0"/>
        <v>6.0983308999999991E-4</v>
      </c>
      <c r="G9" s="97">
        <v>1.3999999999999999E-4</v>
      </c>
      <c r="H9" s="98">
        <v>9.9999999999999995E-7</v>
      </c>
      <c r="I9" s="99">
        <v>4.2400000000000001E-4</v>
      </c>
      <c r="J9" s="99">
        <v>4.2400000000000001E-5</v>
      </c>
      <c r="K9" s="99">
        <v>1.1000000000000001E-6</v>
      </c>
      <c r="L9" s="99"/>
      <c r="M9" s="99">
        <v>3.0899999999999999E-9</v>
      </c>
      <c r="N9" s="99">
        <v>1.33E-6</v>
      </c>
      <c r="O9" s="99"/>
      <c r="P9" s="99"/>
      <c r="Q9" s="13"/>
      <c r="R9" s="148">
        <f>'Parameters, country spec'!B16</f>
        <v>2.8544697829688604E-3</v>
      </c>
    </row>
    <row r="10" spans="1:18" x14ac:dyDescent="0.3">
      <c r="A10" s="21" t="s">
        <v>386</v>
      </c>
      <c r="B10" s="16" t="s">
        <v>174</v>
      </c>
      <c r="C10" s="16" t="s">
        <v>382</v>
      </c>
      <c r="D10" s="22" t="s">
        <v>36</v>
      </c>
      <c r="E10" s="22" t="s">
        <v>84</v>
      </c>
      <c r="F10" s="162">
        <f t="shared" si="0"/>
        <v>7.9156026000000001E-4</v>
      </c>
      <c r="G10" s="97">
        <v>2.0000000000000001E-4</v>
      </c>
      <c r="H10" s="98">
        <v>9.9999999999999995E-7</v>
      </c>
      <c r="I10" s="99">
        <v>5.3499999999999999E-4</v>
      </c>
      <c r="J10" s="99">
        <v>5.3499999999999999E-5</v>
      </c>
      <c r="K10" s="99">
        <v>7.2099999999999996E-7</v>
      </c>
      <c r="L10" s="99"/>
      <c r="M10" s="99">
        <v>9.2599999999999999E-9</v>
      </c>
      <c r="N10" s="99">
        <v>1.33E-6</v>
      </c>
      <c r="O10" s="99"/>
      <c r="P10" s="99"/>
      <c r="Q10" s="13"/>
      <c r="R10" s="148">
        <f>'Parameters, country spec'!B17</f>
        <v>0.39960951046637888</v>
      </c>
    </row>
    <row r="11" spans="1:18" x14ac:dyDescent="0.3">
      <c r="A11" s="21" t="s">
        <v>387</v>
      </c>
      <c r="B11" s="16" t="s">
        <v>175</v>
      </c>
      <c r="C11" s="16" t="s">
        <v>388</v>
      </c>
      <c r="D11" s="22" t="s">
        <v>36</v>
      </c>
      <c r="E11" s="22" t="s">
        <v>84</v>
      </c>
      <c r="F11" s="162">
        <f t="shared" si="0"/>
        <v>3.4258030000000004E-4</v>
      </c>
      <c r="G11" s="97">
        <v>0</v>
      </c>
      <c r="H11" s="98">
        <v>9.9999999999999995E-7</v>
      </c>
      <c r="I11" s="99">
        <v>3.0800000000000001E-4</v>
      </c>
      <c r="J11" s="99">
        <v>3.0800000000000003E-5</v>
      </c>
      <c r="K11" s="99">
        <v>1.37E-6</v>
      </c>
      <c r="L11" s="99"/>
      <c r="M11" s="99">
        <v>8.0299999999999998E-8</v>
      </c>
      <c r="N11" s="99">
        <v>1.33E-6</v>
      </c>
      <c r="O11" s="99"/>
      <c r="P11" s="99"/>
      <c r="Q11" s="13"/>
      <c r="R11" s="148">
        <f>'Parameters, country spec'!B18</f>
        <v>0</v>
      </c>
    </row>
    <row r="12" spans="1:18" x14ac:dyDescent="0.3">
      <c r="A12" s="21" t="s">
        <v>389</v>
      </c>
      <c r="B12" s="16" t="s">
        <v>176</v>
      </c>
      <c r="C12" s="16" t="s">
        <v>388</v>
      </c>
      <c r="D12" s="22" t="s">
        <v>36</v>
      </c>
      <c r="E12" s="22" t="s">
        <v>84</v>
      </c>
      <c r="F12" s="162">
        <f t="shared" si="0"/>
        <v>3.6272900000000006E-4</v>
      </c>
      <c r="G12" s="97">
        <v>8.6000000000000007E-6</v>
      </c>
      <c r="H12" s="98">
        <v>9.9999999999999995E-7</v>
      </c>
      <c r="I12" s="99">
        <v>3.1799999999999998E-4</v>
      </c>
      <c r="J12" s="99">
        <v>3.18E-5</v>
      </c>
      <c r="K12" s="99">
        <v>1.86E-6</v>
      </c>
      <c r="L12" s="99"/>
      <c r="M12" s="99">
        <v>1.3899999999999999E-7</v>
      </c>
      <c r="N12" s="99">
        <v>1.33E-6</v>
      </c>
      <c r="O12" s="99"/>
      <c r="P12" s="99"/>
      <c r="Q12" s="13"/>
      <c r="R12" s="148">
        <f>'Parameters, country spec'!B19</f>
        <v>0</v>
      </c>
    </row>
    <row r="13" spans="1:18" x14ac:dyDescent="0.3">
      <c r="B13" s="17" t="s">
        <v>178</v>
      </c>
      <c r="C13" s="16" t="s">
        <v>390</v>
      </c>
      <c r="D13" s="22" t="s">
        <v>466</v>
      </c>
      <c r="E13" s="22"/>
      <c r="F13" s="123">
        <f>SUM(G13:P13)</f>
        <v>6.713768539130542E-4</v>
      </c>
      <c r="G13" s="33">
        <f>'Off-farm feed'!$F$77</f>
        <v>1.946970439026595E-4</v>
      </c>
      <c r="H13" s="33">
        <f>'Off-farm feed'!$G$77</f>
        <v>5.3103448275862083E-7</v>
      </c>
      <c r="I13" s="33">
        <f>'Off-farm feed'!$H$77</f>
        <v>4.2751561806777074E-4</v>
      </c>
      <c r="J13" s="33">
        <f>'Off-farm feed'!$I$77</f>
        <v>4.2751561806777089E-5</v>
      </c>
      <c r="K13" s="33">
        <f>'Off-farm feed'!$J$77</f>
        <v>6.6339607025480414E-7</v>
      </c>
      <c r="L13" s="33"/>
      <c r="M13" s="33">
        <f>'Off-farm feed'!$L$77</f>
        <v>7.9511067188965511E-9</v>
      </c>
      <c r="N13" s="33">
        <f>'Off-farm feed'!$M$77</f>
        <v>1.2789681892721844E-6</v>
      </c>
      <c r="O13" s="33"/>
      <c r="P13" s="33">
        <f>'Off-farm feed'!$O$77</f>
        <v>3.9312802868423834E-6</v>
      </c>
      <c r="Q13" s="33">
        <f>'Off-farm feed'!$P$77</f>
        <v>1.8277027027027027E-6</v>
      </c>
      <c r="R13" s="148">
        <f>'Parameters, country spec'!B20</f>
        <v>4.3850784569502727E-2</v>
      </c>
    </row>
    <row r="14" spans="1:18" x14ac:dyDescent="0.3">
      <c r="B14" s="17" t="s">
        <v>391</v>
      </c>
      <c r="C14" s="16" t="s">
        <v>390</v>
      </c>
      <c r="D14" s="22" t="s">
        <v>442</v>
      </c>
      <c r="E14" s="22"/>
      <c r="F14" s="123">
        <f>SUM(G14:P14)</f>
        <v>1.7957562860818722E-4</v>
      </c>
      <c r="G14" s="33">
        <f>'Off-farm feed'!$F$26</f>
        <v>1.6332109719061441E-5</v>
      </c>
      <c r="H14" s="33">
        <f>'Off-farm feed'!$G$26</f>
        <v>8.7195121951219526E-7</v>
      </c>
      <c r="I14" s="33">
        <f>'Off-farm feed'!$H$26</f>
        <v>1.3333449845358202E-4</v>
      </c>
      <c r="J14" s="33">
        <f>'Off-farm feed'!$I$26</f>
        <v>1.3333449845358203E-5</v>
      </c>
      <c r="K14" s="33">
        <f>'Off-farm feed'!$J$26</f>
        <v>1.1576736579983931E-6</v>
      </c>
      <c r="L14" s="33"/>
      <c r="M14" s="33">
        <f>'Off-farm feed'!$L$26</f>
        <v>7.3437786087804866E-9</v>
      </c>
      <c r="N14" s="33">
        <f>'Off-farm feed'!$M$26</f>
        <v>1.1195281639512197E-6</v>
      </c>
      <c r="O14" s="33"/>
      <c r="P14" s="33">
        <f>'Off-farm feed'!$O$26</f>
        <v>1.3419073770114991E-5</v>
      </c>
      <c r="Q14" s="33">
        <f>'Off-farm feed'!$P$26</f>
        <v>9.087837837837838E-6</v>
      </c>
      <c r="R14" s="148">
        <f>'Parameters, country spec'!B21</f>
        <v>3.9507741172757446E-2</v>
      </c>
    </row>
    <row r="15" spans="1:18" x14ac:dyDescent="0.3">
      <c r="B15" s="16" t="s">
        <v>182</v>
      </c>
      <c r="C15" s="16" t="s">
        <v>392</v>
      </c>
      <c r="D15" s="22" t="s">
        <v>36</v>
      </c>
      <c r="E15" s="22" t="s">
        <v>84</v>
      </c>
      <c r="F15" s="162">
        <f t="shared" ref="F15" si="1">SUM(G15:Q15)</f>
        <v>4.044373029707777E-4</v>
      </c>
      <c r="G15" s="99">
        <v>1.0053425703773099E-4</v>
      </c>
      <c r="H15" s="99">
        <v>5.5044E-7</v>
      </c>
      <c r="I15" s="99">
        <v>2.9265964297051902E-4</v>
      </c>
      <c r="K15" s="99">
        <v>1.0413866086089199E-6</v>
      </c>
      <c r="N15" s="13"/>
      <c r="O15" s="13"/>
      <c r="P15" s="99">
        <v>9.3385316151342001E-6</v>
      </c>
      <c r="Q15" s="99">
        <v>3.1304473878454498E-7</v>
      </c>
      <c r="R15" s="148">
        <f>'Parameters, country spec'!B22</f>
        <v>3.6206796949373676E-2</v>
      </c>
    </row>
    <row r="16" spans="1:18" x14ac:dyDescent="0.3">
      <c r="A16" s="81"/>
      <c r="B16" s="16" t="s">
        <v>393</v>
      </c>
      <c r="C16" s="82" t="s">
        <v>394</v>
      </c>
      <c r="D16" s="22" t="s">
        <v>36</v>
      </c>
      <c r="E16" s="22" t="s">
        <v>84</v>
      </c>
      <c r="F16" s="163">
        <f t="shared" si="0"/>
        <v>5.5092235316269822E-4</v>
      </c>
      <c r="G16" s="80">
        <f t="shared" ref="G16:N16" si="2">AVERAGE(G6:G14)</f>
        <v>1.1773657262463566E-4</v>
      </c>
      <c r="H16" s="80">
        <f t="shared" si="2"/>
        <v>9.3366507803009054E-7</v>
      </c>
      <c r="I16" s="80">
        <f t="shared" si="2"/>
        <v>3.907611240579281E-4</v>
      </c>
      <c r="J16" s="80">
        <f t="shared" si="2"/>
        <v>3.9076112405792814E-5</v>
      </c>
      <c r="K16" s="80">
        <f t="shared" si="2"/>
        <v>1.0356744142503554E-6</v>
      </c>
      <c r="L16" s="80"/>
      <c r="M16" s="80">
        <f t="shared" si="2"/>
        <v>7.8260542814186315E-8</v>
      </c>
      <c r="N16" s="80">
        <f t="shared" si="2"/>
        <v>1.3009440392470449E-6</v>
      </c>
      <c r="O16" s="80"/>
      <c r="P16" s="80"/>
      <c r="Q16" s="80"/>
      <c r="R16" s="148">
        <f>'Parameters, country spec'!B23</f>
        <v>2.556294288391299E-2</v>
      </c>
    </row>
    <row r="17" spans="1:18" x14ac:dyDescent="0.3">
      <c r="A17" s="147"/>
      <c r="B17" s="24" t="s">
        <v>395</v>
      </c>
      <c r="C17" s="25"/>
      <c r="D17" s="100"/>
      <c r="E17" s="100"/>
      <c r="F17" s="46">
        <f t="shared" ref="F17:O17" si="3">SUMPRODUCT(F6:F16,$R$6:$R$16)</f>
        <v>6.8741754418644207E-4</v>
      </c>
      <c r="G17" s="46">
        <f t="shared" si="3"/>
        <v>1.7433197683012469E-4</v>
      </c>
      <c r="H17" s="46">
        <f t="shared" si="3"/>
        <v>9.5640373259783718E-7</v>
      </c>
      <c r="I17" s="46">
        <f t="shared" si="3"/>
        <v>4.6368105462247789E-4</v>
      </c>
      <c r="J17" s="46">
        <f t="shared" si="3"/>
        <v>4.530847863541681E-5</v>
      </c>
      <c r="K17" s="46">
        <f t="shared" si="3"/>
        <v>7.2983953104872453E-7</v>
      </c>
      <c r="L17" s="46">
        <f t="shared" si="3"/>
        <v>0</v>
      </c>
      <c r="M17" s="46">
        <f t="shared" si="3"/>
        <v>8.7241998829012984E-8</v>
      </c>
      <c r="N17" s="46">
        <f t="shared" si="3"/>
        <v>1.2705491524309803E-6</v>
      </c>
      <c r="O17" s="46">
        <f t="shared" si="3"/>
        <v>0</v>
      </c>
      <c r="P17" s="46">
        <f>SUMPRODUCT(P6:P16,R6:R16)</f>
        <v>1.0406653362229703E-6</v>
      </c>
      <c r="Q17" s="46">
        <f>SUMPRODUCT(Q6:Q16,$R$6:$R$16)</f>
        <v>4.5052048988384475E-7</v>
      </c>
      <c r="R17" s="149"/>
    </row>
    <row r="18" spans="1:18" x14ac:dyDescent="0.3">
      <c r="A18" s="21" t="s">
        <v>381</v>
      </c>
      <c r="B18" s="16" t="s">
        <v>169</v>
      </c>
      <c r="C18" s="16" t="s">
        <v>382</v>
      </c>
      <c r="D18" s="22" t="s">
        <v>33</v>
      </c>
      <c r="E18" s="22" t="s">
        <v>85</v>
      </c>
      <c r="F18" s="278">
        <f>SUM(G18:Q18)</f>
        <v>6.9154900000000007E-4</v>
      </c>
      <c r="G18" s="279">
        <v>1.8000000000000001E-4</v>
      </c>
      <c r="H18" s="280">
        <v>9.9999999999999995E-7</v>
      </c>
      <c r="I18" s="283">
        <v>4.6200000000000001E-4</v>
      </c>
      <c r="J18" s="283">
        <v>4.6199999999999998E-5</v>
      </c>
      <c r="K18" s="283">
        <v>7.6899999999999996E-7</v>
      </c>
      <c r="L18" s="283"/>
      <c r="M18" s="283">
        <v>0</v>
      </c>
      <c r="N18" s="283">
        <v>1.5799999999999999E-6</v>
      </c>
      <c r="O18" s="283"/>
      <c r="P18" s="283"/>
      <c r="Q18" s="282"/>
      <c r="R18" s="148">
        <f>'Parameters, country spec'!C13</f>
        <v>0.14354403090911608</v>
      </c>
    </row>
    <row r="19" spans="1:18" x14ac:dyDescent="0.3">
      <c r="A19" s="21" t="s">
        <v>383</v>
      </c>
      <c r="B19" s="16" t="s">
        <v>171</v>
      </c>
      <c r="C19" s="16" t="s">
        <v>382</v>
      </c>
      <c r="D19" s="22" t="s">
        <v>33</v>
      </c>
      <c r="E19" s="22" t="s">
        <v>85</v>
      </c>
      <c r="F19" s="162">
        <f t="shared" ref="F19:F28" si="4">SUM(G19:Q19)</f>
        <v>6.5716690000000003E-4</v>
      </c>
      <c r="G19" s="97">
        <v>1.7000000000000001E-4</v>
      </c>
      <c r="H19" s="98">
        <v>9.9999999999999995E-7</v>
      </c>
      <c r="I19" s="99">
        <v>4.4000000000000002E-4</v>
      </c>
      <c r="J19" s="99">
        <v>4.3999999999999999E-5</v>
      </c>
      <c r="K19" s="99">
        <v>5.2200000000000004E-7</v>
      </c>
      <c r="L19" s="99"/>
      <c r="M19" s="99">
        <v>6.4900000000000005E-8</v>
      </c>
      <c r="N19" s="99">
        <v>1.5799999999999999E-6</v>
      </c>
      <c r="O19" s="99"/>
      <c r="P19" s="99"/>
      <c r="Q19" s="13"/>
      <c r="R19" s="148">
        <f>'Parameters, country spec'!C14</f>
        <v>0.2137111814189753</v>
      </c>
    </row>
    <row r="20" spans="1:18" x14ac:dyDescent="0.3">
      <c r="A20" s="21" t="s">
        <v>384</v>
      </c>
      <c r="B20" s="16" t="s">
        <v>172</v>
      </c>
      <c r="C20" s="16" t="s">
        <v>382</v>
      </c>
      <c r="D20" s="22" t="s">
        <v>33</v>
      </c>
      <c r="E20" s="22" t="s">
        <v>85</v>
      </c>
      <c r="F20" s="162">
        <f t="shared" si="4"/>
        <v>6.6303239999999995E-4</v>
      </c>
      <c r="G20" s="97">
        <v>1.4999999999999999E-4</v>
      </c>
      <c r="H20" s="98">
        <v>9.9999999999999995E-7</v>
      </c>
      <c r="I20" s="99">
        <v>4.6299999999999998E-4</v>
      </c>
      <c r="J20" s="99">
        <v>4.6300000000000001E-5</v>
      </c>
      <c r="K20" s="99">
        <v>1.1400000000000001E-6</v>
      </c>
      <c r="L20" s="99"/>
      <c r="M20" s="99">
        <v>1.24E-8</v>
      </c>
      <c r="N20" s="99">
        <v>1.5799999999999999E-6</v>
      </c>
      <c r="O20" s="99"/>
      <c r="P20" s="99"/>
      <c r="Q20" s="13"/>
      <c r="R20" s="148">
        <f>'Parameters, country spec'!C15</f>
        <v>2.8572983193664684E-5</v>
      </c>
    </row>
    <row r="21" spans="1:18" x14ac:dyDescent="0.3">
      <c r="A21" s="21" t="s">
        <v>385</v>
      </c>
      <c r="B21" s="16" t="s">
        <v>173</v>
      </c>
      <c r="C21" s="16" t="s">
        <v>382</v>
      </c>
      <c r="D21" s="22" t="s">
        <v>33</v>
      </c>
      <c r="E21" s="22" t="s">
        <v>85</v>
      </c>
      <c r="F21" s="162">
        <f t="shared" si="4"/>
        <v>6.0995899999999998E-4</v>
      </c>
      <c r="G21" s="97">
        <v>1.3999999999999999E-4</v>
      </c>
      <c r="H21" s="98">
        <v>9.9999999999999995E-7</v>
      </c>
      <c r="I21" s="99">
        <v>4.2400000000000001E-4</v>
      </c>
      <c r="J21" s="99">
        <v>4.2400000000000001E-5</v>
      </c>
      <c r="K21" s="99">
        <v>9.7900000000000007E-7</v>
      </c>
      <c r="L21" s="99"/>
      <c r="M21" s="99">
        <v>0</v>
      </c>
      <c r="N21" s="99">
        <v>1.5799999999999999E-6</v>
      </c>
      <c r="O21" s="99"/>
      <c r="P21" s="99"/>
      <c r="Q21" s="13"/>
      <c r="R21" s="148">
        <f>'Parameters, country spec'!C16</f>
        <v>2.3447737151434674E-2</v>
      </c>
    </row>
    <row r="22" spans="1:18" x14ac:dyDescent="0.3">
      <c r="A22" s="21" t="s">
        <v>386</v>
      </c>
      <c r="B22" s="16" t="s">
        <v>174</v>
      </c>
      <c r="C22" s="16" t="s">
        <v>382</v>
      </c>
      <c r="D22" s="22" t="s">
        <v>33</v>
      </c>
      <c r="E22" s="22" t="s">
        <v>85</v>
      </c>
      <c r="F22" s="162">
        <f t="shared" si="4"/>
        <v>7.9177509000000017E-4</v>
      </c>
      <c r="G22" s="97">
        <v>2.0000000000000001E-4</v>
      </c>
      <c r="H22" s="98">
        <v>9.9999999999999995E-7</v>
      </c>
      <c r="I22" s="99">
        <v>5.3499999999999999E-4</v>
      </c>
      <c r="J22" s="99">
        <v>5.3499999999999999E-5</v>
      </c>
      <c r="K22" s="99">
        <v>6.92E-7</v>
      </c>
      <c r="L22" s="99"/>
      <c r="M22" s="99">
        <v>3.0899999999999999E-9</v>
      </c>
      <c r="N22" s="99">
        <v>1.5799999999999999E-6</v>
      </c>
      <c r="O22" s="99"/>
      <c r="P22" s="99"/>
      <c r="Q22" s="13"/>
      <c r="R22" s="148">
        <f>'Parameters, country spec'!C17</f>
        <v>0.47946147932032235</v>
      </c>
    </row>
    <row r="23" spans="1:18" x14ac:dyDescent="0.3">
      <c r="A23" s="21" t="s">
        <v>387</v>
      </c>
      <c r="B23" s="16" t="s">
        <v>175</v>
      </c>
      <c r="C23" s="16" t="s">
        <v>388</v>
      </c>
      <c r="D23" s="22" t="s">
        <v>33</v>
      </c>
      <c r="E23" s="22" t="s">
        <v>85</v>
      </c>
      <c r="F23" s="162">
        <f t="shared" si="4"/>
        <v>3.4280618000000006E-4</v>
      </c>
      <c r="G23" s="97">
        <v>0</v>
      </c>
      <c r="H23" s="98">
        <v>9.9999999999999995E-7</v>
      </c>
      <c r="I23" s="99">
        <v>3.0800000000000001E-4</v>
      </c>
      <c r="J23" s="99">
        <v>3.0800000000000003E-5</v>
      </c>
      <c r="K23" s="99">
        <v>1.42E-6</v>
      </c>
      <c r="L23" s="99"/>
      <c r="M23" s="99">
        <v>6.1799999999999998E-9</v>
      </c>
      <c r="N23" s="99">
        <v>1.5799999999999999E-6</v>
      </c>
      <c r="O23" s="99"/>
      <c r="P23" s="99"/>
      <c r="Q23" s="13"/>
      <c r="R23" s="148">
        <f>'Parameters, country spec'!C18</f>
        <v>6.205919903371391E-4</v>
      </c>
    </row>
    <row r="24" spans="1:18" x14ac:dyDescent="0.3">
      <c r="A24" s="21" t="s">
        <v>389</v>
      </c>
      <c r="B24" s="16" t="s">
        <v>176</v>
      </c>
      <c r="C24" s="16" t="s">
        <v>388</v>
      </c>
      <c r="D24" s="22" t="s">
        <v>33</v>
      </c>
      <c r="E24" s="22" t="s">
        <v>85</v>
      </c>
      <c r="F24" s="162">
        <f t="shared" si="4"/>
        <v>3.6247300000000004E-4</v>
      </c>
      <c r="G24" s="97">
        <v>8.6000000000000007E-6</v>
      </c>
      <c r="H24" s="98">
        <v>9.9999999999999995E-7</v>
      </c>
      <c r="I24" s="99">
        <v>3.1799999999999998E-4</v>
      </c>
      <c r="J24" s="99">
        <v>3.18E-5</v>
      </c>
      <c r="K24" s="99">
        <v>1.24E-6</v>
      </c>
      <c r="L24" s="99"/>
      <c r="M24" s="99">
        <v>2.53E-7</v>
      </c>
      <c r="N24" s="99">
        <v>1.5799999999999999E-6</v>
      </c>
      <c r="O24" s="99"/>
      <c r="P24" s="99"/>
      <c r="Q24" s="13"/>
      <c r="R24" s="148">
        <f>'Parameters, country spec'!C19</f>
        <v>6.0962584419075097E-4</v>
      </c>
    </row>
    <row r="25" spans="1:18" x14ac:dyDescent="0.3">
      <c r="B25" s="17" t="s">
        <v>178</v>
      </c>
      <c r="C25" s="16" t="s">
        <v>390</v>
      </c>
      <c r="D25" s="22" t="s">
        <v>466</v>
      </c>
      <c r="E25" s="22"/>
      <c r="F25" s="123">
        <f>SUM(G25:P25)</f>
        <v>6.713768539130542E-4</v>
      </c>
      <c r="G25" s="33">
        <f>'Off-farm feed'!$F$77</f>
        <v>1.946970439026595E-4</v>
      </c>
      <c r="H25" s="33">
        <f>'Off-farm feed'!$G$77</f>
        <v>5.3103448275862083E-7</v>
      </c>
      <c r="I25" s="33">
        <f>'Off-farm feed'!$H$77</f>
        <v>4.2751561806777074E-4</v>
      </c>
      <c r="J25" s="33">
        <f>'Off-farm feed'!$I$77</f>
        <v>4.2751561806777089E-5</v>
      </c>
      <c r="K25" s="33">
        <f>'Off-farm feed'!$J$77</f>
        <v>6.6339607025480414E-7</v>
      </c>
      <c r="L25" s="33"/>
      <c r="M25" s="33">
        <f>'Off-farm feed'!$L$77</f>
        <v>7.9511067188965511E-9</v>
      </c>
      <c r="N25" s="33">
        <f>'Off-farm feed'!$M$77</f>
        <v>1.2789681892721844E-6</v>
      </c>
      <c r="O25" s="33"/>
      <c r="P25" s="33">
        <f>'Off-farm feed'!$O$77</f>
        <v>3.9312802868423834E-6</v>
      </c>
      <c r="Q25" s="33">
        <f>'Off-farm feed'!$P$77</f>
        <v>1.8277027027027027E-6</v>
      </c>
      <c r="R25" s="148">
        <f>'Parameters, country spec'!C20</f>
        <v>6.2756108199759894E-2</v>
      </c>
    </row>
    <row r="26" spans="1:18" x14ac:dyDescent="0.3">
      <c r="B26" s="17" t="s">
        <v>391</v>
      </c>
      <c r="C26" s="16" t="s">
        <v>390</v>
      </c>
      <c r="D26" s="22" t="s">
        <v>442</v>
      </c>
      <c r="E26" s="22"/>
      <c r="F26" s="123">
        <f>SUM(G26:P26)</f>
        <v>1.7957562860818722E-4</v>
      </c>
      <c r="G26" s="33">
        <f>'Off-farm feed'!$F$26</f>
        <v>1.6332109719061441E-5</v>
      </c>
      <c r="H26" s="33">
        <f>'Off-farm feed'!$G$26</f>
        <v>8.7195121951219526E-7</v>
      </c>
      <c r="I26" s="33">
        <f>'Off-farm feed'!$H$26</f>
        <v>1.3333449845358202E-4</v>
      </c>
      <c r="J26" s="33">
        <f>'Off-farm feed'!$I$26</f>
        <v>1.3333449845358203E-5</v>
      </c>
      <c r="K26" s="33">
        <f>'Off-farm feed'!$J$26</f>
        <v>1.1576736579983931E-6</v>
      </c>
      <c r="L26" s="33"/>
      <c r="M26" s="33">
        <f>'Off-farm feed'!$L$26</f>
        <v>7.3437786087804866E-9</v>
      </c>
      <c r="N26" s="33">
        <f>'Off-farm feed'!$M$26</f>
        <v>1.1195281639512197E-6</v>
      </c>
      <c r="O26" s="33"/>
      <c r="P26" s="33">
        <f>'Off-farm feed'!$O$26</f>
        <v>1.3419073770114991E-5</v>
      </c>
      <c r="Q26" s="33">
        <f>'Off-farm feed'!$P$26</f>
        <v>9.087837837837838E-6</v>
      </c>
      <c r="R26" s="148">
        <f>'Parameters, country spec'!C21</f>
        <v>6.029992977299907E-2</v>
      </c>
    </row>
    <row r="27" spans="1:18" x14ac:dyDescent="0.3">
      <c r="B27" s="16" t="s">
        <v>182</v>
      </c>
      <c r="C27" s="16" t="s">
        <v>392</v>
      </c>
      <c r="D27" s="22" t="s">
        <v>33</v>
      </c>
      <c r="E27" s="22" t="s">
        <v>85</v>
      </c>
      <c r="F27" s="162">
        <f t="shared" ref="F27" si="5">SUM(G27:Q27)</f>
        <v>4.1534401534079949E-4</v>
      </c>
      <c r="G27" s="99">
        <v>1.0007435690198499E-4</v>
      </c>
      <c r="H27" s="99">
        <v>5.5044E-7</v>
      </c>
      <c r="I27" s="99">
        <v>2.8937314609885501E-4</v>
      </c>
      <c r="K27" s="99">
        <v>1.1474806386195299E-6</v>
      </c>
      <c r="N27" s="13"/>
      <c r="O27" s="13"/>
      <c r="P27" s="99">
        <v>2.3492890101997999E-5</v>
      </c>
      <c r="Q27" s="99">
        <v>7.0570159934197997E-7</v>
      </c>
      <c r="R27" s="148">
        <f>'Parameters, country spec'!C22</f>
        <v>1.202935742430772E-2</v>
      </c>
    </row>
    <row r="28" spans="1:18" x14ac:dyDescent="0.3">
      <c r="A28" s="81"/>
      <c r="B28" s="16" t="s">
        <v>393</v>
      </c>
      <c r="C28" s="82" t="s">
        <v>394</v>
      </c>
      <c r="D28" s="22" t="s">
        <v>33</v>
      </c>
      <c r="E28" s="22" t="s">
        <v>85</v>
      </c>
      <c r="F28" s="163">
        <f t="shared" si="4"/>
        <v>5.5026263316269831E-4</v>
      </c>
      <c r="G28" s="80">
        <f t="shared" ref="G28:N28" si="6">AVERAGE(G18:G26)</f>
        <v>1.1773657262463566E-4</v>
      </c>
      <c r="H28" s="80">
        <f t="shared" si="6"/>
        <v>9.3366507803009054E-7</v>
      </c>
      <c r="I28" s="80">
        <f t="shared" si="6"/>
        <v>3.9009445739126143E-4</v>
      </c>
      <c r="J28" s="80">
        <f t="shared" si="6"/>
        <v>3.9009445739126143E-5</v>
      </c>
      <c r="K28" s="80">
        <f t="shared" si="6"/>
        <v>9.5367441425035542E-7</v>
      </c>
      <c r="L28" s="80"/>
      <c r="M28" s="80">
        <f t="shared" si="6"/>
        <v>3.9429431703075228E-8</v>
      </c>
      <c r="N28" s="80">
        <f t="shared" si="6"/>
        <v>1.4953884836914891E-6</v>
      </c>
      <c r="O28" s="80"/>
      <c r="P28" s="80"/>
      <c r="Q28" s="80"/>
      <c r="R28" s="148">
        <f>'Parameters, country spec'!C23</f>
        <v>3.491384985363475E-3</v>
      </c>
    </row>
    <row r="29" spans="1:18" x14ac:dyDescent="0.3">
      <c r="A29" s="147"/>
      <c r="B29" s="24" t="s">
        <v>395</v>
      </c>
      <c r="C29" s="25"/>
      <c r="D29" s="100"/>
      <c r="E29" s="100"/>
      <c r="F29" s="46">
        <f t="shared" ref="F29:O29" si="7">SUMPRODUCT(F18:F28,$R$18:$R$28)</f>
        <v>6.9397101694794721E-4</v>
      </c>
      <c r="G29" s="46">
        <f t="shared" si="7"/>
        <v>1.7617148193237563E-4</v>
      </c>
      <c r="H29" s="46">
        <f t="shared" si="7"/>
        <v>9.572086981128679E-7</v>
      </c>
      <c r="I29" s="46">
        <f t="shared" si="7"/>
        <v>4.6691444694808284E-4</v>
      </c>
      <c r="J29" s="46">
        <f t="shared" si="7"/>
        <v>4.6343347394466329E-5</v>
      </c>
      <c r="K29" s="46">
        <f t="shared" si="7"/>
        <v>7.069279198164754E-7</v>
      </c>
      <c r="L29" s="46">
        <f t="shared" si="7"/>
        <v>0</v>
      </c>
      <c r="M29" s="46">
        <f t="shared" si="7"/>
        <v>1.6589289721029798E-8</v>
      </c>
      <c r="N29" s="46">
        <f t="shared" si="7"/>
        <v>1.5140401996301756E-6</v>
      </c>
      <c r="O29" s="46">
        <f t="shared" si="7"/>
        <v>0</v>
      </c>
      <c r="P29" s="46">
        <f>SUMPRODUCT(P18:P28,R18:R28)</f>
        <v>1.3384854289682064E-6</v>
      </c>
      <c r="Q29" s="46">
        <f>SUMPRODUCT(Q18:Q28,$R$18:$R$28)</f>
        <v>6.7118462875122003E-7</v>
      </c>
      <c r="R29" s="149"/>
    </row>
    <row r="30" spans="1:18" x14ac:dyDescent="0.3">
      <c r="A30" s="21" t="s">
        <v>381</v>
      </c>
      <c r="B30" s="16" t="s">
        <v>169</v>
      </c>
      <c r="C30" s="16" t="s">
        <v>382</v>
      </c>
      <c r="D30" s="22" t="s">
        <v>31</v>
      </c>
      <c r="E30" s="22" t="s">
        <v>86</v>
      </c>
      <c r="F30" s="278">
        <f>SUM(G30:Q30)</f>
        <v>5.3860780000000003E-4</v>
      </c>
      <c r="G30" s="279">
        <v>1.8000000000000001E-4</v>
      </c>
      <c r="H30" s="280">
        <v>9.9999999999999995E-7</v>
      </c>
      <c r="I30" s="283">
        <v>3.2200000000000002E-4</v>
      </c>
      <c r="J30" s="283">
        <v>3.2199999999999997E-5</v>
      </c>
      <c r="K30" s="283">
        <v>1.77E-6</v>
      </c>
      <c r="L30" s="283"/>
      <c r="M30" s="283">
        <v>2.7800000000000001E-8</v>
      </c>
      <c r="N30" s="283">
        <v>1.61E-6</v>
      </c>
      <c r="O30" s="283"/>
      <c r="P30" s="283"/>
      <c r="Q30" s="282"/>
      <c r="R30" s="148">
        <f>'Parameters, country spec'!D13</f>
        <v>0.17624165446480369</v>
      </c>
    </row>
    <row r="31" spans="1:18" x14ac:dyDescent="0.3">
      <c r="A31" s="21" t="s">
        <v>383</v>
      </c>
      <c r="B31" s="16" t="s">
        <v>171</v>
      </c>
      <c r="C31" s="16" t="s">
        <v>382</v>
      </c>
      <c r="D31" s="22" t="s">
        <v>31</v>
      </c>
      <c r="E31" s="22" t="s">
        <v>86</v>
      </c>
      <c r="F31" s="162">
        <f t="shared" ref="F31:F40" si="8">SUM(G31:Q31)</f>
        <v>4.1570499999999999E-4</v>
      </c>
      <c r="G31" s="97">
        <v>1.7000000000000001E-4</v>
      </c>
      <c r="H31" s="98">
        <v>9.9999999999999995E-7</v>
      </c>
      <c r="I31" s="99">
        <v>2.2000000000000001E-4</v>
      </c>
      <c r="J31" s="99">
        <v>2.1999999999999999E-5</v>
      </c>
      <c r="K31" s="99">
        <v>4.5900000000000002E-7</v>
      </c>
      <c r="L31" s="99"/>
      <c r="M31" s="99">
        <v>6.3600000000000003E-7</v>
      </c>
      <c r="N31" s="99">
        <v>1.61E-6</v>
      </c>
      <c r="O31" s="99"/>
      <c r="P31" s="99"/>
      <c r="Q31" s="13"/>
      <c r="R31" s="148">
        <f>'Parameters, country spec'!D14</f>
        <v>0.52712316765456624</v>
      </c>
    </row>
    <row r="32" spans="1:18" x14ac:dyDescent="0.3">
      <c r="A32" s="21" t="s">
        <v>384</v>
      </c>
      <c r="B32" s="16" t="s">
        <v>172</v>
      </c>
      <c r="C32" s="16" t="s">
        <v>382</v>
      </c>
      <c r="D32" s="22" t="s">
        <v>31</v>
      </c>
      <c r="E32" s="22" t="s">
        <v>86</v>
      </c>
      <c r="F32" s="162">
        <f t="shared" si="8"/>
        <v>4.1096199999999996E-4</v>
      </c>
      <c r="G32" s="97">
        <v>1.4999999999999999E-4</v>
      </c>
      <c r="H32" s="98">
        <v>9.9999999999999995E-7</v>
      </c>
      <c r="I32" s="99">
        <v>2.31E-4</v>
      </c>
      <c r="J32" s="99">
        <v>2.3099999999999999E-5</v>
      </c>
      <c r="K32" s="99">
        <v>3.7299999999999999E-6</v>
      </c>
      <c r="L32" s="99"/>
      <c r="M32" s="99">
        <v>5.2200000000000004E-7</v>
      </c>
      <c r="N32" s="99">
        <v>1.61E-6</v>
      </c>
      <c r="O32" s="99"/>
      <c r="P32" s="99"/>
      <c r="Q32" s="13"/>
      <c r="R32" s="148">
        <f>'Parameters, country spec'!D15</f>
        <v>4.7896893432639032E-2</v>
      </c>
    </row>
    <row r="33" spans="1:18" x14ac:dyDescent="0.3">
      <c r="A33" s="21" t="s">
        <v>385</v>
      </c>
      <c r="B33" s="16" t="s">
        <v>173</v>
      </c>
      <c r="C33" s="16" t="s">
        <v>382</v>
      </c>
      <c r="D33" s="22" t="s">
        <v>31</v>
      </c>
      <c r="E33" s="22" t="s">
        <v>86</v>
      </c>
      <c r="F33" s="162">
        <f t="shared" si="8"/>
        <v>3.7824308999999997E-4</v>
      </c>
      <c r="G33" s="97">
        <v>1.3999999999999999E-4</v>
      </c>
      <c r="H33" s="98">
        <v>9.9999999999999995E-7</v>
      </c>
      <c r="I33" s="99">
        <v>2.12E-4</v>
      </c>
      <c r="J33" s="99">
        <v>2.12E-5</v>
      </c>
      <c r="K33" s="99">
        <v>2.43E-6</v>
      </c>
      <c r="L33" s="99"/>
      <c r="M33" s="99">
        <v>3.0899999999999999E-9</v>
      </c>
      <c r="N33" s="99">
        <v>1.61E-6</v>
      </c>
      <c r="O33" s="99"/>
      <c r="P33" s="99"/>
      <c r="Q33" s="13"/>
      <c r="R33" s="148">
        <f>'Parameters, country spec'!D16</f>
        <v>1.056436574017274E-2</v>
      </c>
    </row>
    <row r="34" spans="1:18" x14ac:dyDescent="0.3">
      <c r="A34" s="21" t="s">
        <v>386</v>
      </c>
      <c r="B34" s="16" t="s">
        <v>174</v>
      </c>
      <c r="C34" s="16" t="s">
        <v>382</v>
      </c>
      <c r="D34" s="22" t="s">
        <v>31</v>
      </c>
      <c r="E34" s="22" t="s">
        <v>86</v>
      </c>
      <c r="F34" s="162">
        <f t="shared" si="8"/>
        <v>4.992703E-4</v>
      </c>
      <c r="G34" s="97">
        <v>2.0000000000000001E-4</v>
      </c>
      <c r="H34" s="98">
        <v>9.9999999999999995E-7</v>
      </c>
      <c r="I34" s="99">
        <v>2.6800000000000001E-4</v>
      </c>
      <c r="J34" s="99">
        <v>2.6800000000000001E-5</v>
      </c>
      <c r="K34" s="99">
        <v>1.7799999999999999E-6</v>
      </c>
      <c r="L34" s="99"/>
      <c r="M34" s="99">
        <v>8.0299999999999998E-8</v>
      </c>
      <c r="N34" s="99">
        <v>1.61E-6</v>
      </c>
      <c r="O34" s="99"/>
      <c r="P34" s="99"/>
      <c r="Q34" s="13"/>
      <c r="R34" s="148">
        <f>'Parameters, country spec'!D17</f>
        <v>7.5759890638728566E-3</v>
      </c>
    </row>
    <row r="35" spans="1:18" x14ac:dyDescent="0.3">
      <c r="A35" s="21" t="s">
        <v>387</v>
      </c>
      <c r="B35" s="16" t="s">
        <v>175</v>
      </c>
      <c r="C35" s="16" t="s">
        <v>388</v>
      </c>
      <c r="D35" s="22" t="s">
        <v>31</v>
      </c>
      <c r="E35" s="22" t="s">
        <v>86</v>
      </c>
      <c r="F35" s="162">
        <f t="shared" si="8"/>
        <v>1.7493699999999998E-4</v>
      </c>
      <c r="G35" s="97">
        <v>0</v>
      </c>
      <c r="H35" s="98">
        <v>9.9999999999999995E-7</v>
      </c>
      <c r="I35" s="99">
        <v>1.54E-4</v>
      </c>
      <c r="J35" s="99">
        <v>1.5400000000000002E-5</v>
      </c>
      <c r="K35" s="99">
        <v>2.7999999999999999E-6</v>
      </c>
      <c r="L35" s="99"/>
      <c r="M35" s="99">
        <v>1.2700000000000001E-7</v>
      </c>
      <c r="N35" s="99">
        <v>1.61E-6</v>
      </c>
      <c r="O35" s="99"/>
      <c r="P35" s="99"/>
      <c r="Q35" s="13"/>
      <c r="R35" s="148">
        <f>'Parameters, country spec'!D18</f>
        <v>5.2541698729789991E-4</v>
      </c>
    </row>
    <row r="36" spans="1:18" x14ac:dyDescent="0.3">
      <c r="A36" s="21" t="s">
        <v>389</v>
      </c>
      <c r="B36" s="16" t="s">
        <v>176</v>
      </c>
      <c r="C36" s="16" t="s">
        <v>388</v>
      </c>
      <c r="D36" s="22" t="s">
        <v>31</v>
      </c>
      <c r="E36" s="22" t="s">
        <v>86</v>
      </c>
      <c r="F36" s="162">
        <f t="shared" si="8"/>
        <v>1.8877999999999999E-4</v>
      </c>
      <c r="G36" s="97">
        <v>8.6000000000000007E-6</v>
      </c>
      <c r="H36" s="98">
        <v>9.9999999999999995E-7</v>
      </c>
      <c r="I36" s="99">
        <v>1.5899999999999999E-4</v>
      </c>
      <c r="J36" s="99">
        <v>1.59E-5</v>
      </c>
      <c r="K36" s="99">
        <v>1.7400000000000001E-6</v>
      </c>
      <c r="L36" s="99"/>
      <c r="M36" s="99">
        <v>9.2999999999999999E-7</v>
      </c>
      <c r="N36" s="99">
        <v>1.61E-6</v>
      </c>
      <c r="O36" s="99"/>
      <c r="P36" s="99"/>
      <c r="Q36" s="13"/>
      <c r="R36" s="148">
        <f>'Parameters, country spec'!D19</f>
        <v>5.1613262720405463E-4</v>
      </c>
    </row>
    <row r="37" spans="1:18" x14ac:dyDescent="0.3">
      <c r="B37" s="17" t="s">
        <v>178</v>
      </c>
      <c r="C37" s="16" t="s">
        <v>390</v>
      </c>
      <c r="D37" s="22" t="s">
        <v>466</v>
      </c>
      <c r="E37" s="22"/>
      <c r="F37" s="123">
        <f>SUM(G37:P37)</f>
        <v>6.713768539130542E-4</v>
      </c>
      <c r="G37" s="33">
        <f>'Off-farm feed'!$F$77</f>
        <v>1.946970439026595E-4</v>
      </c>
      <c r="H37" s="33">
        <f>'Off-farm feed'!$G$77</f>
        <v>5.3103448275862083E-7</v>
      </c>
      <c r="I37" s="33">
        <f>'Off-farm feed'!$H$77</f>
        <v>4.2751561806777074E-4</v>
      </c>
      <c r="J37" s="33">
        <f>'Off-farm feed'!$I$77</f>
        <v>4.2751561806777089E-5</v>
      </c>
      <c r="K37" s="33">
        <f>'Off-farm feed'!$J$77</f>
        <v>6.6339607025480414E-7</v>
      </c>
      <c r="L37" s="33"/>
      <c r="M37" s="33">
        <f>'Off-farm feed'!$L$77</f>
        <v>7.9511067188965511E-9</v>
      </c>
      <c r="N37" s="33">
        <f>'Off-farm feed'!$M$77</f>
        <v>1.2789681892721844E-6</v>
      </c>
      <c r="O37" s="33"/>
      <c r="P37" s="33">
        <f>'Off-farm feed'!$O$77</f>
        <v>3.9312802868423834E-6</v>
      </c>
      <c r="Q37" s="33">
        <f>'Off-farm feed'!$P$77</f>
        <v>1.8277027027027027E-6</v>
      </c>
      <c r="R37" s="148">
        <f>'Parameters, country spec'!D20</f>
        <v>5.7339277577128883E-4</v>
      </c>
    </row>
    <row r="38" spans="1:18" x14ac:dyDescent="0.3">
      <c r="B38" s="17" t="s">
        <v>391</v>
      </c>
      <c r="C38" s="16" t="s">
        <v>390</v>
      </c>
      <c r="D38" s="22" t="s">
        <v>442</v>
      </c>
      <c r="E38" s="22"/>
      <c r="F38" s="123">
        <f>SUM(G38:P38)</f>
        <v>1.7957562860818722E-4</v>
      </c>
      <c r="G38" s="33">
        <f>'Off-farm feed'!$F$26</f>
        <v>1.6332109719061441E-5</v>
      </c>
      <c r="H38" s="33">
        <f>'Off-farm feed'!$G$26</f>
        <v>8.7195121951219526E-7</v>
      </c>
      <c r="I38" s="33">
        <f>'Off-farm feed'!$H$26</f>
        <v>1.3333449845358202E-4</v>
      </c>
      <c r="J38" s="33">
        <f>'Off-farm feed'!$I$26</f>
        <v>1.3333449845358203E-5</v>
      </c>
      <c r="K38" s="33">
        <f>'Off-farm feed'!$J$26</f>
        <v>1.1576736579983931E-6</v>
      </c>
      <c r="L38" s="33"/>
      <c r="M38" s="33">
        <f>'Off-farm feed'!$L$26</f>
        <v>7.3437786087804866E-9</v>
      </c>
      <c r="N38" s="33">
        <f>'Off-farm feed'!$M$26</f>
        <v>1.1195281639512197E-6</v>
      </c>
      <c r="O38" s="33"/>
      <c r="P38" s="33">
        <f>'Off-farm feed'!$O$26</f>
        <v>1.3419073770114991E-5</v>
      </c>
      <c r="Q38" s="33">
        <f>'Off-farm feed'!$P$26</f>
        <v>9.087837837837838E-6</v>
      </c>
      <c r="R38" s="148">
        <f>'Parameters, country spec'!D21</f>
        <v>0.10103549928103911</v>
      </c>
    </row>
    <row r="39" spans="1:18" x14ac:dyDescent="0.3">
      <c r="B39" s="16" t="s">
        <v>182</v>
      </c>
      <c r="C39" s="16" t="s">
        <v>392</v>
      </c>
      <c r="D39" s="22" t="s">
        <v>31</v>
      </c>
      <c r="E39" s="22" t="s">
        <v>86</v>
      </c>
      <c r="F39" s="162">
        <f t="shared" ref="F39" si="9">SUM(G39:Q39)</f>
        <v>3.0269258054285058E-4</v>
      </c>
      <c r="G39" s="99">
        <v>1.0009381421542E-4</v>
      </c>
      <c r="H39" s="99">
        <v>5.5044E-7</v>
      </c>
      <c r="I39" s="99">
        <v>1.7345242549902899E-4</v>
      </c>
      <c r="K39" s="99">
        <v>1.53492112232045E-6</v>
      </c>
      <c r="N39" s="13"/>
      <c r="O39" s="13"/>
      <c r="P39" s="99">
        <v>2.4913162191712101E-5</v>
      </c>
      <c r="Q39" s="99">
        <v>2.14781751436908E-6</v>
      </c>
      <c r="R39" s="148">
        <f>'Parameters, country spec'!D22</f>
        <v>6.3687941219233005E-2</v>
      </c>
    </row>
    <row r="40" spans="1:18" x14ac:dyDescent="0.3">
      <c r="A40" s="81"/>
      <c r="B40" s="16" t="s">
        <v>393</v>
      </c>
      <c r="C40" s="82" t="s">
        <v>394</v>
      </c>
      <c r="D40" s="22" t="s">
        <v>31</v>
      </c>
      <c r="E40" s="22" t="s">
        <v>86</v>
      </c>
      <c r="F40" s="163">
        <f t="shared" si="8"/>
        <v>3.8223414649603163E-4</v>
      </c>
      <c r="G40" s="80">
        <f t="shared" ref="G40:N40" si="10">AVERAGE(G30:G38)</f>
        <v>1.1773657262463566E-4</v>
      </c>
      <c r="H40" s="80">
        <f t="shared" si="10"/>
        <v>9.3366507803009054E-7</v>
      </c>
      <c r="I40" s="80">
        <f t="shared" si="10"/>
        <v>2.3631667961348366E-4</v>
      </c>
      <c r="J40" s="80">
        <f t="shared" si="10"/>
        <v>2.3631667961348367E-5</v>
      </c>
      <c r="K40" s="80">
        <f t="shared" si="10"/>
        <v>1.8366744142503553E-6</v>
      </c>
      <c r="L40" s="80"/>
      <c r="M40" s="80">
        <f t="shared" si="10"/>
        <v>2.6016498725863077E-7</v>
      </c>
      <c r="N40" s="80">
        <f t="shared" si="10"/>
        <v>1.5187218170248227E-6</v>
      </c>
      <c r="O40" s="80"/>
      <c r="P40" s="80"/>
      <c r="Q40" s="80"/>
      <c r="R40" s="148">
        <f>'Parameters, country spec'!D23</f>
        <v>6.4259546753399996E-2</v>
      </c>
    </row>
    <row r="41" spans="1:18" x14ac:dyDescent="0.3">
      <c r="A41" s="147"/>
      <c r="B41" s="24" t="s">
        <v>395</v>
      </c>
      <c r="C41" s="25"/>
      <c r="D41" s="100"/>
      <c r="E41" s="100"/>
      <c r="F41" s="46">
        <f t="shared" ref="F41:O41" si="11">SUMPRODUCT(F30:F40,$R$30:$R$40)</f>
        <v>4.0407292058900098E-4</v>
      </c>
      <c r="G41" s="46">
        <f t="shared" si="11"/>
        <v>1.4721984656436375E-4</v>
      </c>
      <c r="H41" s="46">
        <f t="shared" si="11"/>
        <v>9.5389942321718709E-7</v>
      </c>
      <c r="I41" s="46">
        <f t="shared" si="11"/>
        <v>2.2816316450573535E-4</v>
      </c>
      <c r="J41" s="46">
        <f t="shared" si="11"/>
        <v>2.1711633662621983E-5</v>
      </c>
      <c r="K41" s="46">
        <f t="shared" si="11"/>
        <v>1.1072049366403066E-6</v>
      </c>
      <c r="L41" s="46">
        <f t="shared" si="11"/>
        <v>0</v>
      </c>
      <c r="M41" s="46">
        <f t="shared" si="11"/>
        <v>3.8380438371475922E-7</v>
      </c>
      <c r="N41" s="46">
        <f t="shared" si="11"/>
        <v>1.4518520418832775E-6</v>
      </c>
      <c r="O41" s="46">
        <f t="shared" si="11"/>
        <v>0</v>
      </c>
      <c r="P41" s="46">
        <f>SUMPRODUCT(P30:P40,R30:R40)</f>
        <v>2.9447249952196497E-6</v>
      </c>
      <c r="Q41" s="46">
        <f>SUMPRODUCT(Q30:Q40,$R$30:$R$40)</f>
        <v>1.0560323004618295E-6</v>
      </c>
      <c r="R41" s="149"/>
    </row>
    <row r="42" spans="1:18" x14ac:dyDescent="0.3">
      <c r="A42" s="21" t="s">
        <v>381</v>
      </c>
      <c r="B42" s="16" t="s">
        <v>169</v>
      </c>
      <c r="C42" s="16" t="s">
        <v>382</v>
      </c>
      <c r="D42" s="22" t="s">
        <v>35</v>
      </c>
      <c r="E42" s="22" t="s">
        <v>87</v>
      </c>
      <c r="F42" s="278">
        <f>SUM(G42:Q42)</f>
        <v>4.5179309000000005E-4</v>
      </c>
      <c r="G42" s="279">
        <v>1.8000000000000001E-4</v>
      </c>
      <c r="H42" s="280">
        <v>9.9999999999999995E-7</v>
      </c>
      <c r="I42" s="283">
        <v>2.4399999999999999E-4</v>
      </c>
      <c r="J42" s="283">
        <v>2.44E-5</v>
      </c>
      <c r="K42" s="283">
        <v>9.0999999999999997E-7</v>
      </c>
      <c r="L42" s="283"/>
      <c r="M42" s="283">
        <v>3.0899999999999999E-9</v>
      </c>
      <c r="N42" s="283">
        <v>1.48E-6</v>
      </c>
      <c r="O42" s="283"/>
      <c r="P42" s="283"/>
      <c r="Q42" s="282"/>
      <c r="R42" s="148">
        <f>'Parameters, country spec'!E13</f>
        <v>9.4621646910172968E-2</v>
      </c>
    </row>
    <row r="43" spans="1:18" x14ac:dyDescent="0.3">
      <c r="A43" s="21" t="s">
        <v>383</v>
      </c>
      <c r="B43" s="16" t="s">
        <v>171</v>
      </c>
      <c r="C43" s="16" t="s">
        <v>382</v>
      </c>
      <c r="D43" s="22" t="s">
        <v>35</v>
      </c>
      <c r="E43" s="22" t="s">
        <v>87</v>
      </c>
      <c r="F43" s="162">
        <f t="shared" ref="F43:F52" si="12">SUM(G43:Q43)</f>
        <v>4.1514018000000003E-4</v>
      </c>
      <c r="G43" s="97">
        <v>1.7000000000000001E-4</v>
      </c>
      <c r="H43" s="98">
        <v>9.9999999999999995E-7</v>
      </c>
      <c r="I43" s="99">
        <v>2.2000000000000001E-4</v>
      </c>
      <c r="J43" s="99">
        <v>2.1999999999999999E-5</v>
      </c>
      <c r="K43" s="99">
        <v>6.5400000000000001E-7</v>
      </c>
      <c r="L43" s="99"/>
      <c r="M43" s="99">
        <v>6.1799999999999998E-9</v>
      </c>
      <c r="N43" s="99">
        <v>1.48E-6</v>
      </c>
      <c r="O43" s="99"/>
      <c r="P43" s="99"/>
      <c r="Q43" s="13"/>
      <c r="R43" s="148">
        <f>'Parameters, country spec'!E14</f>
        <v>0.56124001601073992</v>
      </c>
    </row>
    <row r="44" spans="1:18" x14ac:dyDescent="0.3">
      <c r="A44" s="21" t="s">
        <v>384</v>
      </c>
      <c r="B44" s="16" t="s">
        <v>172</v>
      </c>
      <c r="C44" s="16" t="s">
        <v>382</v>
      </c>
      <c r="D44" s="22" t="s">
        <v>35</v>
      </c>
      <c r="E44" s="22" t="s">
        <v>87</v>
      </c>
      <c r="F44" s="162">
        <f t="shared" si="12"/>
        <v>4.0830779999999995E-4</v>
      </c>
      <c r="G44" s="97">
        <v>1.4999999999999999E-4</v>
      </c>
      <c r="H44" s="98">
        <v>9.9999999999999995E-7</v>
      </c>
      <c r="I44" s="99">
        <v>2.31E-4</v>
      </c>
      <c r="J44" s="99">
        <v>2.3099999999999999E-5</v>
      </c>
      <c r="K44" s="99">
        <v>1.7E-6</v>
      </c>
      <c r="L44" s="99"/>
      <c r="M44" s="99">
        <v>2.7800000000000001E-8</v>
      </c>
      <c r="N44" s="99">
        <v>1.48E-6</v>
      </c>
      <c r="O44" s="99"/>
      <c r="P44" s="99"/>
      <c r="Q44" s="13"/>
      <c r="R44" s="148">
        <f>'Parameters, country spec'!E15</f>
        <v>5.0680010317105902E-2</v>
      </c>
    </row>
    <row r="45" spans="1:18" x14ac:dyDescent="0.3">
      <c r="A45" s="21" t="s">
        <v>385</v>
      </c>
      <c r="B45" s="16" t="s">
        <v>173</v>
      </c>
      <c r="C45" s="16" t="s">
        <v>382</v>
      </c>
      <c r="D45" s="22" t="s">
        <v>35</v>
      </c>
      <c r="E45" s="22" t="s">
        <v>87</v>
      </c>
      <c r="F45" s="162">
        <f t="shared" si="12"/>
        <v>3.7715999999999997E-4</v>
      </c>
      <c r="G45" s="97">
        <v>1.3999999999999999E-4</v>
      </c>
      <c r="H45" s="98">
        <v>9.9999999999999995E-7</v>
      </c>
      <c r="I45" s="99">
        <v>2.12E-4</v>
      </c>
      <c r="J45" s="99">
        <v>2.12E-5</v>
      </c>
      <c r="K45" s="99">
        <v>1.48E-6</v>
      </c>
      <c r="L45" s="99"/>
      <c r="M45" s="99">
        <v>0</v>
      </c>
      <c r="N45" s="99">
        <v>1.48E-6</v>
      </c>
      <c r="O45" s="99"/>
      <c r="P45" s="99"/>
      <c r="Q45" s="13"/>
      <c r="R45" s="148">
        <f>'Parameters, country spec'!E16</f>
        <v>1.9697569305132029E-2</v>
      </c>
    </row>
    <row r="46" spans="1:18" x14ac:dyDescent="0.3">
      <c r="A46" s="21" t="s">
        <v>386</v>
      </c>
      <c r="B46" s="16" t="s">
        <v>174</v>
      </c>
      <c r="C46" s="16" t="s">
        <v>382</v>
      </c>
      <c r="D46" s="22" t="s">
        <v>35</v>
      </c>
      <c r="E46" s="22" t="s">
        <v>87</v>
      </c>
      <c r="F46" s="162">
        <f t="shared" si="12"/>
        <v>4.9822218000000003E-4</v>
      </c>
      <c r="G46" s="97">
        <v>2.0000000000000001E-4</v>
      </c>
      <c r="H46" s="98">
        <v>9.9999999999999995E-7</v>
      </c>
      <c r="I46" s="99">
        <v>2.6800000000000001E-4</v>
      </c>
      <c r="J46" s="99">
        <v>2.6800000000000001E-5</v>
      </c>
      <c r="K46" s="99">
        <v>9.3600000000000002E-7</v>
      </c>
      <c r="L46" s="99"/>
      <c r="M46" s="99">
        <v>6.1799999999999998E-9</v>
      </c>
      <c r="N46" s="99">
        <v>1.48E-6</v>
      </c>
      <c r="O46" s="99"/>
      <c r="P46" s="99"/>
      <c r="Q46" s="13"/>
      <c r="R46" s="148">
        <f>'Parameters, country spec'!E17</f>
        <v>8.8612672319940383E-2</v>
      </c>
    </row>
    <row r="47" spans="1:18" x14ac:dyDescent="0.3">
      <c r="A47" s="21" t="s">
        <v>387</v>
      </c>
      <c r="B47" s="16" t="s">
        <v>175</v>
      </c>
      <c r="C47" s="16" t="s">
        <v>388</v>
      </c>
      <c r="D47" s="22" t="s">
        <v>35</v>
      </c>
      <c r="E47" s="22" t="s">
        <v>87</v>
      </c>
      <c r="F47" s="162">
        <f t="shared" si="12"/>
        <v>1.7401899999999997E-4</v>
      </c>
      <c r="G47" s="97">
        <v>0</v>
      </c>
      <c r="H47" s="98">
        <v>9.9999999999999995E-7</v>
      </c>
      <c r="I47" s="99">
        <v>1.54E-4</v>
      </c>
      <c r="J47" s="99">
        <v>1.5400000000000002E-5</v>
      </c>
      <c r="K47" s="99">
        <v>1.9099999999999999E-6</v>
      </c>
      <c r="L47" s="99"/>
      <c r="M47" s="99">
        <v>2.29E-7</v>
      </c>
      <c r="N47" s="99">
        <v>1.48E-6</v>
      </c>
      <c r="O47" s="99"/>
      <c r="P47" s="99"/>
      <c r="Q47" s="13"/>
      <c r="R47" s="148">
        <f>'Parameters, country spec'!E18</f>
        <v>9.055122364146367E-4</v>
      </c>
    </row>
    <row r="48" spans="1:18" x14ac:dyDescent="0.3">
      <c r="A48" s="21" t="s">
        <v>389</v>
      </c>
      <c r="B48" s="16" t="s">
        <v>176</v>
      </c>
      <c r="C48" s="16" t="s">
        <v>388</v>
      </c>
      <c r="D48" s="22" t="s">
        <v>35</v>
      </c>
      <c r="E48" s="22" t="s">
        <v>87</v>
      </c>
      <c r="F48" s="162">
        <f t="shared" si="12"/>
        <v>1.8870699999999998E-4</v>
      </c>
      <c r="G48" s="97">
        <v>8.6000000000000007E-6</v>
      </c>
      <c r="H48" s="98">
        <v>9.9999999999999995E-7</v>
      </c>
      <c r="I48" s="99">
        <v>1.5899999999999999E-4</v>
      </c>
      <c r="J48" s="99">
        <v>1.59E-5</v>
      </c>
      <c r="K48" s="99">
        <v>2.39E-6</v>
      </c>
      <c r="L48" s="99"/>
      <c r="M48" s="99">
        <v>3.3700000000000001E-7</v>
      </c>
      <c r="N48" s="99">
        <v>1.48E-6</v>
      </c>
      <c r="O48" s="99"/>
      <c r="P48" s="99"/>
      <c r="Q48" s="13"/>
      <c r="R48" s="148">
        <f>'Parameters, country spec'!E19</f>
        <v>8.8951141806825748E-4</v>
      </c>
    </row>
    <row r="49" spans="1:18" x14ac:dyDescent="0.3">
      <c r="B49" s="17" t="s">
        <v>178</v>
      </c>
      <c r="C49" s="16" t="s">
        <v>390</v>
      </c>
      <c r="D49" s="22" t="s">
        <v>466</v>
      </c>
      <c r="E49" s="22"/>
      <c r="F49" s="123">
        <f>SUM(G49:P49)</f>
        <v>6.713768539130542E-4</v>
      </c>
      <c r="G49" s="33">
        <f>'Off-farm feed'!$F$77</f>
        <v>1.946970439026595E-4</v>
      </c>
      <c r="H49" s="33">
        <f>'Off-farm feed'!$G$77</f>
        <v>5.3103448275862083E-7</v>
      </c>
      <c r="I49" s="33">
        <f>'Off-farm feed'!$H$77</f>
        <v>4.2751561806777074E-4</v>
      </c>
      <c r="J49" s="33">
        <f>'Off-farm feed'!$I$77</f>
        <v>4.2751561806777089E-5</v>
      </c>
      <c r="K49" s="33">
        <f>'Off-farm feed'!$J$77</f>
        <v>6.6339607025480414E-7</v>
      </c>
      <c r="L49" s="33"/>
      <c r="M49" s="33">
        <f>'Off-farm feed'!$L$77</f>
        <v>7.9511067188965511E-9</v>
      </c>
      <c r="N49" s="33">
        <f>'Off-farm feed'!$M$77</f>
        <v>1.2789681892721844E-6</v>
      </c>
      <c r="O49" s="33"/>
      <c r="P49" s="33">
        <f>'Off-farm feed'!$O$77</f>
        <v>3.9312802868423834E-6</v>
      </c>
      <c r="Q49" s="33">
        <f>'Off-farm feed'!$P$77</f>
        <v>1.8277027027027027E-6</v>
      </c>
      <c r="R49" s="148">
        <f>'Parameters, country spec'!E20</f>
        <v>3.9081132627509534E-4</v>
      </c>
    </row>
    <row r="50" spans="1:18" x14ac:dyDescent="0.3">
      <c r="B50" s="17" t="s">
        <v>391</v>
      </c>
      <c r="C50" s="16" t="s">
        <v>390</v>
      </c>
      <c r="D50" s="22" t="s">
        <v>442</v>
      </c>
      <c r="E50" s="22"/>
      <c r="F50" s="123">
        <f>SUM(G50:P50)</f>
        <v>1.7957562860818722E-4</v>
      </c>
      <c r="G50" s="33">
        <f>'Off-farm feed'!$F$26</f>
        <v>1.6332109719061441E-5</v>
      </c>
      <c r="H50" s="33">
        <f>'Off-farm feed'!$G$26</f>
        <v>8.7195121951219526E-7</v>
      </c>
      <c r="I50" s="33">
        <f>'Off-farm feed'!$H$26</f>
        <v>1.3333449845358202E-4</v>
      </c>
      <c r="J50" s="33">
        <f>'Off-farm feed'!$I$26</f>
        <v>1.3333449845358203E-5</v>
      </c>
      <c r="K50" s="33">
        <f>'Off-farm feed'!$J$26</f>
        <v>1.1576736579983931E-6</v>
      </c>
      <c r="L50" s="33"/>
      <c r="M50" s="33">
        <f>'Off-farm feed'!$L$26</f>
        <v>7.3437786087804866E-9</v>
      </c>
      <c r="N50" s="33">
        <f>'Off-farm feed'!$M$26</f>
        <v>1.1195281639512197E-6</v>
      </c>
      <c r="O50" s="33"/>
      <c r="P50" s="33">
        <f>'Off-farm feed'!$O$26</f>
        <v>1.3419073770114991E-5</v>
      </c>
      <c r="Q50" s="33">
        <f>'Off-farm feed'!$P$26</f>
        <v>9.087837837837838E-6</v>
      </c>
      <c r="R50" s="148">
        <f>'Parameters, country spec'!E21</f>
        <v>7.4520089695706837E-2</v>
      </c>
    </row>
    <row r="51" spans="1:18" x14ac:dyDescent="0.3">
      <c r="B51" s="16" t="s">
        <v>182</v>
      </c>
      <c r="C51" s="16" t="s">
        <v>392</v>
      </c>
      <c r="D51" s="22" t="s">
        <v>35</v>
      </c>
      <c r="E51" s="22" t="s">
        <v>87</v>
      </c>
      <c r="F51" s="162">
        <f t="shared" ref="F51" si="13">SUM(G51:Q51)</f>
        <v>2.7233578633188921E-4</v>
      </c>
      <c r="G51" s="99">
        <v>1.00470578557397E-4</v>
      </c>
      <c r="H51" s="99">
        <v>5.5044E-7</v>
      </c>
      <c r="I51" s="99">
        <v>1.5251629312989701E-4</v>
      </c>
      <c r="K51" s="99">
        <v>1.2096981783282799E-6</v>
      </c>
      <c r="N51" s="13"/>
      <c r="O51" s="13"/>
      <c r="P51" s="99">
        <v>1.7376008471844101E-5</v>
      </c>
      <c r="Q51" s="99">
        <v>2.1276799442287201E-7</v>
      </c>
      <c r="R51" s="148">
        <f>'Parameters, country spec'!E22</f>
        <v>5.8765674595574857E-2</v>
      </c>
    </row>
    <row r="52" spans="1:18" x14ac:dyDescent="0.3">
      <c r="A52" s="81"/>
      <c r="B52" s="16" t="s">
        <v>393</v>
      </c>
      <c r="C52" s="82" t="s">
        <v>394</v>
      </c>
      <c r="D52" s="22" t="s">
        <v>35</v>
      </c>
      <c r="E52" s="22" t="s">
        <v>87</v>
      </c>
      <c r="F52" s="163">
        <f t="shared" si="12"/>
        <v>3.718834864960316E-4</v>
      </c>
      <c r="G52" s="80">
        <f t="shared" ref="G52:N52" si="14">AVERAGE(G42:G50)</f>
        <v>1.1773657262463566E-4</v>
      </c>
      <c r="H52" s="80">
        <f t="shared" si="14"/>
        <v>9.3366507803009054E-7</v>
      </c>
      <c r="I52" s="80">
        <f t="shared" si="14"/>
        <v>2.2765001294681699E-4</v>
      </c>
      <c r="J52" s="80">
        <f t="shared" si="14"/>
        <v>2.2765001294681701E-5</v>
      </c>
      <c r="K52" s="80">
        <f t="shared" si="14"/>
        <v>1.3112299698059106E-6</v>
      </c>
      <c r="L52" s="80"/>
      <c r="M52" s="80">
        <f t="shared" si="14"/>
        <v>6.9393876147519674E-8</v>
      </c>
      <c r="N52" s="80">
        <f t="shared" si="14"/>
        <v>1.4176107059137113E-6</v>
      </c>
      <c r="O52" s="80"/>
      <c r="P52" s="80"/>
      <c r="Q52" s="80"/>
      <c r="R52" s="148">
        <f>'Parameters, country spec'!E23</f>
        <v>4.9676485864869203E-2</v>
      </c>
    </row>
    <row r="53" spans="1:18" x14ac:dyDescent="0.3">
      <c r="A53" s="147"/>
      <c r="B53" s="24" t="s">
        <v>395</v>
      </c>
      <c r="C53" s="25"/>
      <c r="D53" s="100"/>
      <c r="E53" s="100"/>
      <c r="F53" s="46">
        <f t="shared" ref="F53:O53" si="15">SUMPRODUCT(F42:F52,$R$42:$R$52)</f>
        <v>3.9646133299828164E-4</v>
      </c>
      <c r="G53" s="46">
        <f t="shared" si="15"/>
        <v>1.5357866528095776E-4</v>
      </c>
      <c r="H53" s="46">
        <f t="shared" si="15"/>
        <v>9.6056053387208061E-7</v>
      </c>
      <c r="I53" s="46">
        <f t="shared" si="15"/>
        <v>2.1684728205888725E-4</v>
      </c>
      <c r="J53" s="46">
        <f t="shared" si="15"/>
        <v>2.0788455920629244E-5</v>
      </c>
      <c r="K53" s="46">
        <f t="shared" si="15"/>
        <v>8.7801724531977091E-7</v>
      </c>
      <c r="L53" s="46">
        <f t="shared" si="15"/>
        <v>0</v>
      </c>
      <c r="M53" s="46">
        <f t="shared" si="15"/>
        <v>1.0222112770424185E-8</v>
      </c>
      <c r="N53" s="46">
        <f t="shared" si="15"/>
        <v>1.3629865616490474E-6</v>
      </c>
      <c r="O53" s="46">
        <f t="shared" si="15"/>
        <v>0</v>
      </c>
      <c r="P53" s="46">
        <f>SUMPRODUCT(P42:P52,R42:R52)</f>
        <v>2.0226398294714783E-6</v>
      </c>
      <c r="Q53" s="46">
        <f>SUMPRODUCT(Q42:Q52,$R$42:$R$52)</f>
        <v>6.9044423245760154E-7</v>
      </c>
      <c r="R53" s="149"/>
    </row>
    <row r="54" spans="1:18" x14ac:dyDescent="0.3">
      <c r="A54" s="21" t="s">
        <v>381</v>
      </c>
      <c r="B54" s="16" t="s">
        <v>169</v>
      </c>
      <c r="C54" s="16" t="s">
        <v>382</v>
      </c>
      <c r="D54" s="22" t="s">
        <v>37</v>
      </c>
      <c r="E54" s="22" t="s">
        <v>88</v>
      </c>
      <c r="F54" s="278">
        <f>SUM(G54:Q54)</f>
        <v>8.2882825999999992E-4</v>
      </c>
      <c r="G54" s="279">
        <v>1.8000000000000001E-4</v>
      </c>
      <c r="H54" s="280">
        <v>9.9999999999999995E-7</v>
      </c>
      <c r="I54" s="283">
        <v>5.8699999999999996E-4</v>
      </c>
      <c r="J54" s="283">
        <v>5.8699999999999997E-5</v>
      </c>
      <c r="K54" s="283">
        <v>6.5899999999999996E-7</v>
      </c>
      <c r="L54" s="283"/>
      <c r="M54" s="283">
        <v>9.2599999999999999E-9</v>
      </c>
      <c r="N54" s="283">
        <v>1.46E-6</v>
      </c>
      <c r="O54" s="283"/>
      <c r="P54" s="283"/>
      <c r="Q54" s="282"/>
      <c r="R54" s="148">
        <f>'Parameters, country spec'!F13</f>
        <v>1.5696345190060232E-2</v>
      </c>
    </row>
    <row r="55" spans="1:18" x14ac:dyDescent="0.3">
      <c r="A55" s="21" t="s">
        <v>383</v>
      </c>
      <c r="B55" s="16" t="s">
        <v>171</v>
      </c>
      <c r="C55" s="16" t="s">
        <v>382</v>
      </c>
      <c r="D55" s="22" t="s">
        <v>37</v>
      </c>
      <c r="E55" s="22" t="s">
        <v>88</v>
      </c>
      <c r="F55" s="162">
        <f t="shared" ref="F55:F64" si="16">SUM(G55:Q55)</f>
        <v>0</v>
      </c>
      <c r="G55" s="97"/>
      <c r="H55" s="98"/>
      <c r="I55" s="99"/>
      <c r="J55" s="99"/>
      <c r="K55" s="99"/>
      <c r="L55" s="99"/>
      <c r="M55" s="99"/>
      <c r="N55" s="99"/>
      <c r="O55" s="99"/>
      <c r="P55" s="99"/>
      <c r="Q55" s="13"/>
      <c r="R55" s="148">
        <f>'Parameters, country spec'!F14</f>
        <v>4.3262189278547086E-3</v>
      </c>
    </row>
    <row r="56" spans="1:18" x14ac:dyDescent="0.3">
      <c r="A56" s="21" t="s">
        <v>384</v>
      </c>
      <c r="B56" s="16" t="s">
        <v>172</v>
      </c>
      <c r="C56" s="16" t="s">
        <v>382</v>
      </c>
      <c r="D56" s="22" t="s">
        <v>37</v>
      </c>
      <c r="E56" s="22" t="s">
        <v>88</v>
      </c>
      <c r="F56" s="162">
        <f t="shared" si="16"/>
        <v>7.7130299999999998E-4</v>
      </c>
      <c r="G56" s="97">
        <v>1.4999999999999999E-4</v>
      </c>
      <c r="H56" s="98">
        <v>9.9999999999999995E-7</v>
      </c>
      <c r="I56" s="99">
        <v>5.62E-4</v>
      </c>
      <c r="J56" s="99">
        <v>5.6199999999999997E-5</v>
      </c>
      <c r="K56" s="99">
        <v>6.4300000000000003E-7</v>
      </c>
      <c r="L56" s="99"/>
      <c r="M56" s="99">
        <v>0</v>
      </c>
      <c r="N56" s="99">
        <v>1.46E-6</v>
      </c>
      <c r="O56" s="99"/>
      <c r="P56" s="99"/>
      <c r="Q56" s="13"/>
      <c r="R56" s="148">
        <f>'Parameters, country spec'!F15</f>
        <v>9.0473725401480211E-4</v>
      </c>
    </row>
    <row r="57" spans="1:18" x14ac:dyDescent="0.3">
      <c r="A57" s="21" t="s">
        <v>385</v>
      </c>
      <c r="B57" s="16" t="s">
        <v>173</v>
      </c>
      <c r="C57" s="16" t="s">
        <v>382</v>
      </c>
      <c r="D57" s="22" t="s">
        <v>37</v>
      </c>
      <c r="E57" s="22" t="s">
        <v>88</v>
      </c>
      <c r="F57" s="162">
        <f t="shared" si="16"/>
        <v>6.9834925999999996E-4</v>
      </c>
      <c r="G57" s="97">
        <v>1.3999999999999999E-4</v>
      </c>
      <c r="H57" s="98">
        <v>9.9999999999999995E-7</v>
      </c>
      <c r="I57" s="99">
        <v>5.04E-4</v>
      </c>
      <c r="J57" s="99">
        <v>5.0399999999999999E-5</v>
      </c>
      <c r="K57" s="99">
        <v>1.48E-6</v>
      </c>
      <c r="L57" s="99"/>
      <c r="M57" s="99">
        <v>9.2599999999999999E-9</v>
      </c>
      <c r="N57" s="99">
        <v>1.46E-6</v>
      </c>
      <c r="O57" s="99"/>
      <c r="P57" s="99"/>
      <c r="Q57" s="13"/>
      <c r="R57" s="148">
        <f>'Parameters, country spec'!F16</f>
        <v>0</v>
      </c>
    </row>
    <row r="58" spans="1:18" x14ac:dyDescent="0.3">
      <c r="A58" s="21" t="s">
        <v>386</v>
      </c>
      <c r="B58" s="16" t="s">
        <v>174</v>
      </c>
      <c r="C58" s="16" t="s">
        <v>382</v>
      </c>
      <c r="D58" s="22" t="s">
        <v>37</v>
      </c>
      <c r="E58" s="22" t="s">
        <v>88</v>
      </c>
      <c r="F58" s="162">
        <f t="shared" si="16"/>
        <v>9.6202008999999992E-4</v>
      </c>
      <c r="G58" s="97">
        <v>2.0000000000000001E-4</v>
      </c>
      <c r="H58" s="98">
        <v>9.9999999999999995E-7</v>
      </c>
      <c r="I58" s="99">
        <v>6.8999999999999997E-4</v>
      </c>
      <c r="J58" s="99">
        <v>6.8999999999999997E-5</v>
      </c>
      <c r="K58" s="99">
        <v>5.5700000000000002E-7</v>
      </c>
      <c r="L58" s="99"/>
      <c r="M58" s="99">
        <v>3.0899999999999999E-9</v>
      </c>
      <c r="N58" s="99">
        <v>1.46E-6</v>
      </c>
      <c r="O58" s="99"/>
      <c r="P58" s="99"/>
      <c r="Q58" s="13"/>
      <c r="R58" s="148">
        <f>'Parameters, country spec'!F17</f>
        <v>6.7415867076212055E-3</v>
      </c>
    </row>
    <row r="59" spans="1:18" x14ac:dyDescent="0.3">
      <c r="A59" s="21" t="s">
        <v>387</v>
      </c>
      <c r="B59" s="16" t="s">
        <v>175</v>
      </c>
      <c r="C59" s="16" t="s">
        <v>388</v>
      </c>
      <c r="D59" s="22" t="s">
        <v>37</v>
      </c>
      <c r="E59" s="22" t="s">
        <v>88</v>
      </c>
      <c r="F59" s="162">
        <f t="shared" si="16"/>
        <v>2.0718159999999998E-4</v>
      </c>
      <c r="G59" s="97">
        <v>0</v>
      </c>
      <c r="H59" s="98">
        <v>9.9999999999999995E-7</v>
      </c>
      <c r="I59" s="99">
        <v>1.85E-4</v>
      </c>
      <c r="J59" s="99">
        <v>1.8499999999999999E-5</v>
      </c>
      <c r="K59" s="99">
        <v>1.1999999999999999E-6</v>
      </c>
      <c r="L59" s="99"/>
      <c r="M59" s="99">
        <v>2.1600000000000002E-8</v>
      </c>
      <c r="N59" s="99">
        <v>1.46E-6</v>
      </c>
      <c r="O59" s="99"/>
      <c r="P59" s="99"/>
      <c r="Q59" s="13"/>
      <c r="R59" s="148">
        <f>'Parameters, country spec'!F18</f>
        <v>1.9914212520241563E-4</v>
      </c>
    </row>
    <row r="60" spans="1:18" x14ac:dyDescent="0.3">
      <c r="A60" s="21" t="s">
        <v>389</v>
      </c>
      <c r="B60" s="16" t="s">
        <v>176</v>
      </c>
      <c r="C60" s="16" t="s">
        <v>388</v>
      </c>
      <c r="D60" s="22" t="s">
        <v>37</v>
      </c>
      <c r="E60" s="22" t="s">
        <v>88</v>
      </c>
      <c r="F60" s="162">
        <f t="shared" si="16"/>
        <v>2.3970699999999997E-4</v>
      </c>
      <c r="G60" s="97">
        <v>8.6000000000000007E-6</v>
      </c>
      <c r="H60" s="98">
        <v>9.9999999999999995E-7</v>
      </c>
      <c r="I60" s="99">
        <v>2.0699999999999999E-4</v>
      </c>
      <c r="J60" s="99">
        <v>2.0699999999999998E-5</v>
      </c>
      <c r="K60" s="99">
        <v>9.47E-7</v>
      </c>
      <c r="L60" s="99"/>
      <c r="M60" s="99">
        <v>0</v>
      </c>
      <c r="N60" s="99">
        <v>1.46E-6</v>
      </c>
      <c r="O60" s="99"/>
      <c r="P60" s="99"/>
      <c r="Q60" s="13"/>
      <c r="R60" s="148">
        <f>'Parameters, country spec'!F19</f>
        <v>1.9562319212022632E-4</v>
      </c>
    </row>
    <row r="61" spans="1:18" x14ac:dyDescent="0.3">
      <c r="B61" s="17" t="s">
        <v>178</v>
      </c>
      <c r="C61" s="16" t="s">
        <v>390</v>
      </c>
      <c r="D61" s="22" t="s">
        <v>466</v>
      </c>
      <c r="E61" s="22"/>
      <c r="F61" s="123">
        <f>SUM(G61:P61)</f>
        <v>6.713768539130542E-4</v>
      </c>
      <c r="G61" s="33">
        <f>'Off-farm feed'!$F$77</f>
        <v>1.946970439026595E-4</v>
      </c>
      <c r="H61" s="33">
        <f>'Off-farm feed'!$G$77</f>
        <v>5.3103448275862083E-7</v>
      </c>
      <c r="I61" s="33">
        <f>'Off-farm feed'!$H$77</f>
        <v>4.2751561806777074E-4</v>
      </c>
      <c r="J61" s="33">
        <f>'Off-farm feed'!$I$77</f>
        <v>4.2751561806777089E-5</v>
      </c>
      <c r="K61" s="33">
        <f>'Off-farm feed'!$J$77</f>
        <v>6.6339607025480414E-7</v>
      </c>
      <c r="L61" s="33"/>
      <c r="M61" s="33">
        <f>'Off-farm feed'!$L$77</f>
        <v>7.9511067188965511E-9</v>
      </c>
      <c r="N61" s="33">
        <f>'Off-farm feed'!$M$77</f>
        <v>1.2789681892721844E-6</v>
      </c>
      <c r="O61" s="33"/>
      <c r="P61" s="33">
        <f>'Off-farm feed'!$O$77</f>
        <v>3.9312802868423834E-6</v>
      </c>
      <c r="Q61" s="33">
        <f>'Off-farm feed'!$P$77</f>
        <v>1.8277027027027027E-6</v>
      </c>
      <c r="R61" s="148">
        <f>'Parameters, country spec'!F20</f>
        <v>1.0661631618013182E-2</v>
      </c>
    </row>
    <row r="62" spans="1:18" x14ac:dyDescent="0.3">
      <c r="B62" s="17" t="s">
        <v>391</v>
      </c>
      <c r="C62" s="16" t="s">
        <v>390</v>
      </c>
      <c r="D62" s="22" t="s">
        <v>442</v>
      </c>
      <c r="E62" s="22"/>
      <c r="F62" s="123">
        <f>SUM(G62:P62)</f>
        <v>1.7957562860818722E-4</v>
      </c>
      <c r="G62" s="33">
        <f>'Off-farm feed'!$F$26</f>
        <v>1.6332109719061441E-5</v>
      </c>
      <c r="H62" s="33">
        <f>'Off-farm feed'!$G$26</f>
        <v>8.7195121951219526E-7</v>
      </c>
      <c r="I62" s="33">
        <f>'Off-farm feed'!$H$26</f>
        <v>1.3333449845358202E-4</v>
      </c>
      <c r="J62" s="33">
        <f>'Off-farm feed'!$I$26</f>
        <v>1.3333449845358203E-5</v>
      </c>
      <c r="K62" s="33">
        <f>'Off-farm feed'!$J$26</f>
        <v>1.1576736579983931E-6</v>
      </c>
      <c r="L62" s="33"/>
      <c r="M62" s="33">
        <f>'Off-farm feed'!$L$26</f>
        <v>7.3437786087804866E-9</v>
      </c>
      <c r="N62" s="33">
        <f>'Off-farm feed'!$M$26</f>
        <v>1.1195281639512197E-6</v>
      </c>
      <c r="O62" s="33"/>
      <c r="P62" s="33">
        <f>'Off-farm feed'!$O$26</f>
        <v>1.3419073770114991E-5</v>
      </c>
      <c r="Q62" s="33">
        <f>'Off-farm feed'!$P$26</f>
        <v>9.087837837837838E-6</v>
      </c>
      <c r="R62" s="148">
        <f>'Parameters, country spec'!F21</f>
        <v>2.0288138727708262E-2</v>
      </c>
    </row>
    <row r="63" spans="1:18" x14ac:dyDescent="0.3">
      <c r="B63" s="16" t="s">
        <v>182</v>
      </c>
      <c r="C63" s="16" t="s">
        <v>392</v>
      </c>
      <c r="D63" s="22" t="s">
        <v>37</v>
      </c>
      <c r="E63" s="22" t="s">
        <v>88</v>
      </c>
      <c r="F63" s="162">
        <f t="shared" ref="F63" si="17">SUM(G63:Q63)</f>
        <v>4.5715519794178817E-4</v>
      </c>
      <c r="G63" s="99">
        <v>9.9179320483956193E-5</v>
      </c>
      <c r="H63" s="99">
        <v>5.5044E-7</v>
      </c>
      <c r="I63" s="99">
        <v>3.3829968297888798E-4</v>
      </c>
      <c r="K63" s="99">
        <v>1.0721164806119101E-6</v>
      </c>
      <c r="N63" s="13"/>
      <c r="O63" s="13"/>
      <c r="P63" s="99">
        <v>1.6341912215219399E-5</v>
      </c>
      <c r="Q63" s="99">
        <v>1.71172578311269E-6</v>
      </c>
      <c r="R63" s="148">
        <f>'Parameters, country spec'!F22</f>
        <v>2.0037841928894622E-2</v>
      </c>
    </row>
    <row r="64" spans="1:18" x14ac:dyDescent="0.3">
      <c r="A64" s="81"/>
      <c r="B64" s="16" t="s">
        <v>393</v>
      </c>
      <c r="C64" s="82" t="s">
        <v>394</v>
      </c>
      <c r="D64" s="22" t="s">
        <v>37</v>
      </c>
      <c r="E64" s="22" t="s">
        <v>88</v>
      </c>
      <c r="F64" s="163">
        <f t="shared" si="16"/>
        <v>5.6762391730803548E-4</v>
      </c>
      <c r="G64" s="80">
        <f t="shared" ref="G64:N64" si="18">AVERAGE(G54:G62)</f>
        <v>1.1120364420271511E-4</v>
      </c>
      <c r="H64" s="80">
        <f t="shared" si="18"/>
        <v>9.253732127838519E-7</v>
      </c>
      <c r="I64" s="80">
        <f t="shared" si="18"/>
        <v>4.119812645651691E-4</v>
      </c>
      <c r="J64" s="80">
        <f t="shared" si="18"/>
        <v>4.1198126456516917E-5</v>
      </c>
      <c r="K64" s="80">
        <f t="shared" si="18"/>
        <v>9.1338371603164962E-7</v>
      </c>
      <c r="L64" s="80"/>
      <c r="M64" s="80">
        <f t="shared" si="18"/>
        <v>7.3131106659596298E-9</v>
      </c>
      <c r="N64" s="80">
        <f t="shared" si="18"/>
        <v>1.3948120441529255E-6</v>
      </c>
      <c r="O64" s="80"/>
      <c r="P64" s="80"/>
      <c r="Q64" s="80"/>
      <c r="R64" s="148">
        <f>'Parameters, country spec'!F23</f>
        <v>0.92094873432851032</v>
      </c>
    </row>
    <row r="65" spans="1:18" x14ac:dyDescent="0.3">
      <c r="A65" s="147"/>
      <c r="B65" s="24" t="s">
        <v>395</v>
      </c>
      <c r="C65" s="25"/>
      <c r="D65" s="100"/>
      <c r="E65" s="100"/>
      <c r="F65" s="46">
        <f t="shared" ref="F65:O65" si="19">SUMPRODUCT(F54:F64,$R$54:$R$64)</f>
        <v>5.6299525348567554E-4</v>
      </c>
      <c r="G65" s="46">
        <f t="shared" si="19"/>
        <v>1.1111838361787346E-4</v>
      </c>
      <c r="H65" s="46">
        <f t="shared" si="19"/>
        <v>9.103403146120477E-7</v>
      </c>
      <c r="I65" s="46">
        <f t="shared" si="19"/>
        <v>4.0790678965859088E-4</v>
      </c>
      <c r="J65" s="46">
        <f t="shared" si="19"/>
        <v>4.0112799408646482E-5</v>
      </c>
      <c r="K65" s="46">
        <f t="shared" si="19"/>
        <v>9.0832733314016965E-7</v>
      </c>
      <c r="L65" s="46">
        <f t="shared" si="19"/>
        <v>0</v>
      </c>
      <c r="M65" s="46">
        <f t="shared" si="19"/>
        <v>7.1392445111036296E-9</v>
      </c>
      <c r="N65" s="46">
        <f t="shared" si="19"/>
        <v>1.3555560713985627E-6</v>
      </c>
      <c r="O65" s="46">
        <f t="shared" si="19"/>
        <v>0</v>
      </c>
      <c r="P65" s="46">
        <f>SUMPRODUCT(P54:P64,R54:R64)</f>
        <v>6.4161854623535326E-7</v>
      </c>
      <c r="Q65" s="46">
        <f>SUMPRODUCT(Q54:Q64,$R$54:$R$64)</f>
        <v>2.3816089838005909E-7</v>
      </c>
      <c r="R65" s="149"/>
    </row>
    <row r="66" spans="1:18" x14ac:dyDescent="0.3">
      <c r="A66" s="21" t="s">
        <v>381</v>
      </c>
      <c r="B66" s="16" t="s">
        <v>169</v>
      </c>
      <c r="C66" s="16" t="s">
        <v>382</v>
      </c>
      <c r="D66" s="22" t="s">
        <v>39</v>
      </c>
      <c r="E66" s="22" t="s">
        <v>89</v>
      </c>
      <c r="F66" s="278">
        <f>SUM(G66:Q66)</f>
        <v>4.8181926000000002E-4</v>
      </c>
      <c r="G66" s="279">
        <v>1.8000000000000001E-4</v>
      </c>
      <c r="H66" s="280">
        <v>9.9999999999999995E-7</v>
      </c>
      <c r="I66" s="283">
        <v>2.7099999999999997E-4</v>
      </c>
      <c r="J66" s="283">
        <v>2.7100000000000001E-5</v>
      </c>
      <c r="K66" s="283">
        <v>1.2100000000000001E-6</v>
      </c>
      <c r="L66" s="283"/>
      <c r="M66" s="283">
        <v>9.2599999999999999E-9</v>
      </c>
      <c r="N66" s="283">
        <v>1.5E-6</v>
      </c>
      <c r="O66" s="283"/>
      <c r="P66" s="283"/>
      <c r="Q66" s="282"/>
      <c r="R66" s="148">
        <f>'Parameters, country spec'!G13</f>
        <v>8.7634739536272627E-2</v>
      </c>
    </row>
    <row r="67" spans="1:18" x14ac:dyDescent="0.3">
      <c r="A67" s="21" t="s">
        <v>383</v>
      </c>
      <c r="B67" s="16" t="s">
        <v>171</v>
      </c>
      <c r="C67" s="16" t="s">
        <v>382</v>
      </c>
      <c r="D67" s="22" t="s">
        <v>39</v>
      </c>
      <c r="E67" s="22" t="s">
        <v>89</v>
      </c>
      <c r="F67" s="162">
        <f t="shared" ref="F67:F76" si="20">SUM(G67:Q67)</f>
        <v>4.1529099999999998E-4</v>
      </c>
      <c r="G67" s="97">
        <v>1.7000000000000001E-4</v>
      </c>
      <c r="H67" s="98">
        <v>9.9999999999999995E-7</v>
      </c>
      <c r="I67" s="99">
        <v>2.2000000000000001E-4</v>
      </c>
      <c r="J67" s="99">
        <v>2.1999999999999999E-5</v>
      </c>
      <c r="K67" s="99">
        <v>4.82E-7</v>
      </c>
      <c r="L67" s="99"/>
      <c r="M67" s="99">
        <v>3.0899999999999997E-7</v>
      </c>
      <c r="N67" s="99">
        <v>1.5E-6</v>
      </c>
      <c r="O67" s="99"/>
      <c r="P67" s="99"/>
      <c r="Q67" s="13"/>
      <c r="R67" s="148">
        <f>'Parameters, country spec'!G14</f>
        <v>0.57303226549823605</v>
      </c>
    </row>
    <row r="68" spans="1:18" x14ac:dyDescent="0.3">
      <c r="A68" s="21" t="s">
        <v>384</v>
      </c>
      <c r="B68" s="16" t="s">
        <v>172</v>
      </c>
      <c r="C68" s="16" t="s">
        <v>382</v>
      </c>
      <c r="D68" s="22" t="s">
        <v>39</v>
      </c>
      <c r="E68" s="22" t="s">
        <v>89</v>
      </c>
      <c r="F68" s="162">
        <f t="shared" si="20"/>
        <v>4.0906299999999993E-4</v>
      </c>
      <c r="G68" s="97">
        <v>1.4999999999999999E-4</v>
      </c>
      <c r="H68" s="98">
        <v>9.9999999999999995E-7</v>
      </c>
      <c r="I68" s="99">
        <v>2.31E-4</v>
      </c>
      <c r="J68" s="99">
        <v>2.3099999999999999E-5</v>
      </c>
      <c r="K68" s="99">
        <v>2.12E-6</v>
      </c>
      <c r="L68" s="99"/>
      <c r="M68" s="99">
        <v>3.4299999999999999E-7</v>
      </c>
      <c r="N68" s="99">
        <v>1.5E-6</v>
      </c>
      <c r="O68" s="99"/>
      <c r="P68" s="99"/>
      <c r="Q68" s="13"/>
      <c r="R68" s="148">
        <f>'Parameters, country spec'!G15</f>
        <v>1.8199416246980425E-2</v>
      </c>
    </row>
    <row r="69" spans="1:18" x14ac:dyDescent="0.3">
      <c r="A69" s="21" t="s">
        <v>385</v>
      </c>
      <c r="B69" s="16" t="s">
        <v>173</v>
      </c>
      <c r="C69" s="16" t="s">
        <v>382</v>
      </c>
      <c r="D69" s="22" t="s">
        <v>39</v>
      </c>
      <c r="E69" s="22" t="s">
        <v>89</v>
      </c>
      <c r="F69" s="162">
        <f t="shared" si="20"/>
        <v>3.7724239999999999E-4</v>
      </c>
      <c r="G69" s="97">
        <v>1.3999999999999999E-4</v>
      </c>
      <c r="H69" s="98">
        <v>9.9999999999999995E-7</v>
      </c>
      <c r="I69" s="99">
        <v>2.12E-4</v>
      </c>
      <c r="J69" s="99">
        <v>2.12E-5</v>
      </c>
      <c r="K69" s="99">
        <v>1.53E-6</v>
      </c>
      <c r="L69" s="99"/>
      <c r="M69" s="99">
        <v>1.24E-8</v>
      </c>
      <c r="N69" s="99">
        <v>1.5E-6</v>
      </c>
      <c r="O69" s="99"/>
      <c r="P69" s="99"/>
      <c r="Q69" s="13"/>
      <c r="R69" s="148">
        <f>'Parameters, country spec'!G16</f>
        <v>1.4500630224108487E-3</v>
      </c>
    </row>
    <row r="70" spans="1:18" x14ac:dyDescent="0.3">
      <c r="A70" s="21" t="s">
        <v>386</v>
      </c>
      <c r="B70" s="16" t="s">
        <v>174</v>
      </c>
      <c r="C70" s="16" t="s">
        <v>382</v>
      </c>
      <c r="D70" s="22" t="s">
        <v>39</v>
      </c>
      <c r="E70" s="22" t="s">
        <v>89</v>
      </c>
      <c r="F70" s="162">
        <f t="shared" si="20"/>
        <v>4.9865180000000008E-4</v>
      </c>
      <c r="G70" s="97">
        <v>2.0000000000000001E-4</v>
      </c>
      <c r="H70" s="98">
        <v>9.9999999999999995E-7</v>
      </c>
      <c r="I70" s="99">
        <v>2.6800000000000001E-4</v>
      </c>
      <c r="J70" s="99">
        <v>2.6800000000000001E-5</v>
      </c>
      <c r="K70" s="99">
        <v>1.2899999999999999E-6</v>
      </c>
      <c r="L70" s="99"/>
      <c r="M70" s="99">
        <v>6.1799999999999998E-8</v>
      </c>
      <c r="N70" s="99">
        <v>1.5E-6</v>
      </c>
      <c r="O70" s="99"/>
      <c r="P70" s="99"/>
      <c r="Q70" s="13"/>
      <c r="R70" s="148">
        <f>'Parameters, country spec'!G17</f>
        <v>8.3008572023096597E-2</v>
      </c>
    </row>
    <row r="71" spans="1:18" x14ac:dyDescent="0.3">
      <c r="A71" s="21" t="s">
        <v>387</v>
      </c>
      <c r="B71" s="16" t="s">
        <v>175</v>
      </c>
      <c r="C71" s="16" t="s">
        <v>388</v>
      </c>
      <c r="D71" s="22" t="s">
        <v>39</v>
      </c>
      <c r="E71" s="22" t="s">
        <v>89</v>
      </c>
      <c r="F71" s="162">
        <f t="shared" si="20"/>
        <v>1.7349010000000003E-4</v>
      </c>
      <c r="G71" s="97">
        <v>0</v>
      </c>
      <c r="H71" s="98">
        <v>9.9999999999999995E-7</v>
      </c>
      <c r="I71" s="99">
        <v>1.54E-4</v>
      </c>
      <c r="J71" s="99">
        <v>1.5400000000000002E-5</v>
      </c>
      <c r="K71" s="99">
        <v>1.55E-6</v>
      </c>
      <c r="L71" s="99"/>
      <c r="M71" s="99">
        <v>4.0100000000000002E-8</v>
      </c>
      <c r="N71" s="99">
        <v>1.5E-6</v>
      </c>
      <c r="O71" s="99"/>
      <c r="P71" s="99"/>
      <c r="Q71" s="13"/>
      <c r="R71" s="148">
        <f>'Parameters, country spec'!G18</f>
        <v>1.9271365501345272E-3</v>
      </c>
    </row>
    <row r="72" spans="1:18" x14ac:dyDescent="0.3">
      <c r="A72" s="21" t="s">
        <v>389</v>
      </c>
      <c r="B72" s="16" t="s">
        <v>176</v>
      </c>
      <c r="C72" s="16" t="s">
        <v>388</v>
      </c>
      <c r="D72" s="22" t="s">
        <v>39</v>
      </c>
      <c r="E72" s="22" t="s">
        <v>89</v>
      </c>
      <c r="F72" s="162">
        <f t="shared" si="20"/>
        <v>1.8834240000000001E-4</v>
      </c>
      <c r="G72" s="97">
        <v>8.6000000000000007E-6</v>
      </c>
      <c r="H72" s="98">
        <v>9.9999999999999995E-7</v>
      </c>
      <c r="I72" s="99">
        <v>1.5899999999999999E-4</v>
      </c>
      <c r="J72" s="99">
        <v>1.59E-5</v>
      </c>
      <c r="K72" s="99">
        <v>2.3300000000000001E-6</v>
      </c>
      <c r="L72" s="99"/>
      <c r="M72" s="99">
        <v>1.24E-8</v>
      </c>
      <c r="N72" s="99">
        <v>1.5E-6</v>
      </c>
      <c r="O72" s="99"/>
      <c r="P72" s="99"/>
      <c r="Q72" s="13"/>
      <c r="R72" s="148">
        <f>'Parameters, country spec'!G19</f>
        <v>1.8930831597192171E-3</v>
      </c>
    </row>
    <row r="73" spans="1:18" x14ac:dyDescent="0.3">
      <c r="B73" s="17" t="s">
        <v>178</v>
      </c>
      <c r="C73" s="16" t="s">
        <v>390</v>
      </c>
      <c r="D73" s="22" t="s">
        <v>466</v>
      </c>
      <c r="E73" s="22"/>
      <c r="F73" s="123">
        <f>SUM(G73:P73)</f>
        <v>6.713768539130542E-4</v>
      </c>
      <c r="G73" s="33">
        <f>'Off-farm feed'!$F$77</f>
        <v>1.946970439026595E-4</v>
      </c>
      <c r="H73" s="33">
        <f>'Off-farm feed'!$G$77</f>
        <v>5.3103448275862083E-7</v>
      </c>
      <c r="I73" s="33">
        <f>'Off-farm feed'!$H$77</f>
        <v>4.2751561806777074E-4</v>
      </c>
      <c r="J73" s="33">
        <f>'Off-farm feed'!$I$77</f>
        <v>4.2751561806777089E-5</v>
      </c>
      <c r="K73" s="33">
        <f>'Off-farm feed'!$J$77</f>
        <v>6.6339607025480414E-7</v>
      </c>
      <c r="L73" s="33"/>
      <c r="M73" s="33">
        <f>'Off-farm feed'!$L$77</f>
        <v>7.9511067188965511E-9</v>
      </c>
      <c r="N73" s="33">
        <f>'Off-farm feed'!$M$77</f>
        <v>1.2789681892721844E-6</v>
      </c>
      <c r="O73" s="33"/>
      <c r="P73" s="33">
        <f>'Off-farm feed'!$O$77</f>
        <v>3.9312802868423834E-6</v>
      </c>
      <c r="Q73" s="33">
        <f>'Off-farm feed'!$P$77</f>
        <v>1.8277027027027027E-6</v>
      </c>
      <c r="R73" s="148">
        <f>'Parameters, country spec'!G20</f>
        <v>3.2461288333790871E-3</v>
      </c>
    </row>
    <row r="74" spans="1:18" x14ac:dyDescent="0.3">
      <c r="B74" s="17" t="s">
        <v>391</v>
      </c>
      <c r="C74" s="16" t="s">
        <v>390</v>
      </c>
      <c r="D74" s="22" t="s">
        <v>442</v>
      </c>
      <c r="E74" s="22"/>
      <c r="F74" s="123">
        <f>SUM(G74:P74)</f>
        <v>1.7957562860818722E-4</v>
      </c>
      <c r="G74" s="33">
        <f>'Off-farm feed'!$F$26</f>
        <v>1.6332109719061441E-5</v>
      </c>
      <c r="H74" s="33">
        <f>'Off-farm feed'!$G$26</f>
        <v>8.7195121951219526E-7</v>
      </c>
      <c r="I74" s="33">
        <f>'Off-farm feed'!$H$26</f>
        <v>1.3333449845358202E-4</v>
      </c>
      <c r="J74" s="33">
        <f>'Off-farm feed'!$I$26</f>
        <v>1.3333449845358203E-5</v>
      </c>
      <c r="K74" s="33">
        <f>'Off-farm feed'!$J$26</f>
        <v>1.1576736579983931E-6</v>
      </c>
      <c r="L74" s="33"/>
      <c r="M74" s="33">
        <f>'Off-farm feed'!$L$26</f>
        <v>7.3437786087804866E-9</v>
      </c>
      <c r="N74" s="33">
        <f>'Off-farm feed'!$M$26</f>
        <v>1.1195281639512197E-6</v>
      </c>
      <c r="O74" s="33"/>
      <c r="P74" s="33">
        <f>'Off-farm feed'!$O$26</f>
        <v>1.3419073770114991E-5</v>
      </c>
      <c r="Q74" s="33">
        <f>'Off-farm feed'!$P$26</f>
        <v>9.087837837837838E-6</v>
      </c>
      <c r="R74" s="148">
        <f>'Parameters, country spec'!G21</f>
        <v>8.0143174333338049E-2</v>
      </c>
    </row>
    <row r="75" spans="1:18" x14ac:dyDescent="0.3">
      <c r="B75" s="16" t="s">
        <v>182</v>
      </c>
      <c r="C75" s="16" t="s">
        <v>392</v>
      </c>
      <c r="D75" s="22" t="s">
        <v>39</v>
      </c>
      <c r="E75" s="22" t="s">
        <v>89</v>
      </c>
      <c r="F75" s="162">
        <f t="shared" ref="F75" si="21">SUM(G75:Q75)</f>
        <v>3.3417879443169461E-4</v>
      </c>
      <c r="G75" s="99">
        <v>1.0458801320869801E-4</v>
      </c>
      <c r="H75" s="99">
        <v>5.7637696335078501E-7</v>
      </c>
      <c r="I75" s="99">
        <v>2.0689750580614601E-4</v>
      </c>
      <c r="K75" s="99">
        <v>1.3687022202079601E-6</v>
      </c>
      <c r="N75" s="13"/>
      <c r="O75" s="13"/>
      <c r="P75" s="99">
        <v>1.8648447718521899E-5</v>
      </c>
      <c r="Q75" s="99">
        <v>2.0997485147699699E-6</v>
      </c>
      <c r="R75" s="148">
        <f>'Parameters, country spec'!G22</f>
        <v>8.4604092546848059E-2</v>
      </c>
    </row>
    <row r="76" spans="1:18" x14ac:dyDescent="0.3">
      <c r="A76" s="81"/>
      <c r="B76" s="16" t="s">
        <v>393</v>
      </c>
      <c r="C76" s="82" t="s">
        <v>394</v>
      </c>
      <c r="D76" s="22" t="s">
        <v>39</v>
      </c>
      <c r="E76" s="22" t="s">
        <v>89</v>
      </c>
      <c r="F76" s="163">
        <f t="shared" si="20"/>
        <v>3.7527800982936491E-4</v>
      </c>
      <c r="G76" s="80">
        <f t="shared" ref="G76:N76" si="22">AVERAGE(G66:G74)</f>
        <v>1.1773657262463566E-4</v>
      </c>
      <c r="H76" s="80">
        <f t="shared" si="22"/>
        <v>9.3366507803009054E-7</v>
      </c>
      <c r="I76" s="80">
        <f t="shared" si="22"/>
        <v>2.3065001294681695E-4</v>
      </c>
      <c r="J76" s="80">
        <f t="shared" si="22"/>
        <v>2.3065001294681698E-5</v>
      </c>
      <c r="K76" s="80">
        <f t="shared" si="22"/>
        <v>1.3703410809170218E-6</v>
      </c>
      <c r="L76" s="80"/>
      <c r="M76" s="80">
        <f t="shared" si="22"/>
        <v>8.9250542814186322E-8</v>
      </c>
      <c r="N76" s="80">
        <f t="shared" si="22"/>
        <v>1.4331662614692671E-6</v>
      </c>
      <c r="O76" s="80"/>
      <c r="P76" s="80"/>
      <c r="Q76" s="80"/>
      <c r="R76" s="148">
        <f>'Parameters, country spec'!G23</f>
        <v>6.4861328249584266E-2</v>
      </c>
    </row>
    <row r="77" spans="1:18" x14ac:dyDescent="0.3">
      <c r="A77" s="147"/>
      <c r="B77" s="24" t="s">
        <v>395</v>
      </c>
      <c r="C77" s="25"/>
      <c r="D77" s="100"/>
      <c r="E77" s="100"/>
      <c r="F77" s="46">
        <f t="shared" ref="F77:O77" si="23">SUMPRODUCT(F66:F76,$R$66:$R$76)</f>
        <v>3.9945930228569757E-4</v>
      </c>
      <c r="G77" s="46">
        <f t="shared" si="23"/>
        <v>1.511666976684259E-4</v>
      </c>
      <c r="H77" s="46">
        <f t="shared" si="23"/>
        <v>9.4807262802886868E-7</v>
      </c>
      <c r="I77" s="46">
        <f t="shared" si="23"/>
        <v>2.2170993054924422E-4</v>
      </c>
      <c r="J77" s="46">
        <f t="shared" si="23"/>
        <v>2.0420555482030898E-5</v>
      </c>
      <c r="K77" s="46">
        <f t="shared" si="23"/>
        <v>8.3713301187805828E-7</v>
      </c>
      <c r="L77" s="46">
        <f t="shared" si="23"/>
        <v>0</v>
      </c>
      <c r="M77" s="46">
        <f t="shared" si="23"/>
        <v>1.9577280323913219E-7</v>
      </c>
      <c r="N77" s="46">
        <f t="shared" si="23"/>
        <v>1.337549217707458E-6</v>
      </c>
      <c r="O77" s="46">
        <f t="shared" si="23"/>
        <v>0</v>
      </c>
      <c r="P77" s="46">
        <f>SUMPRODUCT(P66:P76,R66:R76)</f>
        <v>2.6659436074743478E-6</v>
      </c>
      <c r="Q77" s="46">
        <f>SUMPRODUCT(Q66:Q76,$R$66:$R$76)</f>
        <v>9.1190844826173726E-7</v>
      </c>
      <c r="R77" s="149"/>
    </row>
    <row r="78" spans="1:18" x14ac:dyDescent="0.3">
      <c r="A78" s="21" t="s">
        <v>381</v>
      </c>
      <c r="B78" s="16" t="s">
        <v>169</v>
      </c>
      <c r="C78" s="16" t="s">
        <v>382</v>
      </c>
      <c r="D78" s="22" t="s">
        <v>32</v>
      </c>
      <c r="E78" s="22" t="s">
        <v>90</v>
      </c>
      <c r="F78" s="278">
        <f>SUM(G78:Q78)</f>
        <v>8.3892959999999996E-4</v>
      </c>
      <c r="G78" s="279">
        <v>1.8000000000000001E-4</v>
      </c>
      <c r="H78" s="280">
        <v>9.9999999999999995E-7</v>
      </c>
      <c r="I78" s="283">
        <v>5.9599999999999996E-4</v>
      </c>
      <c r="J78" s="283">
        <v>5.9599999999999999E-5</v>
      </c>
      <c r="K78" s="283">
        <v>7.3799999999999996E-7</v>
      </c>
      <c r="L78" s="283"/>
      <c r="M78" s="283">
        <v>2.1600000000000002E-8</v>
      </c>
      <c r="N78" s="283">
        <v>1.57E-6</v>
      </c>
      <c r="O78" s="283"/>
      <c r="P78" s="283"/>
      <c r="Q78" s="282"/>
      <c r="R78" s="148">
        <f>'Parameters, country spec'!H13</f>
        <v>9.5526549752842554E-2</v>
      </c>
    </row>
    <row r="79" spans="1:18" x14ac:dyDescent="0.3">
      <c r="A79" s="21" t="s">
        <v>383</v>
      </c>
      <c r="B79" s="16" t="s">
        <v>171</v>
      </c>
      <c r="C79" s="16" t="s">
        <v>382</v>
      </c>
      <c r="D79" s="22" t="s">
        <v>32</v>
      </c>
      <c r="E79" s="22" t="s">
        <v>90</v>
      </c>
      <c r="F79" s="162">
        <f t="shared" ref="F79:F88" si="24">SUM(G79:Q79)</f>
        <v>8.0910399999999994E-4</v>
      </c>
      <c r="G79" s="97">
        <v>1.7000000000000001E-4</v>
      </c>
      <c r="H79" s="98">
        <v>9.9999999999999995E-7</v>
      </c>
      <c r="I79" s="99">
        <v>5.7799999999999995E-4</v>
      </c>
      <c r="J79" s="99">
        <v>5.7800000000000002E-5</v>
      </c>
      <c r="K79" s="99">
        <v>5.3600000000000004E-7</v>
      </c>
      <c r="L79" s="99"/>
      <c r="M79" s="99">
        <v>1.98E-7</v>
      </c>
      <c r="N79" s="99">
        <v>1.57E-6</v>
      </c>
      <c r="O79" s="99"/>
      <c r="P79" s="99"/>
      <c r="Q79" s="13"/>
      <c r="R79" s="148">
        <f>'Parameters, country spec'!H14</f>
        <v>0.28688514594124215</v>
      </c>
    </row>
    <row r="80" spans="1:18" x14ac:dyDescent="0.3">
      <c r="A80" s="21" t="s">
        <v>384</v>
      </c>
      <c r="B80" s="16" t="s">
        <v>172</v>
      </c>
      <c r="C80" s="16" t="s">
        <v>382</v>
      </c>
      <c r="D80" s="22" t="s">
        <v>32</v>
      </c>
      <c r="E80" s="22" t="s">
        <v>90</v>
      </c>
      <c r="F80" s="162">
        <f t="shared" si="24"/>
        <v>7.7184899999999991E-4</v>
      </c>
      <c r="G80" s="97">
        <v>1.4999999999999999E-4</v>
      </c>
      <c r="H80" s="98">
        <v>9.9999999999999995E-7</v>
      </c>
      <c r="I80" s="99">
        <v>5.62E-4</v>
      </c>
      <c r="J80" s="99">
        <v>5.6199999999999997E-5</v>
      </c>
      <c r="K80" s="99">
        <v>9.6800000000000009E-7</v>
      </c>
      <c r="L80" s="99"/>
      <c r="M80" s="99">
        <v>1.11E-7</v>
      </c>
      <c r="N80" s="99">
        <v>1.57E-6</v>
      </c>
      <c r="O80" s="99"/>
      <c r="P80" s="99"/>
      <c r="Q80" s="13"/>
      <c r="R80" s="148">
        <f>'Parameters, country spec'!H15</f>
        <v>3.1378297013894313E-3</v>
      </c>
    </row>
    <row r="81" spans="1:19" x14ac:dyDescent="0.3">
      <c r="A81" s="21" t="s">
        <v>385</v>
      </c>
      <c r="B81" s="16" t="s">
        <v>173</v>
      </c>
      <c r="C81" s="16" t="s">
        <v>382</v>
      </c>
      <c r="D81" s="22" t="s">
        <v>32</v>
      </c>
      <c r="E81" s="22" t="s">
        <v>90</v>
      </c>
      <c r="F81" s="162">
        <f t="shared" si="24"/>
        <v>6.9837999999999996E-4</v>
      </c>
      <c r="G81" s="97">
        <v>1.3999999999999999E-4</v>
      </c>
      <c r="H81" s="98">
        <v>9.9999999999999995E-7</v>
      </c>
      <c r="I81" s="99">
        <v>5.04E-4</v>
      </c>
      <c r="J81" s="99">
        <v>5.0399999999999999E-5</v>
      </c>
      <c r="K81" s="99">
        <v>1.4100000000000001E-6</v>
      </c>
      <c r="L81" s="99"/>
      <c r="M81" s="99">
        <v>0</v>
      </c>
      <c r="N81" s="99">
        <v>1.57E-6</v>
      </c>
      <c r="O81" s="99"/>
      <c r="P81" s="99"/>
      <c r="Q81" s="13"/>
      <c r="R81" s="148">
        <f>'Parameters, country spec'!H16</f>
        <v>1.180760891727785E-2</v>
      </c>
    </row>
    <row r="82" spans="1:19" x14ac:dyDescent="0.3">
      <c r="A82" s="21" t="s">
        <v>386</v>
      </c>
      <c r="B82" s="16" t="s">
        <v>174</v>
      </c>
      <c r="C82" s="16" t="s">
        <v>382</v>
      </c>
      <c r="D82" s="22" t="s">
        <v>32</v>
      </c>
      <c r="E82" s="22" t="s">
        <v>90</v>
      </c>
      <c r="F82" s="162">
        <f t="shared" si="24"/>
        <v>9.6220029999999985E-4</v>
      </c>
      <c r="G82" s="97">
        <v>2.0000000000000001E-4</v>
      </c>
      <c r="H82" s="98">
        <v>9.9999999999999995E-7</v>
      </c>
      <c r="I82" s="99">
        <v>6.8999999999999997E-4</v>
      </c>
      <c r="J82" s="99">
        <v>6.8999999999999997E-5</v>
      </c>
      <c r="K82" s="99">
        <v>5.8400000000000004E-7</v>
      </c>
      <c r="L82" s="99"/>
      <c r="M82" s="99">
        <v>4.6299999999999998E-8</v>
      </c>
      <c r="N82" s="99">
        <v>1.57E-6</v>
      </c>
      <c r="O82" s="99"/>
      <c r="P82" s="99"/>
      <c r="Q82" s="13"/>
      <c r="R82" s="148">
        <f>'Parameters, country spec'!H17</f>
        <v>0.32323260195937925</v>
      </c>
    </row>
    <row r="83" spans="1:19" x14ac:dyDescent="0.3">
      <c r="A83" s="21" t="s">
        <v>387</v>
      </c>
      <c r="B83" s="16" t="s">
        <v>175</v>
      </c>
      <c r="C83" s="16" t="s">
        <v>388</v>
      </c>
      <c r="D83" s="22" t="s">
        <v>32</v>
      </c>
      <c r="E83" s="22" t="s">
        <v>90</v>
      </c>
      <c r="F83" s="162">
        <f t="shared" si="24"/>
        <v>2.0703569999999999E-4</v>
      </c>
      <c r="G83" s="97">
        <v>0</v>
      </c>
      <c r="H83" s="98">
        <v>9.9999999999999995E-7</v>
      </c>
      <c r="I83" s="99">
        <v>1.85E-4</v>
      </c>
      <c r="J83" s="99">
        <v>1.8499999999999999E-5</v>
      </c>
      <c r="K83" s="99">
        <v>9.0699999999999996E-7</v>
      </c>
      <c r="L83" s="99"/>
      <c r="M83" s="99">
        <v>5.8700000000000003E-8</v>
      </c>
      <c r="N83" s="99">
        <v>1.57E-6</v>
      </c>
      <c r="O83" s="99"/>
      <c r="P83" s="99"/>
      <c r="Q83" s="13"/>
      <c r="R83" s="148">
        <f>'Parameters, country spec'!H18</f>
        <v>0</v>
      </c>
    </row>
    <row r="84" spans="1:19" x14ac:dyDescent="0.3">
      <c r="A84" s="21" t="s">
        <v>389</v>
      </c>
      <c r="B84" s="16" t="s">
        <v>176</v>
      </c>
      <c r="C84" s="16" t="s">
        <v>388</v>
      </c>
      <c r="D84" s="22" t="s">
        <v>32</v>
      </c>
      <c r="E84" s="22" t="s">
        <v>90</v>
      </c>
      <c r="F84" s="162">
        <f t="shared" si="24"/>
        <v>2.3980779999999995E-4</v>
      </c>
      <c r="G84" s="97">
        <v>8.6000000000000007E-6</v>
      </c>
      <c r="H84" s="98">
        <v>9.9999999999999995E-7</v>
      </c>
      <c r="I84" s="99">
        <v>2.0699999999999999E-4</v>
      </c>
      <c r="J84" s="99">
        <v>2.0699999999999998E-5</v>
      </c>
      <c r="K84" s="99">
        <v>9.0999999999999997E-7</v>
      </c>
      <c r="L84" s="99"/>
      <c r="M84" s="99">
        <v>2.7800000000000001E-8</v>
      </c>
      <c r="N84" s="99">
        <v>1.57E-6</v>
      </c>
      <c r="O84" s="99"/>
      <c r="P84" s="99"/>
      <c r="Q84" s="13"/>
      <c r="R84" s="148">
        <f>'Parameters, country spec'!H19</f>
        <v>0</v>
      </c>
    </row>
    <row r="85" spans="1:19" x14ac:dyDescent="0.3">
      <c r="B85" s="17" t="s">
        <v>178</v>
      </c>
      <c r="C85" s="16" t="s">
        <v>390</v>
      </c>
      <c r="D85" s="22" t="s">
        <v>466</v>
      </c>
      <c r="E85" s="22"/>
      <c r="F85" s="123">
        <f>SUM(G85:P85)</f>
        <v>6.713768539130542E-4</v>
      </c>
      <c r="G85" s="33">
        <f>'Off-farm feed'!$F$77</f>
        <v>1.946970439026595E-4</v>
      </c>
      <c r="H85" s="33">
        <f>'Off-farm feed'!$G$77</f>
        <v>5.3103448275862083E-7</v>
      </c>
      <c r="I85" s="33">
        <f>'Off-farm feed'!$H$77</f>
        <v>4.2751561806777074E-4</v>
      </c>
      <c r="J85" s="33">
        <f>'Off-farm feed'!$I$77</f>
        <v>4.2751561806777089E-5</v>
      </c>
      <c r="K85" s="33">
        <f>'Off-farm feed'!$J$77</f>
        <v>6.6339607025480414E-7</v>
      </c>
      <c r="L85" s="33"/>
      <c r="M85" s="33">
        <f>'Off-farm feed'!$L$77</f>
        <v>7.9511067188965511E-9</v>
      </c>
      <c r="N85" s="33">
        <f>'Off-farm feed'!$M$77</f>
        <v>1.2789681892721844E-6</v>
      </c>
      <c r="O85" s="33"/>
      <c r="P85" s="33">
        <f>'Off-farm feed'!$O$77</f>
        <v>3.9312802868423834E-6</v>
      </c>
      <c r="Q85" s="33">
        <f>'Off-farm feed'!$P$77</f>
        <v>1.8277027027027027E-6</v>
      </c>
      <c r="R85" s="148">
        <f>'Parameters, country spec'!H20</f>
        <v>5.2461984284283551E-2</v>
      </c>
    </row>
    <row r="86" spans="1:19" x14ac:dyDescent="0.3">
      <c r="B86" s="17" t="s">
        <v>391</v>
      </c>
      <c r="C86" s="16" t="s">
        <v>390</v>
      </c>
      <c r="D86" s="22" t="s">
        <v>442</v>
      </c>
      <c r="E86" s="22"/>
      <c r="F86" s="123">
        <f>SUM(G86:P86)</f>
        <v>1.7957562860818722E-4</v>
      </c>
      <c r="G86" s="33">
        <f>'Off-farm feed'!$F$26</f>
        <v>1.6332109719061441E-5</v>
      </c>
      <c r="H86" s="33">
        <f>'Off-farm feed'!$G$26</f>
        <v>8.7195121951219526E-7</v>
      </c>
      <c r="I86" s="33">
        <f>'Off-farm feed'!$H$26</f>
        <v>1.3333449845358202E-4</v>
      </c>
      <c r="J86" s="33">
        <f>'Off-farm feed'!$I$26</f>
        <v>1.3333449845358203E-5</v>
      </c>
      <c r="K86" s="33">
        <f>'Off-farm feed'!$J$26</f>
        <v>1.1576736579983931E-6</v>
      </c>
      <c r="L86" s="33"/>
      <c r="M86" s="33">
        <f>'Off-farm feed'!$L$26</f>
        <v>7.3437786087804866E-9</v>
      </c>
      <c r="N86" s="33">
        <f>'Off-farm feed'!$M$26</f>
        <v>1.1195281639512197E-6</v>
      </c>
      <c r="O86" s="33"/>
      <c r="P86" s="33">
        <f>'Off-farm feed'!$O$26</f>
        <v>1.3419073770114991E-5</v>
      </c>
      <c r="Q86" s="33">
        <f>'Off-farm feed'!$P$26</f>
        <v>9.087837837837838E-6</v>
      </c>
      <c r="R86" s="148">
        <f>'Parameters, country spec'!H21</f>
        <v>6.7752088819631406E-2</v>
      </c>
    </row>
    <row r="87" spans="1:19" x14ac:dyDescent="0.3">
      <c r="B87" s="16" t="s">
        <v>182</v>
      </c>
      <c r="C87" s="16" t="s">
        <v>392</v>
      </c>
      <c r="D87" s="22" t="s">
        <v>32</v>
      </c>
      <c r="E87" s="22" t="s">
        <v>90</v>
      </c>
      <c r="F87" s="162">
        <f t="shared" ref="F87" si="25">SUM(G87:Q87)</f>
        <v>4.1534401534079949E-4</v>
      </c>
      <c r="G87" s="99">
        <v>1.0007435690198499E-4</v>
      </c>
      <c r="H87" s="99">
        <v>5.5044E-7</v>
      </c>
      <c r="I87" s="99">
        <v>2.8937314609885501E-4</v>
      </c>
      <c r="K87" s="99">
        <v>1.1474806386195299E-6</v>
      </c>
      <c r="N87" s="13"/>
      <c r="O87" s="13"/>
      <c r="P87" s="99">
        <v>2.3492890101997999E-5</v>
      </c>
      <c r="Q87" s="99">
        <v>7.0570159934197997E-7</v>
      </c>
      <c r="R87" s="148">
        <f>'Parameters, country spec'!H22</f>
        <v>7.382094479672017E-3</v>
      </c>
      <c r="S87" t="s">
        <v>491</v>
      </c>
    </row>
    <row r="88" spans="1:19" x14ac:dyDescent="0.3">
      <c r="A88" s="81"/>
      <c r="B88" s="16" t="s">
        <v>393</v>
      </c>
      <c r="C88" s="82" t="s">
        <v>394</v>
      </c>
      <c r="D88" s="22" t="s">
        <v>32</v>
      </c>
      <c r="E88" s="22" t="s">
        <v>90</v>
      </c>
      <c r="F88" s="163">
        <f t="shared" si="24"/>
        <v>5.956565031626981E-4</v>
      </c>
      <c r="G88" s="80">
        <f t="shared" ref="G88:N88" si="26">AVERAGE(G78:G86)</f>
        <v>1.1773657262463566E-4</v>
      </c>
      <c r="H88" s="80">
        <f t="shared" si="26"/>
        <v>9.3366507803009054E-7</v>
      </c>
      <c r="I88" s="80">
        <f t="shared" si="26"/>
        <v>4.3142779072459476E-4</v>
      </c>
      <c r="J88" s="80">
        <f t="shared" si="26"/>
        <v>4.314277907245948E-5</v>
      </c>
      <c r="K88" s="80">
        <f t="shared" si="26"/>
        <v>8.7489663647257742E-7</v>
      </c>
      <c r="L88" s="80"/>
      <c r="M88" s="80">
        <f t="shared" si="26"/>
        <v>5.3188320591964118E-8</v>
      </c>
      <c r="N88" s="80">
        <f t="shared" si="26"/>
        <v>1.4876107059137115E-6</v>
      </c>
      <c r="O88" s="80"/>
      <c r="P88" s="80"/>
      <c r="Q88" s="80"/>
      <c r="R88" s="148">
        <f>'Parameters, country spec'!H23</f>
        <v>0.15181409614428173</v>
      </c>
    </row>
    <row r="89" spans="1:19" x14ac:dyDescent="0.3">
      <c r="A89" s="147"/>
      <c r="B89" s="24" t="s">
        <v>395</v>
      </c>
      <c r="C89" s="25"/>
      <c r="D89" s="100"/>
      <c r="E89" s="100"/>
      <c r="F89" s="46">
        <f t="shared" ref="F89:O89" si="27">SUMPRODUCT(F78:F88,$R$78:$R$88)</f>
        <v>7.7482615280414873E-4</v>
      </c>
      <c r="G89" s="46">
        <f t="shared" si="27"/>
        <v>1.6266907138051909E-4</v>
      </c>
      <c r="H89" s="46">
        <f t="shared" si="27"/>
        <v>9.5333229543981189E-7</v>
      </c>
      <c r="I89" s="46">
        <f t="shared" si="27"/>
        <v>5.5259343696825833E-4</v>
      </c>
      <c r="J89" s="46">
        <f t="shared" si="27"/>
        <v>5.5045725706387669E-5</v>
      </c>
      <c r="K89" s="46">
        <f t="shared" si="27"/>
        <v>6.8725335449714583E-7</v>
      </c>
      <c r="L89" s="46">
        <f t="shared" si="27"/>
        <v>0</v>
      </c>
      <c r="M89" s="46">
        <f t="shared" si="27"/>
        <v>8.3170024931005376E-8</v>
      </c>
      <c r="N89" s="46">
        <f t="shared" si="27"/>
        <v>1.5001137413258909E-6</v>
      </c>
      <c r="O89" s="46">
        <f t="shared" si="27"/>
        <v>0</v>
      </c>
      <c r="P89" s="46">
        <f>SUMPRODUCT(P78:P88,R78:R88)</f>
        <v>1.2888397769089567E-6</v>
      </c>
      <c r="Q89" s="46">
        <f>SUMPRODUCT(Q78:Q88,$R$78:$R$88)</f>
        <v>7.1681446271392607E-7</v>
      </c>
      <c r="R89" s="149"/>
    </row>
    <row r="90" spans="1:19" x14ac:dyDescent="0.3">
      <c r="A90" s="21" t="s">
        <v>381</v>
      </c>
      <c r="B90" s="16" t="s">
        <v>169</v>
      </c>
      <c r="C90" s="16" t="s">
        <v>382</v>
      </c>
      <c r="D90" s="22" t="s">
        <v>30</v>
      </c>
      <c r="E90" s="22" t="s">
        <v>91</v>
      </c>
      <c r="F90" s="278">
        <f>SUM(G90:Q90)</f>
        <v>8.031530900000001E-4</v>
      </c>
      <c r="G90" s="279">
        <v>1.8000000000000001E-4</v>
      </c>
      <c r="H90" s="280">
        <v>9.9999999999999995E-7</v>
      </c>
      <c r="I90" s="283">
        <v>5.6300000000000002E-4</v>
      </c>
      <c r="J90" s="283">
        <v>5.63E-5</v>
      </c>
      <c r="K90" s="283">
        <v>1.33E-6</v>
      </c>
      <c r="L90" s="283"/>
      <c r="M90" s="283">
        <v>3.0899999999999999E-9</v>
      </c>
      <c r="N90" s="283">
        <v>1.5200000000000001E-6</v>
      </c>
      <c r="O90" s="283"/>
      <c r="P90" s="283"/>
      <c r="Q90" s="282"/>
      <c r="R90" s="148">
        <f>'Parameters, country spec'!I13</f>
        <v>0.21737956315257037</v>
      </c>
    </row>
    <row r="91" spans="1:19" x14ac:dyDescent="0.3">
      <c r="A91" s="21" t="s">
        <v>383</v>
      </c>
      <c r="B91" s="16" t="s">
        <v>171</v>
      </c>
      <c r="C91" s="16" t="s">
        <v>382</v>
      </c>
      <c r="D91" s="22" t="s">
        <v>30</v>
      </c>
      <c r="E91" s="22" t="s">
        <v>91</v>
      </c>
      <c r="F91" s="162">
        <f t="shared" ref="F91:F100" si="28">SUM(G91:Q91)</f>
        <v>6.5730909999999994E-4</v>
      </c>
      <c r="G91" s="97">
        <v>1.7000000000000001E-4</v>
      </c>
      <c r="H91" s="98">
        <v>9.9999999999999995E-7</v>
      </c>
      <c r="I91" s="99">
        <v>4.4000000000000002E-4</v>
      </c>
      <c r="J91" s="99">
        <v>4.3999999999999999E-5</v>
      </c>
      <c r="K91" s="99">
        <v>7.5199999999999996E-7</v>
      </c>
      <c r="L91" s="99"/>
      <c r="M91" s="99">
        <v>3.7100000000000001E-8</v>
      </c>
      <c r="N91" s="99">
        <v>1.5200000000000001E-6</v>
      </c>
      <c r="O91" s="99"/>
      <c r="P91" s="99"/>
      <c r="Q91" s="13"/>
      <c r="R91" s="148">
        <f>'Parameters, country spec'!I14</f>
        <v>0.29778613267856163</v>
      </c>
    </row>
    <row r="92" spans="1:19" x14ac:dyDescent="0.3">
      <c r="A92" s="21" t="s">
        <v>384</v>
      </c>
      <c r="B92" s="16" t="s">
        <v>172</v>
      </c>
      <c r="C92" s="16" t="s">
        <v>382</v>
      </c>
      <c r="D92" s="22" t="s">
        <v>30</v>
      </c>
      <c r="E92" s="22" t="s">
        <v>91</v>
      </c>
      <c r="F92" s="162">
        <f t="shared" si="28"/>
        <v>6.6357308999999995E-4</v>
      </c>
      <c r="G92" s="97">
        <v>1.4999999999999999E-4</v>
      </c>
      <c r="H92" s="98">
        <v>9.9999999999999995E-7</v>
      </c>
      <c r="I92" s="99">
        <v>4.6299999999999998E-4</v>
      </c>
      <c r="J92" s="99">
        <v>4.6300000000000001E-5</v>
      </c>
      <c r="K92" s="99">
        <v>1.75E-6</v>
      </c>
      <c r="L92" s="99"/>
      <c r="M92" s="99">
        <v>3.0899999999999999E-9</v>
      </c>
      <c r="N92" s="99">
        <v>1.5200000000000001E-6</v>
      </c>
      <c r="O92" s="99"/>
      <c r="P92" s="99"/>
      <c r="Q92" s="13"/>
      <c r="R92" s="148">
        <f>'Parameters, country spec'!I15</f>
        <v>6.5103880953803588E-3</v>
      </c>
    </row>
    <row r="93" spans="1:19" x14ac:dyDescent="0.3">
      <c r="A93" s="21" t="s">
        <v>385</v>
      </c>
      <c r="B93" s="16" t="s">
        <v>173</v>
      </c>
      <c r="C93" s="16" t="s">
        <v>382</v>
      </c>
      <c r="D93" s="22" t="s">
        <v>30</v>
      </c>
      <c r="E93" s="22" t="s">
        <v>91</v>
      </c>
      <c r="F93" s="162">
        <f t="shared" si="28"/>
        <v>6.1058999999999983E-4</v>
      </c>
      <c r="G93" s="97">
        <v>1.3999999999999999E-4</v>
      </c>
      <c r="H93" s="98">
        <v>9.9999999999999995E-7</v>
      </c>
      <c r="I93" s="99">
        <v>4.2400000000000001E-4</v>
      </c>
      <c r="J93" s="99">
        <v>4.2400000000000001E-5</v>
      </c>
      <c r="K93" s="99">
        <v>1.6700000000000001E-6</v>
      </c>
      <c r="L93" s="99"/>
      <c r="M93" s="99">
        <v>0</v>
      </c>
      <c r="N93" s="99">
        <v>1.5200000000000001E-6</v>
      </c>
      <c r="O93" s="99"/>
      <c r="P93" s="99"/>
      <c r="Q93" s="13"/>
      <c r="R93" s="148">
        <f>'Parameters, country spec'!I16</f>
        <v>8.5001790646556635E-2</v>
      </c>
    </row>
    <row r="94" spans="1:19" x14ac:dyDescent="0.3">
      <c r="A94" s="21" t="s">
        <v>386</v>
      </c>
      <c r="B94" s="16" t="s">
        <v>174</v>
      </c>
      <c r="C94" s="16" t="s">
        <v>382</v>
      </c>
      <c r="D94" s="22" t="s">
        <v>30</v>
      </c>
      <c r="E94" s="22" t="s">
        <v>91</v>
      </c>
      <c r="F94" s="162">
        <f t="shared" si="28"/>
        <v>7.9211309000000007E-4</v>
      </c>
      <c r="G94" s="97">
        <v>2.0000000000000001E-4</v>
      </c>
      <c r="H94" s="98">
        <v>9.9999999999999995E-7</v>
      </c>
      <c r="I94" s="99">
        <v>5.3499999999999999E-4</v>
      </c>
      <c r="J94" s="99">
        <v>5.3499999999999999E-5</v>
      </c>
      <c r="K94" s="99">
        <v>1.0899999999999999E-6</v>
      </c>
      <c r="L94" s="99"/>
      <c r="M94" s="99">
        <v>3.0899999999999999E-9</v>
      </c>
      <c r="N94" s="99">
        <v>1.5200000000000001E-6</v>
      </c>
      <c r="O94" s="99"/>
      <c r="P94" s="99"/>
      <c r="Q94" s="13"/>
      <c r="R94" s="148">
        <f>'Parameters, country spec'!I17</f>
        <v>0.34177560689413961</v>
      </c>
    </row>
    <row r="95" spans="1:19" x14ac:dyDescent="0.3">
      <c r="A95" s="21" t="s">
        <v>387</v>
      </c>
      <c r="B95" s="16" t="s">
        <v>175</v>
      </c>
      <c r="C95" s="16" t="s">
        <v>388</v>
      </c>
      <c r="D95" s="22" t="s">
        <v>30</v>
      </c>
      <c r="E95" s="22" t="s">
        <v>91</v>
      </c>
      <c r="F95" s="162">
        <f t="shared" si="28"/>
        <v>3.4353000000000004E-4</v>
      </c>
      <c r="G95" s="97">
        <v>0</v>
      </c>
      <c r="H95" s="98">
        <v>9.9999999999999995E-7</v>
      </c>
      <c r="I95" s="99">
        <v>3.0800000000000001E-4</v>
      </c>
      <c r="J95" s="99">
        <v>3.0800000000000003E-5</v>
      </c>
      <c r="K95" s="99">
        <v>2.21E-6</v>
      </c>
      <c r="L95" s="99"/>
      <c r="M95" s="99">
        <v>0</v>
      </c>
      <c r="N95" s="99">
        <v>1.5200000000000001E-6</v>
      </c>
      <c r="O95" s="99"/>
      <c r="P95" s="99"/>
      <c r="Q95" s="13"/>
      <c r="R95" s="148">
        <f>'Parameters, country spec'!I18</f>
        <v>8.3086315099621146E-4</v>
      </c>
    </row>
    <row r="96" spans="1:19" x14ac:dyDescent="0.3">
      <c r="A96" s="21" t="s">
        <v>389</v>
      </c>
      <c r="B96" s="16" t="s">
        <v>176</v>
      </c>
      <c r="C96" s="16" t="s">
        <v>388</v>
      </c>
      <c r="D96" s="22" t="s">
        <v>30</v>
      </c>
      <c r="E96" s="22" t="s">
        <v>91</v>
      </c>
      <c r="F96" s="162">
        <f t="shared" si="28"/>
        <v>3.6270000000000003E-4</v>
      </c>
      <c r="G96" s="97">
        <v>8.6000000000000007E-6</v>
      </c>
      <c r="H96" s="98">
        <v>9.9999999999999995E-7</v>
      </c>
      <c r="I96" s="99">
        <v>3.1799999999999998E-4</v>
      </c>
      <c r="J96" s="99">
        <v>3.18E-5</v>
      </c>
      <c r="K96" s="99">
        <v>1.7799999999999999E-6</v>
      </c>
      <c r="L96" s="99"/>
      <c r="M96" s="99">
        <v>0</v>
      </c>
      <c r="N96" s="99">
        <v>1.5200000000000001E-6</v>
      </c>
      <c r="O96" s="99"/>
      <c r="P96" s="99"/>
      <c r="Q96" s="13"/>
      <c r="R96" s="148">
        <f>'Parameters, country spec'!I19</f>
        <v>8.1618141653563262E-4</v>
      </c>
    </row>
    <row r="97" spans="1:18" x14ac:dyDescent="0.3">
      <c r="B97" s="17" t="s">
        <v>178</v>
      </c>
      <c r="C97" s="16" t="s">
        <v>390</v>
      </c>
      <c r="D97" s="22" t="s">
        <v>466</v>
      </c>
      <c r="E97" s="22"/>
      <c r="F97" s="123">
        <f>SUM(G97:P97)</f>
        <v>6.713768539130542E-4</v>
      </c>
      <c r="G97" s="33">
        <f>'Off-farm feed'!$F$77</f>
        <v>1.946970439026595E-4</v>
      </c>
      <c r="H97" s="33">
        <f>'Off-farm feed'!$G$77</f>
        <v>5.3103448275862083E-7</v>
      </c>
      <c r="I97" s="33">
        <f>'Off-farm feed'!$H$77</f>
        <v>4.2751561806777074E-4</v>
      </c>
      <c r="J97" s="33">
        <f>'Off-farm feed'!$I$77</f>
        <v>4.2751561806777089E-5</v>
      </c>
      <c r="K97" s="33">
        <f>'Off-farm feed'!$J$77</f>
        <v>6.6339607025480414E-7</v>
      </c>
      <c r="L97" s="33"/>
      <c r="M97" s="33">
        <f>'Off-farm feed'!$L$77</f>
        <v>7.9511067188965511E-9</v>
      </c>
      <c r="N97" s="33">
        <f>'Off-farm feed'!$M$77</f>
        <v>1.2789681892721844E-6</v>
      </c>
      <c r="O97" s="33"/>
      <c r="P97" s="33">
        <f>'Off-farm feed'!$O$77</f>
        <v>3.9312802868423834E-6</v>
      </c>
      <c r="Q97" s="33">
        <f>'Off-farm feed'!$P$77</f>
        <v>1.8277027027027027E-6</v>
      </c>
      <c r="R97" s="148">
        <f>'Parameters, country spec'!I20</f>
        <v>5.988480966048656E-3</v>
      </c>
    </row>
    <row r="98" spans="1:18" x14ac:dyDescent="0.3">
      <c r="B98" s="17" t="s">
        <v>391</v>
      </c>
      <c r="C98" s="16" t="s">
        <v>390</v>
      </c>
      <c r="D98" s="22" t="s">
        <v>442</v>
      </c>
      <c r="E98" s="22"/>
      <c r="F98" s="123">
        <f>SUM(G98:P98)</f>
        <v>1.7957562860818722E-4</v>
      </c>
      <c r="G98" s="33">
        <f>'Off-farm feed'!$F$26</f>
        <v>1.6332109719061441E-5</v>
      </c>
      <c r="H98" s="33">
        <f>'Off-farm feed'!$G$26</f>
        <v>8.7195121951219526E-7</v>
      </c>
      <c r="I98" s="33">
        <f>'Off-farm feed'!$H$26</f>
        <v>1.3333449845358202E-4</v>
      </c>
      <c r="J98" s="33">
        <f>'Off-farm feed'!$I$26</f>
        <v>1.3333449845358203E-5</v>
      </c>
      <c r="K98" s="33">
        <f>'Off-farm feed'!$J$26</f>
        <v>1.1576736579983931E-6</v>
      </c>
      <c r="L98" s="33"/>
      <c r="M98" s="33">
        <f>'Off-farm feed'!$L$26</f>
        <v>7.3437786087804866E-9</v>
      </c>
      <c r="N98" s="33">
        <f>'Off-farm feed'!$M$26</f>
        <v>1.1195281639512197E-6</v>
      </c>
      <c r="O98" s="33"/>
      <c r="P98" s="33">
        <f>'Off-farm feed'!$O$26</f>
        <v>1.3419073770114991E-5</v>
      </c>
      <c r="Q98" s="33">
        <f>'Off-farm feed'!$P$26</f>
        <v>9.087837837837838E-6</v>
      </c>
      <c r="R98" s="148">
        <f>'Parameters, country spec'!I21</f>
        <v>2.088761505982905E-2</v>
      </c>
    </row>
    <row r="99" spans="1:18" x14ac:dyDescent="0.3">
      <c r="B99" s="16" t="s">
        <v>182</v>
      </c>
      <c r="C99" s="16" t="s">
        <v>392</v>
      </c>
      <c r="D99" s="22" t="s">
        <v>30</v>
      </c>
      <c r="E99" s="22" t="s">
        <v>91</v>
      </c>
      <c r="F99" s="162">
        <f t="shared" ref="F99" si="29">SUM(G99:Q99)</f>
        <v>3.8798940652426048E-4</v>
      </c>
      <c r="G99" s="99">
        <v>9.7224744907034604E-5</v>
      </c>
      <c r="H99" s="99">
        <v>5.5043999999999904E-7</v>
      </c>
      <c r="I99" s="99">
        <v>2.6879135201816602E-4</v>
      </c>
      <c r="K99" s="99">
        <v>1.21772600391597E-6</v>
      </c>
      <c r="N99" s="13"/>
      <c r="O99" s="13"/>
      <c r="P99" s="99">
        <v>1.9943224185242898E-5</v>
      </c>
      <c r="Q99" s="99">
        <v>2.6191940990099401E-7</v>
      </c>
      <c r="R99" s="148">
        <f>'Parameters, country spec'!I22</f>
        <v>1.0222176972034406E-2</v>
      </c>
    </row>
    <row r="100" spans="1:18" x14ac:dyDescent="0.3">
      <c r="A100" s="81"/>
      <c r="B100" s="16" t="s">
        <v>393</v>
      </c>
      <c r="C100" s="82" t="s">
        <v>394</v>
      </c>
      <c r="D100" s="22" t="s">
        <v>30</v>
      </c>
      <c r="E100" s="22" t="s">
        <v>91</v>
      </c>
      <c r="F100" s="163">
        <f t="shared" si="28"/>
        <v>5.629522776071427E-4</v>
      </c>
      <c r="G100" s="80">
        <f t="shared" ref="G100:N100" si="30">AVERAGE(G90:G98)</f>
        <v>1.1773657262463566E-4</v>
      </c>
      <c r="H100" s="80">
        <f t="shared" si="30"/>
        <v>9.3366507803009054E-7</v>
      </c>
      <c r="I100" s="80">
        <f t="shared" si="30"/>
        <v>4.0131667961348363E-4</v>
      </c>
      <c r="J100" s="80">
        <f t="shared" si="30"/>
        <v>4.0131667961348369E-5</v>
      </c>
      <c r="K100" s="80">
        <f t="shared" si="30"/>
        <v>1.3781188586947997E-6</v>
      </c>
      <c r="L100" s="80"/>
      <c r="M100" s="80">
        <f t="shared" si="30"/>
        <v>6.8516539252974484E-9</v>
      </c>
      <c r="N100" s="80">
        <f t="shared" si="30"/>
        <v>1.448721817024823E-6</v>
      </c>
      <c r="O100" s="80"/>
      <c r="P100" s="80"/>
      <c r="Q100" s="80"/>
      <c r="R100" s="148">
        <f>'Parameters, country spec'!I23</f>
        <v>1.2801200967347369E-2</v>
      </c>
    </row>
    <row r="101" spans="1:18" x14ac:dyDescent="0.3">
      <c r="A101" s="147"/>
      <c r="B101" s="24" t="s">
        <v>395</v>
      </c>
      <c r="C101" s="25"/>
      <c r="D101" s="100"/>
      <c r="E101" s="100"/>
      <c r="F101" s="46">
        <f t="shared" ref="F101:O101" si="31">SUMPRODUCT(F90:F100,$R$90:$R$100)</f>
        <v>7.1679834762291542E-4</v>
      </c>
      <c r="G101" s="46">
        <f t="shared" si="31"/>
        <v>1.7499900980501217E-4</v>
      </c>
      <c r="H101" s="46">
        <f t="shared" si="31"/>
        <v>9.8907232674371904E-7</v>
      </c>
      <c r="I101" s="46">
        <f t="shared" si="31"/>
        <v>4.890612396406392E-4</v>
      </c>
      <c r="J101" s="46">
        <f t="shared" si="31"/>
        <v>4.8631360687175713E-5</v>
      </c>
      <c r="K101" s="46">
        <f t="shared" si="31"/>
        <v>1.1004637459689771E-6</v>
      </c>
      <c r="L101" s="46">
        <f t="shared" si="31"/>
        <v>0</v>
      </c>
      <c r="M101" s="46">
        <f t="shared" si="31"/>
        <v>1.3084490567800091E-8</v>
      </c>
      <c r="N101" s="46">
        <f t="shared" si="31"/>
        <v>1.4937415286932093E-6</v>
      </c>
      <c r="O101" s="46">
        <f t="shared" si="31"/>
        <v>0</v>
      </c>
      <c r="P101" s="46">
        <f>SUMPRODUCT(P90:P100,R90:R100)</f>
        <v>5.0769801155407836E-7</v>
      </c>
      <c r="Q101" s="46">
        <f>SUMPRODUCT(Q90:Q100,$R$90:$R$100)</f>
        <v>2.0344580789005549E-7</v>
      </c>
      <c r="R101" s="149"/>
    </row>
    <row r="102" spans="1:18" x14ac:dyDescent="0.3">
      <c r="A102" s="21" t="s">
        <v>381</v>
      </c>
      <c r="B102" s="16" t="s">
        <v>169</v>
      </c>
      <c r="C102" s="16" t="s">
        <v>382</v>
      </c>
      <c r="D102" s="22" t="s">
        <v>38</v>
      </c>
      <c r="E102" s="22" t="s">
        <v>92</v>
      </c>
      <c r="F102" s="278">
        <f>SUM(G102:Q102)</f>
        <v>5.1195799999999997E-4</v>
      </c>
      <c r="G102" s="279">
        <v>1.8000000000000001E-4</v>
      </c>
      <c r="H102" s="280">
        <v>9.9999999999999995E-7</v>
      </c>
      <c r="I102" s="283">
        <v>2.9799999999999998E-4</v>
      </c>
      <c r="J102" s="283">
        <v>2.9799999999999999E-5</v>
      </c>
      <c r="K102" s="283">
        <v>1.5099999999999999E-6</v>
      </c>
      <c r="L102" s="283"/>
      <c r="M102" s="283">
        <v>2.3799999999999999E-7</v>
      </c>
      <c r="N102" s="283">
        <v>1.4100000000000001E-6</v>
      </c>
      <c r="O102" s="283"/>
      <c r="P102" s="283"/>
      <c r="Q102" s="282"/>
      <c r="R102" s="148">
        <f>'Parameters, country spec'!J13</f>
        <v>0.25867404183720522</v>
      </c>
    </row>
    <row r="103" spans="1:18" x14ac:dyDescent="0.3">
      <c r="A103" s="21" t="s">
        <v>383</v>
      </c>
      <c r="B103" s="16" t="s">
        <v>171</v>
      </c>
      <c r="C103" s="16" t="s">
        <v>382</v>
      </c>
      <c r="D103" s="22" t="s">
        <v>38</v>
      </c>
      <c r="E103" s="22" t="s">
        <v>92</v>
      </c>
      <c r="F103" s="162">
        <f t="shared" ref="F103:F112" si="32">SUM(G103:Q103)</f>
        <v>4.1554899999999997E-4</v>
      </c>
      <c r="G103" s="97">
        <v>1.7000000000000001E-4</v>
      </c>
      <c r="H103" s="98">
        <v>9.9999999999999995E-7</v>
      </c>
      <c r="I103" s="99">
        <v>2.2000000000000001E-4</v>
      </c>
      <c r="J103" s="99">
        <v>2.1999999999999999E-5</v>
      </c>
      <c r="K103" s="99">
        <v>4.1300000000000001E-7</v>
      </c>
      <c r="L103" s="99"/>
      <c r="M103" s="99">
        <v>7.2600000000000002E-7</v>
      </c>
      <c r="N103" s="99">
        <v>1.4100000000000001E-6</v>
      </c>
      <c r="O103" s="99"/>
      <c r="P103" s="99"/>
      <c r="Q103" s="13"/>
      <c r="R103" s="148">
        <f>'Parameters, country spec'!J14</f>
        <v>0.34116788941693649</v>
      </c>
    </row>
    <row r="104" spans="1:18" x14ac:dyDescent="0.3">
      <c r="A104" s="21" t="s">
        <v>384</v>
      </c>
      <c r="B104" s="16" t="s">
        <v>172</v>
      </c>
      <c r="C104" s="16" t="s">
        <v>382</v>
      </c>
      <c r="D104" s="22" t="s">
        <v>38</v>
      </c>
      <c r="E104" s="22" t="s">
        <v>92</v>
      </c>
      <c r="F104" s="162">
        <f t="shared" si="32"/>
        <v>4.1222999999999997E-4</v>
      </c>
      <c r="G104" s="97">
        <v>1.4999999999999999E-4</v>
      </c>
      <c r="H104" s="98">
        <v>9.9999999999999995E-7</v>
      </c>
      <c r="I104" s="99">
        <v>2.31E-4</v>
      </c>
      <c r="J104" s="99">
        <v>2.3099999999999999E-5</v>
      </c>
      <c r="K104" s="99">
        <v>2.1900000000000002E-6</v>
      </c>
      <c r="L104" s="99"/>
      <c r="M104" s="99">
        <v>3.5300000000000001E-6</v>
      </c>
      <c r="N104" s="99">
        <v>1.4100000000000001E-6</v>
      </c>
      <c r="O104" s="99"/>
      <c r="P104" s="99"/>
      <c r="Q104" s="13"/>
      <c r="R104" s="148">
        <f>'Parameters, country spec'!J15</f>
        <v>4.0331815431012885E-2</v>
      </c>
    </row>
    <row r="105" spans="1:18" x14ac:dyDescent="0.3">
      <c r="A105" s="21" t="s">
        <v>385</v>
      </c>
      <c r="B105" s="16" t="s">
        <v>173</v>
      </c>
      <c r="C105" s="16" t="s">
        <v>382</v>
      </c>
      <c r="D105" s="22" t="s">
        <v>38</v>
      </c>
      <c r="E105" s="22" t="s">
        <v>92</v>
      </c>
      <c r="F105" s="162">
        <f t="shared" si="32"/>
        <v>3.7770925999999999E-4</v>
      </c>
      <c r="G105" s="97">
        <v>1.3999999999999999E-4</v>
      </c>
      <c r="H105" s="98">
        <v>9.9999999999999995E-7</v>
      </c>
      <c r="I105" s="99">
        <v>2.12E-4</v>
      </c>
      <c r="J105" s="99">
        <v>2.12E-5</v>
      </c>
      <c r="K105" s="99">
        <v>2.0899999999999999E-6</v>
      </c>
      <c r="L105" s="99"/>
      <c r="M105" s="99">
        <v>9.2599999999999999E-9</v>
      </c>
      <c r="N105" s="99">
        <v>1.4100000000000001E-6</v>
      </c>
      <c r="O105" s="99"/>
      <c r="P105" s="99"/>
      <c r="Q105" s="13"/>
      <c r="R105" s="148">
        <f>'Parameters, country spec'!J16</f>
        <v>1.0645865256161584E-2</v>
      </c>
    </row>
    <row r="106" spans="1:18" x14ac:dyDescent="0.3">
      <c r="A106" s="21" t="s">
        <v>386</v>
      </c>
      <c r="B106" s="16" t="s">
        <v>174</v>
      </c>
      <c r="C106" s="16" t="s">
        <v>382</v>
      </c>
      <c r="D106" s="22" t="s">
        <v>38</v>
      </c>
      <c r="E106" s="22" t="s">
        <v>92</v>
      </c>
      <c r="F106" s="162">
        <f t="shared" si="32"/>
        <v>4.9875099999999997E-4</v>
      </c>
      <c r="G106" s="97">
        <v>2.0000000000000001E-4</v>
      </c>
      <c r="H106" s="98">
        <v>9.9999999999999995E-7</v>
      </c>
      <c r="I106" s="99">
        <v>2.6800000000000001E-4</v>
      </c>
      <c r="J106" s="99">
        <v>2.6800000000000001E-5</v>
      </c>
      <c r="K106" s="99">
        <v>1.4300000000000001E-6</v>
      </c>
      <c r="L106" s="99"/>
      <c r="M106" s="99">
        <v>1.11E-7</v>
      </c>
      <c r="N106" s="99">
        <v>1.4100000000000001E-6</v>
      </c>
      <c r="O106" s="99"/>
      <c r="P106" s="99"/>
      <c r="Q106" s="13"/>
      <c r="R106" s="148">
        <f>'Parameters, country spec'!J17</f>
        <v>0.21912340485214174</v>
      </c>
    </row>
    <row r="107" spans="1:18" x14ac:dyDescent="0.3">
      <c r="A107" s="21" t="s">
        <v>387</v>
      </c>
      <c r="B107" s="16" t="s">
        <v>175</v>
      </c>
      <c r="C107" s="16" t="s">
        <v>388</v>
      </c>
      <c r="D107" s="22" t="s">
        <v>38</v>
      </c>
      <c r="E107" s="22" t="s">
        <v>92</v>
      </c>
      <c r="F107" s="162">
        <f t="shared" si="32"/>
        <v>1.7489560000000001E-4</v>
      </c>
      <c r="G107" s="97">
        <v>0</v>
      </c>
      <c r="H107" s="98">
        <v>9.9999999999999995E-7</v>
      </c>
      <c r="I107" s="99">
        <v>1.54E-4</v>
      </c>
      <c r="J107" s="99">
        <v>1.5400000000000002E-5</v>
      </c>
      <c r="K107" s="99">
        <v>3.0299999999999998E-6</v>
      </c>
      <c r="L107" s="99"/>
      <c r="M107" s="99">
        <v>5.5600000000000002E-8</v>
      </c>
      <c r="N107" s="99">
        <v>1.4100000000000001E-6</v>
      </c>
      <c r="O107" s="99"/>
      <c r="P107" s="99"/>
      <c r="Q107" s="13"/>
      <c r="R107" s="148">
        <f>'Parameters, country spec'!J18</f>
        <v>3.4365153377819394E-3</v>
      </c>
    </row>
    <row r="108" spans="1:18" x14ac:dyDescent="0.3">
      <c r="A108" s="21" t="s">
        <v>389</v>
      </c>
      <c r="B108" s="16" t="s">
        <v>176</v>
      </c>
      <c r="C108" s="16" t="s">
        <v>388</v>
      </c>
      <c r="D108" s="22" t="s">
        <v>38</v>
      </c>
      <c r="E108" s="22" t="s">
        <v>92</v>
      </c>
      <c r="F108" s="162">
        <f t="shared" si="32"/>
        <v>1.9007199999999998E-4</v>
      </c>
      <c r="G108" s="97">
        <v>8.6000000000000007E-6</v>
      </c>
      <c r="H108" s="98">
        <v>9.9999999999999995E-7</v>
      </c>
      <c r="I108" s="99">
        <v>1.5899999999999999E-4</v>
      </c>
      <c r="J108" s="99">
        <v>1.59E-5</v>
      </c>
      <c r="K108" s="99">
        <v>3.5099999999999999E-6</v>
      </c>
      <c r="L108" s="99"/>
      <c r="M108" s="99">
        <v>6.5199999999999996E-7</v>
      </c>
      <c r="N108" s="99">
        <v>1.4100000000000001E-6</v>
      </c>
      <c r="O108" s="99"/>
      <c r="P108" s="99"/>
      <c r="Q108" s="13"/>
      <c r="R108" s="148">
        <f>'Parameters, country spec'!J19</f>
        <v>3.3757905268185459E-3</v>
      </c>
    </row>
    <row r="109" spans="1:18" x14ac:dyDescent="0.3">
      <c r="B109" s="17" t="s">
        <v>178</v>
      </c>
      <c r="C109" s="16" t="s">
        <v>390</v>
      </c>
      <c r="D109" s="22" t="s">
        <v>466</v>
      </c>
      <c r="E109" s="22"/>
      <c r="F109" s="123">
        <f>SUM(G109:P109)</f>
        <v>6.713768539130542E-4</v>
      </c>
      <c r="G109" s="33">
        <f>'Off-farm feed'!$F$77</f>
        <v>1.946970439026595E-4</v>
      </c>
      <c r="H109" s="33">
        <f>'Off-farm feed'!$G$77</f>
        <v>5.3103448275862083E-7</v>
      </c>
      <c r="I109" s="33">
        <f>'Off-farm feed'!$H$77</f>
        <v>4.2751561806777074E-4</v>
      </c>
      <c r="J109" s="33">
        <f>'Off-farm feed'!$I$77</f>
        <v>4.2751561806777089E-5</v>
      </c>
      <c r="K109" s="33">
        <f>'Off-farm feed'!$J$77</f>
        <v>6.6339607025480414E-7</v>
      </c>
      <c r="L109" s="33"/>
      <c r="M109" s="33">
        <f>'Off-farm feed'!$L$77</f>
        <v>7.9511067188965511E-9</v>
      </c>
      <c r="N109" s="33">
        <f>'Off-farm feed'!$M$77</f>
        <v>1.2789681892721844E-6</v>
      </c>
      <c r="O109" s="33"/>
      <c r="P109" s="33">
        <f>'Off-farm feed'!$O$77</f>
        <v>3.9312802868423834E-6</v>
      </c>
      <c r="Q109" s="33">
        <f>'Off-farm feed'!$P$77</f>
        <v>1.8277027027027027E-6</v>
      </c>
      <c r="R109" s="148">
        <f>'Parameters, country spec'!J20</f>
        <v>9.9524742143764257E-3</v>
      </c>
    </row>
    <row r="110" spans="1:18" x14ac:dyDescent="0.3">
      <c r="B110" s="17" t="s">
        <v>391</v>
      </c>
      <c r="C110" s="16" t="s">
        <v>390</v>
      </c>
      <c r="D110" s="22" t="s">
        <v>442</v>
      </c>
      <c r="E110" s="22"/>
      <c r="F110" s="123">
        <f>SUM(G110:P110)</f>
        <v>1.7957562860818722E-4</v>
      </c>
      <c r="G110" s="33">
        <f>'Off-farm feed'!$F$26</f>
        <v>1.6332109719061441E-5</v>
      </c>
      <c r="H110" s="33">
        <f>'Off-farm feed'!$G$26</f>
        <v>8.7195121951219526E-7</v>
      </c>
      <c r="I110" s="33">
        <f>'Off-farm feed'!$H$26</f>
        <v>1.3333449845358202E-4</v>
      </c>
      <c r="J110" s="33">
        <f>'Off-farm feed'!$I$26</f>
        <v>1.3333449845358203E-5</v>
      </c>
      <c r="K110" s="33">
        <f>'Off-farm feed'!$J$26</f>
        <v>1.1576736579983931E-6</v>
      </c>
      <c r="L110" s="33"/>
      <c r="M110" s="33">
        <f>'Off-farm feed'!$L$26</f>
        <v>7.3437786087804866E-9</v>
      </c>
      <c r="N110" s="33">
        <f>'Off-farm feed'!$M$26</f>
        <v>1.1195281639512197E-6</v>
      </c>
      <c r="O110" s="33"/>
      <c r="P110" s="33">
        <f>'Off-farm feed'!$O$26</f>
        <v>1.3419073770114991E-5</v>
      </c>
      <c r="Q110" s="33">
        <f>'Off-farm feed'!$P$26</f>
        <v>9.087837837837838E-6</v>
      </c>
      <c r="R110" s="148">
        <f>'Parameters, country spec'!J21</f>
        <v>8.507721741542934E-2</v>
      </c>
    </row>
    <row r="111" spans="1:18" x14ac:dyDescent="0.3">
      <c r="B111" s="16" t="s">
        <v>182</v>
      </c>
      <c r="C111" s="16" t="s">
        <v>392</v>
      </c>
      <c r="D111" s="22" t="s">
        <v>38</v>
      </c>
      <c r="E111" s="22" t="s">
        <v>92</v>
      </c>
      <c r="F111" s="162">
        <f t="shared" ref="F111" si="33">SUM(G111:Q111)</f>
        <v>3.0776258352119469E-4</v>
      </c>
      <c r="G111" s="99">
        <v>1.00088507675393E-4</v>
      </c>
      <c r="H111" s="99">
        <v>5.5044E-7</v>
      </c>
      <c r="I111" s="99">
        <v>1.8590351879845999E-4</v>
      </c>
      <c r="K111" s="99">
        <v>1.3625897315771799E-6</v>
      </c>
      <c r="N111" s="13"/>
      <c r="O111" s="13"/>
      <c r="P111" s="99">
        <v>1.3804343589274599E-5</v>
      </c>
      <c r="Q111" s="99">
        <v>6.0531837264898599E-6</v>
      </c>
      <c r="R111" s="148">
        <f>'Parameters, country spec'!J22</f>
        <v>1.3071081676498808E-2</v>
      </c>
    </row>
    <row r="112" spans="1:18" x14ac:dyDescent="0.3">
      <c r="A112" s="81"/>
      <c r="B112" s="16" t="s">
        <v>393</v>
      </c>
      <c r="C112" s="82" t="s">
        <v>394</v>
      </c>
      <c r="D112" s="22" t="s">
        <v>38</v>
      </c>
      <c r="E112" s="22" t="s">
        <v>92</v>
      </c>
      <c r="F112" s="163">
        <f t="shared" si="32"/>
        <v>3.7941855427380938E-4</v>
      </c>
      <c r="G112" s="80">
        <f t="shared" ref="G112:N112" si="34">AVERAGE(G102:G110)</f>
        <v>1.1773657262463566E-4</v>
      </c>
      <c r="H112" s="80">
        <f t="shared" si="34"/>
        <v>9.3366507803009054E-7</v>
      </c>
      <c r="I112" s="80">
        <f t="shared" si="34"/>
        <v>2.3365001294681697E-4</v>
      </c>
      <c r="J112" s="80">
        <f t="shared" si="34"/>
        <v>2.3365001294681702E-5</v>
      </c>
      <c r="K112" s="80">
        <f t="shared" si="34"/>
        <v>1.7771188586947996E-6</v>
      </c>
      <c r="L112" s="80"/>
      <c r="M112" s="80">
        <f t="shared" si="34"/>
        <v>5.9301720948085291E-7</v>
      </c>
      <c r="N112" s="80">
        <f t="shared" si="34"/>
        <v>1.3631662614692673E-6</v>
      </c>
      <c r="O112" s="80"/>
      <c r="P112" s="80"/>
      <c r="Q112" s="80"/>
      <c r="R112" s="148">
        <f>'Parameters, country spec'!J23</f>
        <v>1.5143904035636976E-2</v>
      </c>
    </row>
    <row r="113" spans="1:18" x14ac:dyDescent="0.3">
      <c r="A113" s="42"/>
      <c r="B113" s="43" t="s">
        <v>395</v>
      </c>
      <c r="C113" s="44"/>
      <c r="D113" s="45"/>
      <c r="E113" s="45"/>
      <c r="F113" s="46">
        <f t="shared" ref="F113:O113" si="35">SUMPRODUCT(F102:F112,$R$102:$R$112)</f>
        <v>4.3710826218138448E-4</v>
      </c>
      <c r="G113" s="46">
        <f t="shared" si="35"/>
        <v>1.6237223912554368E-4</v>
      </c>
      <c r="H113" s="46">
        <f t="shared" si="35"/>
        <v>9.775577936738711E-7</v>
      </c>
      <c r="I113" s="46">
        <f t="shared" si="35"/>
        <v>2.4507331922537042E-4</v>
      </c>
      <c r="J113" s="46">
        <f t="shared" si="35"/>
        <v>2.4264335914720719E-5</v>
      </c>
      <c r="K113" s="46">
        <f t="shared" si="35"/>
        <v>1.1275019357536187E-6</v>
      </c>
      <c r="L113" s="46">
        <f t="shared" si="35"/>
        <v>0</v>
      </c>
      <c r="M113" s="46">
        <f t="shared" si="35"/>
        <v>4.8812149961835712E-7</v>
      </c>
      <c r="N113" s="46">
        <f t="shared" si="35"/>
        <v>1.3648439029280845E-6</v>
      </c>
      <c r="O113" s="46">
        <f t="shared" si="35"/>
        <v>0</v>
      </c>
      <c r="P113" s="46">
        <f>SUMPRODUCT(P102:P112,R102:R112)</f>
        <v>1.3612211248839042E-6</v>
      </c>
      <c r="Q113" s="46">
        <f>SUMPRODUCT(Q102:Q112,$R$102:$R$112)</f>
        <v>8.7047977847789216E-7</v>
      </c>
      <c r="R113" s="149"/>
    </row>
    <row r="114" spans="1:18" x14ac:dyDescent="0.3">
      <c r="A114" s="284" t="s">
        <v>381</v>
      </c>
      <c r="B114" s="268" t="s">
        <v>169</v>
      </c>
      <c r="C114" s="268" t="s">
        <v>382</v>
      </c>
      <c r="D114" s="285" t="s">
        <v>34</v>
      </c>
      <c r="E114" s="285" t="s">
        <v>93</v>
      </c>
      <c r="F114" s="278">
        <f>SUM(G114:Q114)</f>
        <v>8.4192999999999996E-4</v>
      </c>
      <c r="G114" s="279">
        <v>1.3999999999999999E-4</v>
      </c>
      <c r="H114" s="280">
        <v>9.9999999999999995E-7</v>
      </c>
      <c r="I114" s="283">
        <v>6.3500000000000004E-4</v>
      </c>
      <c r="J114" s="283">
        <v>6.3499999999999999E-5</v>
      </c>
      <c r="K114" s="283">
        <v>1.1000000000000001E-6</v>
      </c>
      <c r="L114" s="283"/>
      <c r="M114" s="283">
        <v>0</v>
      </c>
      <c r="N114" s="283">
        <v>1.33E-6</v>
      </c>
      <c r="O114" s="283"/>
      <c r="P114" s="283"/>
      <c r="Q114" s="282"/>
      <c r="R114" s="148">
        <f>'Parameters, country spec'!K13</f>
        <v>0.13430583669548862</v>
      </c>
    </row>
    <row r="115" spans="1:18" x14ac:dyDescent="0.3">
      <c r="A115" s="21" t="s">
        <v>383</v>
      </c>
      <c r="B115" s="16" t="s">
        <v>171</v>
      </c>
      <c r="C115" s="16" t="s">
        <v>382</v>
      </c>
      <c r="D115" s="22" t="s">
        <v>34</v>
      </c>
      <c r="E115" s="22" t="s">
        <v>93</v>
      </c>
      <c r="F115" s="162">
        <f t="shared" ref="F115:F124" si="36">SUM(G115:Q115)</f>
        <v>7.6903400000000004E-4</v>
      </c>
      <c r="G115" s="97">
        <v>1.2999999999999999E-4</v>
      </c>
      <c r="H115" s="98">
        <v>9.9999999999999995E-7</v>
      </c>
      <c r="I115" s="99">
        <v>5.7799999999999995E-4</v>
      </c>
      <c r="J115" s="99">
        <v>5.7800000000000002E-5</v>
      </c>
      <c r="K115" s="99">
        <v>7.5000000000000002E-7</v>
      </c>
      <c r="L115" s="99"/>
      <c r="M115" s="99">
        <v>1.54E-7</v>
      </c>
      <c r="N115" s="99">
        <v>1.33E-6</v>
      </c>
      <c r="O115" s="99"/>
      <c r="P115" s="99"/>
      <c r="Q115" s="13"/>
      <c r="R115" s="148">
        <f>'Parameters, country spec'!K14</f>
        <v>5.9748696560920867E-3</v>
      </c>
    </row>
    <row r="116" spans="1:18" x14ac:dyDescent="0.3">
      <c r="A116" s="21" t="s">
        <v>384</v>
      </c>
      <c r="B116" s="16" t="s">
        <v>172</v>
      </c>
      <c r="C116" s="16" t="s">
        <v>382</v>
      </c>
      <c r="D116" s="22" t="s">
        <v>34</v>
      </c>
      <c r="E116" s="22" t="s">
        <v>93</v>
      </c>
      <c r="F116" s="162">
        <f t="shared" si="36"/>
        <v>7.4177999999999994E-4</v>
      </c>
      <c r="G116" s="97">
        <v>1.2E-4</v>
      </c>
      <c r="H116" s="98">
        <v>9.9999999999999995E-7</v>
      </c>
      <c r="I116" s="99">
        <v>5.62E-4</v>
      </c>
      <c r="J116" s="99">
        <v>5.6199999999999997E-5</v>
      </c>
      <c r="K116" s="99">
        <v>1.2500000000000001E-6</v>
      </c>
      <c r="L116" s="99"/>
      <c r="M116" s="99">
        <v>0</v>
      </c>
      <c r="N116" s="99">
        <v>1.33E-6</v>
      </c>
      <c r="O116" s="99"/>
      <c r="P116" s="99"/>
      <c r="Q116" s="13"/>
      <c r="R116" s="148">
        <f>'Parameters, country spec'!K15</f>
        <v>0.14610456381313297</v>
      </c>
    </row>
    <row r="117" spans="1:18" x14ac:dyDescent="0.3">
      <c r="A117" s="21" t="s">
        <v>385</v>
      </c>
      <c r="B117" s="16" t="s">
        <v>173</v>
      </c>
      <c r="C117" s="16" t="s">
        <v>382</v>
      </c>
      <c r="D117" s="22" t="s">
        <v>34</v>
      </c>
      <c r="E117" s="22" t="s">
        <v>93</v>
      </c>
      <c r="F117" s="162">
        <f t="shared" si="36"/>
        <v>6.6755700000000005E-4</v>
      </c>
      <c r="G117" s="97">
        <v>1.1E-4</v>
      </c>
      <c r="H117" s="98">
        <v>9.9999999999999995E-7</v>
      </c>
      <c r="I117" s="99">
        <v>5.04E-4</v>
      </c>
      <c r="J117" s="99">
        <v>5.0399999999999999E-5</v>
      </c>
      <c r="K117" s="99">
        <v>8.2699999999999998E-7</v>
      </c>
      <c r="L117" s="99"/>
      <c r="M117" s="99">
        <v>0</v>
      </c>
      <c r="N117" s="99">
        <v>1.33E-6</v>
      </c>
      <c r="O117" s="99"/>
      <c r="P117" s="99"/>
      <c r="Q117" s="13"/>
      <c r="R117" s="148">
        <f>'Parameters, country spec'!K16</f>
        <v>9.236749949865944E-5</v>
      </c>
    </row>
    <row r="118" spans="1:18" x14ac:dyDescent="0.3">
      <c r="A118" s="21" t="s">
        <v>386</v>
      </c>
      <c r="B118" s="16" t="s">
        <v>174</v>
      </c>
      <c r="C118" s="16" t="s">
        <v>382</v>
      </c>
      <c r="D118" s="22" t="s">
        <v>34</v>
      </c>
      <c r="E118" s="22" t="s">
        <v>93</v>
      </c>
      <c r="F118" s="162">
        <f t="shared" si="36"/>
        <v>9.2211918000000004E-4</v>
      </c>
      <c r="G118" s="97">
        <v>1.6000000000000001E-4</v>
      </c>
      <c r="H118" s="98">
        <v>9.9999999999999995E-7</v>
      </c>
      <c r="I118" s="99">
        <v>6.8999999999999997E-4</v>
      </c>
      <c r="J118" s="99">
        <v>6.8999999999999997E-5</v>
      </c>
      <c r="K118" s="99">
        <v>7.8299999999999996E-7</v>
      </c>
      <c r="L118" s="99"/>
      <c r="M118" s="99">
        <v>6.1799999999999998E-9</v>
      </c>
      <c r="N118" s="99">
        <v>1.33E-6</v>
      </c>
      <c r="O118" s="99"/>
      <c r="P118" s="99"/>
      <c r="Q118" s="13"/>
      <c r="R118" s="148">
        <f>'Parameters, country spec'!K17</f>
        <v>0.58258426025934973</v>
      </c>
    </row>
    <row r="119" spans="1:18" x14ac:dyDescent="0.3">
      <c r="A119" s="21" t="s">
        <v>387</v>
      </c>
      <c r="B119" s="16" t="s">
        <v>175</v>
      </c>
      <c r="C119" s="16" t="s">
        <v>388</v>
      </c>
      <c r="D119" s="22" t="s">
        <v>34</v>
      </c>
      <c r="E119" s="22" t="s">
        <v>93</v>
      </c>
      <c r="F119" s="162">
        <f t="shared" si="36"/>
        <v>2.0736308999999998E-4</v>
      </c>
      <c r="G119" s="97">
        <v>0</v>
      </c>
      <c r="H119" s="98">
        <v>9.9999999999999995E-7</v>
      </c>
      <c r="I119" s="99">
        <v>1.85E-4</v>
      </c>
      <c r="J119" s="99">
        <v>1.8499999999999999E-5</v>
      </c>
      <c r="K119" s="99">
        <v>1.53E-6</v>
      </c>
      <c r="L119" s="99"/>
      <c r="M119" s="99">
        <v>3.0899999999999999E-9</v>
      </c>
      <c r="N119" s="99">
        <v>1.33E-6</v>
      </c>
      <c r="O119" s="99"/>
      <c r="P119" s="99"/>
      <c r="Q119" s="13"/>
      <c r="R119" s="148">
        <f>'Parameters, country spec'!K18</f>
        <v>4.9593085693149293E-3</v>
      </c>
    </row>
    <row r="120" spans="1:18" x14ac:dyDescent="0.3">
      <c r="A120" s="21" t="s">
        <v>389</v>
      </c>
      <c r="B120" s="16" t="s">
        <v>176</v>
      </c>
      <c r="C120" s="16" t="s">
        <v>388</v>
      </c>
      <c r="D120" s="22" t="s">
        <v>34</v>
      </c>
      <c r="E120" s="22" t="s">
        <v>93</v>
      </c>
      <c r="F120" s="162">
        <f t="shared" si="36"/>
        <v>2.3902308999999998E-4</v>
      </c>
      <c r="G120" s="97">
        <v>6.7000000000000002E-6</v>
      </c>
      <c r="H120" s="98">
        <v>9.9999999999999995E-7</v>
      </c>
      <c r="I120" s="99">
        <v>2.0699999999999999E-4</v>
      </c>
      <c r="J120" s="99">
        <v>2.0699999999999998E-5</v>
      </c>
      <c r="K120" s="99">
        <v>2.2900000000000001E-6</v>
      </c>
      <c r="L120" s="99"/>
      <c r="M120" s="99">
        <v>3.0899999999999999E-9</v>
      </c>
      <c r="N120" s="99">
        <v>1.33E-6</v>
      </c>
      <c r="O120" s="99"/>
      <c r="P120" s="99"/>
      <c r="Q120" s="13"/>
      <c r="R120" s="148">
        <f>'Parameters, country spec'!K19</f>
        <v>4.8716753013175445E-3</v>
      </c>
    </row>
    <row r="121" spans="1:18" x14ac:dyDescent="0.3">
      <c r="B121" s="17" t="s">
        <v>178</v>
      </c>
      <c r="C121" s="16" t="s">
        <v>390</v>
      </c>
      <c r="D121" s="22" t="s">
        <v>466</v>
      </c>
      <c r="E121" s="22"/>
      <c r="F121" s="123">
        <f>SUM(G121:P121)</f>
        <v>6.713768539130542E-4</v>
      </c>
      <c r="G121" s="33">
        <f>'Off-farm feed'!$F$77</f>
        <v>1.946970439026595E-4</v>
      </c>
      <c r="H121" s="33">
        <f>'Off-farm feed'!$G$77</f>
        <v>5.3103448275862083E-7</v>
      </c>
      <c r="I121" s="33">
        <f>'Off-farm feed'!$H$77</f>
        <v>4.2751561806777074E-4</v>
      </c>
      <c r="J121" s="33">
        <f>'Off-farm feed'!$I$77</f>
        <v>4.2751561806777089E-5</v>
      </c>
      <c r="K121" s="33">
        <f>'Off-farm feed'!$J$77</f>
        <v>6.6339607025480414E-7</v>
      </c>
      <c r="L121" s="33"/>
      <c r="M121" s="33">
        <f>'Off-farm feed'!$L$77</f>
        <v>7.9511067188965511E-9</v>
      </c>
      <c r="N121" s="33">
        <f>'Off-farm feed'!$M$77</f>
        <v>1.2789681892721844E-6</v>
      </c>
      <c r="O121" s="33"/>
      <c r="P121" s="33">
        <f>'Off-farm feed'!$O$77</f>
        <v>3.9312802868423834E-6</v>
      </c>
      <c r="Q121" s="33">
        <f>'Off-farm feed'!$P$77</f>
        <v>1.8277027027027027E-6</v>
      </c>
      <c r="R121" s="148">
        <f>'Parameters, country spec'!K20</f>
        <v>2.1892083763360489E-2</v>
      </c>
    </row>
    <row r="122" spans="1:18" x14ac:dyDescent="0.3">
      <c r="B122" s="17" t="s">
        <v>391</v>
      </c>
      <c r="C122" s="16" t="s">
        <v>390</v>
      </c>
      <c r="D122" s="22" t="s">
        <v>442</v>
      </c>
      <c r="E122" s="22"/>
      <c r="F122" s="123">
        <f>SUM(G122:P122)</f>
        <v>1.7957562860818722E-4</v>
      </c>
      <c r="G122" s="33">
        <f>'Off-farm feed'!$F$26</f>
        <v>1.6332109719061441E-5</v>
      </c>
      <c r="H122" s="33">
        <f>'Off-farm feed'!$G$26</f>
        <v>8.7195121951219526E-7</v>
      </c>
      <c r="I122" s="33">
        <f>'Off-farm feed'!$H$26</f>
        <v>1.3333449845358202E-4</v>
      </c>
      <c r="J122" s="33">
        <f>'Off-farm feed'!$I$26</f>
        <v>1.3333449845358203E-5</v>
      </c>
      <c r="K122" s="33">
        <f>'Off-farm feed'!$J$26</f>
        <v>1.1576736579983931E-6</v>
      </c>
      <c r="L122" s="33"/>
      <c r="M122" s="33">
        <f>'Off-farm feed'!$L$26</f>
        <v>7.3437786087804866E-9</v>
      </c>
      <c r="N122" s="33">
        <f>'Off-farm feed'!$M$26</f>
        <v>1.1195281639512197E-6</v>
      </c>
      <c r="O122" s="33"/>
      <c r="P122" s="33">
        <f>'Off-farm feed'!$O$26</f>
        <v>1.3419073770114991E-5</v>
      </c>
      <c r="Q122" s="33">
        <f>'Off-farm feed'!$P$26</f>
        <v>9.087837837837838E-6</v>
      </c>
      <c r="R122" s="148">
        <f>'Parameters, country spec'!K21</f>
        <v>3.411102350419503E-2</v>
      </c>
    </row>
    <row r="123" spans="1:18" x14ac:dyDescent="0.3">
      <c r="B123" s="16" t="s">
        <v>182</v>
      </c>
      <c r="C123" s="16" t="s">
        <v>392</v>
      </c>
      <c r="D123" s="22" t="s">
        <v>34</v>
      </c>
      <c r="E123" s="22" t="s">
        <v>93</v>
      </c>
      <c r="F123" s="162">
        <f t="shared" ref="F123" si="37">SUM(G123:Q123)</f>
        <v>4.5209651364689057E-4</v>
      </c>
      <c r="G123" s="99">
        <v>8.1710190712302194E-5</v>
      </c>
      <c r="H123" s="99">
        <v>5.5043999999999904E-7</v>
      </c>
      <c r="I123" s="99">
        <v>3.5822639957807799E-4</v>
      </c>
      <c r="K123" s="99">
        <v>1.08819106688444E-6</v>
      </c>
      <c r="N123" s="13"/>
      <c r="O123" s="13"/>
      <c r="P123" s="99">
        <v>9.3475299429580403E-6</v>
      </c>
      <c r="Q123" s="99">
        <v>1.1737623466679099E-6</v>
      </c>
      <c r="R123" s="148">
        <f>'Parameters, country spec'!K22</f>
        <v>2.7931248345105162E-2</v>
      </c>
    </row>
    <row r="124" spans="1:18" x14ac:dyDescent="0.3">
      <c r="A124" s="81"/>
      <c r="B124" s="16" t="s">
        <v>393</v>
      </c>
      <c r="C124" s="82" t="s">
        <v>394</v>
      </c>
      <c r="D124" s="22" t="s">
        <v>34</v>
      </c>
      <c r="E124" s="22" t="s">
        <v>93</v>
      </c>
      <c r="F124" s="163">
        <f t="shared" si="36"/>
        <v>5.8026760982936494E-4</v>
      </c>
      <c r="G124" s="80">
        <f t="shared" ref="G124:N124" si="38">AVERAGE(G114:G122)</f>
        <v>9.7525461513524526E-5</v>
      </c>
      <c r="H124" s="80">
        <f t="shared" si="38"/>
        <v>9.3366507803009054E-7</v>
      </c>
      <c r="I124" s="80">
        <f t="shared" si="38"/>
        <v>4.3576112405792816E-4</v>
      </c>
      <c r="J124" s="80">
        <f t="shared" si="38"/>
        <v>4.3576112405792815E-5</v>
      </c>
      <c r="K124" s="80">
        <f t="shared" si="38"/>
        <v>1.1501188586947998E-6</v>
      </c>
      <c r="L124" s="80"/>
      <c r="M124" s="80">
        <f t="shared" si="38"/>
        <v>2.0183876147519672E-8</v>
      </c>
      <c r="N124" s="80">
        <f t="shared" si="38"/>
        <v>1.3009440392470449E-6</v>
      </c>
      <c r="O124" s="80"/>
      <c r="P124" s="80"/>
      <c r="Q124" s="80"/>
      <c r="R124" s="148">
        <f>'Parameters, country spec'!K23</f>
        <v>3.7172762593144865E-2</v>
      </c>
    </row>
    <row r="125" spans="1:18" x14ac:dyDescent="0.3">
      <c r="A125" s="147"/>
      <c r="B125" s="24" t="s">
        <v>395</v>
      </c>
      <c r="C125" s="25"/>
      <c r="D125" s="100"/>
      <c r="E125" s="100"/>
      <c r="F125" s="29">
        <f>SUMPRODUCT(F114:F124,$R$114:$R$124)</f>
        <v>8.2053615261094338E-4</v>
      </c>
      <c r="G125" s="29">
        <f t="shared" ref="G125:Q125" si="39">SUMPRODUCT(G114:G124,$R$114:$R$124)</f>
        <v>1.4109536757003205E-4</v>
      </c>
      <c r="H125" s="29">
        <f t="shared" si="39"/>
        <v>9.7034286834147341E-7</v>
      </c>
      <c r="I125" s="29">
        <f t="shared" si="39"/>
        <v>6.1491558677110203E-4</v>
      </c>
      <c r="J125" s="29">
        <f t="shared" si="39"/>
        <v>6.0490987624071384E-5</v>
      </c>
      <c r="K125" s="29">
        <f t="shared" si="39"/>
        <v>9.3699220555045588E-7</v>
      </c>
      <c r="L125" s="29">
        <f t="shared" si="39"/>
        <v>0</v>
      </c>
      <c r="M125" s="29">
        <f t="shared" si="39"/>
        <v>5.7257389308776222E-9</v>
      </c>
      <c r="N125" s="29">
        <f t="shared" si="39"/>
        <v>1.2834747469485449E-6</v>
      </c>
      <c r="O125" s="29">
        <f t="shared" si="39"/>
        <v>0</v>
      </c>
      <c r="P125" s="29">
        <f>SUMPRODUCT(P114:P124,R114:R124)</f>
        <v>8.0489043836378853E-7</v>
      </c>
      <c r="Q125" s="29">
        <f t="shared" si="39"/>
        <v>3.8279231835380216E-7</v>
      </c>
      <c r="R125" s="149"/>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theme="4" tint="0.39997558519241921"/>
  </sheetPr>
  <dimension ref="A2:O125"/>
  <sheetViews>
    <sheetView topLeftCell="A100" zoomScale="80" zoomScaleNormal="80" workbookViewId="0">
      <selection activeCell="I129" sqref="I129"/>
    </sheetView>
  </sheetViews>
  <sheetFormatPr defaultColWidth="8.88671875" defaultRowHeight="14.4" x14ac:dyDescent="0.3"/>
  <cols>
    <col min="1" max="1" width="8.5546875" customWidth="1"/>
    <col min="2" max="2" width="30.44140625" customWidth="1"/>
    <col min="3" max="3" width="19" customWidth="1"/>
    <col min="4" max="4" width="12.88671875" customWidth="1"/>
    <col min="5" max="9" width="11.5546875" customWidth="1"/>
    <col min="10" max="12" width="15.5546875" customWidth="1"/>
    <col min="15" max="15" width="13.5546875" customWidth="1"/>
  </cols>
  <sheetData>
    <row r="2" spans="1:15" ht="21" x14ac:dyDescent="0.4">
      <c r="A2" s="2" t="s">
        <v>398</v>
      </c>
      <c r="F2" t="s">
        <v>399</v>
      </c>
      <c r="L2" t="s">
        <v>373</v>
      </c>
    </row>
    <row r="3" spans="1:15" x14ac:dyDescent="0.3">
      <c r="H3" s="8"/>
      <c r="I3" s="8"/>
      <c r="J3" s="8"/>
      <c r="K3" s="8"/>
    </row>
    <row r="4" spans="1:15" x14ac:dyDescent="0.3">
      <c r="A4" s="154" t="s">
        <v>374</v>
      </c>
      <c r="B4" s="155"/>
      <c r="C4" s="155"/>
      <c r="D4" s="155"/>
      <c r="E4" s="155"/>
      <c r="F4" s="156" t="s">
        <v>50</v>
      </c>
      <c r="G4" s="156" t="s">
        <v>400</v>
      </c>
      <c r="H4" s="156" t="s">
        <v>52</v>
      </c>
      <c r="I4" s="156" t="s">
        <v>53</v>
      </c>
      <c r="J4" s="157" t="s">
        <v>54</v>
      </c>
      <c r="K4" s="157" t="s">
        <v>55</v>
      </c>
      <c r="L4" s="157" t="s">
        <v>56</v>
      </c>
      <c r="M4" s="158" t="s">
        <v>375</v>
      </c>
    </row>
    <row r="5" spans="1:15" ht="43.2" x14ac:dyDescent="0.3">
      <c r="A5" s="159" t="s">
        <v>60</v>
      </c>
      <c r="B5" s="159" t="s">
        <v>374</v>
      </c>
      <c r="C5" s="159" t="s">
        <v>376</v>
      </c>
      <c r="D5" s="159" t="s">
        <v>63</v>
      </c>
      <c r="E5" s="145" t="s">
        <v>64</v>
      </c>
      <c r="F5" s="167" t="s">
        <v>71</v>
      </c>
      <c r="G5" s="167" t="s">
        <v>401</v>
      </c>
      <c r="H5" s="167" t="s">
        <v>402</v>
      </c>
      <c r="I5" s="168" t="s">
        <v>74</v>
      </c>
      <c r="J5" s="169" t="s">
        <v>75</v>
      </c>
      <c r="K5" s="170" t="s">
        <v>76</v>
      </c>
      <c r="L5" s="170" t="s">
        <v>77</v>
      </c>
      <c r="M5" s="96"/>
      <c r="O5" s="96" t="s">
        <v>492</v>
      </c>
    </row>
    <row r="6" spans="1:15" x14ac:dyDescent="0.3">
      <c r="A6" s="21" t="s">
        <v>381</v>
      </c>
      <c r="B6" s="16" t="s">
        <v>169</v>
      </c>
      <c r="C6" s="16" t="s">
        <v>382</v>
      </c>
      <c r="D6" s="22" t="s">
        <v>36</v>
      </c>
      <c r="E6" s="22" t="s">
        <v>84</v>
      </c>
      <c r="F6" s="295">
        <v>1.6</v>
      </c>
      <c r="G6" s="295">
        <v>2.1000000000000001E-2</v>
      </c>
      <c r="H6" s="295">
        <v>3.0999999999999999E-3</v>
      </c>
      <c r="I6" s="296">
        <v>4.0917422935787297E-3</v>
      </c>
      <c r="J6" s="294">
        <v>0.32</v>
      </c>
      <c r="K6" s="294">
        <v>1.91911325133042E-11</v>
      </c>
      <c r="L6" s="216">
        <v>1.25E-3</v>
      </c>
      <c r="M6" s="148">
        <f>'Parameters, country spec'!B13</f>
        <v>0.16402988956347125</v>
      </c>
      <c r="O6" s="258">
        <f>K6*M6/K17*100</f>
        <v>14.721680781698044</v>
      </c>
    </row>
    <row r="7" spans="1:15" x14ac:dyDescent="0.3">
      <c r="A7" s="21" t="s">
        <v>383</v>
      </c>
      <c r="B7" s="16" t="s">
        <v>171</v>
      </c>
      <c r="C7" s="16" t="s">
        <v>382</v>
      </c>
      <c r="D7" s="22" t="s">
        <v>36</v>
      </c>
      <c r="E7" s="22" t="s">
        <v>84</v>
      </c>
      <c r="F7" s="20">
        <v>1.1000000000000001</v>
      </c>
      <c r="G7" s="39">
        <v>0.02</v>
      </c>
      <c r="H7" s="39">
        <v>5.5999999999999999E-3</v>
      </c>
      <c r="I7" s="20">
        <v>9.2210702520091198E-2</v>
      </c>
      <c r="J7" s="27">
        <v>0.05</v>
      </c>
      <c r="K7" s="27">
        <v>1.3262871887546999E-11</v>
      </c>
      <c r="L7" s="27">
        <v>1.2099999999999999E-3</v>
      </c>
      <c r="M7" s="148">
        <f>'Parameters, country spec'!B14</f>
        <v>0.26979047748052715</v>
      </c>
      <c r="O7" s="258">
        <f>K7*M7/K17*100</f>
        <v>16.733931661912898</v>
      </c>
    </row>
    <row r="8" spans="1:15" x14ac:dyDescent="0.3">
      <c r="A8" s="21" t="s">
        <v>384</v>
      </c>
      <c r="B8" s="16" t="s">
        <v>172</v>
      </c>
      <c r="C8" s="16" t="s">
        <v>382</v>
      </c>
      <c r="D8" s="22" t="s">
        <v>36</v>
      </c>
      <c r="E8" s="22" t="s">
        <v>84</v>
      </c>
      <c r="F8" s="20">
        <v>2.2400000000000002</v>
      </c>
      <c r="G8" s="39">
        <v>1.7999999999999999E-2</v>
      </c>
      <c r="H8" s="39">
        <v>3.8E-3</v>
      </c>
      <c r="I8" s="20">
        <v>5.1662240094463699E-2</v>
      </c>
      <c r="J8" s="27">
        <v>0.09</v>
      </c>
      <c r="K8" s="27">
        <v>2.68819361465691E-11</v>
      </c>
      <c r="L8" s="27">
        <v>1.1000000000000001E-3</v>
      </c>
      <c r="M8" s="148">
        <f>'Parameters, country spec'!B15</f>
        <v>1.8587387131106827E-2</v>
      </c>
      <c r="O8" s="258">
        <f>K8*M8/K17*100</f>
        <v>2.3367523561315067</v>
      </c>
    </row>
    <row r="9" spans="1:15" x14ac:dyDescent="0.3">
      <c r="A9" s="21" t="s">
        <v>385</v>
      </c>
      <c r="B9" s="16" t="s">
        <v>173</v>
      </c>
      <c r="C9" s="16" t="s">
        <v>382</v>
      </c>
      <c r="D9" s="22" t="s">
        <v>36</v>
      </c>
      <c r="E9" s="22" t="s">
        <v>84</v>
      </c>
      <c r="F9" s="20">
        <v>2.2400000000000002</v>
      </c>
      <c r="G9" s="39">
        <v>1.6E-2</v>
      </c>
      <c r="H9" s="39">
        <v>1.1999999999999999E-3</v>
      </c>
      <c r="I9" s="20">
        <v>0</v>
      </c>
      <c r="J9" s="27">
        <v>0</v>
      </c>
      <c r="K9" s="27">
        <v>2.69252869218114E-11</v>
      </c>
      <c r="L9" s="27">
        <v>9.68E-4</v>
      </c>
      <c r="M9" s="148">
        <f>'Parameters, country spec'!B16</f>
        <v>2.8544697829688604E-3</v>
      </c>
      <c r="O9" s="258">
        <f>K9*M9/K17*100</f>
        <v>0.35943435889878544</v>
      </c>
    </row>
    <row r="10" spans="1:15" x14ac:dyDescent="0.3">
      <c r="A10" s="21" t="s">
        <v>386</v>
      </c>
      <c r="B10" s="16" t="s">
        <v>174</v>
      </c>
      <c r="C10" s="16" t="s">
        <v>382</v>
      </c>
      <c r="D10" s="22" t="s">
        <v>36</v>
      </c>
      <c r="E10" s="22" t="s">
        <v>84</v>
      </c>
      <c r="F10" s="20">
        <v>1.41</v>
      </c>
      <c r="G10" s="39">
        <v>2.4E-2</v>
      </c>
      <c r="H10" s="39">
        <v>2.2000000000000001E-3</v>
      </c>
      <c r="I10" s="20">
        <v>1.33006336197129E-3</v>
      </c>
      <c r="J10" s="27">
        <v>0.27</v>
      </c>
      <c r="K10" s="27">
        <v>1.69922519995714E-11</v>
      </c>
      <c r="L10" s="27">
        <v>1.4300000000000001E-3</v>
      </c>
      <c r="M10" s="148">
        <f>'Parameters, country spec'!B17</f>
        <v>0.39960951046637888</v>
      </c>
      <c r="O10" s="258">
        <f>K10*M10/K17*100</f>
        <v>31.755617012601643</v>
      </c>
    </row>
    <row r="11" spans="1:15" x14ac:dyDescent="0.3">
      <c r="A11" s="21" t="s">
        <v>387</v>
      </c>
      <c r="B11" s="16" t="s">
        <v>175</v>
      </c>
      <c r="C11" s="16" t="s">
        <v>388</v>
      </c>
      <c r="D11" s="22" t="s">
        <v>36</v>
      </c>
      <c r="E11" s="22" t="s">
        <v>84</v>
      </c>
      <c r="F11" s="20">
        <v>3.01</v>
      </c>
      <c r="G11" s="39">
        <v>1.9E-2</v>
      </c>
      <c r="H11" s="39">
        <v>1.6999999999999999E-3</v>
      </c>
      <c r="I11" s="20">
        <v>2.5706904840427799E-2</v>
      </c>
      <c r="J11" s="27">
        <v>1.01</v>
      </c>
      <c r="K11" s="27">
        <v>3.6201743477627501E-11</v>
      </c>
      <c r="L11" s="27">
        <v>0</v>
      </c>
      <c r="M11" s="148">
        <f>'Parameters, country spec'!B18</f>
        <v>0</v>
      </c>
      <c r="O11" s="258">
        <f>K11*M11/K17*100</f>
        <v>0</v>
      </c>
    </row>
    <row r="12" spans="1:15" x14ac:dyDescent="0.3">
      <c r="A12" s="21" t="s">
        <v>389</v>
      </c>
      <c r="B12" s="16" t="s">
        <v>176</v>
      </c>
      <c r="C12" s="16" t="s">
        <v>388</v>
      </c>
      <c r="D12" s="22" t="s">
        <v>36</v>
      </c>
      <c r="E12" s="22" t="s">
        <v>84</v>
      </c>
      <c r="F12" s="20">
        <v>4.1100000000000003</v>
      </c>
      <c r="G12" s="39">
        <v>1.0999999999999999E-2</v>
      </c>
      <c r="H12" s="39">
        <v>2E-3</v>
      </c>
      <c r="I12" s="20">
        <v>2.7905335876353701E-2</v>
      </c>
      <c r="J12" s="27">
        <v>1.05</v>
      </c>
      <c r="K12" s="27">
        <v>4.9378693934496101E-11</v>
      </c>
      <c r="L12" s="27">
        <v>6.1400000000000002E-5</v>
      </c>
      <c r="M12" s="148">
        <f>'Parameters, country spec'!B19</f>
        <v>0</v>
      </c>
      <c r="O12" s="258">
        <f>K12*M12/K17*100</f>
        <v>0</v>
      </c>
    </row>
    <row r="13" spans="1:15" x14ac:dyDescent="0.3">
      <c r="B13" s="17" t="s">
        <v>178</v>
      </c>
      <c r="C13" s="16" t="s">
        <v>390</v>
      </c>
      <c r="D13" s="22" t="s">
        <v>466</v>
      </c>
      <c r="E13" s="22"/>
      <c r="F13" s="18">
        <f>'Off-farm feed'!$F$88</f>
        <v>1.5397450382845068</v>
      </c>
      <c r="G13" s="19">
        <f>'Off-farm feed'!$G$88</f>
        <v>2.276724967641296E-2</v>
      </c>
      <c r="H13" s="19">
        <f>'Off-farm feed'!$H$88</f>
        <v>2.4780679919905292E-3</v>
      </c>
      <c r="I13" s="19">
        <f>'Off-farm feed'!$I$88</f>
        <v>8.1100925319702543E-4</v>
      </c>
      <c r="J13" s="18">
        <f>'Off-farm feed'!$J$88</f>
        <v>0.29368572248181479</v>
      </c>
      <c r="K13" s="28">
        <f>'Off-farm feed'!$K$88</f>
        <v>1.2571008272056975E-11</v>
      </c>
      <c r="L13" s="28">
        <f>'Off-farm feed'!$L$88</f>
        <v>1.3841258986185109E-3</v>
      </c>
      <c r="M13" s="148">
        <f>'Parameters, country spec'!B20</f>
        <v>4.3850784569502727E-2</v>
      </c>
      <c r="O13" s="258">
        <f>K13*M13/K17*100</f>
        <v>2.5779903062371434</v>
      </c>
    </row>
    <row r="14" spans="1:15" x14ac:dyDescent="0.3">
      <c r="B14" s="17" t="s">
        <v>391</v>
      </c>
      <c r="C14" s="16" t="s">
        <v>390</v>
      </c>
      <c r="D14" s="22" t="s">
        <v>442</v>
      </c>
      <c r="E14" s="22"/>
      <c r="F14" s="18">
        <f>'Off-farm feed'!$F$36</f>
        <v>2.5509164954964105</v>
      </c>
      <c r="G14" s="19">
        <f>'Off-farm feed'!$G$36</f>
        <v>4.2620923125915401E-2</v>
      </c>
      <c r="H14" s="19">
        <f>'Off-farm feed'!$H$36</f>
        <v>3.2959349471355006E-3</v>
      </c>
      <c r="I14" s="19">
        <f>'Off-farm feed'!$I$36</f>
        <v>2.435286335413451E-3</v>
      </c>
      <c r="J14" s="18">
        <f>'Off-farm feed'!$J$36</f>
        <v>0.25920846302270906</v>
      </c>
      <c r="K14" s="28">
        <f>'Off-farm feed'!$K$36</f>
        <v>1.4553836091881654E-10</v>
      </c>
      <c r="L14" s="28">
        <f>'Off-farm feed'!$L$36</f>
        <v>1.0450321677831977E-4</v>
      </c>
      <c r="M14" s="148">
        <f>'Parameters, country spec'!B21</f>
        <v>3.9507741172757446E-2</v>
      </c>
      <c r="O14" s="258">
        <f>K14*M14/K17*100</f>
        <v>26.89016574657294</v>
      </c>
    </row>
    <row r="15" spans="1:15" x14ac:dyDescent="0.3">
      <c r="B15" s="16" t="s">
        <v>182</v>
      </c>
      <c r="C15" s="16" t="s">
        <v>392</v>
      </c>
      <c r="D15" s="22" t="s">
        <v>36</v>
      </c>
      <c r="E15" s="22" t="s">
        <v>84</v>
      </c>
      <c r="F15" s="20">
        <v>0.71637781462279504</v>
      </c>
      <c r="G15" s="20">
        <v>1.1762359809494499E-2</v>
      </c>
      <c r="H15" s="20">
        <v>1.0762943616530901E-3</v>
      </c>
      <c r="I15" s="27">
        <v>8.3881316190036399E-4</v>
      </c>
      <c r="J15" s="27">
        <v>0.13219139310046199</v>
      </c>
      <c r="K15" s="27">
        <v>9.4000779019093497E-14</v>
      </c>
      <c r="L15" s="27">
        <v>7.1508799141679696E-4</v>
      </c>
      <c r="M15" s="148">
        <f>'Parameters, country spec'!B22</f>
        <v>3.6206796949373676E-2</v>
      </c>
      <c r="O15" s="258">
        <f>K15*M15/K17*100</f>
        <v>1.5916785329640408E-2</v>
      </c>
    </row>
    <row r="16" spans="1:15" x14ac:dyDescent="0.3">
      <c r="A16" s="81"/>
      <c r="B16" s="16" t="s">
        <v>393</v>
      </c>
      <c r="C16" s="82" t="s">
        <v>394</v>
      </c>
      <c r="D16" s="22" t="s">
        <v>36</v>
      </c>
      <c r="E16" s="22" t="s">
        <v>84</v>
      </c>
      <c r="F16" s="104">
        <f t="shared" ref="F16:L16" si="0">AVERAGE(F6:F14)</f>
        <v>2.2000735037534351</v>
      </c>
      <c r="G16" s="104">
        <f t="shared" si="0"/>
        <v>2.1598685866925375E-2</v>
      </c>
      <c r="H16" s="104">
        <f t="shared" si="0"/>
        <v>2.8193336599028917E-3</v>
      </c>
      <c r="I16" s="104">
        <f t="shared" si="0"/>
        <v>2.2905920508388543E-2</v>
      </c>
      <c r="J16" s="166">
        <f t="shared" si="0"/>
        <v>0.37143268727828044</v>
      </c>
      <c r="K16" s="166">
        <f t="shared" si="0"/>
        <v>3.8549254007977803E-11</v>
      </c>
      <c r="L16" s="166">
        <f t="shared" si="0"/>
        <v>8.3422545726631451E-4</v>
      </c>
      <c r="M16" s="148">
        <f>'Parameters, country spec'!B23</f>
        <v>2.556294288391299E-2</v>
      </c>
      <c r="O16" s="258">
        <f>K16*M16/K17*100</f>
        <v>4.6085109906173987</v>
      </c>
    </row>
    <row r="17" spans="1:15" x14ac:dyDescent="0.3">
      <c r="A17" s="147"/>
      <c r="B17" s="24" t="s">
        <v>395</v>
      </c>
      <c r="C17" s="25"/>
      <c r="D17" s="100"/>
      <c r="E17" s="100"/>
      <c r="F17" s="29">
        <f>SUMPRODUCT(F6:F16,M6:M16)</f>
        <v>1.4211745937883651</v>
      </c>
      <c r="G17" s="29">
        <f>SUMPRODUCT(G6:G16,M6:M16)</f>
        <v>2.2471531473178711E-2</v>
      </c>
      <c r="H17" s="29">
        <f>SUMPRODUCT(H6:H16,M6:M16)</f>
        <v>3.3224374966094681E-3</v>
      </c>
      <c r="I17" s="29">
        <f>SUMPRODUCT(I6:I16,M6:M16)</f>
        <v>2.7788199053668413E-2</v>
      </c>
      <c r="J17" s="29">
        <f>SUMPRODUCT(J6:J16,M6:M16)</f>
        <v>0.21294675091519363</v>
      </c>
      <c r="K17" s="29">
        <f>SUMPRODUCT(K6:K16,M6:M16)</f>
        <v>2.1382880076225508E-11</v>
      </c>
      <c r="L17" s="29">
        <f>SUMPRODUCT(L6:L16,M6:M16)</f>
        <v>1.2381746883269866E-3</v>
      </c>
      <c r="M17" s="149"/>
    </row>
    <row r="18" spans="1:15" x14ac:dyDescent="0.3">
      <c r="A18" s="21" t="s">
        <v>381</v>
      </c>
      <c r="B18" s="16" t="s">
        <v>169</v>
      </c>
      <c r="C18" s="16" t="s">
        <v>382</v>
      </c>
      <c r="D18" s="22" t="s">
        <v>33</v>
      </c>
      <c r="E18" s="22" t="s">
        <v>85</v>
      </c>
      <c r="F18" s="23">
        <v>1.53</v>
      </c>
      <c r="G18" s="39">
        <v>2.1000000000000001E-2</v>
      </c>
      <c r="H18" s="39">
        <v>3.0999999999999999E-3</v>
      </c>
      <c r="I18" s="20">
        <v>0</v>
      </c>
      <c r="J18" s="27">
        <v>0.31</v>
      </c>
      <c r="K18" s="27">
        <v>1.40235771273912E-11</v>
      </c>
      <c r="L18" s="27">
        <v>1.25E-3</v>
      </c>
      <c r="M18" s="148">
        <f>'Parameters, country spec'!C13</f>
        <v>0.14354403090911608</v>
      </c>
      <c r="O18" s="258">
        <f>K18*M18/K29*100</f>
        <v>9.9718545269371024</v>
      </c>
    </row>
    <row r="19" spans="1:15" x14ac:dyDescent="0.3">
      <c r="A19" s="21" t="s">
        <v>383</v>
      </c>
      <c r="B19" s="16" t="s">
        <v>171</v>
      </c>
      <c r="C19" s="16" t="s">
        <v>382</v>
      </c>
      <c r="D19" s="22" t="s">
        <v>33</v>
      </c>
      <c r="E19" s="22" t="s">
        <v>85</v>
      </c>
      <c r="F19" s="20">
        <v>1.05</v>
      </c>
      <c r="G19" s="39">
        <v>0.02</v>
      </c>
      <c r="H19" s="39">
        <v>5.5999999999999999E-3</v>
      </c>
      <c r="I19" s="20">
        <v>2.05935204037918E-3</v>
      </c>
      <c r="J19" s="27">
        <v>0.94</v>
      </c>
      <c r="K19" s="27">
        <v>9.6701609563743102E-12</v>
      </c>
      <c r="L19" s="27">
        <v>1.2099999999999999E-3</v>
      </c>
      <c r="M19" s="148">
        <f>'Parameters, country spec'!C14</f>
        <v>0.2137111814189753</v>
      </c>
      <c r="O19" s="258">
        <f>K19*M19/K29*100</f>
        <v>10.237476955292388</v>
      </c>
    </row>
    <row r="20" spans="1:15" x14ac:dyDescent="0.3">
      <c r="A20" s="21" t="s">
        <v>384</v>
      </c>
      <c r="B20" s="16" t="s">
        <v>172</v>
      </c>
      <c r="C20" s="16" t="s">
        <v>382</v>
      </c>
      <c r="D20" s="22" t="s">
        <v>33</v>
      </c>
      <c r="E20" s="22" t="s">
        <v>85</v>
      </c>
      <c r="F20" s="20">
        <v>2.31</v>
      </c>
      <c r="G20" s="39">
        <v>1.7999999999999999E-2</v>
      </c>
      <c r="H20" s="39">
        <v>3.8E-3</v>
      </c>
      <c r="I20" s="20">
        <v>2.6859932114199001E-3</v>
      </c>
      <c r="J20" s="27">
        <v>0</v>
      </c>
      <c r="K20" s="27">
        <v>2.1187688831605799E-11</v>
      </c>
      <c r="L20" s="27">
        <v>1.1000000000000001E-3</v>
      </c>
      <c r="M20" s="148">
        <f>'Parameters, country spec'!C15</f>
        <v>2.8572983193664684E-5</v>
      </c>
      <c r="O20" s="258">
        <f>K20*M20/K29*100</f>
        <v>2.9989633690108946E-3</v>
      </c>
    </row>
    <row r="21" spans="1:15" x14ac:dyDescent="0.3">
      <c r="A21" s="21" t="s">
        <v>385</v>
      </c>
      <c r="B21" s="16" t="s">
        <v>173</v>
      </c>
      <c r="C21" s="16" t="s">
        <v>382</v>
      </c>
      <c r="D21" s="22" t="s">
        <v>33</v>
      </c>
      <c r="E21" s="22" t="s">
        <v>85</v>
      </c>
      <c r="F21" s="20">
        <v>1.99</v>
      </c>
      <c r="G21" s="39">
        <v>1.6E-2</v>
      </c>
      <c r="H21" s="39">
        <v>1.1999999999999999E-3</v>
      </c>
      <c r="I21" s="20">
        <v>0</v>
      </c>
      <c r="J21" s="27">
        <v>0</v>
      </c>
      <c r="K21" s="27">
        <v>1.8207816512159501E-11</v>
      </c>
      <c r="L21" s="27">
        <v>9.68E-4</v>
      </c>
      <c r="M21" s="148">
        <f>'Parameters, country spec'!C16</f>
        <v>2.3447737151434674E-2</v>
      </c>
      <c r="O21" s="258">
        <f>K21*M21/K29*100</f>
        <v>2.1149046612565843</v>
      </c>
    </row>
    <row r="22" spans="1:15" x14ac:dyDescent="0.3">
      <c r="A22" s="21" t="s">
        <v>386</v>
      </c>
      <c r="B22" s="16" t="s">
        <v>174</v>
      </c>
      <c r="C22" s="16" t="s">
        <v>382</v>
      </c>
      <c r="D22" s="22" t="s">
        <v>33</v>
      </c>
      <c r="E22" s="22" t="s">
        <v>85</v>
      </c>
      <c r="F22" s="20">
        <v>1.36</v>
      </c>
      <c r="G22" s="39">
        <v>2.4E-2</v>
      </c>
      <c r="H22" s="39">
        <v>2.2000000000000001E-3</v>
      </c>
      <c r="I22" s="20">
        <v>1.0074338835282899E-9</v>
      </c>
      <c r="J22" s="27">
        <v>0.26</v>
      </c>
      <c r="K22" s="27">
        <v>1.24498393433167E-11</v>
      </c>
      <c r="L22" s="27">
        <v>1.4300000000000001E-3</v>
      </c>
      <c r="M22" s="148">
        <f>'Parameters, country spec'!C17</f>
        <v>0.47946147932032235</v>
      </c>
      <c r="O22" s="258">
        <f>K22*M22/K29*100</f>
        <v>29.569872873021787</v>
      </c>
    </row>
    <row r="23" spans="1:15" x14ac:dyDescent="0.3">
      <c r="A23" s="21" t="s">
        <v>387</v>
      </c>
      <c r="B23" s="16" t="s">
        <v>175</v>
      </c>
      <c r="C23" s="16" t="s">
        <v>388</v>
      </c>
      <c r="D23" s="22" t="s">
        <v>33</v>
      </c>
      <c r="E23" s="22" t="s">
        <v>85</v>
      </c>
      <c r="F23" s="20">
        <v>3.13</v>
      </c>
      <c r="G23" s="39">
        <v>0.02</v>
      </c>
      <c r="H23" s="39">
        <v>1.6999999999999999E-3</v>
      </c>
      <c r="I23" s="20">
        <v>0</v>
      </c>
      <c r="J23" s="27">
        <v>1.01</v>
      </c>
      <c r="K23" s="27">
        <v>2.8668626200070499E-11</v>
      </c>
      <c r="L23" s="27">
        <v>0</v>
      </c>
      <c r="M23" s="148">
        <f>'Parameters, country spec'!C18</f>
        <v>6.205919903371391E-4</v>
      </c>
      <c r="O23" s="258">
        <f>K23*M23/K29*100</f>
        <v>8.8134315792751994E-2</v>
      </c>
    </row>
    <row r="24" spans="1:15" x14ac:dyDescent="0.3">
      <c r="A24" s="21" t="s">
        <v>389</v>
      </c>
      <c r="B24" s="16" t="s">
        <v>176</v>
      </c>
      <c r="C24" s="16" t="s">
        <v>388</v>
      </c>
      <c r="D24" s="22" t="s">
        <v>33</v>
      </c>
      <c r="E24" s="22" t="s">
        <v>85</v>
      </c>
      <c r="F24" s="20">
        <v>2.73</v>
      </c>
      <c r="G24" s="39">
        <v>8.0000000000000002E-3</v>
      </c>
      <c r="H24" s="39">
        <v>2E-3</v>
      </c>
      <c r="I24" s="20">
        <v>0</v>
      </c>
      <c r="J24" s="27">
        <v>1.05</v>
      </c>
      <c r="K24" s="27">
        <v>2.5017173570023199E-11</v>
      </c>
      <c r="L24" s="27">
        <v>6.1400000000000002E-5</v>
      </c>
      <c r="M24" s="148">
        <f>'Parameters, country spec'!C19</f>
        <v>6.0962584419075097E-4</v>
      </c>
      <c r="O24" s="258">
        <f>K24*M24/K29*100</f>
        <v>7.5549849044167769E-2</v>
      </c>
    </row>
    <row r="25" spans="1:15" x14ac:dyDescent="0.3">
      <c r="B25" s="17" t="s">
        <v>178</v>
      </c>
      <c r="C25" s="16" t="s">
        <v>390</v>
      </c>
      <c r="D25" s="22" t="s">
        <v>466</v>
      </c>
      <c r="E25" s="22"/>
      <c r="F25" s="18">
        <f>'Off-farm feed'!$F$88</f>
        <v>1.5397450382845068</v>
      </c>
      <c r="G25" s="19">
        <f>'Off-farm feed'!$G$88</f>
        <v>2.276724967641296E-2</v>
      </c>
      <c r="H25" s="19">
        <f>'Off-farm feed'!$H$88</f>
        <v>2.4780679919905292E-3</v>
      </c>
      <c r="I25" s="19">
        <f>'Off-farm feed'!$I$88</f>
        <v>8.1100925319702543E-4</v>
      </c>
      <c r="J25" s="18">
        <f>'Off-farm feed'!$J$88</f>
        <v>0.29368572248181479</v>
      </c>
      <c r="K25" s="28">
        <f>'Off-farm feed'!$K$88</f>
        <v>1.2571008272056975E-11</v>
      </c>
      <c r="L25" s="28">
        <f>'Off-farm feed'!$L$88</f>
        <v>1.3841258986185109E-3</v>
      </c>
      <c r="M25" s="148">
        <f>'Parameters, country spec'!C20</f>
        <v>6.2756108199759894E-2</v>
      </c>
      <c r="O25" s="258">
        <f>K25*M25/K29*100</f>
        <v>3.9080319397279468</v>
      </c>
    </row>
    <row r="26" spans="1:15" x14ac:dyDescent="0.3">
      <c r="B26" s="17" t="s">
        <v>391</v>
      </c>
      <c r="C26" s="16" t="s">
        <v>390</v>
      </c>
      <c r="D26" s="22" t="s">
        <v>442</v>
      </c>
      <c r="E26" s="22"/>
      <c r="F26" s="18">
        <f>'Off-farm feed'!$F$36</f>
        <v>2.5509164954964105</v>
      </c>
      <c r="G26" s="19">
        <f>'Off-farm feed'!$G$36</f>
        <v>4.2620923125915401E-2</v>
      </c>
      <c r="H26" s="19">
        <f>'Off-farm feed'!$H$36</f>
        <v>3.2959349471355006E-3</v>
      </c>
      <c r="I26" s="19">
        <f>'Off-farm feed'!$I$36</f>
        <v>2.435286335413451E-3</v>
      </c>
      <c r="J26" s="18">
        <f>'Off-farm feed'!$J$36</f>
        <v>0.25920846302270906</v>
      </c>
      <c r="K26" s="28">
        <f>'Off-farm feed'!$K$36</f>
        <v>1.4553836091881654E-10</v>
      </c>
      <c r="L26" s="28">
        <f>'Off-farm feed'!$L$36</f>
        <v>1.0450321677831977E-4</v>
      </c>
      <c r="M26" s="148">
        <f>'Parameters, country spec'!C21</f>
        <v>6.029992977299907E-2</v>
      </c>
      <c r="O26" s="258">
        <f>K26*M26/K29*100</f>
        <v>43.473667061602555</v>
      </c>
    </row>
    <row r="27" spans="1:15" x14ac:dyDescent="0.3">
      <c r="B27" s="16" t="s">
        <v>182</v>
      </c>
      <c r="C27" s="16" t="s">
        <v>392</v>
      </c>
      <c r="D27" s="22" t="s">
        <v>33</v>
      </c>
      <c r="E27" s="22" t="s">
        <v>85</v>
      </c>
      <c r="F27" s="20">
        <v>0.71560643205922203</v>
      </c>
      <c r="G27" s="20">
        <v>1.1762359809494499E-2</v>
      </c>
      <c r="H27" s="20">
        <v>1.0762943616530901E-3</v>
      </c>
      <c r="I27" s="27">
        <v>5.84130938950317E-4</v>
      </c>
      <c r="J27" s="27">
        <v>0.12730102628270801</v>
      </c>
      <c r="K27" s="27">
        <v>8.9554252360338206E-14</v>
      </c>
      <c r="L27" s="27">
        <v>7.1508799141679696E-4</v>
      </c>
      <c r="M27" s="148">
        <f>'Parameters, country spec'!C22</f>
        <v>1.202935742430772E-2</v>
      </c>
      <c r="O27" s="258">
        <f>K27*M27/K29*100</f>
        <v>5.3365505902597645E-3</v>
      </c>
    </row>
    <row r="28" spans="1:15" x14ac:dyDescent="0.3">
      <c r="A28" s="81"/>
      <c r="B28" s="16" t="s">
        <v>393</v>
      </c>
      <c r="C28" s="82" t="s">
        <v>394</v>
      </c>
      <c r="D28" s="22" t="s">
        <v>33</v>
      </c>
      <c r="E28" s="22" t="s">
        <v>85</v>
      </c>
      <c r="F28" s="104">
        <f t="shared" ref="F28:L28" si="1">AVERAGE(F18:F26)</f>
        <v>2.0211846148645467</v>
      </c>
      <c r="G28" s="104">
        <f t="shared" si="1"/>
        <v>2.137646364470315E-2</v>
      </c>
      <c r="H28" s="104">
        <f t="shared" si="1"/>
        <v>2.8193336599028917E-3</v>
      </c>
      <c r="I28" s="104">
        <f t="shared" si="1"/>
        <v>8.8796020531593778E-4</v>
      </c>
      <c r="J28" s="166">
        <f t="shared" si="1"/>
        <v>0.45809935394494716</v>
      </c>
      <c r="K28" s="166">
        <f t="shared" si="1"/>
        <v>3.1926027970201634E-11</v>
      </c>
      <c r="L28" s="166">
        <f t="shared" si="1"/>
        <v>8.3422545726631451E-4</v>
      </c>
      <c r="M28" s="148">
        <f>'Parameters, country spec'!C23</f>
        <v>3.491384985363475E-3</v>
      </c>
      <c r="O28" s="258">
        <f>K28*M28/K29*100</f>
        <v>0.55217230336545686</v>
      </c>
    </row>
    <row r="29" spans="1:15" x14ac:dyDescent="0.3">
      <c r="A29" s="147"/>
      <c r="B29" s="24" t="s">
        <v>395</v>
      </c>
      <c r="C29" s="25"/>
      <c r="D29" s="100"/>
      <c r="E29" s="100"/>
      <c r="F29" s="29">
        <f>SUMPRODUCT(F18:F28,M18:M28)</f>
        <v>1.4125339625846427</v>
      </c>
      <c r="G29" s="29">
        <f>SUMPRODUCT(G18:G28,M18:M28)</f>
        <v>2.3403640485807401E-2</v>
      </c>
      <c r="H29" s="29">
        <f>SUMPRODUCT(H18:H28,M18:M28)</f>
        <v>3.104153543918413E-3</v>
      </c>
      <c r="I29" s="29">
        <f>SUMPRODUCT(I18:I28,M18:M28)</f>
        <v>6.480540975945246E-4</v>
      </c>
      <c r="J29" s="29">
        <f>SUMPRODUCT(J18:J28,M18:M28)</f>
        <v>0.40850562563102111</v>
      </c>
      <c r="K29" s="29">
        <f>SUMPRODUCT(K18:K28,M18:M28)</f>
        <v>2.0186824659273461E-11</v>
      </c>
      <c r="L29" s="29">
        <f>SUMPRODUCT(L18:L28,M18:M28)</f>
        <v>1.2510952970154201E-3</v>
      </c>
      <c r="M29" s="149"/>
    </row>
    <row r="30" spans="1:15" x14ac:dyDescent="0.3">
      <c r="A30" s="21" t="s">
        <v>381</v>
      </c>
      <c r="B30" s="16" t="s">
        <v>169</v>
      </c>
      <c r="C30" s="16" t="s">
        <v>382</v>
      </c>
      <c r="D30" s="22" t="s">
        <v>31</v>
      </c>
      <c r="E30" s="22" t="s">
        <v>86</v>
      </c>
      <c r="F30" s="23">
        <v>3.52</v>
      </c>
      <c r="G30" s="39">
        <v>2.1000000000000001E-2</v>
      </c>
      <c r="H30" s="39">
        <v>3.0999999999999999E-3</v>
      </c>
      <c r="I30" s="20">
        <v>0</v>
      </c>
      <c r="J30" s="27">
        <v>0.16</v>
      </c>
      <c r="K30" s="27">
        <v>1.6579181992982199E-10</v>
      </c>
      <c r="L30" s="27">
        <v>1.25E-3</v>
      </c>
      <c r="M30" s="148">
        <f>'Parameters, country spec'!D13</f>
        <v>0.17624165446480369</v>
      </c>
      <c r="O30" s="258">
        <f>K30*M30/K41*100</f>
        <v>29.421877858226903</v>
      </c>
    </row>
    <row r="31" spans="1:15" x14ac:dyDescent="0.3">
      <c r="A31" s="21" t="s">
        <v>383</v>
      </c>
      <c r="B31" s="16" t="s">
        <v>171</v>
      </c>
      <c r="C31" s="16" t="s">
        <v>382</v>
      </c>
      <c r="D31" s="22" t="s">
        <v>31</v>
      </c>
      <c r="E31" s="22" t="s">
        <v>86</v>
      </c>
      <c r="F31" s="20">
        <v>0.93</v>
      </c>
      <c r="G31" s="39">
        <v>0.02</v>
      </c>
      <c r="H31" s="39">
        <v>5.5999999999999999E-3</v>
      </c>
      <c r="I31" s="20">
        <v>0.28261914165931901</v>
      </c>
      <c r="J31" s="27">
        <v>0.05</v>
      </c>
      <c r="K31" s="27">
        <v>4.3581463588055697E-11</v>
      </c>
      <c r="L31" s="27">
        <v>1.2099999999999999E-3</v>
      </c>
      <c r="M31" s="148">
        <f>'Parameters, country spec'!D14</f>
        <v>0.52712316765456624</v>
      </c>
      <c r="O31" s="258">
        <f>K31*M31/K41*100</f>
        <v>23.131971234458888</v>
      </c>
    </row>
    <row r="32" spans="1:15" x14ac:dyDescent="0.3">
      <c r="A32" s="21" t="s">
        <v>384</v>
      </c>
      <c r="B32" s="16" t="s">
        <v>172</v>
      </c>
      <c r="C32" s="16" t="s">
        <v>382</v>
      </c>
      <c r="D32" s="22" t="s">
        <v>31</v>
      </c>
      <c r="E32" s="22" t="s">
        <v>86</v>
      </c>
      <c r="F32" s="20">
        <v>7.57</v>
      </c>
      <c r="G32" s="39">
        <v>1.7999999999999999E-2</v>
      </c>
      <c r="H32" s="39">
        <v>3.8E-3</v>
      </c>
      <c r="I32" s="20">
        <v>0.100478034399725</v>
      </c>
      <c r="J32" s="27">
        <v>0</v>
      </c>
      <c r="K32" s="27">
        <v>3.56567929718501E-10</v>
      </c>
      <c r="L32" s="27">
        <v>1.1000000000000001E-3</v>
      </c>
      <c r="M32" s="148">
        <f>'Parameters, country spec'!D15</f>
        <v>4.7896893432639032E-2</v>
      </c>
      <c r="O32" s="258">
        <f>K32*M32/K41*100</f>
        <v>17.196828251956727</v>
      </c>
    </row>
    <row r="33" spans="1:15" x14ac:dyDescent="0.3">
      <c r="A33" s="21" t="s">
        <v>385</v>
      </c>
      <c r="B33" s="16" t="s">
        <v>173</v>
      </c>
      <c r="C33" s="16" t="s">
        <v>382</v>
      </c>
      <c r="D33" s="22" t="s">
        <v>31</v>
      </c>
      <c r="E33" s="22" t="s">
        <v>86</v>
      </c>
      <c r="F33" s="20">
        <v>4.92</v>
      </c>
      <c r="G33" s="39">
        <v>1.6E-2</v>
      </c>
      <c r="H33" s="39">
        <v>1.1999999999999999E-3</v>
      </c>
      <c r="I33" s="20">
        <v>0</v>
      </c>
      <c r="J33" s="27">
        <v>0</v>
      </c>
      <c r="K33" s="27">
        <v>2.31776526790613E-10</v>
      </c>
      <c r="L33" s="27">
        <v>9.68E-4</v>
      </c>
      <c r="M33" s="148">
        <f>'Parameters, country spec'!D16</f>
        <v>1.056436574017274E-2</v>
      </c>
      <c r="O33" s="258">
        <f>K33*M33/K41*100</f>
        <v>2.4655374692166987</v>
      </c>
    </row>
    <row r="34" spans="1:15" x14ac:dyDescent="0.3">
      <c r="A34" s="21" t="s">
        <v>386</v>
      </c>
      <c r="B34" s="16" t="s">
        <v>174</v>
      </c>
      <c r="C34" s="16" t="s">
        <v>382</v>
      </c>
      <c r="D34" s="22" t="s">
        <v>31</v>
      </c>
      <c r="E34" s="22" t="s">
        <v>86</v>
      </c>
      <c r="F34" s="20">
        <v>3.48</v>
      </c>
      <c r="G34" s="39">
        <v>2.4E-2</v>
      </c>
      <c r="H34" s="39">
        <v>2.2000000000000001E-3</v>
      </c>
      <c r="I34" s="20">
        <v>2.88183040755794E-2</v>
      </c>
      <c r="J34" s="27">
        <v>0.1</v>
      </c>
      <c r="K34" s="27">
        <v>1.6393528221352399E-10</v>
      </c>
      <c r="L34" s="27">
        <v>1.4300000000000001E-3</v>
      </c>
      <c r="M34" s="148">
        <f>'Parameters, country spec'!D17</f>
        <v>7.5759890638728566E-3</v>
      </c>
      <c r="O34" s="258">
        <f>K34*M34/K41*100</f>
        <v>1.25057718103131</v>
      </c>
    </row>
    <row r="35" spans="1:15" x14ac:dyDescent="0.3">
      <c r="A35" s="21" t="s">
        <v>387</v>
      </c>
      <c r="B35" s="16" t="s">
        <v>175</v>
      </c>
      <c r="C35" s="16" t="s">
        <v>388</v>
      </c>
      <c r="D35" s="22" t="s">
        <v>31</v>
      </c>
      <c r="E35" s="22" t="s">
        <v>86</v>
      </c>
      <c r="F35" s="20">
        <v>6.17</v>
      </c>
      <c r="G35" s="39">
        <v>3.9E-2</v>
      </c>
      <c r="H35" s="39">
        <v>1.6999999999999999E-3</v>
      </c>
      <c r="I35" s="20">
        <v>0.17626378095829701</v>
      </c>
      <c r="J35" s="27">
        <v>0.49</v>
      </c>
      <c r="K35" s="27">
        <v>2.9068588123452401E-10</v>
      </c>
      <c r="L35" s="27">
        <v>0</v>
      </c>
      <c r="M35" s="148">
        <f>'Parameters, country spec'!D18</f>
        <v>5.2541698729789991E-4</v>
      </c>
      <c r="O35" s="258">
        <f>K35*M35/K41*100</f>
        <v>0.15378953240799026</v>
      </c>
    </row>
    <row r="36" spans="1:15" x14ac:dyDescent="0.3">
      <c r="A36" s="21" t="s">
        <v>389</v>
      </c>
      <c r="B36" s="16" t="s">
        <v>176</v>
      </c>
      <c r="C36" s="16" t="s">
        <v>388</v>
      </c>
      <c r="D36" s="22" t="s">
        <v>31</v>
      </c>
      <c r="E36" s="22" t="s">
        <v>86</v>
      </c>
      <c r="F36" s="20">
        <v>3.82</v>
      </c>
      <c r="G36" s="39">
        <v>0.01</v>
      </c>
      <c r="H36" s="39">
        <v>2E-3</v>
      </c>
      <c r="I36" s="20">
        <v>0.29659992963884502</v>
      </c>
      <c r="J36" s="27">
        <v>1.05</v>
      </c>
      <c r="K36" s="27">
        <v>1.80003018221698E-10</v>
      </c>
      <c r="L36" s="27">
        <v>6.1400000000000002E-5</v>
      </c>
      <c r="M36" s="148">
        <f>'Parameters, country spec'!D19</f>
        <v>5.1613262720405463E-4</v>
      </c>
      <c r="O36" s="258">
        <f>K36*M36/K41*100</f>
        <v>9.3549146431641084E-2</v>
      </c>
    </row>
    <row r="37" spans="1:15" x14ac:dyDescent="0.3">
      <c r="B37" s="17" t="s">
        <v>178</v>
      </c>
      <c r="C37" s="16" t="s">
        <v>390</v>
      </c>
      <c r="D37" s="22" t="s">
        <v>466</v>
      </c>
      <c r="E37" s="22"/>
      <c r="F37" s="18">
        <f>'Off-farm feed'!$F$88</f>
        <v>1.5397450382845068</v>
      </c>
      <c r="G37" s="19">
        <f>'Off-farm feed'!$G$88</f>
        <v>2.276724967641296E-2</v>
      </c>
      <c r="H37" s="19">
        <f>'Off-farm feed'!$H$88</f>
        <v>2.4780679919905292E-3</v>
      </c>
      <c r="I37" s="19">
        <f>'Off-farm feed'!$I$88</f>
        <v>8.1100925319702543E-4</v>
      </c>
      <c r="J37" s="18">
        <f>'Off-farm feed'!$J$88</f>
        <v>0.29368572248181479</v>
      </c>
      <c r="K37" s="28">
        <f>'Off-farm feed'!$K$88</f>
        <v>1.2571008272056975E-11</v>
      </c>
      <c r="L37" s="28">
        <f>'Off-farm feed'!$L$88</f>
        <v>1.3841258986185109E-3</v>
      </c>
      <c r="M37" s="148">
        <f>'Parameters, country spec'!D20</f>
        <v>5.7339277577128883E-4</v>
      </c>
      <c r="O37" s="258">
        <f>K37*M37/K41*100</f>
        <v>7.2580684107507974E-3</v>
      </c>
    </row>
    <row r="38" spans="1:15" x14ac:dyDescent="0.3">
      <c r="B38" s="17" t="s">
        <v>391</v>
      </c>
      <c r="C38" s="16" t="s">
        <v>390</v>
      </c>
      <c r="D38" s="22" t="s">
        <v>442</v>
      </c>
      <c r="E38" s="22"/>
      <c r="F38" s="18">
        <f>'Off-farm feed'!$F$36</f>
        <v>2.5509164954964105</v>
      </c>
      <c r="G38" s="19">
        <f>'Off-farm feed'!$G$36</f>
        <v>4.2620923125915401E-2</v>
      </c>
      <c r="H38" s="19">
        <f>'Off-farm feed'!$H$36</f>
        <v>3.2959349471355006E-3</v>
      </c>
      <c r="I38" s="19">
        <f>'Off-farm feed'!$I$36</f>
        <v>2.435286335413451E-3</v>
      </c>
      <c r="J38" s="18">
        <f>'Off-farm feed'!$J$36</f>
        <v>0.25920846302270906</v>
      </c>
      <c r="K38" s="28">
        <f>'Off-farm feed'!$K$36</f>
        <v>1.4553836091881654E-10</v>
      </c>
      <c r="L38" s="28">
        <f>'Off-farm feed'!$L$36</f>
        <v>1.0450321677831977E-4</v>
      </c>
      <c r="M38" s="148">
        <f>'Parameters, country spec'!D21</f>
        <v>0.10103549928103911</v>
      </c>
      <c r="O38" s="258">
        <f>K38*M38/K41*100</f>
        <v>14.806424609615942</v>
      </c>
    </row>
    <row r="39" spans="1:15" x14ac:dyDescent="0.3">
      <c r="B39" s="16" t="s">
        <v>182</v>
      </c>
      <c r="C39" s="16" t="s">
        <v>392</v>
      </c>
      <c r="D39" s="22" t="s">
        <v>31</v>
      </c>
      <c r="E39" s="22" t="s">
        <v>86</v>
      </c>
      <c r="F39" s="20">
        <v>1.43592271757031</v>
      </c>
      <c r="G39" s="20">
        <v>1.1762359809494499E-2</v>
      </c>
      <c r="H39" s="20">
        <v>1.0762943616530901E-3</v>
      </c>
      <c r="I39" s="27">
        <v>9.8109096190169207E-3</v>
      </c>
      <c r="J39" s="27">
        <v>7.0359101380209704E-2</v>
      </c>
      <c r="K39" s="27">
        <v>5.88869936798157E-13</v>
      </c>
      <c r="L39" s="27">
        <v>7.1508799141679696E-4</v>
      </c>
      <c r="M39" s="148">
        <f>'Parameters, country spec'!D22</f>
        <v>6.3687941219233005E-2</v>
      </c>
      <c r="O39" s="258">
        <f>K39*M39/K41*100</f>
        <v>3.7763768045663074E-2</v>
      </c>
    </row>
    <row r="40" spans="1:15" x14ac:dyDescent="0.3">
      <c r="A40" s="81"/>
      <c r="B40" s="16" t="s">
        <v>393</v>
      </c>
      <c r="C40" s="82" t="s">
        <v>394</v>
      </c>
      <c r="D40" s="22" t="s">
        <v>31</v>
      </c>
      <c r="E40" s="22" t="s">
        <v>86</v>
      </c>
      <c r="F40" s="104">
        <f t="shared" ref="F40:L40" si="2">AVERAGE(F30:F38)</f>
        <v>3.833406837086768</v>
      </c>
      <c r="G40" s="104">
        <f t="shared" si="2"/>
        <v>2.3709796978036487E-2</v>
      </c>
      <c r="H40" s="104">
        <f t="shared" si="2"/>
        <v>2.8193336599028917E-3</v>
      </c>
      <c r="I40" s="104">
        <f t="shared" si="2"/>
        <v>9.8669498480041765E-2</v>
      </c>
      <c r="J40" s="166">
        <f t="shared" si="2"/>
        <v>0.26698824283383599</v>
      </c>
      <c r="K40" s="166">
        <f t="shared" si="2"/>
        <v>1.7671681009862347E-10</v>
      </c>
      <c r="L40" s="166">
        <f t="shared" si="2"/>
        <v>8.3422545726631451E-4</v>
      </c>
      <c r="M40" s="148">
        <f>'Parameters, country spec'!D23</f>
        <v>6.4259546753399996E-2</v>
      </c>
      <c r="O40" s="258">
        <f>K40*M40/K41*100</f>
        <v>11.434422880197484</v>
      </c>
    </row>
    <row r="41" spans="1:15" x14ac:dyDescent="0.3">
      <c r="A41" s="147"/>
      <c r="B41" s="24" t="s">
        <v>395</v>
      </c>
      <c r="C41" s="25"/>
      <c r="D41" s="100"/>
      <c r="E41" s="100"/>
      <c r="F41" s="29">
        <f>SUMPRODUCT(F30:F40,M30:M40)</f>
        <v>2.1531291716841681</v>
      </c>
      <c r="G41" s="29">
        <f>SUMPRODUCT(G30:G40,M30:M40)</f>
        <v>2.2074170468696672E-2</v>
      </c>
      <c r="H41" s="29">
        <f>SUMPRODUCT(H30:H40,M30:M40)</f>
        <v>4.2956603661496884E-3</v>
      </c>
      <c r="I41" s="29">
        <f>SUMPRODUCT(I30:I40,M30:M40)</f>
        <v>0.16146351622290292</v>
      </c>
      <c r="J41" s="29">
        <f>SUMPRODUCT(J30:J40,M30:M40)</f>
        <v>0.10410703912274268</v>
      </c>
      <c r="K41" s="29">
        <f>SUMPRODUCT(K30:K40,M30:M40)</f>
        <v>9.9311895664716556E-11</v>
      </c>
      <c r="L41" s="29">
        <f>SUMPRODUCT(L30:L40,M30:M40)</f>
        <v>1.04240095887278E-3</v>
      </c>
      <c r="M41" s="149"/>
    </row>
    <row r="42" spans="1:15" x14ac:dyDescent="0.3">
      <c r="A42" s="21" t="s">
        <v>381</v>
      </c>
      <c r="B42" s="16" t="s">
        <v>169</v>
      </c>
      <c r="C42" s="16" t="s">
        <v>382</v>
      </c>
      <c r="D42" s="22" t="s">
        <v>35</v>
      </c>
      <c r="E42" s="22" t="s">
        <v>87</v>
      </c>
      <c r="F42" s="23">
        <v>1.81</v>
      </c>
      <c r="G42" s="39">
        <v>2.1000000000000001E-2</v>
      </c>
      <c r="H42" s="39">
        <v>3.0999999999999999E-3</v>
      </c>
      <c r="I42" s="20">
        <v>1.0452328693124401E-3</v>
      </c>
      <c r="J42" s="27">
        <v>0.15</v>
      </c>
      <c r="K42" s="27">
        <v>2.2735984999651601E-11</v>
      </c>
      <c r="L42" s="27">
        <v>1.25E-3</v>
      </c>
      <c r="M42" s="148">
        <f>'Parameters, country spec'!E13</f>
        <v>9.4621646910172968E-2</v>
      </c>
      <c r="O42" s="258">
        <f>K42*M42/K53*100</f>
        <v>7.2372710834624234</v>
      </c>
    </row>
    <row r="43" spans="1:15" x14ac:dyDescent="0.3">
      <c r="A43" s="21" t="s">
        <v>383</v>
      </c>
      <c r="B43" s="16" t="s">
        <v>171</v>
      </c>
      <c r="C43" s="16" t="s">
        <v>382</v>
      </c>
      <c r="D43" s="22" t="s">
        <v>35</v>
      </c>
      <c r="E43" s="22" t="s">
        <v>87</v>
      </c>
      <c r="F43" s="20">
        <v>1.32</v>
      </c>
      <c r="G43" s="39">
        <v>0.02</v>
      </c>
      <c r="H43" s="39">
        <v>5.5999999999999999E-3</v>
      </c>
      <c r="I43" s="20">
        <v>1.11447318385697E-3</v>
      </c>
      <c r="J43" s="27">
        <v>0.13</v>
      </c>
      <c r="K43" s="27">
        <v>1.6571915366398901E-11</v>
      </c>
      <c r="L43" s="27">
        <v>1.2099999999999999E-3</v>
      </c>
      <c r="M43" s="148">
        <f>'Parameters, country spec'!E14</f>
        <v>0.56124001601073992</v>
      </c>
      <c r="O43" s="258">
        <f>K43*M43/K53*100</f>
        <v>31.289015493123379</v>
      </c>
    </row>
    <row r="44" spans="1:15" x14ac:dyDescent="0.3">
      <c r="A44" s="21" t="s">
        <v>384</v>
      </c>
      <c r="B44" s="16" t="s">
        <v>172</v>
      </c>
      <c r="C44" s="16" t="s">
        <v>382</v>
      </c>
      <c r="D44" s="22" t="s">
        <v>35</v>
      </c>
      <c r="E44" s="22" t="s">
        <v>87</v>
      </c>
      <c r="F44" s="20">
        <v>3.46</v>
      </c>
      <c r="G44" s="39">
        <v>1.7999999999999999E-2</v>
      </c>
      <c r="H44" s="39">
        <v>3.8E-3</v>
      </c>
      <c r="I44" s="20">
        <v>8.2864606852449292E-3</v>
      </c>
      <c r="J44" s="27">
        <v>0</v>
      </c>
      <c r="K44" s="27">
        <v>4.3463909522426497E-11</v>
      </c>
      <c r="L44" s="27">
        <v>1.1000000000000001E-3</v>
      </c>
      <c r="M44" s="148">
        <f>'Parameters, country spec'!E15</f>
        <v>5.0680010317105902E-2</v>
      </c>
      <c r="O44" s="258">
        <f>K44*M44/K53*100</f>
        <v>7.4103043594532876</v>
      </c>
    </row>
    <row r="45" spans="1:15" x14ac:dyDescent="0.3">
      <c r="A45" s="21" t="s">
        <v>385</v>
      </c>
      <c r="B45" s="16" t="s">
        <v>173</v>
      </c>
      <c r="C45" s="16" t="s">
        <v>382</v>
      </c>
      <c r="D45" s="22" t="s">
        <v>35</v>
      </c>
      <c r="E45" s="22" t="s">
        <v>87</v>
      </c>
      <c r="F45" s="20">
        <v>3</v>
      </c>
      <c r="G45" s="39">
        <v>1.6E-2</v>
      </c>
      <c r="H45" s="39">
        <v>1.1999999999999999E-3</v>
      </c>
      <c r="I45" s="20">
        <v>1.5128620488640199E-5</v>
      </c>
      <c r="J45" s="27">
        <v>7.0000000000000007E-2</v>
      </c>
      <c r="K45" s="27">
        <v>3.7695615589001398E-11</v>
      </c>
      <c r="L45" s="27">
        <v>9.68E-4</v>
      </c>
      <c r="M45" s="148">
        <f>'Parameters, country spec'!E16</f>
        <v>1.9697569305132029E-2</v>
      </c>
      <c r="O45" s="258">
        <f>K45*M45/K53*100</f>
        <v>2.4978942050128676</v>
      </c>
    </row>
    <row r="46" spans="1:15" x14ac:dyDescent="0.3">
      <c r="A46" s="21" t="s">
        <v>386</v>
      </c>
      <c r="B46" s="16" t="s">
        <v>174</v>
      </c>
      <c r="C46" s="16" t="s">
        <v>382</v>
      </c>
      <c r="D46" s="22" t="s">
        <v>35</v>
      </c>
      <c r="E46" s="22" t="s">
        <v>87</v>
      </c>
      <c r="F46" s="20">
        <v>1.84</v>
      </c>
      <c r="G46" s="39">
        <v>2.4E-2</v>
      </c>
      <c r="H46" s="39">
        <v>2.2000000000000001E-3</v>
      </c>
      <c r="I46" s="20">
        <v>1.8303202859960401E-3</v>
      </c>
      <c r="J46" s="27">
        <v>0.18</v>
      </c>
      <c r="K46" s="27">
        <v>2.3049047763436501E-11</v>
      </c>
      <c r="L46" s="27">
        <v>1.4300000000000001E-3</v>
      </c>
      <c r="M46" s="148">
        <f>'Parameters, country spec'!E17</f>
        <v>8.8612672319940383E-2</v>
      </c>
      <c r="O46" s="258">
        <f>K46*M46/K53*100</f>
        <v>6.8709910855173248</v>
      </c>
    </row>
    <row r="47" spans="1:15" x14ac:dyDescent="0.3">
      <c r="A47" s="21" t="s">
        <v>387</v>
      </c>
      <c r="B47" s="16" t="s">
        <v>175</v>
      </c>
      <c r="C47" s="16" t="s">
        <v>388</v>
      </c>
      <c r="D47" s="22" t="s">
        <v>35</v>
      </c>
      <c r="E47" s="22" t="s">
        <v>87</v>
      </c>
      <c r="F47" s="20">
        <v>4.21</v>
      </c>
      <c r="G47" s="39">
        <v>2.7E-2</v>
      </c>
      <c r="H47" s="39">
        <v>1.6999999999999999E-3</v>
      </c>
      <c r="I47" s="20">
        <v>7.7181929809216496E-2</v>
      </c>
      <c r="J47" s="27">
        <v>1.01</v>
      </c>
      <c r="K47" s="27">
        <v>5.2926507556255198E-11</v>
      </c>
      <c r="L47" s="27">
        <v>0</v>
      </c>
      <c r="M47" s="148">
        <f>'Parameters, country spec'!E18</f>
        <v>9.055122364146367E-4</v>
      </c>
      <c r="O47" s="258">
        <f>K47*M47/K53*100</f>
        <v>0.16122713030573249</v>
      </c>
    </row>
    <row r="48" spans="1:15" x14ac:dyDescent="0.3">
      <c r="A48" s="21" t="s">
        <v>389</v>
      </c>
      <c r="B48" s="16" t="s">
        <v>176</v>
      </c>
      <c r="C48" s="16" t="s">
        <v>388</v>
      </c>
      <c r="D48" s="22" t="s">
        <v>35</v>
      </c>
      <c r="E48" s="22" t="s">
        <v>87</v>
      </c>
      <c r="F48" s="20">
        <v>5.26</v>
      </c>
      <c r="G48" s="39">
        <v>1.4E-2</v>
      </c>
      <c r="H48" s="39">
        <v>2E-3</v>
      </c>
      <c r="I48" s="20">
        <v>0.145412447441433</v>
      </c>
      <c r="J48" s="27">
        <v>1.01</v>
      </c>
      <c r="K48" s="27">
        <v>6.6044843772260198E-11</v>
      </c>
      <c r="L48" s="27">
        <v>6.1400000000000002E-5</v>
      </c>
      <c r="M48" s="148">
        <f>'Parameters, country spec'!E19</f>
        <v>8.8951141806825748E-4</v>
      </c>
      <c r="O48" s="258">
        <f>K48*M48/K53*100</f>
        <v>0.19763370288569426</v>
      </c>
    </row>
    <row r="49" spans="1:15" x14ac:dyDescent="0.3">
      <c r="B49" s="17" t="s">
        <v>178</v>
      </c>
      <c r="C49" s="16" t="s">
        <v>390</v>
      </c>
      <c r="D49" s="22" t="s">
        <v>466</v>
      </c>
      <c r="E49" s="22"/>
      <c r="F49" s="18">
        <f>'Off-farm feed'!$F$88</f>
        <v>1.5397450382845068</v>
      </c>
      <c r="G49" s="19">
        <f>'Off-farm feed'!$G$88</f>
        <v>2.276724967641296E-2</v>
      </c>
      <c r="H49" s="19">
        <f>'Off-farm feed'!$H$88</f>
        <v>2.4780679919905292E-3</v>
      </c>
      <c r="I49" s="19">
        <f>'Off-farm feed'!$I$88</f>
        <v>8.1100925319702543E-4</v>
      </c>
      <c r="J49" s="18">
        <f>'Off-farm feed'!$J$88</f>
        <v>0.29368572248181479</v>
      </c>
      <c r="K49" s="28">
        <f>'Off-farm feed'!$K$88</f>
        <v>1.2571008272056975E-11</v>
      </c>
      <c r="L49" s="28">
        <f>'Off-farm feed'!$L$88</f>
        <v>1.3841258986185109E-3</v>
      </c>
      <c r="M49" s="148">
        <f>'Parameters, country spec'!E20</f>
        <v>3.9081132627509534E-4</v>
      </c>
      <c r="O49" s="258">
        <f>K49*M49/K53*100</f>
        <v>1.6527524787481832E-2</v>
      </c>
    </row>
    <row r="50" spans="1:15" x14ac:dyDescent="0.3">
      <c r="B50" s="17" t="s">
        <v>391</v>
      </c>
      <c r="C50" s="16" t="s">
        <v>390</v>
      </c>
      <c r="D50" s="22" t="s">
        <v>442</v>
      </c>
      <c r="E50" s="22"/>
      <c r="F50" s="18">
        <f>'Off-farm feed'!$F$36</f>
        <v>2.5509164954964105</v>
      </c>
      <c r="G50" s="19">
        <f>'Off-farm feed'!$G$36</f>
        <v>4.2620923125915401E-2</v>
      </c>
      <c r="H50" s="19">
        <f>'Off-farm feed'!$H$36</f>
        <v>3.2959349471355006E-3</v>
      </c>
      <c r="I50" s="19">
        <f>'Off-farm feed'!$I$36</f>
        <v>2.435286335413451E-3</v>
      </c>
      <c r="J50" s="18">
        <f>'Off-farm feed'!$J$36</f>
        <v>0.25920846302270906</v>
      </c>
      <c r="K50" s="28">
        <f>'Off-farm feed'!$K$36</f>
        <v>1.4553836091881654E-10</v>
      </c>
      <c r="L50" s="28">
        <f>'Off-farm feed'!$L$36</f>
        <v>1.0450321677831977E-4</v>
      </c>
      <c r="M50" s="148">
        <f>'Parameters, country spec'!E21</f>
        <v>7.4520089695706837E-2</v>
      </c>
      <c r="O50" s="258">
        <f>K50*M50/K53*100</f>
        <v>36.4855932129134</v>
      </c>
    </row>
    <row r="51" spans="1:15" x14ac:dyDescent="0.3">
      <c r="B51" s="16" t="s">
        <v>182</v>
      </c>
      <c r="C51" s="16" t="s">
        <v>392</v>
      </c>
      <c r="D51" s="22" t="s">
        <v>35</v>
      </c>
      <c r="E51" s="22" t="s">
        <v>87</v>
      </c>
      <c r="F51" s="20">
        <v>0.91700426025091397</v>
      </c>
      <c r="G51" s="20">
        <v>1.1762359809494499E-2</v>
      </c>
      <c r="H51" s="20">
        <v>1.0762943616530901E-3</v>
      </c>
      <c r="I51" s="27">
        <v>1.01619563992494E-3</v>
      </c>
      <c r="J51" s="27">
        <v>9.0396112827555303E-2</v>
      </c>
      <c r="K51" s="27">
        <v>1.1960625691745099E-13</v>
      </c>
      <c r="L51" s="27">
        <v>7.1508799141679696E-4</v>
      </c>
      <c r="M51" s="148">
        <f>'Parameters, country spec'!E22</f>
        <v>5.8765674595574857E-2</v>
      </c>
      <c r="O51" s="258">
        <f>K51*M51/K53*100</f>
        <v>2.3645482941989607E-2</v>
      </c>
    </row>
    <row r="52" spans="1:15" x14ac:dyDescent="0.3">
      <c r="A52" s="81"/>
      <c r="B52" s="16" t="s">
        <v>393</v>
      </c>
      <c r="C52" s="82" t="s">
        <v>394</v>
      </c>
      <c r="D52" s="22" t="s">
        <v>35</v>
      </c>
      <c r="E52" s="22" t="s">
        <v>87</v>
      </c>
      <c r="F52" s="104">
        <f t="shared" ref="F52:L52" si="3">AVERAGE(F42:F50)</f>
        <v>2.7767401704201018</v>
      </c>
      <c r="G52" s="104">
        <f t="shared" si="3"/>
        <v>2.2820908089147596E-2</v>
      </c>
      <c r="H52" s="104">
        <f t="shared" si="3"/>
        <v>2.8193336599028917E-3</v>
      </c>
      <c r="I52" s="104">
        <f t="shared" si="3"/>
        <v>2.6459143164906555E-2</v>
      </c>
      <c r="J52" s="166">
        <f t="shared" si="3"/>
        <v>0.34476602061161377</v>
      </c>
      <c r="K52" s="166">
        <f t="shared" si="3"/>
        <v>4.6733021528922641E-11</v>
      </c>
      <c r="L52" s="166">
        <f t="shared" si="3"/>
        <v>8.3422545726631451E-4</v>
      </c>
      <c r="M52" s="148">
        <f>'Parameters, country spec'!E23</f>
        <v>4.9676485864869203E-2</v>
      </c>
      <c r="O52" s="258">
        <f>K52*M52/K53*100</f>
        <v>7.8098967195964182</v>
      </c>
    </row>
    <row r="53" spans="1:15" x14ac:dyDescent="0.3">
      <c r="A53" s="147"/>
      <c r="B53" s="24" t="s">
        <v>395</v>
      </c>
      <c r="C53" s="25"/>
      <c r="D53" s="100"/>
      <c r="E53" s="100"/>
      <c r="F53" s="29">
        <f>SUMPRODUCT(F42:F52,M42:M52)</f>
        <v>1.7006092429353452</v>
      </c>
      <c r="G53" s="29">
        <f>SUMPRODUCT(G42:G52,M42:M52)</f>
        <v>2.1612760566286731E-2</v>
      </c>
      <c r="H53" s="29">
        <f>SUMPRODUCT(H42:H52,M42:M52)</f>
        <v>4.3006441680555263E-3</v>
      </c>
      <c r="I53" s="29">
        <f>SUMPRODUCT(I42:I52,M42:M52)</f>
        <v>3.0619786805466437E-3</v>
      </c>
      <c r="J53" s="29">
        <f>SUMPRODUCT(J42:J52,M42:M52)</f>
        <v>0.14816650039967716</v>
      </c>
      <c r="K53" s="29">
        <f>SUMPRODUCT(K42:K52,M42:M52)</f>
        <v>2.9725518361581107E-11</v>
      </c>
      <c r="L53" s="29">
        <f>SUMPRODUCT(L42:L52,M42:M52)</f>
        <v>1.0907560123782677E-3</v>
      </c>
      <c r="M53" s="149"/>
    </row>
    <row r="54" spans="1:15" x14ac:dyDescent="0.3">
      <c r="A54" s="21" t="s">
        <v>381</v>
      </c>
      <c r="B54" s="16" t="s">
        <v>169</v>
      </c>
      <c r="C54" s="16" t="s">
        <v>382</v>
      </c>
      <c r="D54" s="22" t="s">
        <v>37</v>
      </c>
      <c r="E54" s="22" t="s">
        <v>88</v>
      </c>
      <c r="F54" s="23">
        <v>1.31</v>
      </c>
      <c r="G54" s="39">
        <v>2.1000000000000001E-2</v>
      </c>
      <c r="H54" s="39">
        <v>3.0999999999999999E-3</v>
      </c>
      <c r="I54" s="20">
        <v>0</v>
      </c>
      <c r="J54" s="27">
        <v>0.42</v>
      </c>
      <c r="K54" s="27">
        <v>5.7612832922940902E-12</v>
      </c>
      <c r="L54" s="27">
        <v>1.25E-3</v>
      </c>
      <c r="M54" s="148">
        <f>'Parameters, country spec'!F13</f>
        <v>1.5696345190060232E-2</v>
      </c>
      <c r="O54" s="258">
        <f>K54*M54/K65*100</f>
        <v>0.36092372163918274</v>
      </c>
    </row>
    <row r="55" spans="1:15" x14ac:dyDescent="0.3">
      <c r="A55" s="21" t="s">
        <v>383</v>
      </c>
      <c r="B55" s="16" t="s">
        <v>171</v>
      </c>
      <c r="C55" s="16" t="s">
        <v>382</v>
      </c>
      <c r="D55" s="22" t="s">
        <v>37</v>
      </c>
      <c r="E55" s="22" t="s">
        <v>88</v>
      </c>
      <c r="F55" s="20"/>
      <c r="G55" s="39"/>
      <c r="H55" s="39"/>
      <c r="I55" s="20">
        <v>0</v>
      </c>
      <c r="J55" s="27"/>
      <c r="K55" s="27">
        <f>K58</f>
        <v>4.8031404240002003E-12</v>
      </c>
      <c r="L55" s="27"/>
      <c r="M55" s="148">
        <f>'Parameters, country spec'!F14</f>
        <v>4.3262189278547086E-3</v>
      </c>
      <c r="O55" s="258">
        <f>K55*M55/K65*100</f>
        <v>8.2933774589065853E-2</v>
      </c>
    </row>
    <row r="56" spans="1:15" x14ac:dyDescent="0.3">
      <c r="A56" s="21" t="s">
        <v>384</v>
      </c>
      <c r="B56" s="16" t="s">
        <v>172</v>
      </c>
      <c r="C56" s="16" t="s">
        <v>382</v>
      </c>
      <c r="D56" s="22" t="s">
        <v>37</v>
      </c>
      <c r="E56" s="22" t="s">
        <v>88</v>
      </c>
      <c r="F56" s="20">
        <v>1.31</v>
      </c>
      <c r="G56" s="39">
        <v>1.7999999999999999E-2</v>
      </c>
      <c r="H56" s="39">
        <v>3.8E-3</v>
      </c>
      <c r="I56" s="20">
        <v>1.4889164731429301E-5</v>
      </c>
      <c r="J56" s="27">
        <v>0.39</v>
      </c>
      <c r="K56" s="27">
        <v>5.73961935545369E-12</v>
      </c>
      <c r="L56" s="27">
        <v>1.1000000000000001E-3</v>
      </c>
      <c r="M56" s="148">
        <f>'Parameters, country spec'!F15</f>
        <v>9.0473725401480211E-4</v>
      </c>
      <c r="O56" s="258">
        <f>K56*M56/K65*100</f>
        <v>2.0725414262513769E-2</v>
      </c>
    </row>
    <row r="57" spans="1:15" x14ac:dyDescent="0.3">
      <c r="A57" s="21" t="s">
        <v>385</v>
      </c>
      <c r="B57" s="16" t="s">
        <v>173</v>
      </c>
      <c r="C57" s="16" t="s">
        <v>382</v>
      </c>
      <c r="D57" s="22" t="s">
        <v>37</v>
      </c>
      <c r="E57" s="22" t="s">
        <v>88</v>
      </c>
      <c r="F57" s="20">
        <v>3</v>
      </c>
      <c r="G57" s="39">
        <v>1.6E-2</v>
      </c>
      <c r="H57" s="39">
        <v>1.1999999999999999E-3</v>
      </c>
      <c r="I57" s="20">
        <v>0</v>
      </c>
      <c r="J57" s="27">
        <v>0</v>
      </c>
      <c r="K57" s="27">
        <v>1.31861462079891E-11</v>
      </c>
      <c r="L57" s="27">
        <v>9.68E-4</v>
      </c>
      <c r="M57" s="148">
        <f>'Parameters, country spec'!F16</f>
        <v>0</v>
      </c>
      <c r="O57" s="258">
        <f>K57*M57/K65*100</f>
        <v>0</v>
      </c>
    </row>
    <row r="58" spans="1:15" x14ac:dyDescent="0.3">
      <c r="A58" s="21" t="s">
        <v>386</v>
      </c>
      <c r="B58" s="16" t="s">
        <v>174</v>
      </c>
      <c r="C58" s="16" t="s">
        <v>382</v>
      </c>
      <c r="D58" s="22" t="s">
        <v>37</v>
      </c>
      <c r="E58" s="22" t="s">
        <v>88</v>
      </c>
      <c r="F58" s="20">
        <v>1.0900000000000001</v>
      </c>
      <c r="G58" s="39">
        <v>2.4E-2</v>
      </c>
      <c r="H58" s="39">
        <v>2.2000000000000001E-3</v>
      </c>
      <c r="I58" s="20">
        <v>0</v>
      </c>
      <c r="J58" s="27">
        <v>0.54</v>
      </c>
      <c r="K58" s="27">
        <v>4.8031404240002003E-12</v>
      </c>
      <c r="L58" s="27">
        <v>1.4300000000000001E-3</v>
      </c>
      <c r="M58" s="148">
        <f>'Parameters, country spec'!F17</f>
        <v>6.7415867076212055E-3</v>
      </c>
      <c r="O58" s="258">
        <f>K58*M58/K65*100</f>
        <v>0.12923646299604849</v>
      </c>
    </row>
    <row r="59" spans="1:15" x14ac:dyDescent="0.3">
      <c r="A59" s="21" t="s">
        <v>387</v>
      </c>
      <c r="B59" s="16" t="s">
        <v>175</v>
      </c>
      <c r="C59" s="16" t="s">
        <v>388</v>
      </c>
      <c r="D59" s="22" t="s">
        <v>37</v>
      </c>
      <c r="E59" s="22" t="s">
        <v>88</v>
      </c>
      <c r="F59" s="20">
        <v>2.64</v>
      </c>
      <c r="G59" s="39">
        <v>1.7000000000000001E-2</v>
      </c>
      <c r="H59" s="39">
        <v>1.6999999999999999E-3</v>
      </c>
      <c r="I59" s="20">
        <v>0</v>
      </c>
      <c r="J59" s="27">
        <v>0.36</v>
      </c>
      <c r="K59" s="27">
        <v>1.16072067774388E-11</v>
      </c>
      <c r="L59" s="27">
        <v>0</v>
      </c>
      <c r="M59" s="148">
        <f>'Parameters, country spec'!F18</f>
        <v>1.9914212520241563E-4</v>
      </c>
      <c r="O59" s="258">
        <f>K59*M59/K65*100</f>
        <v>9.2254702758811456E-3</v>
      </c>
    </row>
    <row r="60" spans="1:15" x14ac:dyDescent="0.3">
      <c r="A60" s="21" t="s">
        <v>389</v>
      </c>
      <c r="B60" s="16" t="s">
        <v>176</v>
      </c>
      <c r="C60" s="16" t="s">
        <v>388</v>
      </c>
      <c r="D60" s="22" t="s">
        <v>37</v>
      </c>
      <c r="E60" s="22" t="s">
        <v>88</v>
      </c>
      <c r="F60" s="20">
        <v>2.09</v>
      </c>
      <c r="G60" s="39">
        <v>6.0000000000000001E-3</v>
      </c>
      <c r="H60" s="39">
        <v>2E-3</v>
      </c>
      <c r="I60" s="20">
        <v>0</v>
      </c>
      <c r="J60" s="27">
        <v>0.52</v>
      </c>
      <c r="K60" s="294">
        <v>9.1707084205748601E-12</v>
      </c>
      <c r="L60" s="27">
        <v>6.1400000000000002E-5</v>
      </c>
      <c r="M60" s="148">
        <f>'Parameters, country spec'!F19</f>
        <v>1.9562319212022632E-4</v>
      </c>
      <c r="O60" s="258">
        <f>K60*M60/K65*100</f>
        <v>7.1601295776781331E-3</v>
      </c>
    </row>
    <row r="61" spans="1:15" x14ac:dyDescent="0.3">
      <c r="B61" s="17" t="s">
        <v>178</v>
      </c>
      <c r="C61" s="16" t="s">
        <v>390</v>
      </c>
      <c r="D61" s="22" t="s">
        <v>466</v>
      </c>
      <c r="E61" s="22"/>
      <c r="F61" s="18">
        <f>'Off-farm feed'!$F$88</f>
        <v>1.5397450382845068</v>
      </c>
      <c r="G61" s="19">
        <f>'Off-farm feed'!$G$88</f>
        <v>2.276724967641296E-2</v>
      </c>
      <c r="H61" s="19">
        <f>'Off-farm feed'!$H$88</f>
        <v>2.4780679919905292E-3</v>
      </c>
      <c r="I61" s="19">
        <f>'Off-farm feed'!$I$88</f>
        <v>8.1100925319702543E-4</v>
      </c>
      <c r="J61" s="18">
        <f>'Off-farm feed'!$J$88</f>
        <v>0.29368572248181479</v>
      </c>
      <c r="K61" s="28">
        <f>'Off-farm feed'!$K$88</f>
        <v>1.2571008272056975E-11</v>
      </c>
      <c r="L61" s="28">
        <f>'Off-farm feed'!$L$88</f>
        <v>1.3841258986185109E-3</v>
      </c>
      <c r="M61" s="148">
        <f>'Parameters, country spec'!F20</f>
        <v>1.0661631618013182E-2</v>
      </c>
      <c r="O61" s="258">
        <f>K61*M61/K65*100</f>
        <v>0.53492320735406196</v>
      </c>
    </row>
    <row r="62" spans="1:15" x14ac:dyDescent="0.3">
      <c r="B62" s="17" t="s">
        <v>391</v>
      </c>
      <c r="C62" s="16" t="s">
        <v>390</v>
      </c>
      <c r="D62" s="22" t="s">
        <v>442</v>
      </c>
      <c r="E62" s="22"/>
      <c r="F62" s="18">
        <f>'Off-farm feed'!$F$36</f>
        <v>2.5509164954964105</v>
      </c>
      <c r="G62" s="19">
        <f>'Off-farm feed'!$G$36</f>
        <v>4.2620923125915401E-2</v>
      </c>
      <c r="H62" s="19">
        <f>'Off-farm feed'!$H$36</f>
        <v>3.2959349471355006E-3</v>
      </c>
      <c r="I62" s="19">
        <f>'Off-farm feed'!$I$36</f>
        <v>2.435286335413451E-3</v>
      </c>
      <c r="J62" s="18">
        <f>'Off-farm feed'!$J$36</f>
        <v>0.25920846302270906</v>
      </c>
      <c r="K62" s="28">
        <f>'Off-farm feed'!$K$36</f>
        <v>1.4553836091881654E-10</v>
      </c>
      <c r="L62" s="28">
        <f>'Off-farm feed'!$L$36</f>
        <v>1.0450321677831977E-4</v>
      </c>
      <c r="M62" s="148">
        <f>'Parameters, country spec'!F21</f>
        <v>2.0288138727708262E-2</v>
      </c>
      <c r="O62" s="258">
        <f>K62*M62/K65*100</f>
        <v>11.784667687379773</v>
      </c>
    </row>
    <row r="63" spans="1:15" x14ac:dyDescent="0.3">
      <c r="B63" s="16" t="s">
        <v>182</v>
      </c>
      <c r="C63" s="16" t="s">
        <v>392</v>
      </c>
      <c r="D63" s="22" t="s">
        <v>37</v>
      </c>
      <c r="E63" s="22" t="s">
        <v>88</v>
      </c>
      <c r="F63" s="20">
        <v>0.67046492048098005</v>
      </c>
      <c r="G63" s="20">
        <v>1.1762359809494499E-2</v>
      </c>
      <c r="H63" s="20">
        <v>1.0762943616530901E-3</v>
      </c>
      <c r="I63" s="27">
        <v>9.2235002991908105E-4</v>
      </c>
      <c r="J63" s="27">
        <v>0.204063323854693</v>
      </c>
      <c r="K63" s="27">
        <v>7.8344478125498505E-14</v>
      </c>
      <c r="L63" s="27">
        <v>7.1508799141679696E-4</v>
      </c>
      <c r="M63" s="148">
        <f>'Parameters, country spec'!F22</f>
        <v>2.0037841928894622E-2</v>
      </c>
      <c r="O63" s="258">
        <f>K63*M63/K65*100</f>
        <v>6.2655181639235009E-3</v>
      </c>
    </row>
    <row r="64" spans="1:15" x14ac:dyDescent="0.3">
      <c r="A64" s="81"/>
      <c r="B64" s="16" t="s">
        <v>393</v>
      </c>
      <c r="C64" s="82" t="s">
        <v>394</v>
      </c>
      <c r="D64" s="22" t="s">
        <v>37</v>
      </c>
      <c r="E64" s="22" t="s">
        <v>88</v>
      </c>
      <c r="F64" s="104">
        <f t="shared" ref="F64:L64" si="4">AVERAGE(F54:F62)</f>
        <v>1.9413326917226146</v>
      </c>
      <c r="G64" s="104">
        <f t="shared" si="4"/>
        <v>2.0923521600291047E-2</v>
      </c>
      <c r="H64" s="104">
        <f t="shared" si="4"/>
        <v>2.4717503673907541E-3</v>
      </c>
      <c r="I64" s="104">
        <f t="shared" si="4"/>
        <v>3.6235386148243394E-4</v>
      </c>
      <c r="J64" s="166">
        <f t="shared" si="4"/>
        <v>0.34786177318806549</v>
      </c>
      <c r="K64" s="166">
        <f>AVERAGE(K54:K62)</f>
        <v>2.3686734899180497E-11</v>
      </c>
      <c r="L64" s="166">
        <f t="shared" si="4"/>
        <v>7.8725363942460389E-4</v>
      </c>
      <c r="M64" s="148">
        <f>'Parameters, country spec'!F23</f>
        <v>0.92094873432851032</v>
      </c>
      <c r="O64" s="258">
        <f>K64*M64/K65*100</f>
        <v>87.063938613761877</v>
      </c>
    </row>
    <row r="65" spans="1:15" x14ac:dyDescent="0.3">
      <c r="A65" s="147"/>
      <c r="B65" s="24" t="s">
        <v>395</v>
      </c>
      <c r="C65" s="25"/>
      <c r="D65" s="100"/>
      <c r="E65" s="100"/>
      <c r="F65" s="29">
        <f>SUMPRODUCT(F54:F64,M54:M64)</f>
        <v>1.8995024327703636</v>
      </c>
      <c r="G65" s="29">
        <f>SUMPRODUCT(G54:G64,M54:M64)</f>
        <v>2.1124884027971129E-2</v>
      </c>
      <c r="H65" s="29">
        <f>SUMPRODUCT(H54:H64,M54:M64)</f>
        <v>2.4588685726205845E-3</v>
      </c>
      <c r="I65" s="29">
        <f>SUMPRODUCT(I54:I64,M54:M64)</f>
        <v>4.1025881390688637E-4</v>
      </c>
      <c r="J65" s="29">
        <f>SUMPRODUCT(J54:J64,M54:M64)</f>
        <v>0.34360105916345923</v>
      </c>
      <c r="K65" s="29">
        <f>SUMPRODUCT(K54:K64,M54:M64)</f>
        <v>2.5055457946313416E-11</v>
      </c>
      <c r="L65" s="29">
        <f>SUMPRODUCT(L54:L64,M54:M64)</f>
        <v>7.8649440188726142E-4</v>
      </c>
      <c r="M65" s="149"/>
    </row>
    <row r="66" spans="1:15" x14ac:dyDescent="0.3">
      <c r="A66" s="21" t="s">
        <v>381</v>
      </c>
      <c r="B66" s="16" t="s">
        <v>169</v>
      </c>
      <c r="C66" s="16" t="s">
        <v>382</v>
      </c>
      <c r="D66" s="22" t="s">
        <v>39</v>
      </c>
      <c r="E66" s="22" t="s">
        <v>89</v>
      </c>
      <c r="F66" s="23">
        <v>2.41</v>
      </c>
      <c r="G66" s="39">
        <v>2.1000000000000001E-2</v>
      </c>
      <c r="H66" s="39">
        <v>3.0999999999999999E-3</v>
      </c>
      <c r="I66" s="20">
        <v>0</v>
      </c>
      <c r="J66" s="27">
        <v>0.16</v>
      </c>
      <c r="K66" s="27">
        <v>1.2982658708553501E-10</v>
      </c>
      <c r="L66" s="27">
        <v>1.25E-3</v>
      </c>
      <c r="M66" s="148">
        <f>'Parameters, country spec'!G13</f>
        <v>8.7634739536272627E-2</v>
      </c>
      <c r="O66" s="258">
        <f>K66*M66/K77*100</f>
        <v>14.334356077177073</v>
      </c>
    </row>
    <row r="67" spans="1:15" x14ac:dyDescent="0.3">
      <c r="A67" s="21" t="s">
        <v>383</v>
      </c>
      <c r="B67" s="16" t="s">
        <v>171</v>
      </c>
      <c r="C67" s="16" t="s">
        <v>382</v>
      </c>
      <c r="D67" s="22" t="s">
        <v>39</v>
      </c>
      <c r="E67" s="22" t="s">
        <v>89</v>
      </c>
      <c r="F67" s="20">
        <v>0.97</v>
      </c>
      <c r="G67" s="39">
        <v>0.02</v>
      </c>
      <c r="H67" s="39">
        <v>5.5999999999999999E-3</v>
      </c>
      <c r="I67" s="20">
        <v>0.107875159755801</v>
      </c>
      <c r="J67" s="27">
        <v>0.19</v>
      </c>
      <c r="K67" s="27">
        <v>5.2310958852544699E-11</v>
      </c>
      <c r="L67" s="27">
        <v>1.2099999999999999E-3</v>
      </c>
      <c r="M67" s="148">
        <f>'Parameters, country spec'!G14</f>
        <v>0.57303226549823605</v>
      </c>
      <c r="O67" s="258">
        <f>K67*M67/K77*100</f>
        <v>37.766784038287739</v>
      </c>
    </row>
    <row r="68" spans="1:15" x14ac:dyDescent="0.3">
      <c r="A68" s="21" t="s">
        <v>384</v>
      </c>
      <c r="B68" s="16" t="s">
        <v>172</v>
      </c>
      <c r="C68" s="16" t="s">
        <v>382</v>
      </c>
      <c r="D68" s="22" t="s">
        <v>39</v>
      </c>
      <c r="E68" s="22" t="s">
        <v>89</v>
      </c>
      <c r="F68" s="20">
        <v>4.3099999999999996</v>
      </c>
      <c r="G68" s="39">
        <v>1.7999999999999999E-2</v>
      </c>
      <c r="H68" s="39">
        <v>3.8E-3</v>
      </c>
      <c r="I68" s="20">
        <v>7.4401097074734898E-2</v>
      </c>
      <c r="J68" s="27">
        <v>0</v>
      </c>
      <c r="K68" s="27">
        <v>2.3186915231965301E-10</v>
      </c>
      <c r="L68" s="27">
        <v>1.1000000000000001E-3</v>
      </c>
      <c r="M68" s="148">
        <f>'Parameters, country spec'!G15</f>
        <v>1.8199416246980425E-2</v>
      </c>
      <c r="O68" s="258">
        <f>K68*M68/K77*100</f>
        <v>5.3166574553479808</v>
      </c>
    </row>
    <row r="69" spans="1:15" x14ac:dyDescent="0.3">
      <c r="A69" s="21" t="s">
        <v>385</v>
      </c>
      <c r="B69" s="16" t="s">
        <v>173</v>
      </c>
      <c r="C69" s="16" t="s">
        <v>382</v>
      </c>
      <c r="D69" s="22" t="s">
        <v>39</v>
      </c>
      <c r="E69" s="22" t="s">
        <v>89</v>
      </c>
      <c r="F69" s="20">
        <v>3.11</v>
      </c>
      <c r="G69" s="39">
        <v>1.6E-2</v>
      </c>
      <c r="H69" s="39">
        <v>1.1999999999999999E-3</v>
      </c>
      <c r="I69" s="20">
        <v>0</v>
      </c>
      <c r="J69" s="27">
        <v>0</v>
      </c>
      <c r="K69" s="27">
        <v>1.67144331358802E-10</v>
      </c>
      <c r="L69" s="27">
        <v>9.68E-4</v>
      </c>
      <c r="M69" s="148">
        <f>'Parameters, country spec'!G16</f>
        <v>1.4500630224108487E-3</v>
      </c>
      <c r="O69" s="258">
        <f>K69*M69/K77*100</f>
        <v>0.30536325619894095</v>
      </c>
    </row>
    <row r="70" spans="1:15" x14ac:dyDescent="0.3">
      <c r="A70" s="21" t="s">
        <v>386</v>
      </c>
      <c r="B70" s="16" t="s">
        <v>174</v>
      </c>
      <c r="C70" s="16" t="s">
        <v>382</v>
      </c>
      <c r="D70" s="22" t="s">
        <v>39</v>
      </c>
      <c r="E70" s="22" t="s">
        <v>89</v>
      </c>
      <c r="F70" s="20">
        <v>2.5299999999999998</v>
      </c>
      <c r="G70" s="39">
        <v>2.4E-2</v>
      </c>
      <c r="H70" s="39">
        <v>2.2000000000000001E-3</v>
      </c>
      <c r="I70" s="20">
        <v>1.6090387365381601E-2</v>
      </c>
      <c r="J70" s="27">
        <v>0.1</v>
      </c>
      <c r="K70" s="27">
        <v>1.36259204994668E-10</v>
      </c>
      <c r="L70" s="27">
        <v>1.4300000000000001E-3</v>
      </c>
      <c r="M70" s="148">
        <f>'Parameters, country spec'!G17</f>
        <v>8.3008572023096597E-2</v>
      </c>
      <c r="O70" s="258">
        <f>K70*M70/K77*100</f>
        <v>14.250399559245682</v>
      </c>
    </row>
    <row r="71" spans="1:15" x14ac:dyDescent="0.3">
      <c r="A71" s="21" t="s">
        <v>387</v>
      </c>
      <c r="B71" s="16" t="s">
        <v>175</v>
      </c>
      <c r="C71" s="16" t="s">
        <v>388</v>
      </c>
      <c r="D71" s="22" t="s">
        <v>39</v>
      </c>
      <c r="E71" s="22" t="s">
        <v>89</v>
      </c>
      <c r="F71" s="20">
        <v>3.42</v>
      </c>
      <c r="G71" s="39">
        <v>2.1999999999999999E-2</v>
      </c>
      <c r="H71" s="39">
        <v>1.6999999999999999E-3</v>
      </c>
      <c r="I71" s="20">
        <v>0</v>
      </c>
      <c r="J71" s="27">
        <v>0.49</v>
      </c>
      <c r="K71" s="27">
        <v>1.8402051891719201E-10</v>
      </c>
      <c r="L71" s="27">
        <v>0</v>
      </c>
      <c r="M71" s="148">
        <f>'Parameters, country spec'!G18</f>
        <v>1.9271365501345272E-3</v>
      </c>
      <c r="O71" s="258">
        <f>K71*M71/K77*100</f>
        <v>0.44680393289755205</v>
      </c>
    </row>
    <row r="72" spans="1:15" x14ac:dyDescent="0.3">
      <c r="A72" s="21" t="s">
        <v>389</v>
      </c>
      <c r="B72" s="16" t="s">
        <v>176</v>
      </c>
      <c r="C72" s="16" t="s">
        <v>388</v>
      </c>
      <c r="D72" s="22" t="s">
        <v>39</v>
      </c>
      <c r="E72" s="22" t="s">
        <v>89</v>
      </c>
      <c r="F72" s="20">
        <v>5.13</v>
      </c>
      <c r="G72" s="39">
        <v>1.2999999999999999E-2</v>
      </c>
      <c r="H72" s="39">
        <v>2E-3</v>
      </c>
      <c r="I72" s="20">
        <v>0</v>
      </c>
      <c r="J72" s="27">
        <v>1.05</v>
      </c>
      <c r="K72" s="27">
        <v>2.7580913508766499E-10</v>
      </c>
      <c r="L72" s="27">
        <v>6.1400000000000002E-5</v>
      </c>
      <c r="M72" s="148">
        <f>'Parameters, country spec'!G19</f>
        <v>1.8930831597192171E-3</v>
      </c>
      <c r="O72" s="258">
        <f>K72*M72/K77*100</f>
        <v>0.65783440938362647</v>
      </c>
    </row>
    <row r="73" spans="1:15" x14ac:dyDescent="0.3">
      <c r="B73" s="17" t="s">
        <v>178</v>
      </c>
      <c r="C73" s="16" t="s">
        <v>390</v>
      </c>
      <c r="D73" s="22" t="s">
        <v>466</v>
      </c>
      <c r="E73" s="22"/>
      <c r="F73" s="18">
        <f>'Off-farm feed'!$F$88</f>
        <v>1.5397450382845068</v>
      </c>
      <c r="G73" s="19">
        <f>'Off-farm feed'!$G$88</f>
        <v>2.276724967641296E-2</v>
      </c>
      <c r="H73" s="19">
        <f>'Off-farm feed'!$H$88</f>
        <v>2.4780679919905292E-3</v>
      </c>
      <c r="I73" s="19">
        <f>'Off-farm feed'!$I$88</f>
        <v>8.1100925319702543E-4</v>
      </c>
      <c r="J73" s="18">
        <f>'Off-farm feed'!$J$88</f>
        <v>0.29368572248181479</v>
      </c>
      <c r="K73" s="28">
        <f>'Off-farm feed'!$K$88</f>
        <v>1.2571008272056975E-11</v>
      </c>
      <c r="L73" s="28">
        <f>'Off-farm feed'!$L$88</f>
        <v>1.3841258986185109E-3</v>
      </c>
      <c r="M73" s="148">
        <f>'Parameters, country spec'!G20</f>
        <v>3.2461288333790871E-3</v>
      </c>
      <c r="O73" s="258">
        <f>K73*M73/K77*100</f>
        <v>5.1413138055692538E-2</v>
      </c>
    </row>
    <row r="74" spans="1:15" x14ac:dyDescent="0.3">
      <c r="B74" s="17" t="s">
        <v>391</v>
      </c>
      <c r="C74" s="16" t="s">
        <v>390</v>
      </c>
      <c r="D74" s="22" t="s">
        <v>442</v>
      </c>
      <c r="E74" s="22"/>
      <c r="F74" s="18">
        <f>'Off-farm feed'!$F$36</f>
        <v>2.5509164954964105</v>
      </c>
      <c r="G74" s="19">
        <f>'Off-farm feed'!$G$36</f>
        <v>4.2620923125915401E-2</v>
      </c>
      <c r="H74" s="19">
        <f>'Off-farm feed'!$H$36</f>
        <v>3.2959349471355006E-3</v>
      </c>
      <c r="I74" s="19">
        <f>'Off-farm feed'!$I$36</f>
        <v>2.435286335413451E-3</v>
      </c>
      <c r="J74" s="18">
        <f>'Off-farm feed'!$J$36</f>
        <v>0.25920846302270906</v>
      </c>
      <c r="K74" s="28">
        <f>'Off-farm feed'!$K$36</f>
        <v>1.4553836091881654E-10</v>
      </c>
      <c r="L74" s="28">
        <f>'Off-farm feed'!$L$36</f>
        <v>1.0450321677831977E-4</v>
      </c>
      <c r="M74" s="148">
        <f>'Parameters, country spec'!G21</f>
        <v>8.0143174333338049E-2</v>
      </c>
      <c r="O74" s="258">
        <f>K74*M74/K77*100</f>
        <v>14.695428954076533</v>
      </c>
    </row>
    <row r="75" spans="1:15" x14ac:dyDescent="0.3">
      <c r="B75" s="16" t="s">
        <v>182</v>
      </c>
      <c r="C75" s="16" t="s">
        <v>392</v>
      </c>
      <c r="D75" s="22" t="s">
        <v>39</v>
      </c>
      <c r="E75" s="22" t="s">
        <v>89</v>
      </c>
      <c r="F75" s="20">
        <v>1.12846228925113</v>
      </c>
      <c r="G75" s="20">
        <v>1.23166071303607E-2</v>
      </c>
      <c r="H75" s="20">
        <v>1.12700980277811E-3</v>
      </c>
      <c r="I75" s="27">
        <v>5.7910569665233901E-3</v>
      </c>
      <c r="J75" s="27">
        <v>8.70973444052279E-2</v>
      </c>
      <c r="K75" s="27">
        <v>4.7007852315066902E-13</v>
      </c>
      <c r="L75" s="27">
        <v>7.4878323708565096E-4</v>
      </c>
      <c r="M75" s="148">
        <f>'Parameters, country spec'!G22</f>
        <v>8.4604092546848059E-2</v>
      </c>
      <c r="O75" s="258">
        <f>K75*M75/K77*100</f>
        <v>5.0107187799109165E-2</v>
      </c>
    </row>
    <row r="76" spans="1:15" x14ac:dyDescent="0.3">
      <c r="A76" s="81"/>
      <c r="B76" s="16" t="s">
        <v>393</v>
      </c>
      <c r="C76" s="82" t="s">
        <v>394</v>
      </c>
      <c r="D76" s="22" t="s">
        <v>39</v>
      </c>
      <c r="E76" s="22" t="s">
        <v>89</v>
      </c>
      <c r="F76" s="104">
        <f t="shared" ref="F76:L76" si="5">AVERAGE(F66:F74)</f>
        <v>2.8856290593089908</v>
      </c>
      <c r="G76" s="104">
        <f t="shared" si="5"/>
        <v>2.215424142248093E-2</v>
      </c>
      <c r="H76" s="104">
        <f t="shared" si="5"/>
        <v>2.8193336599028917E-3</v>
      </c>
      <c r="I76" s="104">
        <f t="shared" si="5"/>
        <v>2.2401437753836441E-2</v>
      </c>
      <c r="J76" s="166">
        <f t="shared" si="5"/>
        <v>0.28254379838939159</v>
      </c>
      <c r="K76" s="166">
        <f t="shared" si="5"/>
        <v>1.4837213975632592E-10</v>
      </c>
      <c r="L76" s="166">
        <f t="shared" si="5"/>
        <v>8.3422545726631451E-4</v>
      </c>
      <c r="M76" s="148">
        <f>'Parameters, country spec'!G23</f>
        <v>6.4861328249584266E-2</v>
      </c>
      <c r="O76" s="258">
        <f>K76*M76/K77*100</f>
        <v>12.124851991530051</v>
      </c>
    </row>
    <row r="77" spans="1:15" x14ac:dyDescent="0.3">
      <c r="A77" s="147"/>
      <c r="B77" s="24" t="s">
        <v>395</v>
      </c>
      <c r="C77" s="25"/>
      <c r="D77" s="100"/>
      <c r="E77" s="100"/>
      <c r="F77" s="29">
        <f>SUMPRODUCT(F66:F76,M66:M76)</f>
        <v>1.5683792284201377</v>
      </c>
      <c r="G77" s="29">
        <f>SUMPRODUCT(G66:G76,M66:M76)</f>
        <v>2.1679648547267956E-2</v>
      </c>
      <c r="H77" s="29">
        <f>SUMPRODUCT(H66:H76,M66:M76)</f>
        <v>4.2916335782584676E-3</v>
      </c>
      <c r="I77" s="29">
        <f>SUMPRODUCT(I66:I76,M66:M76)</f>
        <v>6.664638214405029E-2</v>
      </c>
      <c r="J77" s="29">
        <f>SUMPRODUCT(J66:J76,M66:M76)</f>
        <v>0.18155266877131809</v>
      </c>
      <c r="K77" s="29">
        <f>SUMPRODUCT(K66:K76,M66:M76)</f>
        <v>7.937098173693938E-11</v>
      </c>
      <c r="L77" s="29">
        <f>SUMPRODUCT(L66:L76,M66:M76)</f>
        <v>1.073481345864638E-3</v>
      </c>
      <c r="M77" s="149"/>
    </row>
    <row r="78" spans="1:15" x14ac:dyDescent="0.3">
      <c r="A78" s="21" t="s">
        <v>381</v>
      </c>
      <c r="B78" s="16" t="s">
        <v>169</v>
      </c>
      <c r="C78" s="16" t="s">
        <v>382</v>
      </c>
      <c r="D78" s="22" t="s">
        <v>32</v>
      </c>
      <c r="E78" s="22" t="s">
        <v>90</v>
      </c>
      <c r="F78" s="23">
        <v>1.47</v>
      </c>
      <c r="G78" s="39">
        <v>2.1000000000000001E-2</v>
      </c>
      <c r="H78" s="39">
        <v>3.0999999999999999E-3</v>
      </c>
      <c r="I78" s="20">
        <v>0</v>
      </c>
      <c r="J78" s="27">
        <v>0.31</v>
      </c>
      <c r="K78" s="27">
        <v>1.1888764653498601E-11</v>
      </c>
      <c r="L78" s="27">
        <v>1.25E-3</v>
      </c>
      <c r="M78" s="148">
        <f>'Parameters, country spec'!H13</f>
        <v>9.5526549752842554E-2</v>
      </c>
      <c r="O78" s="258">
        <f>K78*M78/K89*100</f>
        <v>5.1944074284069757</v>
      </c>
    </row>
    <row r="79" spans="1:15" x14ac:dyDescent="0.3">
      <c r="A79" s="21" t="s">
        <v>383</v>
      </c>
      <c r="B79" s="16" t="s">
        <v>171</v>
      </c>
      <c r="C79" s="16" t="s">
        <v>382</v>
      </c>
      <c r="D79" s="22" t="s">
        <v>32</v>
      </c>
      <c r="E79" s="22" t="s">
        <v>90</v>
      </c>
      <c r="F79" s="20">
        <v>1.08</v>
      </c>
      <c r="G79" s="39">
        <v>0.02</v>
      </c>
      <c r="H79" s="39">
        <v>5.5999999999999999E-3</v>
      </c>
      <c r="I79" s="20">
        <v>1.6271234432720799E-2</v>
      </c>
      <c r="J79" s="27">
        <v>0.94</v>
      </c>
      <c r="K79" s="27">
        <v>8.7533349210326906E-12</v>
      </c>
      <c r="L79" s="27">
        <v>1.2099999999999999E-3</v>
      </c>
      <c r="M79" s="148">
        <f>'Parameters, country spec'!H14</f>
        <v>0.28688514594124215</v>
      </c>
      <c r="O79" s="258">
        <f>K79*M79/K89*100</f>
        <v>11.485682240120457</v>
      </c>
    </row>
    <row r="80" spans="1:15" x14ac:dyDescent="0.3">
      <c r="A80" s="21" t="s">
        <v>384</v>
      </c>
      <c r="B80" s="16" t="s">
        <v>172</v>
      </c>
      <c r="C80" s="16" t="s">
        <v>382</v>
      </c>
      <c r="D80" s="22" t="s">
        <v>32</v>
      </c>
      <c r="E80" s="22" t="s">
        <v>90</v>
      </c>
      <c r="F80" s="20">
        <v>1.96</v>
      </c>
      <c r="G80" s="39">
        <v>1.7999999999999999E-2</v>
      </c>
      <c r="H80" s="39">
        <v>3.8E-3</v>
      </c>
      <c r="I80" s="20">
        <v>2.4189052298800402E-3</v>
      </c>
      <c r="J80" s="27">
        <v>0.09</v>
      </c>
      <c r="K80" s="27">
        <v>1.5906522430411999E-11</v>
      </c>
      <c r="L80" s="27">
        <v>1.1000000000000001E-3</v>
      </c>
      <c r="M80" s="148">
        <f>'Parameters, country spec'!H15</f>
        <v>3.1378297013894313E-3</v>
      </c>
      <c r="O80" s="258">
        <f>K80*M80/K89*100</f>
        <v>0.22828627445596056</v>
      </c>
    </row>
    <row r="81" spans="1:15" x14ac:dyDescent="0.3">
      <c r="A81" s="21" t="s">
        <v>385</v>
      </c>
      <c r="B81" s="16" t="s">
        <v>173</v>
      </c>
      <c r="C81" s="16" t="s">
        <v>382</v>
      </c>
      <c r="D81" s="22" t="s">
        <v>32</v>
      </c>
      <c r="E81" s="22" t="s">
        <v>90</v>
      </c>
      <c r="F81" s="20">
        <v>2.85</v>
      </c>
      <c r="G81" s="39">
        <v>1.6E-2</v>
      </c>
      <c r="H81" s="39">
        <v>1.1999999999999999E-3</v>
      </c>
      <c r="I81" s="20">
        <v>0</v>
      </c>
      <c r="J81" s="27">
        <v>0</v>
      </c>
      <c r="K81" s="27">
        <v>2.3090534608331999E-11</v>
      </c>
      <c r="L81" s="27">
        <v>9.68E-4</v>
      </c>
      <c r="M81" s="148">
        <f>'Parameters, country spec'!H16</f>
        <v>1.180760891727785E-2</v>
      </c>
      <c r="O81" s="258">
        <f>K81*M81/K89*100</f>
        <v>1.2470134489607601</v>
      </c>
    </row>
    <row r="82" spans="1:15" x14ac:dyDescent="0.3">
      <c r="A82" s="21" t="s">
        <v>386</v>
      </c>
      <c r="B82" s="16" t="s">
        <v>174</v>
      </c>
      <c r="C82" s="16" t="s">
        <v>382</v>
      </c>
      <c r="D82" s="22" t="s">
        <v>32</v>
      </c>
      <c r="E82" s="22" t="s">
        <v>90</v>
      </c>
      <c r="F82" s="20">
        <v>1.1499999999999999</v>
      </c>
      <c r="G82" s="39">
        <v>2.4E-2</v>
      </c>
      <c r="H82" s="39">
        <v>2.2000000000000001E-3</v>
      </c>
      <c r="I82" s="20">
        <v>0</v>
      </c>
      <c r="J82" s="27">
        <v>0.26</v>
      </c>
      <c r="K82" s="27">
        <v>9.2731182508831407E-12</v>
      </c>
      <c r="L82" s="27">
        <v>1.4300000000000001E-3</v>
      </c>
      <c r="M82" s="148">
        <f>'Parameters, country spec'!H17</f>
        <v>0.32323260195937925</v>
      </c>
      <c r="O82" s="258">
        <f>K82*M82/K89*100</f>
        <v>13.709327300876994</v>
      </c>
    </row>
    <row r="83" spans="1:15" x14ac:dyDescent="0.3">
      <c r="A83" s="21" t="s">
        <v>387</v>
      </c>
      <c r="B83" s="16" t="s">
        <v>175</v>
      </c>
      <c r="C83" s="16" t="s">
        <v>388</v>
      </c>
      <c r="D83" s="22" t="s">
        <v>32</v>
      </c>
      <c r="E83" s="22" t="s">
        <v>90</v>
      </c>
      <c r="F83" s="20">
        <v>2</v>
      </c>
      <c r="G83" s="39">
        <v>1.2999999999999999E-2</v>
      </c>
      <c r="H83" s="39">
        <v>1.6999999999999999E-3</v>
      </c>
      <c r="I83" s="20">
        <v>0</v>
      </c>
      <c r="J83" s="27">
        <v>1.01</v>
      </c>
      <c r="K83" s="27">
        <v>1.6180769528966399E-11</v>
      </c>
      <c r="L83" s="27">
        <v>0</v>
      </c>
      <c r="M83" s="148">
        <f>'Parameters, country spec'!H18</f>
        <v>0</v>
      </c>
      <c r="O83" s="258">
        <f>K83*M83/K89*100</f>
        <v>0</v>
      </c>
    </row>
    <row r="84" spans="1:15" x14ac:dyDescent="0.3">
      <c r="A84" s="21" t="s">
        <v>389</v>
      </c>
      <c r="B84" s="16" t="s">
        <v>176</v>
      </c>
      <c r="C84" s="16" t="s">
        <v>388</v>
      </c>
      <c r="D84" s="22" t="s">
        <v>32</v>
      </c>
      <c r="E84" s="22" t="s">
        <v>90</v>
      </c>
      <c r="F84" s="20">
        <v>2</v>
      </c>
      <c r="G84" s="39">
        <v>6.0000000000000001E-3</v>
      </c>
      <c r="H84" s="39">
        <v>2E-3</v>
      </c>
      <c r="I84" s="20">
        <v>0</v>
      </c>
      <c r="J84" s="27">
        <v>1.05</v>
      </c>
      <c r="K84" s="27">
        <v>1.62346221612781E-11</v>
      </c>
      <c r="L84" s="27">
        <v>6.1400000000000002E-5</v>
      </c>
      <c r="M84" s="148">
        <f>'Parameters, country spec'!H19</f>
        <v>0</v>
      </c>
      <c r="O84" s="258">
        <f>K84*M84/K89*100</f>
        <v>0</v>
      </c>
    </row>
    <row r="85" spans="1:15" x14ac:dyDescent="0.3">
      <c r="B85" s="17" t="s">
        <v>178</v>
      </c>
      <c r="C85" s="16" t="s">
        <v>390</v>
      </c>
      <c r="D85" s="22" t="s">
        <v>466</v>
      </c>
      <c r="E85" s="22"/>
      <c r="F85" s="18">
        <f>'Off-farm feed'!$F$88</f>
        <v>1.5397450382845068</v>
      </c>
      <c r="G85" s="19">
        <f>'Off-farm feed'!$G$88</f>
        <v>2.276724967641296E-2</v>
      </c>
      <c r="H85" s="19">
        <f>'Off-farm feed'!$H$88</f>
        <v>2.4780679919905292E-3</v>
      </c>
      <c r="I85" s="19">
        <f>'Off-farm feed'!$I$88</f>
        <v>8.1100925319702543E-4</v>
      </c>
      <c r="J85" s="18">
        <f>'Off-farm feed'!$J$88</f>
        <v>0.29368572248181479</v>
      </c>
      <c r="K85" s="28">
        <f>'Off-farm feed'!$K$88</f>
        <v>1.2571008272056975E-11</v>
      </c>
      <c r="L85" s="28">
        <f>'Off-farm feed'!$L$88</f>
        <v>1.3841258986185109E-3</v>
      </c>
      <c r="M85" s="148">
        <f>'Parameters, country spec'!H20</f>
        <v>5.2461984284283551E-2</v>
      </c>
      <c r="O85" s="258">
        <f>K85*M85/K89*100</f>
        <v>3.0164075145834102</v>
      </c>
    </row>
    <row r="86" spans="1:15" x14ac:dyDescent="0.3">
      <c r="B86" s="17" t="s">
        <v>391</v>
      </c>
      <c r="C86" s="16" t="s">
        <v>390</v>
      </c>
      <c r="D86" s="22" t="s">
        <v>442</v>
      </c>
      <c r="E86" s="22"/>
      <c r="F86" s="18">
        <f>'Off-farm feed'!$F$36</f>
        <v>2.5509164954964105</v>
      </c>
      <c r="G86" s="19">
        <f>'Off-farm feed'!$G$36</f>
        <v>4.2620923125915401E-2</v>
      </c>
      <c r="H86" s="19">
        <f>'Off-farm feed'!$H$36</f>
        <v>3.2959349471355006E-3</v>
      </c>
      <c r="I86" s="19">
        <f>'Off-farm feed'!$I$36</f>
        <v>2.435286335413451E-3</v>
      </c>
      <c r="J86" s="18">
        <f>'Off-farm feed'!$J$36</f>
        <v>0.25920846302270906</v>
      </c>
      <c r="K86" s="28">
        <f>'Off-farm feed'!$K$36</f>
        <v>1.4553836091881654E-10</v>
      </c>
      <c r="L86" s="28">
        <f>'Off-farm feed'!$L$36</f>
        <v>1.0450321677831977E-4</v>
      </c>
      <c r="M86" s="148">
        <f>'Parameters, country spec'!H21</f>
        <v>6.7752088819631406E-2</v>
      </c>
      <c r="O86" s="258">
        <f>K86*M86/K89*100</f>
        <v>45.09987701443621</v>
      </c>
    </row>
    <row r="87" spans="1:15" x14ac:dyDescent="0.3">
      <c r="B87" s="16" t="s">
        <v>182</v>
      </c>
      <c r="C87" s="16" t="s">
        <v>392</v>
      </c>
      <c r="D87" s="22" t="s">
        <v>32</v>
      </c>
      <c r="E87" s="22" t="s">
        <v>90</v>
      </c>
      <c r="F87" s="20">
        <v>0.71560643205922203</v>
      </c>
      <c r="G87" s="20">
        <v>1.1762359809494499E-2</v>
      </c>
      <c r="H87" s="20">
        <v>1.0762943616530901E-3</v>
      </c>
      <c r="I87" s="27">
        <v>5.84130938950317E-4</v>
      </c>
      <c r="J87" s="27">
        <v>0.12730102628270801</v>
      </c>
      <c r="K87" s="27">
        <v>8.9554252360338206E-14</v>
      </c>
      <c r="L87" s="27">
        <v>7.1508799141679696E-4</v>
      </c>
      <c r="M87" s="148">
        <f>'Parameters, country spec'!H22</f>
        <v>7.382094479672017E-3</v>
      </c>
      <c r="N87" t="s">
        <v>491</v>
      </c>
      <c r="O87" s="258">
        <f>K87*M87/K89*100</f>
        <v>3.0237160183469378E-3</v>
      </c>
    </row>
    <row r="88" spans="1:15" x14ac:dyDescent="0.3">
      <c r="A88" s="81"/>
      <c r="B88" s="16" t="s">
        <v>393</v>
      </c>
      <c r="C88" s="82" t="s">
        <v>394</v>
      </c>
      <c r="D88" s="22" t="s">
        <v>32</v>
      </c>
      <c r="E88" s="22" t="s">
        <v>90</v>
      </c>
      <c r="F88" s="104">
        <f t="shared" ref="F88:L88" si="6">AVERAGE(F78:F86)</f>
        <v>1.8445179481978795</v>
      </c>
      <c r="G88" s="104">
        <f t="shared" si="6"/>
        <v>2.0376463644703149E-2</v>
      </c>
      <c r="H88" s="104">
        <f t="shared" si="6"/>
        <v>2.8193336599028917E-3</v>
      </c>
      <c r="I88" s="104">
        <f t="shared" si="6"/>
        <v>2.4373816945790351E-3</v>
      </c>
      <c r="J88" s="166">
        <f t="shared" si="6"/>
        <v>0.46809935394494712</v>
      </c>
      <c r="K88" s="166">
        <f t="shared" si="6"/>
        <v>2.8826337305030716E-11</v>
      </c>
      <c r="L88" s="166">
        <f t="shared" si="6"/>
        <v>8.3422545726631451E-4</v>
      </c>
      <c r="M88" s="148">
        <f>'Parameters, country spec'!H23</f>
        <v>0.15181409614428173</v>
      </c>
      <c r="O88" s="258">
        <f>K88*M88/K89*100</f>
        <v>20.015975062140885</v>
      </c>
    </row>
    <row r="89" spans="1:15" x14ac:dyDescent="0.3">
      <c r="A89" s="147"/>
      <c r="B89" s="24" t="s">
        <v>395</v>
      </c>
      <c r="C89" s="25"/>
      <c r="D89" s="100"/>
      <c r="E89" s="100"/>
      <c r="F89" s="29">
        <f>SUMPRODUCT(F78:F88,M78:M88)</f>
        <v>1.4006938100293809</v>
      </c>
      <c r="G89" s="29">
        <f>SUMPRODUCT(G78:G88,M78:M88)</f>
        <v>2.3009082514138145E-2</v>
      </c>
      <c r="H89" s="29">
        <f>SUMPRODUCT(H78:H88,M78:M88)</f>
        <v>3.4291644686876292E-3</v>
      </c>
      <c r="I89" s="29">
        <f>SUMPRODUCT(I78:I88,M78:M88)</f>
        <v>5.2574494770451967E-3</v>
      </c>
      <c r="J89" s="29">
        <f>SUMPRODUCT(J78:J88,M78:M88)</f>
        <v>0.48858122788583919</v>
      </c>
      <c r="K89" s="29">
        <f>SUMPRODUCT(K78:K88,M78:M88)</f>
        <v>2.186375797095618E-11</v>
      </c>
      <c r="L89" s="29">
        <f>SUMPRODUCT(L78:L88,M78:M88)</f>
        <v>1.1552635459405715E-3</v>
      </c>
      <c r="M89" s="149"/>
    </row>
    <row r="90" spans="1:15" x14ac:dyDescent="0.3">
      <c r="A90" s="21" t="s">
        <v>381</v>
      </c>
      <c r="B90" s="16" t="s">
        <v>169</v>
      </c>
      <c r="C90" s="16" t="s">
        <v>382</v>
      </c>
      <c r="D90" s="22" t="s">
        <v>30</v>
      </c>
      <c r="E90" s="22" t="s">
        <v>91</v>
      </c>
      <c r="F90" s="23">
        <v>2.64</v>
      </c>
      <c r="G90" s="39">
        <v>2.1000000000000001E-2</v>
      </c>
      <c r="H90" s="39">
        <v>3.0999999999999999E-3</v>
      </c>
      <c r="I90" s="20">
        <v>0</v>
      </c>
      <c r="J90" s="27">
        <v>0.23</v>
      </c>
      <c r="K90" s="27">
        <v>1.0535508405957999E-11</v>
      </c>
      <c r="L90" s="27">
        <v>1.25E-3</v>
      </c>
      <c r="M90" s="148">
        <f>'Parameters, country spec'!I13</f>
        <v>0.21737956315257037</v>
      </c>
      <c r="O90" s="258">
        <f>K90*M90/K101*100</f>
        <v>19.51780797796533</v>
      </c>
    </row>
    <row r="91" spans="1:15" x14ac:dyDescent="0.3">
      <c r="A91" s="21" t="s">
        <v>383</v>
      </c>
      <c r="B91" s="16" t="s">
        <v>171</v>
      </c>
      <c r="C91" s="16" t="s">
        <v>382</v>
      </c>
      <c r="D91" s="22" t="s">
        <v>30</v>
      </c>
      <c r="E91" s="22" t="s">
        <v>91</v>
      </c>
      <c r="F91" s="20">
        <v>1.52</v>
      </c>
      <c r="G91" s="39">
        <v>0.02</v>
      </c>
      <c r="H91" s="39">
        <v>5.5999999999999999E-3</v>
      </c>
      <c r="I91" s="20">
        <v>3.7403547823840698E-3</v>
      </c>
      <c r="J91" s="27">
        <v>0.13</v>
      </c>
      <c r="K91" s="27">
        <v>6.0444763709331803E-12</v>
      </c>
      <c r="L91" s="27">
        <v>1.2099999999999999E-3</v>
      </c>
      <c r="M91" s="148">
        <f>'Parameters, country spec'!I14</f>
        <v>0.29778613267856163</v>
      </c>
      <c r="O91" s="258">
        <f>K91*M91/K101*100</f>
        <v>15.339810167141016</v>
      </c>
    </row>
    <row r="92" spans="1:15" x14ac:dyDescent="0.3">
      <c r="A92" s="21" t="s">
        <v>384</v>
      </c>
      <c r="B92" s="16" t="s">
        <v>172</v>
      </c>
      <c r="C92" s="16" t="s">
        <v>382</v>
      </c>
      <c r="D92" s="22" t="s">
        <v>30</v>
      </c>
      <c r="E92" s="22" t="s">
        <v>91</v>
      </c>
      <c r="F92" s="20">
        <v>3.56</v>
      </c>
      <c r="G92" s="39">
        <v>1.7999999999999999E-2</v>
      </c>
      <c r="H92" s="39">
        <v>3.8E-3</v>
      </c>
      <c r="I92" s="20">
        <v>8.19041835426825E-4</v>
      </c>
      <c r="J92" s="27">
        <v>0.14000000000000001</v>
      </c>
      <c r="K92" s="27">
        <v>1.41678298638787E-11</v>
      </c>
      <c r="L92" s="27">
        <v>1.1000000000000001E-3</v>
      </c>
      <c r="M92" s="148">
        <f>'Parameters, country spec'!I15</f>
        <v>6.5103880953803588E-3</v>
      </c>
      <c r="O92" s="258">
        <f>K92*M92/K101*100</f>
        <v>0.78608053555261592</v>
      </c>
    </row>
    <row r="93" spans="1:15" x14ac:dyDescent="0.3">
      <c r="A93" s="21" t="s">
        <v>385</v>
      </c>
      <c r="B93" s="16" t="s">
        <v>173</v>
      </c>
      <c r="C93" s="16" t="s">
        <v>382</v>
      </c>
      <c r="D93" s="22" t="s">
        <v>30</v>
      </c>
      <c r="E93" s="22" t="s">
        <v>91</v>
      </c>
      <c r="F93" s="20">
        <v>3.38</v>
      </c>
      <c r="G93" s="39">
        <v>1.6E-2</v>
      </c>
      <c r="H93" s="39">
        <v>1.1999999999999999E-3</v>
      </c>
      <c r="I93" s="20">
        <v>1.87956044751104E-4</v>
      </c>
      <c r="J93" s="27">
        <v>7.0000000000000007E-2</v>
      </c>
      <c r="K93" s="27">
        <v>1.3453241829202901E-11</v>
      </c>
      <c r="L93" s="27">
        <v>9.68E-4</v>
      </c>
      <c r="M93" s="148">
        <f>'Parameters, country spec'!I16</f>
        <v>8.5001790646556635E-2</v>
      </c>
      <c r="O93" s="258">
        <f>K93*M93/K101*100</f>
        <v>9.7456734420560753</v>
      </c>
    </row>
    <row r="94" spans="1:15" x14ac:dyDescent="0.3">
      <c r="A94" s="21" t="s">
        <v>386</v>
      </c>
      <c r="B94" s="16" t="s">
        <v>174</v>
      </c>
      <c r="C94" s="16" t="s">
        <v>382</v>
      </c>
      <c r="D94" s="22" t="s">
        <v>30</v>
      </c>
      <c r="E94" s="22" t="s">
        <v>91</v>
      </c>
      <c r="F94" s="20">
        <v>2.14</v>
      </c>
      <c r="G94" s="39">
        <v>2.4E-2</v>
      </c>
      <c r="H94" s="39">
        <v>2.2000000000000001E-3</v>
      </c>
      <c r="I94" s="20">
        <v>3.9847055114357799E-4</v>
      </c>
      <c r="J94" s="27">
        <v>0.25</v>
      </c>
      <c r="K94" s="27">
        <v>8.5197035880993495E-12</v>
      </c>
      <c r="L94" s="27">
        <v>1.4300000000000001E-3</v>
      </c>
      <c r="M94" s="148">
        <f>'Parameters, country spec'!I17</f>
        <v>0.34177560689413961</v>
      </c>
      <c r="O94" s="258">
        <f>K94*M94/K101*100</f>
        <v>24.815462846010355</v>
      </c>
    </row>
    <row r="95" spans="1:15" x14ac:dyDescent="0.3">
      <c r="A95" s="21" t="s">
        <v>387</v>
      </c>
      <c r="B95" s="16" t="s">
        <v>175</v>
      </c>
      <c r="C95" s="16" t="s">
        <v>388</v>
      </c>
      <c r="D95" s="22" t="s">
        <v>30</v>
      </c>
      <c r="E95" s="22" t="s">
        <v>91</v>
      </c>
      <c r="F95" s="20">
        <v>4.8600000000000003</v>
      </c>
      <c r="G95" s="39">
        <v>3.1E-2</v>
      </c>
      <c r="H95" s="39">
        <v>1.6999999999999999E-3</v>
      </c>
      <c r="I95" s="20">
        <v>0</v>
      </c>
      <c r="J95" s="27">
        <v>1.01</v>
      </c>
      <c r="K95" s="27">
        <v>1.9375877369876399E-11</v>
      </c>
      <c r="L95" s="27">
        <v>0</v>
      </c>
      <c r="M95" s="148">
        <f>'Parameters, country spec'!I18</f>
        <v>8.3086315099621146E-4</v>
      </c>
      <c r="O95" s="258">
        <f>K95*M95/K101*100</f>
        <v>0.13719797672770581</v>
      </c>
    </row>
    <row r="96" spans="1:15" x14ac:dyDescent="0.3">
      <c r="A96" s="21" t="s">
        <v>389</v>
      </c>
      <c r="B96" s="16" t="s">
        <v>176</v>
      </c>
      <c r="C96" s="16" t="s">
        <v>388</v>
      </c>
      <c r="D96" s="22" t="s">
        <v>30</v>
      </c>
      <c r="E96" s="22" t="s">
        <v>91</v>
      </c>
      <c r="F96" s="20">
        <v>3.93</v>
      </c>
      <c r="G96" s="39">
        <v>0.01</v>
      </c>
      <c r="H96" s="39">
        <v>2E-3</v>
      </c>
      <c r="I96" s="20">
        <v>0</v>
      </c>
      <c r="J96" s="27">
        <v>1.05</v>
      </c>
      <c r="K96" s="27">
        <v>1.5643267592459399E-11</v>
      </c>
      <c r="L96" s="27">
        <v>6.1400000000000002E-5</v>
      </c>
      <c r="M96" s="148">
        <f>'Parameters, country spec'!I19</f>
        <v>8.1618141653563262E-4</v>
      </c>
      <c r="O96" s="258">
        <f>K96*M96/K101*100</f>
        <v>0.10881055060337225</v>
      </c>
    </row>
    <row r="97" spans="1:15" x14ac:dyDescent="0.3">
      <c r="B97" s="17" t="s">
        <v>178</v>
      </c>
      <c r="C97" s="16" t="s">
        <v>390</v>
      </c>
      <c r="D97" s="22" t="s">
        <v>466</v>
      </c>
      <c r="E97" s="22"/>
      <c r="F97" s="18">
        <f>'Off-farm feed'!$F$88</f>
        <v>1.5397450382845068</v>
      </c>
      <c r="G97" s="19">
        <f>'Off-farm feed'!$G$88</f>
        <v>2.276724967641296E-2</v>
      </c>
      <c r="H97" s="19">
        <f>'Off-farm feed'!$H$88</f>
        <v>2.4780679919905292E-3</v>
      </c>
      <c r="I97" s="19">
        <f>'Off-farm feed'!$I$88</f>
        <v>8.1100925319702543E-4</v>
      </c>
      <c r="J97" s="18">
        <f>'Off-farm feed'!$J$88</f>
        <v>0.29368572248181479</v>
      </c>
      <c r="K97" s="28">
        <f>'Off-farm feed'!$K$88</f>
        <v>1.2571008272056975E-11</v>
      </c>
      <c r="L97" s="28">
        <f>'Off-farm feed'!$L$88</f>
        <v>1.3841258986185109E-3</v>
      </c>
      <c r="M97" s="148">
        <f>'Parameters, country spec'!I20</f>
        <v>5.988480966048656E-3</v>
      </c>
      <c r="O97" s="258">
        <f>K97*M97/K101*100</f>
        <v>0.64156936334745662</v>
      </c>
    </row>
    <row r="98" spans="1:15" x14ac:dyDescent="0.3">
      <c r="B98" s="17" t="s">
        <v>391</v>
      </c>
      <c r="C98" s="16" t="s">
        <v>390</v>
      </c>
      <c r="D98" s="22" t="s">
        <v>442</v>
      </c>
      <c r="E98" s="22"/>
      <c r="F98" s="18">
        <f>'Off-farm feed'!$F$36</f>
        <v>2.5509164954964105</v>
      </c>
      <c r="G98" s="19">
        <f>'Off-farm feed'!$G$36</f>
        <v>4.2620923125915401E-2</v>
      </c>
      <c r="H98" s="19">
        <f>'Off-farm feed'!$H$36</f>
        <v>3.2959349471355006E-3</v>
      </c>
      <c r="I98" s="19">
        <f>'Off-farm feed'!$I$36</f>
        <v>2.435286335413451E-3</v>
      </c>
      <c r="J98" s="18">
        <f>'Off-farm feed'!$J$36</f>
        <v>0.25920846302270906</v>
      </c>
      <c r="K98" s="28">
        <f>'Off-farm feed'!$K$36</f>
        <v>1.4553836091881654E-10</v>
      </c>
      <c r="L98" s="28">
        <f>'Off-farm feed'!$L$36</f>
        <v>1.0450321677831977E-4</v>
      </c>
      <c r="M98" s="148">
        <f>'Parameters, country spec'!I21</f>
        <v>2.088761505982905E-2</v>
      </c>
      <c r="O98" s="258">
        <f>K98*M98/K101*100</f>
        <v>25.907360365748438</v>
      </c>
    </row>
    <row r="99" spans="1:15" x14ac:dyDescent="0.3">
      <c r="B99" s="16" t="s">
        <v>182</v>
      </c>
      <c r="C99" s="16" t="s">
        <v>392</v>
      </c>
      <c r="D99" s="22" t="s">
        <v>30</v>
      </c>
      <c r="E99" s="22" t="s">
        <v>91</v>
      </c>
      <c r="F99" s="20">
        <v>0.912202360501987</v>
      </c>
      <c r="G99" s="20">
        <v>1.1762359809494499E-2</v>
      </c>
      <c r="H99" s="20">
        <v>1.0762943616530901E-3</v>
      </c>
      <c r="I99" s="27">
        <v>3.7952377423452902E-3</v>
      </c>
      <c r="J99" s="27">
        <v>0.11938754727544799</v>
      </c>
      <c r="K99" s="27">
        <v>2.3078637765366401E-13</v>
      </c>
      <c r="L99" s="27">
        <v>7.1508799141679696E-4</v>
      </c>
      <c r="M99" s="148">
        <f>'Parameters, country spec'!I22</f>
        <v>1.0222176972034406E-2</v>
      </c>
      <c r="O99" s="258">
        <f>K99*M99/K101*100</f>
        <v>2.0105292577991374E-2</v>
      </c>
    </row>
    <row r="100" spans="1:15" x14ac:dyDescent="0.3">
      <c r="A100" s="81"/>
      <c r="B100" s="16" t="s">
        <v>393</v>
      </c>
      <c r="C100" s="82" t="s">
        <v>394</v>
      </c>
      <c r="D100" s="22" t="s">
        <v>30</v>
      </c>
      <c r="E100" s="22" t="s">
        <v>91</v>
      </c>
      <c r="F100" s="104">
        <f t="shared" ref="F100:L100" si="7">AVERAGE(F90:F98)</f>
        <v>2.9022957259756574</v>
      </c>
      <c r="G100" s="104">
        <f t="shared" si="7"/>
        <v>2.2820908089147596E-2</v>
      </c>
      <c r="H100" s="104">
        <f t="shared" si="7"/>
        <v>2.8193336599028917E-3</v>
      </c>
      <c r="I100" s="104">
        <f t="shared" si="7"/>
        <v>9.3245764470178364E-4</v>
      </c>
      <c r="J100" s="166">
        <f t="shared" si="7"/>
        <v>0.38143268727828045</v>
      </c>
      <c r="K100" s="166">
        <f t="shared" si="7"/>
        <v>2.7316586023475715E-11</v>
      </c>
      <c r="L100" s="166">
        <f t="shared" si="7"/>
        <v>8.3422545726631451E-4</v>
      </c>
      <c r="M100" s="148">
        <f>'Parameters, country spec'!I23</f>
        <v>1.2801200967347369E-2</v>
      </c>
      <c r="O100" s="258">
        <f>K100*M100/K101*100</f>
        <v>2.980121482269662</v>
      </c>
    </row>
    <row r="101" spans="1:15" x14ac:dyDescent="0.3">
      <c r="A101" s="147"/>
      <c r="B101" s="24" t="s">
        <v>395</v>
      </c>
      <c r="C101" s="25"/>
      <c r="D101" s="100"/>
      <c r="E101" s="100"/>
      <c r="F101" s="29">
        <f>SUMPRODUCT(F90:F100,M90:M100)</f>
        <v>2.1846262495136783</v>
      </c>
      <c r="G101" s="29">
        <f>SUMPRODUCT(G90:G100,M90:M100)</f>
        <v>2.1673404884515652E-2</v>
      </c>
      <c r="H101" s="29">
        <f>SUMPRODUCT(H90:H100,M90:M100)</f>
        <v>3.353948789321957E-3</v>
      </c>
      <c r="I101" s="29">
        <f>SUMPRODUCT(I90:I100,M90:M100)</f>
        <v>1.3777783870873254E-3</v>
      </c>
      <c r="J101" s="29">
        <f>SUMPRODUCT(J90:J100,M90:M100)</f>
        <v>0.19598731552214213</v>
      </c>
      <c r="K101" s="29">
        <f>SUMPRODUCT(K90:K100,M90:M100)</f>
        <v>1.1733921234715056E-11</v>
      </c>
      <c r="L101" s="29">
        <f>SUMPRODUCT(L90:L100,M90:M100)</f>
        <v>1.2387385444226063E-3</v>
      </c>
      <c r="M101" s="149"/>
    </row>
    <row r="102" spans="1:15" x14ac:dyDescent="0.3">
      <c r="A102" s="21" t="s">
        <v>381</v>
      </c>
      <c r="B102" s="16" t="s">
        <v>169</v>
      </c>
      <c r="C102" s="16" t="s">
        <v>382</v>
      </c>
      <c r="D102" s="22" t="s">
        <v>38</v>
      </c>
      <c r="E102" s="22" t="s">
        <v>92</v>
      </c>
      <c r="F102" s="23">
        <v>3</v>
      </c>
      <c r="G102" s="39">
        <v>2.1000000000000001E-2</v>
      </c>
      <c r="H102" s="39">
        <v>3.0999999999999999E-3</v>
      </c>
      <c r="I102" s="20">
        <v>8.3690230745484803E-2</v>
      </c>
      <c r="J102" s="27">
        <v>0.16</v>
      </c>
      <c r="K102" s="27">
        <v>2.0481085423216199E-10</v>
      </c>
      <c r="L102" s="27">
        <v>1.25E-3</v>
      </c>
      <c r="M102" s="148">
        <f>'Parameters, country spec'!J13</f>
        <v>0.25867404183720522</v>
      </c>
      <c r="O102" s="258">
        <f>K102*M102/K113*100</f>
        <v>35.464539483176061</v>
      </c>
    </row>
    <row r="103" spans="1:15" x14ac:dyDescent="0.3">
      <c r="A103" s="21" t="s">
        <v>383</v>
      </c>
      <c r="B103" s="16" t="s">
        <v>171</v>
      </c>
      <c r="C103" s="16" t="s">
        <v>382</v>
      </c>
      <c r="D103" s="22" t="s">
        <v>38</v>
      </c>
      <c r="E103" s="22" t="s">
        <v>92</v>
      </c>
      <c r="F103" s="20">
        <v>0.83</v>
      </c>
      <c r="G103" s="39">
        <v>0.02</v>
      </c>
      <c r="H103" s="39">
        <v>5.5999999999999999E-3</v>
      </c>
      <c r="I103" s="20">
        <v>0.40567118436717697</v>
      </c>
      <c r="J103" s="27">
        <v>0.05</v>
      </c>
      <c r="K103" s="27">
        <v>5.6887981961408297E-11</v>
      </c>
      <c r="L103" s="27">
        <v>1.2099999999999999E-3</v>
      </c>
      <c r="M103" s="148">
        <f>'Parameters, country spec'!J14</f>
        <v>0.34116788941693649</v>
      </c>
      <c r="O103" s="258">
        <f>K103*M103/K113*100</f>
        <v>12.992035048313596</v>
      </c>
    </row>
    <row r="104" spans="1:15" x14ac:dyDescent="0.3">
      <c r="A104" s="21" t="s">
        <v>384</v>
      </c>
      <c r="B104" s="16" t="s">
        <v>172</v>
      </c>
      <c r="C104" s="16" t="s">
        <v>382</v>
      </c>
      <c r="D104" s="22" t="s">
        <v>38</v>
      </c>
      <c r="E104" s="22" t="s">
        <v>92</v>
      </c>
      <c r="F104" s="20">
        <v>4.45</v>
      </c>
      <c r="G104" s="39">
        <v>1.7999999999999999E-2</v>
      </c>
      <c r="H104" s="39">
        <v>3.8E-3</v>
      </c>
      <c r="I104" s="20">
        <v>1.28183392190184</v>
      </c>
      <c r="J104" s="27">
        <v>0</v>
      </c>
      <c r="K104" s="27">
        <v>3.0403388287635302E-10</v>
      </c>
      <c r="L104" s="27">
        <v>1.1000000000000001E-3</v>
      </c>
      <c r="M104" s="148">
        <f>'Parameters, country spec'!J15</f>
        <v>4.0331815431012885E-2</v>
      </c>
      <c r="O104" s="258">
        <f>K104*M104/K113*100</f>
        <v>8.2083953152618871</v>
      </c>
    </row>
    <row r="105" spans="1:15" x14ac:dyDescent="0.3">
      <c r="A105" s="21" t="s">
        <v>385</v>
      </c>
      <c r="B105" s="16" t="s">
        <v>173</v>
      </c>
      <c r="C105" s="16" t="s">
        <v>382</v>
      </c>
      <c r="D105" s="22" t="s">
        <v>38</v>
      </c>
      <c r="E105" s="22" t="s">
        <v>92</v>
      </c>
      <c r="F105" s="20">
        <v>4.24</v>
      </c>
      <c r="G105" s="39">
        <v>1.6E-2</v>
      </c>
      <c r="H105" s="39">
        <v>1.1999999999999999E-3</v>
      </c>
      <c r="I105" s="20">
        <v>0</v>
      </c>
      <c r="J105" s="27">
        <v>0</v>
      </c>
      <c r="K105" s="27">
        <v>2.8994287782337099E-10</v>
      </c>
      <c r="L105" s="27">
        <v>9.68E-4</v>
      </c>
      <c r="M105" s="148">
        <f>'Parameters, country spec'!J16</f>
        <v>1.0645865256161584E-2</v>
      </c>
      <c r="O105" s="258">
        <f>K105*M105/K113*100</f>
        <v>2.0662454820900162</v>
      </c>
    </row>
    <row r="106" spans="1:15" x14ac:dyDescent="0.3">
      <c r="A106" s="21" t="s">
        <v>386</v>
      </c>
      <c r="B106" s="16" t="s">
        <v>174</v>
      </c>
      <c r="C106" s="16" t="s">
        <v>382</v>
      </c>
      <c r="D106" s="22" t="s">
        <v>38</v>
      </c>
      <c r="E106" s="22" t="s">
        <v>92</v>
      </c>
      <c r="F106" s="20">
        <v>2.81</v>
      </c>
      <c r="G106" s="39">
        <v>2.4E-2</v>
      </c>
      <c r="H106" s="39">
        <v>2.2000000000000001E-3</v>
      </c>
      <c r="I106" s="20">
        <v>4.7600961702642601E-2</v>
      </c>
      <c r="J106" s="27">
        <v>0.22</v>
      </c>
      <c r="K106" s="27">
        <v>1.92120744955968E-10</v>
      </c>
      <c r="L106" s="27">
        <v>1.4300000000000001E-3</v>
      </c>
      <c r="M106" s="148">
        <f>'Parameters, country spec'!J17</f>
        <v>0.21912340485214174</v>
      </c>
      <c r="O106" s="258">
        <f>K106*M106/K113*100</f>
        <v>28.18068440523956</v>
      </c>
    </row>
    <row r="107" spans="1:15" x14ac:dyDescent="0.3">
      <c r="A107" s="21" t="s">
        <v>387</v>
      </c>
      <c r="B107" s="16" t="s">
        <v>175</v>
      </c>
      <c r="C107" s="16" t="s">
        <v>388</v>
      </c>
      <c r="D107" s="22" t="s">
        <v>38</v>
      </c>
      <c r="E107" s="22" t="s">
        <v>92</v>
      </c>
      <c r="F107" s="20">
        <v>6.68</v>
      </c>
      <c r="G107" s="39">
        <v>4.2000000000000003E-2</v>
      </c>
      <c r="H107" s="39">
        <v>1.6999999999999999E-3</v>
      </c>
      <c r="I107" s="20">
        <v>9.3072167504476194E-2</v>
      </c>
      <c r="J107" s="27">
        <v>0.49</v>
      </c>
      <c r="K107" s="27">
        <v>4.5617261324373799E-10</v>
      </c>
      <c r="L107" s="27">
        <v>0</v>
      </c>
      <c r="M107" s="148">
        <f>'Parameters, country spec'!J18</f>
        <v>3.4365153377819394E-3</v>
      </c>
      <c r="O107" s="258">
        <f>K107*M107/K113*100</f>
        <v>1.0493877780821539</v>
      </c>
    </row>
    <row r="108" spans="1:15" x14ac:dyDescent="0.3">
      <c r="A108" s="21" t="s">
        <v>389</v>
      </c>
      <c r="B108" s="16" t="s">
        <v>176</v>
      </c>
      <c r="C108" s="16" t="s">
        <v>388</v>
      </c>
      <c r="D108" s="22" t="s">
        <v>38</v>
      </c>
      <c r="E108" s="22" t="s">
        <v>92</v>
      </c>
      <c r="F108" s="20">
        <v>7.73</v>
      </c>
      <c r="G108" s="39">
        <v>0.02</v>
      </c>
      <c r="H108" s="39">
        <v>2E-3</v>
      </c>
      <c r="I108" s="20">
        <v>0.14428759821834899</v>
      </c>
      <c r="J108" s="27">
        <v>1.05</v>
      </c>
      <c r="K108" s="27">
        <v>5.2812192723724296E-10</v>
      </c>
      <c r="L108" s="27">
        <v>6.1400000000000002E-5</v>
      </c>
      <c r="M108" s="148">
        <f>'Parameters, country spec'!J19</f>
        <v>3.3757905268185459E-3</v>
      </c>
      <c r="O108" s="258">
        <f>K108*M108/K113*100</f>
        <v>1.1934334227810741</v>
      </c>
    </row>
    <row r="109" spans="1:15" x14ac:dyDescent="0.3">
      <c r="B109" s="17" t="s">
        <v>178</v>
      </c>
      <c r="C109" s="16" t="s">
        <v>390</v>
      </c>
      <c r="D109" s="22" t="s">
        <v>466</v>
      </c>
      <c r="E109" s="22"/>
      <c r="F109" s="18">
        <f>'Off-farm feed'!$F$88</f>
        <v>1.5397450382845068</v>
      </c>
      <c r="G109" s="19">
        <f>'Off-farm feed'!$G$88</f>
        <v>2.276724967641296E-2</v>
      </c>
      <c r="H109" s="19">
        <f>'Off-farm feed'!$H$88</f>
        <v>2.4780679919905292E-3</v>
      </c>
      <c r="I109" s="19">
        <f>'Off-farm feed'!$I$88</f>
        <v>8.1100925319702543E-4</v>
      </c>
      <c r="J109" s="18">
        <f>'Off-farm feed'!$J$88</f>
        <v>0.29368572248181479</v>
      </c>
      <c r="K109" s="28">
        <f>'Off-farm feed'!$K$88</f>
        <v>1.2571008272056975E-11</v>
      </c>
      <c r="L109" s="28">
        <f>'Off-farm feed'!$L$88</f>
        <v>1.3841258986185109E-3</v>
      </c>
      <c r="M109" s="148">
        <f>'Parameters, country spec'!J20</f>
        <v>9.9524742143764257E-3</v>
      </c>
      <c r="O109" s="258">
        <f>K109*M109/K113*100</f>
        <v>8.3750938039734671E-2</v>
      </c>
    </row>
    <row r="110" spans="1:15" x14ac:dyDescent="0.3">
      <c r="B110" s="17" t="s">
        <v>391</v>
      </c>
      <c r="C110" s="16" t="s">
        <v>390</v>
      </c>
      <c r="D110" s="22" t="s">
        <v>442</v>
      </c>
      <c r="E110" s="22"/>
      <c r="F110" s="18">
        <f>'Off-farm feed'!$F$36</f>
        <v>2.5509164954964105</v>
      </c>
      <c r="G110" s="19">
        <f>'Off-farm feed'!$G$36</f>
        <v>4.2620923125915401E-2</v>
      </c>
      <c r="H110" s="19">
        <f>'Off-farm feed'!$H$36</f>
        <v>3.2959349471355006E-3</v>
      </c>
      <c r="I110" s="19">
        <f>'Off-farm feed'!$I$36</f>
        <v>2.435286335413451E-3</v>
      </c>
      <c r="J110" s="18">
        <f>'Off-farm feed'!$J$36</f>
        <v>0.25920846302270906</v>
      </c>
      <c r="K110" s="28">
        <f>'Off-farm feed'!$K$36</f>
        <v>1.4553836091881654E-10</v>
      </c>
      <c r="L110" s="28">
        <f>'Off-farm feed'!$L$36</f>
        <v>1.0450321677831977E-4</v>
      </c>
      <c r="M110" s="148">
        <f>'Parameters, country spec'!J21</f>
        <v>8.507721741542934E-2</v>
      </c>
      <c r="O110" s="258">
        <f>K110*M110/K113*100</f>
        <v>8.2885633936011498</v>
      </c>
    </row>
    <row r="111" spans="1:15" x14ac:dyDescent="0.3">
      <c r="B111" s="16" t="s">
        <v>182</v>
      </c>
      <c r="C111" s="16" t="s">
        <v>392</v>
      </c>
      <c r="D111" s="22" t="s">
        <v>38</v>
      </c>
      <c r="E111" s="22" t="s">
        <v>92</v>
      </c>
      <c r="F111" s="20">
        <v>1.2079244257430499</v>
      </c>
      <c r="G111" s="20">
        <v>1.1762359809494499E-2</v>
      </c>
      <c r="H111" s="20">
        <v>1.0762943616530901E-3</v>
      </c>
      <c r="I111" s="27">
        <v>1.6145258933116701E-2</v>
      </c>
      <c r="J111" s="27">
        <v>0.113481703430045</v>
      </c>
      <c r="K111" s="27">
        <v>6.8265642178891697E-13</v>
      </c>
      <c r="L111" s="27">
        <v>7.1508799141679696E-4</v>
      </c>
      <c r="M111" s="148">
        <f>'Parameters, country spec'!J22</f>
        <v>1.3071081676498808E-2</v>
      </c>
      <c r="O111" s="258">
        <f>K111*M111/K113*100</f>
        <v>5.9731334150318685E-3</v>
      </c>
    </row>
    <row r="112" spans="1:15" x14ac:dyDescent="0.3">
      <c r="A112" s="81"/>
      <c r="B112" s="16" t="s">
        <v>393</v>
      </c>
      <c r="C112" s="82" t="s">
        <v>394</v>
      </c>
      <c r="D112" s="22" t="s">
        <v>38</v>
      </c>
      <c r="E112" s="22" t="s">
        <v>92</v>
      </c>
      <c r="F112" s="104">
        <f t="shared" ref="F112:L112" si="8">AVERAGE(F102:F110)</f>
        <v>3.7589623926423243</v>
      </c>
      <c r="G112" s="104">
        <f t="shared" si="8"/>
        <v>2.515424142248093E-2</v>
      </c>
      <c r="H112" s="104">
        <f t="shared" si="8"/>
        <v>2.8193336599028917E-3</v>
      </c>
      <c r="I112" s="104">
        <f t="shared" si="8"/>
        <v>0.22882248444761999</v>
      </c>
      <c r="J112" s="166">
        <f t="shared" si="8"/>
        <v>0.28032157616716935</v>
      </c>
      <c r="K112" s="166">
        <f t="shared" si="8"/>
        <v>2.4335558350234629E-10</v>
      </c>
      <c r="L112" s="166">
        <f t="shared" si="8"/>
        <v>8.3422545726631451E-4</v>
      </c>
      <c r="M112" s="148">
        <f>'Parameters, country spec'!J23</f>
        <v>1.5143904035636976E-2</v>
      </c>
      <c r="O112" s="258">
        <f>K112*M112/K113*100</f>
        <v>2.4669915999997105</v>
      </c>
    </row>
    <row r="113" spans="1:15" x14ac:dyDescent="0.3">
      <c r="A113" s="147"/>
      <c r="B113" s="24" t="s">
        <v>395</v>
      </c>
      <c r="C113" s="25"/>
      <c r="D113" s="100"/>
      <c r="E113" s="100"/>
      <c r="F113" s="29">
        <f>SUMPRODUCT(F102:F112,M102:M112)</f>
        <v>2.2536574666068772</v>
      </c>
      <c r="G113" s="29">
        <f>SUMPRODUCT(G102:G112,M102:M112)</f>
        <v>2.3009970552487612E-2</v>
      </c>
      <c r="H113" s="29">
        <f>SUMPRODUCT(H102:H112,M102:M112)</f>
        <v>3.7349667269534507E-3</v>
      </c>
      <c r="I113" s="29">
        <f>SUMPRODUCT(I102:I112,M102:M112)</f>
        <v>0.22687813528685072</v>
      </c>
      <c r="J113" s="29">
        <f>SUMPRODUCT(J102:J112,M102:M112)</f>
        <v>0.14258598880849299</v>
      </c>
      <c r="K113" s="29">
        <f>SUMPRODUCT(K102:K112,M102:M112)</f>
        <v>1.4938654850289742E-10</v>
      </c>
      <c r="L113" s="29">
        <f>SUMPRODUCT(L102:L112,M102:M112)</f>
        <v>1.1490263595305189E-3</v>
      </c>
      <c r="M113" s="149"/>
    </row>
    <row r="114" spans="1:15" x14ac:dyDescent="0.3">
      <c r="A114" s="21" t="s">
        <v>381</v>
      </c>
      <c r="B114" s="16" t="s">
        <v>169</v>
      </c>
      <c r="C114" s="16" t="s">
        <v>382</v>
      </c>
      <c r="D114" s="22" t="s">
        <v>34</v>
      </c>
      <c r="E114" s="22" t="s">
        <v>93</v>
      </c>
      <c r="F114" s="23">
        <v>2.1800000000000002</v>
      </c>
      <c r="G114" s="39">
        <v>2.1000000000000001E-2</v>
      </c>
      <c r="H114" s="39">
        <v>1.5E-3</v>
      </c>
      <c r="I114" s="20">
        <v>0</v>
      </c>
      <c r="J114" s="27">
        <v>0.11</v>
      </c>
      <c r="K114" s="27">
        <v>4.4636302939514197E-12</v>
      </c>
      <c r="L114" s="27">
        <v>1.25E-3</v>
      </c>
      <c r="M114" s="148">
        <f>'Parameters, country spec'!K13</f>
        <v>0.13430583669548862</v>
      </c>
      <c r="O114" s="258">
        <f>K114*M114/K125*100</f>
        <v>6.4180076893599489</v>
      </c>
    </row>
    <row r="115" spans="1:15" x14ac:dyDescent="0.3">
      <c r="A115" s="21" t="s">
        <v>383</v>
      </c>
      <c r="B115" s="16" t="s">
        <v>171</v>
      </c>
      <c r="C115" s="16" t="s">
        <v>382</v>
      </c>
      <c r="D115" s="22" t="s">
        <v>34</v>
      </c>
      <c r="E115" s="22" t="s">
        <v>93</v>
      </c>
      <c r="F115" s="20">
        <v>1.51</v>
      </c>
      <c r="G115" s="39">
        <v>0.02</v>
      </c>
      <c r="H115" s="39">
        <v>5.5999999999999999E-3</v>
      </c>
      <c r="I115" s="20">
        <v>0</v>
      </c>
      <c r="J115" s="27">
        <v>0.02</v>
      </c>
      <c r="K115" s="27">
        <v>3.0955742214230799E-12</v>
      </c>
      <c r="L115" s="27">
        <v>1.2099999999999999E-3</v>
      </c>
      <c r="M115" s="148">
        <f>'Parameters, country spec'!K14</f>
        <v>5.9748696560920867E-3</v>
      </c>
      <c r="O115" s="258">
        <f>K115*M115/K125*100</f>
        <v>0.1980098463388987</v>
      </c>
    </row>
    <row r="116" spans="1:15" x14ac:dyDescent="0.3">
      <c r="A116" s="21" t="s">
        <v>384</v>
      </c>
      <c r="B116" s="16" t="s">
        <v>172</v>
      </c>
      <c r="C116" s="16" t="s">
        <v>382</v>
      </c>
      <c r="D116" s="22" t="s">
        <v>34</v>
      </c>
      <c r="E116" s="22" t="s">
        <v>93</v>
      </c>
      <c r="F116" s="20">
        <v>2.5499999999999998</v>
      </c>
      <c r="G116" s="39">
        <v>1.7999999999999999E-2</v>
      </c>
      <c r="H116" s="39">
        <v>3.8E-3</v>
      </c>
      <c r="I116" s="20">
        <v>3.2864863213405697E-4</v>
      </c>
      <c r="J116" s="27">
        <v>0.11</v>
      </c>
      <c r="K116" s="27">
        <v>5.2096673933621196E-12</v>
      </c>
      <c r="L116" s="27">
        <v>1.1000000000000001E-3</v>
      </c>
      <c r="M116" s="148">
        <f>'Parameters, country spec'!K15</f>
        <v>0.14610456381313297</v>
      </c>
      <c r="O116" s="258">
        <f>K116*M116/K125*100</f>
        <v>8.1487484041746399</v>
      </c>
    </row>
    <row r="117" spans="1:15" x14ac:dyDescent="0.3">
      <c r="A117" s="21" t="s">
        <v>385</v>
      </c>
      <c r="B117" s="16" t="s">
        <v>173</v>
      </c>
      <c r="C117" s="16" t="s">
        <v>382</v>
      </c>
      <c r="D117" s="22" t="s">
        <v>34</v>
      </c>
      <c r="E117" s="22" t="s">
        <v>93</v>
      </c>
      <c r="F117" s="20">
        <v>1.68</v>
      </c>
      <c r="G117" s="39">
        <v>1.6E-2</v>
      </c>
      <c r="H117" s="39">
        <v>1.1999999999999999E-3</v>
      </c>
      <c r="I117" s="20">
        <v>0</v>
      </c>
      <c r="J117" s="27">
        <v>0.16</v>
      </c>
      <c r="K117" s="27">
        <v>3.4295102556171599E-12</v>
      </c>
      <c r="L117" s="27">
        <v>9.68E-4</v>
      </c>
      <c r="M117" s="148">
        <f>'Parameters, country spec'!K16</f>
        <v>9.236749949865944E-5</v>
      </c>
      <c r="O117" s="258">
        <f>K117*M117/K125*100</f>
        <v>3.391317279643878E-3</v>
      </c>
    </row>
    <row r="118" spans="1:15" x14ac:dyDescent="0.3">
      <c r="A118" s="21" t="s">
        <v>386</v>
      </c>
      <c r="B118" s="16" t="s">
        <v>174</v>
      </c>
      <c r="C118" s="16" t="s">
        <v>382</v>
      </c>
      <c r="D118" s="22" t="s">
        <v>34</v>
      </c>
      <c r="E118" s="22" t="s">
        <v>93</v>
      </c>
      <c r="F118" s="20">
        <v>1.54</v>
      </c>
      <c r="G118" s="39">
        <v>2.4E-2</v>
      </c>
      <c r="H118" s="39">
        <v>2.2000000000000001E-3</v>
      </c>
      <c r="I118" s="20">
        <v>0</v>
      </c>
      <c r="J118" s="27">
        <v>0.11</v>
      </c>
      <c r="K118" s="27">
        <v>3.1435368362994802E-12</v>
      </c>
      <c r="L118" s="27">
        <v>1.4300000000000001E-3</v>
      </c>
      <c r="M118" s="148">
        <f>'Parameters, country spec'!K17</f>
        <v>0.58258426025934973</v>
      </c>
      <c r="O118" s="258">
        <f>K118*M118/K125*100</f>
        <v>19.606245249690303</v>
      </c>
    </row>
    <row r="119" spans="1:15" x14ac:dyDescent="0.3">
      <c r="A119" s="21" t="s">
        <v>387</v>
      </c>
      <c r="B119" s="16" t="s">
        <v>175</v>
      </c>
      <c r="C119" s="16" t="s">
        <v>388</v>
      </c>
      <c r="D119" s="22" t="s">
        <v>34</v>
      </c>
      <c r="E119" s="22" t="s">
        <v>93</v>
      </c>
      <c r="F119" s="20">
        <v>3.38</v>
      </c>
      <c r="G119" s="39">
        <v>2.1000000000000001E-2</v>
      </c>
      <c r="H119" s="39">
        <v>1.6999999999999999E-3</v>
      </c>
      <c r="I119" s="20">
        <v>0</v>
      </c>
      <c r="J119" s="27">
        <v>0.2</v>
      </c>
      <c r="K119" s="27">
        <v>6.9071346528329996E-12</v>
      </c>
      <c r="L119" s="27">
        <v>0</v>
      </c>
      <c r="M119" s="148">
        <f>'Parameters, country spec'!K18</f>
        <v>4.9593085693149293E-3</v>
      </c>
      <c r="O119" s="258">
        <f>K119*M119/K125*100</f>
        <v>0.3667213405403898</v>
      </c>
    </row>
    <row r="120" spans="1:15" x14ac:dyDescent="0.3">
      <c r="A120" s="21" t="s">
        <v>389</v>
      </c>
      <c r="B120" s="16" t="s">
        <v>176</v>
      </c>
      <c r="C120" s="16" t="s">
        <v>388</v>
      </c>
      <c r="D120" s="22" t="s">
        <v>34</v>
      </c>
      <c r="E120" s="22" t="s">
        <v>93</v>
      </c>
      <c r="F120" s="20">
        <v>5.05</v>
      </c>
      <c r="G120" s="39">
        <v>1.2999999999999999E-2</v>
      </c>
      <c r="H120" s="39">
        <v>2E-3</v>
      </c>
      <c r="I120" s="20">
        <v>0</v>
      </c>
      <c r="J120" s="27">
        <v>0.31</v>
      </c>
      <c r="K120" s="27">
        <v>1.03339804381178E-11</v>
      </c>
      <c r="L120" s="27">
        <v>6.1400000000000002E-5</v>
      </c>
      <c r="M120" s="148">
        <f>'Parameters, country spec'!K19</f>
        <v>4.8716753013175445E-3</v>
      </c>
      <c r="O120" s="258">
        <f>K120*M120/K125*100</f>
        <v>0.53896814774430613</v>
      </c>
    </row>
    <row r="121" spans="1:15" x14ac:dyDescent="0.3">
      <c r="B121" s="17" t="s">
        <v>178</v>
      </c>
      <c r="C121" s="16" t="s">
        <v>390</v>
      </c>
      <c r="D121" s="22" t="s">
        <v>466</v>
      </c>
      <c r="E121" s="22"/>
      <c r="F121" s="18">
        <f>'Off-farm feed'!$F$88</f>
        <v>1.5397450382845068</v>
      </c>
      <c r="G121" s="19">
        <f>'Off-farm feed'!$G$88</f>
        <v>2.276724967641296E-2</v>
      </c>
      <c r="H121" s="19">
        <f>'Off-farm feed'!$H$88</f>
        <v>2.4780679919905292E-3</v>
      </c>
      <c r="I121" s="19">
        <f>'Off-farm feed'!$I$88</f>
        <v>8.1100925319702543E-4</v>
      </c>
      <c r="J121" s="18">
        <f>'Off-farm feed'!$J$88</f>
        <v>0.29368572248181479</v>
      </c>
      <c r="K121" s="28">
        <f>'Off-farm feed'!$K$88</f>
        <v>1.2571008272056975E-11</v>
      </c>
      <c r="L121" s="28">
        <f>'Off-farm feed'!$L$88</f>
        <v>1.3841258986185109E-3</v>
      </c>
      <c r="M121" s="148">
        <f>'Parameters, country spec'!K20</f>
        <v>2.1892083763360489E-2</v>
      </c>
      <c r="O121" s="258">
        <f>K121*M121/K125*100</f>
        <v>2.9462822087138294</v>
      </c>
    </row>
    <row r="122" spans="1:15" x14ac:dyDescent="0.3">
      <c r="B122" s="17" t="s">
        <v>391</v>
      </c>
      <c r="C122" s="16" t="s">
        <v>390</v>
      </c>
      <c r="D122" s="22" t="s">
        <v>442</v>
      </c>
      <c r="E122" s="22"/>
      <c r="F122" s="18">
        <f>'Off-farm feed'!$F$36</f>
        <v>2.5509164954964105</v>
      </c>
      <c r="G122" s="19">
        <f>'Off-farm feed'!$G$36</f>
        <v>4.2620923125915401E-2</v>
      </c>
      <c r="H122" s="19">
        <f>'Off-farm feed'!$H$36</f>
        <v>3.2959349471355006E-3</v>
      </c>
      <c r="I122" s="19">
        <f>'Off-farm feed'!$I$36</f>
        <v>2.435286335413451E-3</v>
      </c>
      <c r="J122" s="18">
        <f>'Off-farm feed'!$J$36</f>
        <v>0.25920846302270906</v>
      </c>
      <c r="K122" s="28">
        <f>'Off-farm feed'!$K$36</f>
        <v>1.4553836091881654E-10</v>
      </c>
      <c r="L122" s="28">
        <f>'Off-farm feed'!$L$36</f>
        <v>1.0450321677831977E-4</v>
      </c>
      <c r="M122" s="148">
        <f>'Parameters, country spec'!K21</f>
        <v>3.411102350419503E-2</v>
      </c>
      <c r="O122" s="258">
        <f>K122*M122/K125*100</f>
        <v>53.148297836770055</v>
      </c>
    </row>
    <row r="123" spans="1:15" x14ac:dyDescent="0.3">
      <c r="B123" s="16" t="s">
        <v>182</v>
      </c>
      <c r="C123" s="16" t="s">
        <v>392</v>
      </c>
      <c r="D123" s="22" t="s">
        <v>34</v>
      </c>
      <c r="E123" s="22" t="s">
        <v>93</v>
      </c>
      <c r="F123" s="20">
        <v>0.783534349363607</v>
      </c>
      <c r="G123" s="20">
        <v>1.1762359809494499E-2</v>
      </c>
      <c r="H123" s="20">
        <v>1.0762943616530901E-3</v>
      </c>
      <c r="I123" s="27">
        <v>7.0911883843394598E-4</v>
      </c>
      <c r="J123" s="27">
        <v>6.9696841279778404E-2</v>
      </c>
      <c r="K123" s="27">
        <v>5.4885286031712899E-14</v>
      </c>
      <c r="L123" s="27">
        <v>7.1508799141679696E-4</v>
      </c>
      <c r="M123" s="148">
        <f>'Parameters, country spec'!K22</f>
        <v>2.7931248345105162E-2</v>
      </c>
      <c r="O123" s="258">
        <f>K123*M123/K125*100</f>
        <v>1.6412071791835393E-2</v>
      </c>
    </row>
    <row r="124" spans="1:15" x14ac:dyDescent="0.3">
      <c r="A124" s="81"/>
      <c r="B124" s="16" t="s">
        <v>393</v>
      </c>
      <c r="C124" s="82" t="s">
        <v>394</v>
      </c>
      <c r="D124" s="22" t="s">
        <v>34</v>
      </c>
      <c r="E124" s="22" t="s">
        <v>93</v>
      </c>
      <c r="F124" s="104">
        <f t="shared" ref="F124:L124" si="9">AVERAGE(F114:F122)</f>
        <v>2.4422957259756575</v>
      </c>
      <c r="G124" s="104">
        <f t="shared" si="9"/>
        <v>2.204313031136982E-2</v>
      </c>
      <c r="H124" s="104">
        <f t="shared" si="9"/>
        <v>2.6415558821251146E-3</v>
      </c>
      <c r="I124" s="104">
        <f t="shared" si="9"/>
        <v>3.9721602452717037E-4</v>
      </c>
      <c r="J124" s="166">
        <f t="shared" si="9"/>
        <v>0.17476602061161378</v>
      </c>
      <c r="K124" s="166">
        <f t="shared" si="9"/>
        <v>2.1632489253608619E-11</v>
      </c>
      <c r="L124" s="166">
        <f t="shared" si="9"/>
        <v>8.3422545726631451E-4</v>
      </c>
      <c r="M124" s="148">
        <f>'Parameters, country spec'!K23</f>
        <v>3.7172762593144865E-2</v>
      </c>
      <c r="O124" s="258">
        <f>K124*M124/K125*100</f>
        <v>8.6089158875961722</v>
      </c>
    </row>
    <row r="125" spans="1:15" x14ac:dyDescent="0.3">
      <c r="A125" s="147"/>
      <c r="B125" s="24" t="s">
        <v>395</v>
      </c>
      <c r="C125" s="25"/>
      <c r="D125" s="100"/>
      <c r="E125" s="100"/>
      <c r="F125" s="29">
        <f>SUMPRODUCT(F114:F124,M114:M124)</f>
        <v>1.8464693479252483</v>
      </c>
      <c r="G125" s="29">
        <f>SUMPRODUCT(G114:G124,M114:M124)</f>
        <v>2.2820986787786351E-2</v>
      </c>
      <c r="H125" s="29">
        <f>SUMPRODUCT(H114:H124,M114:M124)</f>
        <v>2.3850197176402189E-3</v>
      </c>
      <c r="I125" s="29">
        <f>SUMPRODUCT(I114:I124,M114:M124)</f>
        <v>1.8341404833674445E-4</v>
      </c>
      <c r="J125" s="29">
        <f>SUMPRODUCT(J114:J124,M114:M124)</f>
        <v>0.12128028392231778</v>
      </c>
      <c r="K125" s="29">
        <f>SUMPRODUCT(K114:K124,M114:M124)</f>
        <v>9.3407741209524925E-12</v>
      </c>
      <c r="L125" s="29">
        <f>SUMPRODUCT(L114:L124,M114:M124)</f>
        <v>1.2541608100659302E-3</v>
      </c>
      <c r="M125" s="149"/>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2:F32"/>
  <sheetViews>
    <sheetView topLeftCell="A2" zoomScale="80" zoomScaleNormal="80" workbookViewId="0">
      <selection activeCell="F25" sqref="E25:F33"/>
    </sheetView>
  </sheetViews>
  <sheetFormatPr defaultColWidth="8.88671875" defaultRowHeight="14.4" x14ac:dyDescent="0.3"/>
  <cols>
    <col min="1" max="1" width="34.44140625" customWidth="1"/>
    <col min="2" max="2" width="14.5546875" customWidth="1"/>
    <col min="3" max="3" width="14.44140625" customWidth="1"/>
    <col min="4" max="4" width="14.5546875" customWidth="1"/>
    <col min="5" max="5" width="14.44140625" customWidth="1"/>
  </cols>
  <sheetData>
    <row r="2" spans="1:6" ht="21" x14ac:dyDescent="0.4">
      <c r="A2" s="2" t="s">
        <v>403</v>
      </c>
    </row>
    <row r="4" spans="1:6" x14ac:dyDescent="0.3">
      <c r="A4" s="113" t="s">
        <v>404</v>
      </c>
      <c r="B4" s="160" t="s">
        <v>405</v>
      </c>
      <c r="C4" s="160" t="s">
        <v>406</v>
      </c>
      <c r="D4" s="160" t="s">
        <v>407</v>
      </c>
      <c r="E4" s="113"/>
      <c r="F4" s="113" t="s">
        <v>189</v>
      </c>
    </row>
    <row r="5" spans="1:6" x14ac:dyDescent="0.3">
      <c r="A5" s="3" t="s">
        <v>408</v>
      </c>
      <c r="B5" s="4">
        <v>0.29001600000000005</v>
      </c>
      <c r="C5" s="34">
        <v>1.1016000000000002E-4</v>
      </c>
      <c r="D5" s="34">
        <v>1.0269360000000001E-5</v>
      </c>
      <c r="E5" s="94"/>
      <c r="F5" s="94" t="s">
        <v>409</v>
      </c>
    </row>
    <row r="6" spans="1:6" x14ac:dyDescent="0.3">
      <c r="A6" s="3" t="s">
        <v>410</v>
      </c>
      <c r="B6" s="4">
        <v>9.6299999999999997E-3</v>
      </c>
      <c r="C6" s="34">
        <v>3.6659999999999876E-5</v>
      </c>
      <c r="D6" s="34">
        <v>1.5257999999999987E-5</v>
      </c>
      <c r="E6" s="94"/>
      <c r="F6" s="94" t="s">
        <v>411</v>
      </c>
    </row>
    <row r="8" spans="1:6" x14ac:dyDescent="0.3">
      <c r="A8" s="113" t="s">
        <v>404</v>
      </c>
      <c r="B8" s="160" t="s">
        <v>412</v>
      </c>
      <c r="C8" s="160" t="s">
        <v>413</v>
      </c>
      <c r="D8" s="160" t="s">
        <v>414</v>
      </c>
      <c r="E8" s="113"/>
      <c r="F8" s="113" t="s">
        <v>189</v>
      </c>
    </row>
    <row r="9" spans="1:6" x14ac:dyDescent="0.3">
      <c r="A9" s="3" t="s">
        <v>415</v>
      </c>
      <c r="B9" s="114">
        <v>2.2999999999999998</v>
      </c>
      <c r="C9" s="115">
        <v>0</v>
      </c>
      <c r="D9" s="115">
        <v>4.3624161073825508E-3</v>
      </c>
      <c r="F9" s="120" t="s">
        <v>416</v>
      </c>
    </row>
    <row r="10" spans="1:6" x14ac:dyDescent="0.3">
      <c r="A10" s="3" t="s">
        <v>417</v>
      </c>
      <c r="B10" s="116">
        <v>4.3928213588059704</v>
      </c>
      <c r="C10" s="115">
        <v>9.8666566537313431E-3</v>
      </c>
      <c r="D10" s="115">
        <v>9.948031617910448E-3</v>
      </c>
      <c r="F10" s="121" t="s">
        <v>418</v>
      </c>
    </row>
    <row r="12" spans="1:6" x14ac:dyDescent="0.3">
      <c r="A12" s="113" t="s">
        <v>419</v>
      </c>
      <c r="B12" s="113"/>
    </row>
    <row r="13" spans="1:6" x14ac:dyDescent="0.3">
      <c r="A13" s="89" t="s">
        <v>130</v>
      </c>
      <c r="B13" s="117">
        <v>1</v>
      </c>
      <c r="C13" s="117"/>
    </row>
    <row r="14" spans="1:6" x14ac:dyDescent="0.3">
      <c r="A14" s="3" t="s">
        <v>131</v>
      </c>
      <c r="B14" s="118">
        <v>29.8</v>
      </c>
      <c r="C14" s="118"/>
    </row>
    <row r="15" spans="1:6" x14ac:dyDescent="0.3">
      <c r="A15" s="3" t="s">
        <v>132</v>
      </c>
      <c r="B15" s="5">
        <v>27</v>
      </c>
      <c r="C15" s="117"/>
    </row>
    <row r="16" spans="1:6" x14ac:dyDescent="0.3">
      <c r="A16" s="3" t="s">
        <v>133</v>
      </c>
      <c r="B16" s="117">
        <v>273</v>
      </c>
      <c r="C16" s="119"/>
    </row>
    <row r="18" spans="1:3" x14ac:dyDescent="0.3">
      <c r="A18" s="113" t="s">
        <v>58</v>
      </c>
      <c r="B18" s="113"/>
    </row>
    <row r="19" spans="1:3" x14ac:dyDescent="0.3">
      <c r="A19" s="3" t="s">
        <v>420</v>
      </c>
      <c r="B19" s="105">
        <v>0.12197</v>
      </c>
    </row>
    <row r="20" spans="1:3" x14ac:dyDescent="0.3">
      <c r="A20" s="3" t="s">
        <v>421</v>
      </c>
      <c r="B20">
        <v>1</v>
      </c>
    </row>
    <row r="22" spans="1:3" x14ac:dyDescent="0.3">
      <c r="A22" s="3" t="s">
        <v>422</v>
      </c>
      <c r="B22">
        <v>0.25</v>
      </c>
    </row>
    <row r="23" spans="1:3" x14ac:dyDescent="0.3">
      <c r="A23" s="3" t="s">
        <v>423</v>
      </c>
      <c r="B23">
        <v>1</v>
      </c>
    </row>
    <row r="24" spans="1:3" x14ac:dyDescent="0.3">
      <c r="A24" s="3" t="s">
        <v>424</v>
      </c>
      <c r="B24">
        <v>2</v>
      </c>
    </row>
    <row r="25" spans="1:3" x14ac:dyDescent="0.3">
      <c r="A25" s="3" t="s">
        <v>425</v>
      </c>
      <c r="B25">
        <v>2</v>
      </c>
    </row>
    <row r="26" spans="1:3" x14ac:dyDescent="0.3">
      <c r="A26" s="3" t="s">
        <v>426</v>
      </c>
      <c r="B26">
        <v>1</v>
      </c>
    </row>
    <row r="27" spans="1:3" x14ac:dyDescent="0.3">
      <c r="A27" s="3" t="s">
        <v>427</v>
      </c>
      <c r="B27">
        <v>1</v>
      </c>
    </row>
    <row r="29" spans="1:3" x14ac:dyDescent="0.3">
      <c r="A29" s="113" t="s">
        <v>428</v>
      </c>
      <c r="B29" s="113"/>
      <c r="C29" s="113" t="s">
        <v>189</v>
      </c>
    </row>
    <row r="30" spans="1:3" x14ac:dyDescent="0.3">
      <c r="A30" s="3" t="s">
        <v>204</v>
      </c>
      <c r="B30" s="19">
        <v>0.2692782509153</v>
      </c>
      <c r="C30" s="120" t="s">
        <v>429</v>
      </c>
    </row>
    <row r="31" spans="1:3" x14ac:dyDescent="0.3">
      <c r="A31" s="3" t="s">
        <v>430</v>
      </c>
      <c r="B31" s="19">
        <v>9.8059260756689997E-4</v>
      </c>
    </row>
    <row r="32" spans="1:3" x14ac:dyDescent="0.3">
      <c r="A32" s="3" t="s">
        <v>207</v>
      </c>
      <c r="B32" s="19">
        <v>3.4931896850000001E-5</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9258B-D50A-4958-A214-BF2E59DBAE64}">
  <sheetPr>
    <tabColor theme="4" tint="0.79998168889431442"/>
  </sheetPr>
  <dimension ref="A2:S106"/>
  <sheetViews>
    <sheetView topLeftCell="A80" zoomScale="67" workbookViewId="0">
      <selection activeCell="N84" sqref="N84:N85"/>
    </sheetView>
  </sheetViews>
  <sheetFormatPr defaultColWidth="8.88671875" defaultRowHeight="14.4" x14ac:dyDescent="0.3"/>
  <cols>
    <col min="1" max="1" width="10.88671875" customWidth="1"/>
    <col min="2" max="2" width="18.44140625" customWidth="1"/>
    <col min="3" max="3" width="11.5546875" customWidth="1"/>
    <col min="4" max="4" width="16.5546875" customWidth="1"/>
    <col min="6" max="6" width="14.5546875" customWidth="1"/>
    <col min="7" max="7" width="14.88671875" customWidth="1"/>
    <col min="8" max="8" width="11.109375" customWidth="1"/>
    <col min="9" max="9" width="12.109375" customWidth="1"/>
    <col min="10" max="10" width="14.44140625" customWidth="1"/>
    <col min="11" max="11" width="12" customWidth="1"/>
    <col min="12" max="12" width="14.5546875" customWidth="1"/>
    <col min="13" max="13" width="14.44140625" customWidth="1"/>
    <col min="14" max="14" width="15" customWidth="1"/>
    <col min="15" max="15" width="15.44140625" customWidth="1"/>
    <col min="16" max="16" width="15" customWidth="1"/>
    <col min="17" max="17" width="17.5546875" customWidth="1"/>
    <col min="18" max="18" width="24.88671875" customWidth="1"/>
  </cols>
  <sheetData>
    <row r="2" spans="1:19" ht="21" x14ac:dyDescent="0.4">
      <c r="A2" s="2" t="s">
        <v>431</v>
      </c>
    </row>
    <row r="4" spans="1:19" ht="18" x14ac:dyDescent="0.35">
      <c r="A4" s="220" t="s">
        <v>391</v>
      </c>
      <c r="B4" s="113"/>
      <c r="C4" s="113"/>
      <c r="D4" s="113"/>
      <c r="E4" s="113"/>
      <c r="F4" s="113"/>
      <c r="G4" s="113"/>
      <c r="H4" s="113"/>
      <c r="I4" s="113"/>
      <c r="J4" s="113"/>
      <c r="K4" s="113"/>
      <c r="L4" s="113"/>
      <c r="M4" s="113"/>
      <c r="N4" s="113"/>
      <c r="O4" s="113"/>
      <c r="P4" s="113"/>
    </row>
    <row r="6" spans="1:19" ht="18" x14ac:dyDescent="0.35">
      <c r="A6" s="1" t="s">
        <v>432</v>
      </c>
    </row>
    <row r="8" spans="1:19" x14ac:dyDescent="0.3">
      <c r="A8" s="221" t="s">
        <v>374</v>
      </c>
      <c r="B8" s="222"/>
      <c r="C8" s="222"/>
      <c r="D8" s="222"/>
      <c r="E8" s="223" t="s">
        <v>102</v>
      </c>
      <c r="F8" s="223" t="s">
        <v>103</v>
      </c>
      <c r="G8" s="224"/>
      <c r="H8" s="223" t="s">
        <v>104</v>
      </c>
      <c r="I8" s="225"/>
      <c r="J8" s="226" t="s">
        <v>105</v>
      </c>
      <c r="K8" s="225"/>
      <c r="L8" s="225"/>
      <c r="M8" s="225"/>
      <c r="N8" s="226" t="s">
        <v>106</v>
      </c>
      <c r="O8" s="226" t="s">
        <v>107</v>
      </c>
      <c r="P8" s="226" t="s">
        <v>108</v>
      </c>
    </row>
    <row r="9" spans="1:19" ht="43.2" x14ac:dyDescent="0.3">
      <c r="A9" s="227" t="s">
        <v>60</v>
      </c>
      <c r="B9" s="227" t="s">
        <v>374</v>
      </c>
      <c r="C9" s="227" t="s">
        <v>112</v>
      </c>
      <c r="D9" s="228" t="s">
        <v>433</v>
      </c>
      <c r="E9" s="229"/>
      <c r="F9" s="52" t="s">
        <v>16</v>
      </c>
      <c r="G9" s="52" t="s">
        <v>17</v>
      </c>
      <c r="H9" s="52" t="s">
        <v>377</v>
      </c>
      <c r="I9" s="52" t="s">
        <v>378</v>
      </c>
      <c r="J9" s="52" t="s">
        <v>117</v>
      </c>
      <c r="K9" s="52" t="s">
        <v>118</v>
      </c>
      <c r="L9" s="52" t="s">
        <v>119</v>
      </c>
      <c r="M9" s="52" t="s">
        <v>120</v>
      </c>
      <c r="N9" s="52" t="s">
        <v>121</v>
      </c>
      <c r="O9" s="52"/>
      <c r="P9" s="52"/>
      <c r="R9" s="230" t="s">
        <v>434</v>
      </c>
    </row>
    <row r="10" spans="1:19" ht="18" customHeight="1" x14ac:dyDescent="0.3">
      <c r="A10" t="s">
        <v>435</v>
      </c>
      <c r="B10" t="s">
        <v>436</v>
      </c>
      <c r="C10" t="s">
        <v>134</v>
      </c>
      <c r="D10" t="s">
        <v>437</v>
      </c>
      <c r="E10" s="4">
        <v>0.9762625042220614</v>
      </c>
      <c r="F10" s="4">
        <v>6.3780206352419501E-3</v>
      </c>
      <c r="G10" s="4">
        <v>3.01313E-2</v>
      </c>
      <c r="H10" s="4">
        <v>4.3198581779485427E-2</v>
      </c>
      <c r="I10" s="4">
        <v>4.3198581779485433E-3</v>
      </c>
      <c r="J10" s="4">
        <v>5.168680555007258E-2</v>
      </c>
      <c r="K10" s="4">
        <v>0</v>
      </c>
      <c r="L10" s="4">
        <v>8.3348896151578009E-5</v>
      </c>
      <c r="M10" s="4">
        <v>3.9645293683161227E-2</v>
      </c>
      <c r="N10" s="4">
        <v>0.80081929549999997</v>
      </c>
      <c r="O10" s="4">
        <v>0</v>
      </c>
      <c r="P10" s="4">
        <v>0</v>
      </c>
      <c r="R10" s="125" t="s">
        <v>438</v>
      </c>
      <c r="S10" s="7"/>
    </row>
    <row r="11" spans="1:19" x14ac:dyDescent="0.3">
      <c r="A11" t="s">
        <v>435</v>
      </c>
      <c r="B11" t="s">
        <v>436</v>
      </c>
      <c r="C11" t="s">
        <v>130</v>
      </c>
      <c r="D11" t="s">
        <v>437</v>
      </c>
      <c r="E11" s="4">
        <f t="shared" ref="E11:E20" si="0">SUM(F11:P11)</f>
        <v>0.92073417828065618</v>
      </c>
      <c r="F11" s="4">
        <v>3.8012291590112874E-3</v>
      </c>
      <c r="G11" s="4">
        <v>2.7E-2</v>
      </c>
      <c r="H11" s="4">
        <v>0</v>
      </c>
      <c r="I11" s="4"/>
      <c r="J11" s="4">
        <v>5.0646723842195554E-2</v>
      </c>
      <c r="K11" s="4"/>
      <c r="L11" s="4">
        <v>7.5028151531290012E-5</v>
      </c>
      <c r="M11" s="4">
        <v>3.8391901627918008E-2</v>
      </c>
      <c r="N11" s="11">
        <v>0.80081929549999997</v>
      </c>
      <c r="O11" s="4"/>
      <c r="P11" s="4"/>
    </row>
    <row r="12" spans="1:19" x14ac:dyDescent="0.3">
      <c r="A12" t="s">
        <v>435</v>
      </c>
      <c r="B12" t="s">
        <v>436</v>
      </c>
      <c r="C12" t="s">
        <v>131</v>
      </c>
      <c r="D12" t="s">
        <v>437</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
      <c r="A13" t="s">
        <v>435</v>
      </c>
      <c r="B13" t="s">
        <v>436</v>
      </c>
      <c r="C13" t="s">
        <v>439</v>
      </c>
      <c r="D13" t="s">
        <v>437</v>
      </c>
      <c r="E13" s="4">
        <f t="shared" si="0"/>
        <v>0</v>
      </c>
      <c r="F13" s="4"/>
      <c r="G13" s="4"/>
      <c r="H13" s="4"/>
      <c r="I13" s="4"/>
      <c r="J13" s="4"/>
      <c r="K13" s="4"/>
      <c r="L13" s="4"/>
      <c r="M13" s="4"/>
      <c r="N13" s="4"/>
      <c r="O13" s="4"/>
      <c r="P13" s="4"/>
    </row>
    <row r="14" spans="1:19" x14ac:dyDescent="0.3">
      <c r="A14" t="s">
        <v>435</v>
      </c>
      <c r="B14" t="s">
        <v>436</v>
      </c>
      <c r="C14" t="s">
        <v>133</v>
      </c>
      <c r="D14" t="s">
        <v>437</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
      <c r="E15" s="4"/>
      <c r="F15" s="4"/>
      <c r="G15" s="4"/>
      <c r="H15" s="4"/>
      <c r="I15" s="4"/>
      <c r="J15" s="4"/>
      <c r="K15" s="4"/>
      <c r="L15" s="4"/>
      <c r="M15" s="4"/>
      <c r="N15" s="4"/>
      <c r="O15" s="4"/>
      <c r="P15" s="4"/>
    </row>
    <row r="16" spans="1:19" x14ac:dyDescent="0.3">
      <c r="A16" t="s">
        <v>435</v>
      </c>
      <c r="B16" t="s">
        <v>436</v>
      </c>
      <c r="C16" t="s">
        <v>134</v>
      </c>
      <c r="D16" t="s">
        <v>440</v>
      </c>
      <c r="E16" s="4">
        <v>0.20785730445628486</v>
      </c>
      <c r="F16" s="4">
        <v>2.4370510521528055E-2</v>
      </c>
      <c r="G16" s="4">
        <v>3.01313E-2</v>
      </c>
      <c r="H16" s="4">
        <v>4.8642220755341865E-2</v>
      </c>
      <c r="I16" s="4">
        <v>4.8642220755341862E-3</v>
      </c>
      <c r="J16" s="4">
        <v>5.9248812939961648E-2</v>
      </c>
      <c r="K16" s="4">
        <v>0</v>
      </c>
      <c r="L16" s="4">
        <v>4.1674448075789007E-4</v>
      </c>
      <c r="M16" s="4">
        <v>3.9645293683161227E-2</v>
      </c>
      <c r="N16" s="4">
        <v>5.3819999999999996E-4</v>
      </c>
      <c r="O16" s="4">
        <v>0</v>
      </c>
      <c r="P16" s="4">
        <v>0</v>
      </c>
      <c r="R16" s="125" t="s">
        <v>438</v>
      </c>
      <c r="S16" s="7"/>
    </row>
    <row r="17" spans="1:18" x14ac:dyDescent="0.3">
      <c r="A17" t="s">
        <v>435</v>
      </c>
      <c r="B17" t="s">
        <v>436</v>
      </c>
      <c r="C17" t="s">
        <v>130</v>
      </c>
      <c r="D17" t="s">
        <v>440</v>
      </c>
      <c r="E17" s="4">
        <f t="shared" si="0"/>
        <v>0.13888635752648032</v>
      </c>
      <c r="F17" s="4">
        <v>1.4524552445401365E-2</v>
      </c>
      <c r="G17" s="4">
        <v>2.7E-2</v>
      </c>
      <c r="H17" s="4">
        <v>0</v>
      </c>
      <c r="I17" s="4"/>
      <c r="J17" s="4">
        <v>5.8056562695504521E-2</v>
      </c>
      <c r="K17" s="4"/>
      <c r="L17" s="4">
        <v>3.7514075765645005E-4</v>
      </c>
      <c r="M17" s="4">
        <v>3.8391901627918008E-2</v>
      </c>
      <c r="N17" s="211">
        <v>5.3819999999999996E-4</v>
      </c>
      <c r="O17" s="4"/>
      <c r="P17" s="4"/>
    </row>
    <row r="18" spans="1:18" x14ac:dyDescent="0.3">
      <c r="A18" t="s">
        <v>435</v>
      </c>
      <c r="B18" t="s">
        <v>436</v>
      </c>
      <c r="C18" t="s">
        <v>131</v>
      </c>
      <c r="D18" t="s">
        <v>440</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
      <c r="A19" t="s">
        <v>435</v>
      </c>
      <c r="B19" t="s">
        <v>436</v>
      </c>
      <c r="C19" t="s">
        <v>439</v>
      </c>
      <c r="D19" t="s">
        <v>440</v>
      </c>
      <c r="E19" s="4">
        <f t="shared" si="0"/>
        <v>0</v>
      </c>
      <c r="F19" s="4"/>
      <c r="G19" s="4"/>
      <c r="H19" s="4"/>
      <c r="I19" s="4"/>
      <c r="J19" s="4"/>
      <c r="K19" s="4"/>
      <c r="L19" s="4"/>
      <c r="M19" s="4"/>
      <c r="N19" s="4"/>
      <c r="O19" s="4"/>
      <c r="P19" s="4"/>
    </row>
    <row r="20" spans="1:18" x14ac:dyDescent="0.3">
      <c r="A20" t="s">
        <v>435</v>
      </c>
      <c r="B20" t="s">
        <v>436</v>
      </c>
      <c r="C20" t="s">
        <v>133</v>
      </c>
      <c r="D20" t="s">
        <v>440</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
      <c r="E21" s="4"/>
      <c r="F21" s="4"/>
      <c r="G21" s="4"/>
      <c r="H21" s="4"/>
      <c r="I21" s="4"/>
      <c r="J21" s="4"/>
      <c r="K21" s="4"/>
      <c r="L21" s="4"/>
      <c r="M21" s="4"/>
      <c r="N21" s="4"/>
      <c r="O21" s="4"/>
      <c r="P21" s="4"/>
    </row>
    <row r="22" spans="1:18" x14ac:dyDescent="0.3">
      <c r="A22" t="s">
        <v>441</v>
      </c>
      <c r="B22" t="s">
        <v>391</v>
      </c>
      <c r="C22" t="s">
        <v>134</v>
      </c>
      <c r="D22" t="s">
        <v>442</v>
      </c>
      <c r="E22" s="4">
        <v>0.77170772994138725</v>
      </c>
      <c r="F22" s="4">
        <v>1.2186917836524699E-2</v>
      </c>
      <c r="G22" s="4">
        <v>2.3884567073170736E-2</v>
      </c>
      <c r="H22" s="4">
        <v>3.6400318077827891E-2</v>
      </c>
      <c r="I22" s="4">
        <v>3.6400318077827896E-3</v>
      </c>
      <c r="J22" s="4">
        <v>4.3968385377147715E-2</v>
      </c>
      <c r="K22" s="4">
        <v>0</v>
      </c>
      <c r="L22" s="4">
        <v>1.9820774084826478E-4</v>
      </c>
      <c r="M22" s="4">
        <v>3.1426147431774146E-2</v>
      </c>
      <c r="N22" s="4">
        <v>0.31761120248475611</v>
      </c>
      <c r="O22" s="4">
        <v>4.265297238182502E-2</v>
      </c>
      <c r="P22" s="4">
        <v>0.2597389797297297</v>
      </c>
    </row>
    <row r="23" spans="1:18" x14ac:dyDescent="0.3">
      <c r="A23" s="286" t="s">
        <v>441</v>
      </c>
      <c r="B23" s="273" t="s">
        <v>391</v>
      </c>
      <c r="C23" s="273" t="s">
        <v>130</v>
      </c>
      <c r="D23" s="273" t="s">
        <v>442</v>
      </c>
      <c r="E23" s="272">
        <f>SUM(F23:P23)</f>
        <v>0.7061171705997602</v>
      </c>
      <c r="F23" s="272">
        <f>$C$40*(AVERAGE(F11,F17))/$C$39</f>
        <v>7.2632670993098931E-3</v>
      </c>
      <c r="G23" s="272">
        <f t="shared" ref="G23:M23" si="1">$C$40*(AVERAGE(G11,G17))/$C$39</f>
        <v>2.1402439024390246E-2</v>
      </c>
      <c r="H23" s="272">
        <f t="shared" si="1"/>
        <v>0</v>
      </c>
      <c r="I23" s="272"/>
      <c r="J23" s="272">
        <f t="shared" si="1"/>
        <v>4.308361966433235E-2</v>
      </c>
      <c r="K23" s="272"/>
      <c r="L23" s="272">
        <f t="shared" si="1"/>
        <v>1.7842060425123844E-4</v>
      </c>
      <c r="M23" s="272">
        <f t="shared" si="1"/>
        <v>3.0432604948959403E-2</v>
      </c>
      <c r="N23" s="272">
        <f>$C$40*(AVERAGE(N11,N17))/$C$39</f>
        <v>0.31761120248475611</v>
      </c>
      <c r="O23" s="272" cm="1">
        <f t="array" ref="O23">C40*(C43*EF_el_CO2_BR+C44*EF_biofuels_CO2)</f>
        <v>3.5145616773760872E-2</v>
      </c>
      <c r="P23" s="287">
        <v>0.251</v>
      </c>
      <c r="R23" t="s">
        <v>443</v>
      </c>
    </row>
    <row r="24" spans="1:18" x14ac:dyDescent="0.3">
      <c r="A24" s="231" t="s">
        <v>441</v>
      </c>
      <c r="B24" t="s">
        <v>391</v>
      </c>
      <c r="C24" t="s">
        <v>131</v>
      </c>
      <c r="D24" t="s">
        <v>442</v>
      </c>
      <c r="E24" s="4">
        <f>SUM(F24:P24)</f>
        <v>4.7266553697523981E-4</v>
      </c>
      <c r="F24" s="4">
        <f t="shared" ref="F24:M24" si="2">$C$40*(AVERAGE(F12,F18))/$C$39</f>
        <v>1.5603516238625262E-5</v>
      </c>
      <c r="G24" s="4">
        <f t="shared" si="2"/>
        <v>7.5304878048780503E-5</v>
      </c>
      <c r="H24" s="4"/>
      <c r="I24" s="4"/>
      <c r="J24" s="4">
        <f t="shared" si="2"/>
        <v>1.908459074435586E-5</v>
      </c>
      <c r="K24" s="4"/>
      <c r="L24" s="4">
        <f t="shared" si="2"/>
        <v>5.9672097439024396E-7</v>
      </c>
      <c r="M24" s="4">
        <f t="shared" si="2"/>
        <v>2.3084271612619523E-5</v>
      </c>
      <c r="N24" s="4"/>
      <c r="O24" s="4">
        <f>C40*(C43*EF_el_CH4_BR+C44*EF_biofuel_CH4)</f>
        <v>1.2899155935646844E-4</v>
      </c>
      <c r="P24" s="232">
        <f>4.83/1000/23</f>
        <v>2.1000000000000001E-4</v>
      </c>
      <c r="R24" t="s">
        <v>444</v>
      </c>
    </row>
    <row r="25" spans="1:18" x14ac:dyDescent="0.3">
      <c r="A25" s="231" t="s">
        <v>441</v>
      </c>
      <c r="B25" t="s">
        <v>391</v>
      </c>
      <c r="C25" t="s">
        <v>439</v>
      </c>
      <c r="D25" t="s">
        <v>442</v>
      </c>
      <c r="E25" s="4">
        <f>SUM(F25:P25)</f>
        <v>0</v>
      </c>
      <c r="F25" s="4"/>
      <c r="G25" s="4"/>
      <c r="H25" s="4"/>
      <c r="I25" s="4"/>
      <c r="J25" s="4"/>
      <c r="K25" s="4"/>
      <c r="L25" s="4"/>
      <c r="M25" s="4"/>
      <c r="N25" s="4"/>
      <c r="O25" s="4"/>
      <c r="P25" s="232"/>
    </row>
    <row r="26" spans="1:18" x14ac:dyDescent="0.3">
      <c r="A26" s="233" t="s">
        <v>441</v>
      </c>
      <c r="B26" s="234" t="s">
        <v>391</v>
      </c>
      <c r="C26" s="234" t="s">
        <v>133</v>
      </c>
      <c r="D26" s="234" t="s">
        <v>442</v>
      </c>
      <c r="E26" s="235">
        <f>SUM(F26:P26)</f>
        <v>1.8866346644602505E-4</v>
      </c>
      <c r="F26" s="235">
        <f t="shared" ref="F26:M26" si="3">$C$40*(AVERAGE(F14,F20))/$C$39</f>
        <v>1.6332109719061441E-5</v>
      </c>
      <c r="G26" s="235">
        <f t="shared" si="3"/>
        <v>8.7195121951219526E-7</v>
      </c>
      <c r="H26" s="236">
        <f t="shared" si="3"/>
        <v>1.3333449845358202E-4</v>
      </c>
      <c r="I26" s="235">
        <f t="shared" si="3"/>
        <v>1.3333449845358203E-5</v>
      </c>
      <c r="J26" s="235">
        <f t="shared" si="3"/>
        <v>1.1576736579983931E-6</v>
      </c>
      <c r="K26" s="235"/>
      <c r="L26" s="235">
        <f t="shared" si="3"/>
        <v>7.3437786087804866E-9</v>
      </c>
      <c r="M26" s="235">
        <f t="shared" si="3"/>
        <v>1.1195281639512197E-6</v>
      </c>
      <c r="N26" s="235"/>
      <c r="O26" s="235">
        <f>C40*(C43*EF_el_N2O_BR+C44*EF_biofuel_N2O)</f>
        <v>1.3419073770114991E-5</v>
      </c>
      <c r="P26" s="237">
        <f>2.69/1000/296</f>
        <v>9.087837837837838E-6</v>
      </c>
      <c r="R26" t="s">
        <v>444</v>
      </c>
    </row>
    <row r="29" spans="1:18" ht="18" x14ac:dyDescent="0.35">
      <c r="A29" s="1" t="s">
        <v>445</v>
      </c>
    </row>
    <row r="31" spans="1:18" x14ac:dyDescent="0.3">
      <c r="A31" s="154" t="s">
        <v>374</v>
      </c>
      <c r="B31" s="155"/>
      <c r="C31" s="155"/>
      <c r="D31" s="155"/>
      <c r="E31" s="155"/>
      <c r="F31" s="156" t="s">
        <v>50</v>
      </c>
      <c r="G31" s="156" t="s">
        <v>400</v>
      </c>
      <c r="H31" s="156" t="s">
        <v>52</v>
      </c>
      <c r="I31" s="156" t="s">
        <v>53</v>
      </c>
      <c r="J31" s="157" t="s">
        <v>54</v>
      </c>
      <c r="K31" s="157" t="s">
        <v>55</v>
      </c>
      <c r="L31" s="157" t="s">
        <v>56</v>
      </c>
      <c r="M31" s="238"/>
      <c r="N31" s="239"/>
      <c r="O31" s="239"/>
      <c r="P31" s="240"/>
    </row>
    <row r="32" spans="1:18" ht="43.2" x14ac:dyDescent="0.3">
      <c r="A32" s="159" t="s">
        <v>60</v>
      </c>
      <c r="B32" s="159" t="s">
        <v>374</v>
      </c>
      <c r="C32" s="159" t="s">
        <v>376</v>
      </c>
      <c r="D32" s="159" t="s">
        <v>63</v>
      </c>
      <c r="E32" s="145" t="s">
        <v>64</v>
      </c>
      <c r="F32" s="167" t="s">
        <v>71</v>
      </c>
      <c r="G32" s="167" t="s">
        <v>401</v>
      </c>
      <c r="H32" s="167" t="s">
        <v>402</v>
      </c>
      <c r="I32" s="168" t="s">
        <v>74</v>
      </c>
      <c r="J32" s="169" t="s">
        <v>75</v>
      </c>
      <c r="K32" s="170" t="s">
        <v>76</v>
      </c>
      <c r="L32" s="170" t="s">
        <v>77</v>
      </c>
      <c r="M32" s="239"/>
    </row>
    <row r="33" spans="1:18" x14ac:dyDescent="0.3">
      <c r="A33" s="77" t="s">
        <v>435</v>
      </c>
      <c r="B33" s="16" t="s">
        <v>436</v>
      </c>
      <c r="C33" s="16" t="s">
        <v>446</v>
      </c>
      <c r="D33" t="s">
        <v>437</v>
      </c>
      <c r="E33" t="s">
        <v>447</v>
      </c>
      <c r="F33">
        <v>2.9987165493168901</v>
      </c>
      <c r="G33">
        <v>7.5567657042785605E-2</v>
      </c>
      <c r="H33">
        <v>6.5971764084971603E-3</v>
      </c>
      <c r="I33">
        <v>8.3191495512068404E-4</v>
      </c>
      <c r="J33">
        <v>0.33775822794753002</v>
      </c>
      <c r="K33" s="48">
        <v>3.3104588739787198E-10</v>
      </c>
      <c r="L33" s="48">
        <v>5.4691734366476702E-5</v>
      </c>
      <c r="N33" t="s">
        <v>489</v>
      </c>
    </row>
    <row r="34" spans="1:18" x14ac:dyDescent="0.3">
      <c r="A34" s="77" t="s">
        <v>435</v>
      </c>
      <c r="B34" s="16" t="s">
        <v>436</v>
      </c>
      <c r="C34" s="16" t="s">
        <v>446</v>
      </c>
      <c r="D34" t="s">
        <v>440</v>
      </c>
      <c r="E34" t="s">
        <v>448</v>
      </c>
      <c r="F34">
        <v>3.43744199316636</v>
      </c>
      <c r="G34">
        <v>3.1968210536447099E-2</v>
      </c>
      <c r="H34">
        <v>1.7187209965831801E-3</v>
      </c>
      <c r="I34">
        <v>5.3124997988455601E-3</v>
      </c>
      <c r="J34">
        <v>0.31624466337130502</v>
      </c>
      <c r="K34" s="48">
        <v>3.6158592458834303E-11</v>
      </c>
      <c r="L34" s="48">
        <v>2.0897792027420699E-4</v>
      </c>
      <c r="N34" t="s">
        <v>490</v>
      </c>
    </row>
    <row r="36" spans="1:18" x14ac:dyDescent="0.3">
      <c r="A36" s="288" t="s">
        <v>441</v>
      </c>
      <c r="B36" s="289" t="s">
        <v>391</v>
      </c>
      <c r="C36" s="289" t="s">
        <v>449</v>
      </c>
      <c r="D36" s="289" t="s">
        <v>442</v>
      </c>
      <c r="E36" s="289"/>
      <c r="F36" s="290">
        <f>$C$40*AVERAGE(F33:F34)/$C$39</f>
        <v>2.5509164954964105</v>
      </c>
      <c r="G36" s="290">
        <f t="shared" ref="G36:L36" si="4">$C$40*AVERAGE(G33:G34)/$C$39</f>
        <v>4.2620923125915401E-2</v>
      </c>
      <c r="H36" s="291">
        <f t="shared" si="4"/>
        <v>3.2959349471355006E-3</v>
      </c>
      <c r="I36" s="291">
        <f t="shared" si="4"/>
        <v>2.435286335413451E-3</v>
      </c>
      <c r="J36" s="290">
        <f t="shared" si="4"/>
        <v>0.25920846302270906</v>
      </c>
      <c r="K36" s="292">
        <f t="shared" si="4"/>
        <v>1.4553836091881654E-10</v>
      </c>
      <c r="L36" s="292">
        <f t="shared" si="4"/>
        <v>1.0450321677831977E-4</v>
      </c>
    </row>
    <row r="38" spans="1:18" x14ac:dyDescent="0.3">
      <c r="A38" s="113" t="s">
        <v>450</v>
      </c>
      <c r="B38" s="113"/>
      <c r="C38" s="113"/>
      <c r="D38" s="113"/>
      <c r="E38" s="113"/>
      <c r="F38" s="113"/>
      <c r="G38" s="113"/>
      <c r="H38" s="113"/>
      <c r="I38" s="113"/>
      <c r="J38" s="113"/>
      <c r="K38" s="113"/>
      <c r="L38" s="113"/>
      <c r="M38" s="113"/>
      <c r="N38" s="113"/>
      <c r="O38" s="113"/>
      <c r="P38" s="113"/>
    </row>
    <row r="39" spans="1:18" x14ac:dyDescent="0.3">
      <c r="A39" t="s">
        <v>451</v>
      </c>
      <c r="C39">
        <v>0.82</v>
      </c>
      <c r="R39" t="s">
        <v>452</v>
      </c>
    </row>
    <row r="40" spans="1:18" x14ac:dyDescent="0.3">
      <c r="A40" t="s">
        <v>453</v>
      </c>
      <c r="C40">
        <v>0.65</v>
      </c>
      <c r="R40" t="s">
        <v>452</v>
      </c>
    </row>
    <row r="42" spans="1:18" x14ac:dyDescent="0.3">
      <c r="A42" t="s">
        <v>454</v>
      </c>
    </row>
    <row r="43" spans="1:18" x14ac:dyDescent="0.3">
      <c r="A43" t="s">
        <v>455</v>
      </c>
      <c r="C43">
        <v>0.16600000000000001</v>
      </c>
      <c r="D43" t="s">
        <v>456</v>
      </c>
      <c r="G43" t="s">
        <v>457</v>
      </c>
      <c r="I43" s="11">
        <f>C43/(C43+C44)</f>
        <v>0.14574187884108869</v>
      </c>
      <c r="R43" t="s">
        <v>458</v>
      </c>
    </row>
    <row r="44" spans="1:18" x14ac:dyDescent="0.3">
      <c r="A44" t="s">
        <v>459</v>
      </c>
      <c r="C44">
        <v>0.97299999999999998</v>
      </c>
      <c r="D44" t="s">
        <v>456</v>
      </c>
      <c r="R44" t="s">
        <v>458</v>
      </c>
    </row>
    <row r="46" spans="1:18" x14ac:dyDescent="0.3">
      <c r="A46" t="s">
        <v>460</v>
      </c>
      <c r="R46" t="s">
        <v>461</v>
      </c>
    </row>
    <row r="49" spans="1:18" ht="18" x14ac:dyDescent="0.35">
      <c r="A49" s="220" t="s">
        <v>462</v>
      </c>
      <c r="B49" s="113"/>
      <c r="C49" s="113"/>
      <c r="D49" s="113"/>
      <c r="E49" s="113"/>
      <c r="F49" s="113"/>
      <c r="G49" s="113"/>
      <c r="H49" s="113"/>
      <c r="I49" s="113"/>
      <c r="J49" s="113"/>
      <c r="K49" s="113"/>
      <c r="L49" s="113"/>
      <c r="M49" s="113"/>
      <c r="N49" s="113"/>
      <c r="O49" s="113"/>
      <c r="P49" s="113"/>
    </row>
    <row r="51" spans="1:18" ht="18" x14ac:dyDescent="0.35">
      <c r="A51" s="1" t="s">
        <v>432</v>
      </c>
    </row>
    <row r="53" spans="1:18" x14ac:dyDescent="0.3">
      <c r="A53" s="221" t="s">
        <v>374</v>
      </c>
      <c r="B53" s="222"/>
      <c r="C53" s="222"/>
      <c r="D53" s="222"/>
      <c r="E53" s="223" t="s">
        <v>102</v>
      </c>
      <c r="F53" s="223" t="s">
        <v>103</v>
      </c>
      <c r="G53" s="224"/>
      <c r="H53" s="223" t="s">
        <v>104</v>
      </c>
      <c r="I53" s="225"/>
      <c r="J53" s="226" t="s">
        <v>105</v>
      </c>
      <c r="K53" s="225"/>
      <c r="L53" s="225"/>
      <c r="M53" s="225"/>
      <c r="N53" s="226" t="s">
        <v>106</v>
      </c>
      <c r="O53" s="226" t="s">
        <v>107</v>
      </c>
      <c r="P53" s="226" t="s">
        <v>108</v>
      </c>
    </row>
    <row r="54" spans="1:18" ht="43.2" x14ac:dyDescent="0.3">
      <c r="A54" s="227" t="s">
        <v>60</v>
      </c>
      <c r="B54" s="227" t="s">
        <v>374</v>
      </c>
      <c r="C54" s="227" t="s">
        <v>112</v>
      </c>
      <c r="D54" s="228" t="s">
        <v>433</v>
      </c>
      <c r="E54" s="229"/>
      <c r="F54" s="52" t="s">
        <v>16</v>
      </c>
      <c r="G54" s="52" t="s">
        <v>17</v>
      </c>
      <c r="H54" s="52" t="s">
        <v>377</v>
      </c>
      <c r="I54" s="52" t="s">
        <v>378</v>
      </c>
      <c r="J54" s="52" t="s">
        <v>117</v>
      </c>
      <c r="K54" s="52" t="s">
        <v>118</v>
      </c>
      <c r="L54" s="52" t="s">
        <v>119</v>
      </c>
      <c r="M54" s="52" t="s">
        <v>120</v>
      </c>
      <c r="N54" s="52" t="s">
        <v>121</v>
      </c>
      <c r="O54" s="52"/>
      <c r="P54" s="52"/>
      <c r="R54" s="230"/>
    </row>
    <row r="55" spans="1:18" x14ac:dyDescent="0.3">
      <c r="A55" t="s">
        <v>463</v>
      </c>
      <c r="B55" t="s">
        <v>464</v>
      </c>
      <c r="C55" t="s">
        <v>134</v>
      </c>
      <c r="D55" t="s">
        <v>36</v>
      </c>
      <c r="E55" s="4">
        <v>0.86652859022920592</v>
      </c>
      <c r="F55" s="4">
        <v>0.45006858113490861</v>
      </c>
      <c r="G55" s="4">
        <v>3.01313E-2</v>
      </c>
      <c r="H55" s="4">
        <v>0.24176008201732435</v>
      </c>
      <c r="I55" s="4">
        <v>2.4176008201732439E-2</v>
      </c>
      <c r="J55" s="4">
        <v>4.9915761667236082E-2</v>
      </c>
      <c r="K55" s="4">
        <v>0</v>
      </c>
      <c r="L55" s="4">
        <v>1.0835356499705141E-3</v>
      </c>
      <c r="M55" s="4">
        <v>6.9393321558033794E-2</v>
      </c>
      <c r="N55" s="4">
        <v>0</v>
      </c>
      <c r="O55" s="4">
        <v>0</v>
      </c>
      <c r="P55" s="4">
        <v>0</v>
      </c>
      <c r="R55" s="125"/>
    </row>
    <row r="56" spans="1:18" x14ac:dyDescent="0.3">
      <c r="A56" t="s">
        <v>463</v>
      </c>
      <c r="B56" t="s">
        <v>464</v>
      </c>
      <c r="C56" t="s">
        <v>130</v>
      </c>
      <c r="D56" t="s">
        <v>36</v>
      </c>
      <c r="E56" s="4">
        <f t="shared" ref="E56:E59" si="5">SUM(F56:P56)</f>
        <v>0.47425566700327737</v>
      </c>
      <c r="F56" s="4">
        <v>0.32956752885768148</v>
      </c>
      <c r="G56" s="4">
        <v>2.7E-2</v>
      </c>
      <c r="H56" s="4">
        <v>0</v>
      </c>
      <c r="I56" s="4"/>
      <c r="J56" s="4">
        <v>4.891131826833911E-2</v>
      </c>
      <c r="K56" s="4"/>
      <c r="L56" s="4">
        <v>9.7536596990677009E-4</v>
      </c>
      <c r="M56" s="4">
        <v>6.7801453907350012E-2</v>
      </c>
      <c r="N56" s="5"/>
      <c r="O56" s="4"/>
      <c r="P56" s="4"/>
    </row>
    <row r="57" spans="1:18" x14ac:dyDescent="0.3">
      <c r="A57" t="s">
        <v>463</v>
      </c>
      <c r="B57" t="s">
        <v>464</v>
      </c>
      <c r="C57" t="s">
        <v>131</v>
      </c>
      <c r="D57" t="s">
        <v>36</v>
      </c>
      <c r="E57" s="4">
        <f t="shared" si="5"/>
        <v>4.9941072237528225E-4</v>
      </c>
      <c r="F57" s="34">
        <v>3.4898905873400086E-4</v>
      </c>
      <c r="G57" s="34">
        <v>9.5000000000000005E-5</v>
      </c>
      <c r="H57" s="34"/>
      <c r="I57" s="34"/>
      <c r="J57" s="34">
        <v>2.1666064717653378E-5</v>
      </c>
      <c r="K57" s="34"/>
      <c r="L57" s="34">
        <v>3.2620746600000001E-6</v>
      </c>
      <c r="M57" s="34">
        <v>3.0493524263628008E-5</v>
      </c>
      <c r="N57" s="34"/>
      <c r="O57" s="34"/>
      <c r="P57" s="34"/>
    </row>
    <row r="58" spans="1:18" x14ac:dyDescent="0.3">
      <c r="A58" t="s">
        <v>463</v>
      </c>
      <c r="B58" t="s">
        <v>464</v>
      </c>
      <c r="C58" t="s">
        <v>439</v>
      </c>
      <c r="D58" t="s">
        <v>36</v>
      </c>
      <c r="E58" s="4">
        <f t="shared" si="5"/>
        <v>0</v>
      </c>
      <c r="F58" s="34"/>
      <c r="G58" s="34"/>
      <c r="H58" s="34"/>
      <c r="I58" s="34"/>
      <c r="J58" s="34"/>
      <c r="K58" s="34"/>
      <c r="L58" s="34"/>
      <c r="M58" s="34"/>
      <c r="N58" s="34"/>
      <c r="O58" s="34"/>
      <c r="P58" s="34"/>
    </row>
    <row r="59" spans="1:18" x14ac:dyDescent="0.3">
      <c r="A59" t="s">
        <v>463</v>
      </c>
      <c r="B59" t="s">
        <v>464</v>
      </c>
      <c r="C59" t="s">
        <v>133</v>
      </c>
      <c r="D59" t="s">
        <v>36</v>
      </c>
      <c r="E59" s="4">
        <f t="shared" si="5"/>
        <v>1.3823827241726927E-3</v>
      </c>
      <c r="F59" s="34">
        <v>4.0330101951265181E-4</v>
      </c>
      <c r="G59" s="34">
        <v>1.1000000000000001E-6</v>
      </c>
      <c r="H59" s="34">
        <v>8.8556806599752514E-4</v>
      </c>
      <c r="I59" s="34">
        <v>8.8556806599752522E-5</v>
      </c>
      <c r="J59" s="34">
        <v>1.314266191615013E-6</v>
      </c>
      <c r="K59" s="34"/>
      <c r="L59" s="34">
        <v>4.014598972799999E-8</v>
      </c>
      <c r="M59" s="34">
        <v>2.50241988142E-6</v>
      </c>
      <c r="N59" s="34"/>
      <c r="O59" s="34"/>
      <c r="P59" s="34"/>
    </row>
    <row r="60" spans="1:18" x14ac:dyDescent="0.3">
      <c r="E60" s="4"/>
      <c r="F60" s="4"/>
      <c r="G60" s="4"/>
      <c r="H60" s="4"/>
      <c r="I60" s="4"/>
      <c r="J60" s="4"/>
      <c r="K60" s="4"/>
      <c r="L60" s="4"/>
      <c r="M60" s="4"/>
      <c r="N60" s="4"/>
      <c r="O60" s="4"/>
      <c r="P60" s="4"/>
    </row>
    <row r="61" spans="1:18" x14ac:dyDescent="0.3">
      <c r="A61" t="s">
        <v>463</v>
      </c>
      <c r="B61" t="s">
        <v>464</v>
      </c>
      <c r="C61" t="s">
        <v>134</v>
      </c>
      <c r="D61" t="s">
        <v>33</v>
      </c>
      <c r="E61" s="4">
        <v>0.72542566300783895</v>
      </c>
      <c r="F61" s="4">
        <v>0.30299497425616784</v>
      </c>
      <c r="G61" s="4">
        <v>3.01313E-2</v>
      </c>
      <c r="H61" s="4">
        <v>0.24176008201732435</v>
      </c>
      <c r="I61" s="4">
        <v>2.4176008201732439E-2</v>
      </c>
      <c r="J61" s="4">
        <v>4.8839231914042686E-2</v>
      </c>
      <c r="K61" s="4">
        <v>0</v>
      </c>
      <c r="L61" s="4">
        <v>1.6669779230315599E-4</v>
      </c>
      <c r="M61" s="4">
        <v>7.735736882626848E-2</v>
      </c>
      <c r="N61" s="4">
        <v>0</v>
      </c>
      <c r="O61" s="4">
        <v>0</v>
      </c>
      <c r="P61" s="4">
        <v>0</v>
      </c>
      <c r="R61" s="125"/>
    </row>
    <row r="62" spans="1:18" x14ac:dyDescent="0.3">
      <c r="A62" t="s">
        <v>463</v>
      </c>
      <c r="B62" t="s">
        <v>464</v>
      </c>
      <c r="C62" t="s">
        <v>130</v>
      </c>
      <c r="D62" t="s">
        <v>33</v>
      </c>
      <c r="E62" s="4">
        <f t="shared" ref="E62:E65" si="6">SUM(F62:P62)</f>
        <v>0.33282969749060426</v>
      </c>
      <c r="F62" s="4">
        <v>0.18249392197894071</v>
      </c>
      <c r="G62" s="4">
        <v>2.7E-2</v>
      </c>
      <c r="H62" s="4">
        <v>0</v>
      </c>
      <c r="I62" s="4"/>
      <c r="J62" s="4">
        <v>4.7856451275928968E-2</v>
      </c>
      <c r="K62" s="4"/>
      <c r="L62" s="4">
        <v>1.5005630306258E-4</v>
      </c>
      <c r="M62" s="4">
        <v>7.5329267932672014E-2</v>
      </c>
      <c r="N62" s="5"/>
      <c r="O62" s="4"/>
      <c r="P62" s="4"/>
    </row>
    <row r="63" spans="1:18" x14ac:dyDescent="0.3">
      <c r="A63" t="s">
        <v>463</v>
      </c>
      <c r="B63" t="s">
        <v>464</v>
      </c>
      <c r="C63" t="s">
        <v>131</v>
      </c>
      <c r="D63" t="s">
        <v>33</v>
      </c>
      <c r="E63" s="4">
        <f t="shared" si="6"/>
        <v>5.0851433192470826E-4</v>
      </c>
      <c r="F63" s="34">
        <v>3.4898905873400086E-4</v>
      </c>
      <c r="G63" s="34">
        <v>9.5000000000000005E-5</v>
      </c>
      <c r="H63" s="34"/>
      <c r="I63" s="34"/>
      <c r="J63" s="34">
        <v>2.1198794209819431E-5</v>
      </c>
      <c r="K63" s="34"/>
      <c r="L63" s="34">
        <v>5.0185763999999998E-7</v>
      </c>
      <c r="M63" s="34">
        <v>4.2824621340888011E-5</v>
      </c>
      <c r="N63" s="241"/>
      <c r="O63" s="241"/>
      <c r="P63" s="241"/>
    </row>
    <row r="64" spans="1:18" x14ac:dyDescent="0.3">
      <c r="A64" t="s">
        <v>463</v>
      </c>
      <c r="B64" t="s">
        <v>464</v>
      </c>
      <c r="C64" t="s">
        <v>439</v>
      </c>
      <c r="D64" t="s">
        <v>33</v>
      </c>
      <c r="E64" s="4">
        <f t="shared" si="6"/>
        <v>0</v>
      </c>
      <c r="F64" s="241"/>
      <c r="G64" s="241"/>
      <c r="H64" s="241"/>
      <c r="I64" s="241"/>
      <c r="J64" s="241"/>
      <c r="K64" s="241"/>
      <c r="L64" s="241"/>
      <c r="M64" s="241"/>
      <c r="N64" s="241"/>
      <c r="O64" s="241"/>
      <c r="P64" s="241"/>
    </row>
    <row r="65" spans="1:18" x14ac:dyDescent="0.3">
      <c r="A65" t="s">
        <v>463</v>
      </c>
      <c r="B65" t="s">
        <v>464</v>
      </c>
      <c r="C65" t="s">
        <v>133</v>
      </c>
      <c r="D65" t="s">
        <v>33</v>
      </c>
      <c r="E65" s="4">
        <f t="shared" si="6"/>
        <v>1.3825723019262944E-3</v>
      </c>
      <c r="F65" s="34">
        <v>4.0330101951265175E-4</v>
      </c>
      <c r="G65" s="34">
        <v>1.1000000000000001E-6</v>
      </c>
      <c r="H65" s="34">
        <v>8.8556806599752514E-4</v>
      </c>
      <c r="I65" s="34">
        <v>8.8556806599752522E-5</v>
      </c>
      <c r="J65" s="34">
        <v>1.2859215042530965E-6</v>
      </c>
      <c r="K65" s="34"/>
      <c r="L65" s="34">
        <v>6.1763061119999986E-9</v>
      </c>
      <c r="M65" s="34">
        <v>2.7543120060000002E-6</v>
      </c>
      <c r="N65" s="241"/>
      <c r="O65" s="241"/>
      <c r="P65" s="241"/>
    </row>
    <row r="66" spans="1:18" x14ac:dyDescent="0.3">
      <c r="E66" s="4"/>
      <c r="F66" s="4"/>
      <c r="G66" s="4"/>
      <c r="H66" s="4"/>
      <c r="I66" s="4"/>
      <c r="J66" s="4"/>
      <c r="K66" s="4"/>
      <c r="L66" s="4"/>
      <c r="M66" s="4"/>
      <c r="N66" s="4"/>
      <c r="O66" s="4"/>
      <c r="P66" s="4"/>
    </row>
    <row r="67" spans="1:18" x14ac:dyDescent="0.3">
      <c r="A67" t="s">
        <v>463</v>
      </c>
      <c r="B67" t="s">
        <v>464</v>
      </c>
      <c r="C67" t="s">
        <v>134</v>
      </c>
      <c r="D67" t="s">
        <v>30</v>
      </c>
      <c r="E67" s="4">
        <v>0.74513506580091904</v>
      </c>
      <c r="F67" s="4">
        <v>0.30299497425616784</v>
      </c>
      <c r="G67" s="4">
        <v>3.01313E-2</v>
      </c>
      <c r="H67" s="4">
        <v>0.24176008201732432</v>
      </c>
      <c r="I67" s="4">
        <v>2.4176008201732435E-2</v>
      </c>
      <c r="J67" s="4">
        <v>5.7818585001554686E-2</v>
      </c>
      <c r="K67" s="4">
        <v>0</v>
      </c>
      <c r="L67" s="4">
        <v>8.3348896151578009E-5</v>
      </c>
      <c r="M67" s="4">
        <v>8.8170767427988142E-2</v>
      </c>
      <c r="N67" s="4"/>
      <c r="O67" s="4">
        <v>0</v>
      </c>
      <c r="P67" s="4">
        <v>0</v>
      </c>
      <c r="R67" s="125"/>
    </row>
    <row r="68" spans="1:18" x14ac:dyDescent="0.3">
      <c r="A68" t="s">
        <v>463</v>
      </c>
      <c r="B68" t="s">
        <v>464</v>
      </c>
      <c r="C68" t="s">
        <v>130</v>
      </c>
      <c r="D68" t="s">
        <v>30</v>
      </c>
      <c r="E68" s="4">
        <f t="shared" ref="E68:E71" si="7">SUM(F68:P68)</f>
        <v>0.35179228624786635</v>
      </c>
      <c r="F68" s="4">
        <v>0.18249392197894071</v>
      </c>
      <c r="G68" s="4">
        <v>2.7E-2</v>
      </c>
      <c r="H68" s="4">
        <v>0</v>
      </c>
      <c r="I68" s="4"/>
      <c r="J68" s="4">
        <v>5.6655114905164373E-2</v>
      </c>
      <c r="K68" s="4"/>
      <c r="L68" s="4">
        <v>7.5028151531290012E-5</v>
      </c>
      <c r="M68" s="4">
        <v>8.5568221212230011E-2</v>
      </c>
      <c r="N68" s="5"/>
      <c r="O68" s="4"/>
      <c r="P68" s="4"/>
    </row>
    <row r="69" spans="1:18" x14ac:dyDescent="0.3">
      <c r="A69" t="s">
        <v>463</v>
      </c>
      <c r="B69" t="s">
        <v>464</v>
      </c>
      <c r="C69" t="s">
        <v>131</v>
      </c>
      <c r="D69" t="s">
        <v>30</v>
      </c>
      <c r="E69" s="4">
        <f t="shared" si="7"/>
        <v>5.3201630943650285E-4</v>
      </c>
      <c r="F69" s="4">
        <v>3.4898905873400081E-4</v>
      </c>
      <c r="G69" s="4">
        <v>9.5000000000000005E-5</v>
      </c>
      <c r="H69" s="4"/>
      <c r="I69" s="4"/>
      <c r="J69" s="4">
        <v>2.5096305509229163E-5</v>
      </c>
      <c r="K69" s="4"/>
      <c r="L69" s="4">
        <v>2.5092882000000005E-7</v>
      </c>
      <c r="M69" s="4">
        <v>6.2680016373272817E-5</v>
      </c>
      <c r="N69" s="4"/>
      <c r="O69" s="4"/>
      <c r="P69" s="4"/>
    </row>
    <row r="70" spans="1:18" x14ac:dyDescent="0.3">
      <c r="A70" t="s">
        <v>463</v>
      </c>
      <c r="B70" t="s">
        <v>464</v>
      </c>
      <c r="C70" t="s">
        <v>439</v>
      </c>
      <c r="D70" t="s">
        <v>30</v>
      </c>
      <c r="E70" s="4">
        <f t="shared" si="7"/>
        <v>0</v>
      </c>
      <c r="F70" s="4"/>
      <c r="G70" s="4"/>
      <c r="H70" s="4"/>
      <c r="I70" s="4"/>
      <c r="J70" s="4"/>
      <c r="K70" s="4"/>
      <c r="L70" s="4"/>
      <c r="M70" s="4"/>
      <c r="N70" s="4"/>
      <c r="O70" s="4"/>
      <c r="P70" s="4"/>
    </row>
    <row r="71" spans="1:18" x14ac:dyDescent="0.3">
      <c r="A71" t="s">
        <v>463</v>
      </c>
      <c r="B71" t="s">
        <v>464</v>
      </c>
      <c r="C71" t="s">
        <v>133</v>
      </c>
      <c r="D71" t="s">
        <v>30</v>
      </c>
      <c r="E71" s="4">
        <f t="shared" si="7"/>
        <v>1.382742467149615E-3</v>
      </c>
      <c r="F71" s="4">
        <v>4.033010195126517E-4</v>
      </c>
      <c r="G71" s="4">
        <v>1.1000000000000001E-6</v>
      </c>
      <c r="H71" s="241">
        <v>8.8556806599752503E-4</v>
      </c>
      <c r="I71" s="4">
        <v>8.8556806599752509E-5</v>
      </c>
      <c r="J71" s="4">
        <v>1.5223450264296012E-6</v>
      </c>
      <c r="K71" s="4"/>
      <c r="L71" s="4">
        <v>3.0881530559999997E-9</v>
      </c>
      <c r="M71" s="4">
        <v>2.6911418602000003E-6</v>
      </c>
      <c r="N71" s="4"/>
      <c r="O71" s="4"/>
      <c r="P71" s="4"/>
    </row>
    <row r="72" spans="1:18" x14ac:dyDescent="0.3">
      <c r="E72" s="4"/>
      <c r="F72" s="4"/>
      <c r="G72" s="4"/>
      <c r="H72" s="4"/>
      <c r="I72" s="4"/>
      <c r="J72" s="4"/>
      <c r="K72" s="4"/>
      <c r="L72" s="4"/>
      <c r="M72" s="4"/>
      <c r="N72" s="4"/>
      <c r="O72" s="4"/>
      <c r="P72" s="4"/>
    </row>
    <row r="73" spans="1:18" x14ac:dyDescent="0.3">
      <c r="A73" t="s">
        <v>465</v>
      </c>
      <c r="B73" t="s">
        <v>462</v>
      </c>
      <c r="C73" t="s">
        <v>134</v>
      </c>
      <c r="D73" t="s">
        <v>466</v>
      </c>
      <c r="E73" s="4">
        <v>0.46603913502229222</v>
      </c>
      <c r="F73" s="4">
        <v>0.16994045304668304</v>
      </c>
      <c r="G73" s="4">
        <v>1.454614482758621E-2</v>
      </c>
      <c r="H73" s="4">
        <v>0.11671176373250142</v>
      </c>
      <c r="I73" s="4">
        <v>1.1671176373250144E-2</v>
      </c>
      <c r="J73" s="4">
        <v>2.5195748277697338E-2</v>
      </c>
      <c r="K73" s="4"/>
      <c r="L73" s="4">
        <v>2.1459945675808594E-4</v>
      </c>
      <c r="M73" s="4">
        <v>3.7803452981288115E-2</v>
      </c>
      <c r="N73" s="4"/>
      <c r="O73" s="4">
        <v>2.3613703053907385E-2</v>
      </c>
      <c r="P73" s="4">
        <v>6.6342093272620445E-2</v>
      </c>
      <c r="R73" s="172" t="s">
        <v>467</v>
      </c>
    </row>
    <row r="74" spans="1:18" x14ac:dyDescent="0.3">
      <c r="A74" s="286" t="s">
        <v>465</v>
      </c>
      <c r="B74" s="273" t="s">
        <v>462</v>
      </c>
      <c r="C74" s="273" t="s">
        <v>130</v>
      </c>
      <c r="D74" s="273" t="s">
        <v>466</v>
      </c>
      <c r="E74" s="272">
        <f>SUM(F74:P74)</f>
        <v>0.27085685084992916</v>
      </c>
      <c r="F74" s="272">
        <f>$C$92*(AVERAGE(F56,F62,F68))/$C$91</f>
        <v>0.11176753125767681</v>
      </c>
      <c r="G74" s="272">
        <f>$C$92*(AVERAGE(G56,G62,G68))/$C$91</f>
        <v>1.3034482758620692E-2</v>
      </c>
      <c r="H74" s="272">
        <f>$C$92*(AVERAGE(H56,H62,H68))/$C$91</f>
        <v>0</v>
      </c>
      <c r="I74" s="272"/>
      <c r="J74" s="272">
        <f>$C$92*(AVERAGE(J56,J62,J68))/$C$91</f>
        <v>2.4688740026345454E-2</v>
      </c>
      <c r="K74" s="272"/>
      <c r="L74" s="272">
        <f>$C$92*(AVERAGE(L56,L62,L68))/$C$91</f>
        <v>1.931759303794134E-4</v>
      </c>
      <c r="M74" s="272">
        <f>$C$92*(AVERAGE(M56,M62,M68))/$C$91</f>
        <v>3.6802128767029069E-2</v>
      </c>
      <c r="N74" s="272"/>
      <c r="O74" s="272">
        <f>C92*(C95*AVERAGE(EF_el_CO2_FR,EF_el_CO2_DE,EF_el_CO2_PL)+C96*EF_biofuels_CO2)</f>
        <v>2.1170792109877701E-2</v>
      </c>
      <c r="P74" s="287">
        <f>63.2/1000</f>
        <v>6.3200000000000006E-2</v>
      </c>
      <c r="R74" t="s">
        <v>468</v>
      </c>
    </row>
    <row r="75" spans="1:18" x14ac:dyDescent="0.3">
      <c r="A75" s="231" t="s">
        <v>465</v>
      </c>
      <c r="B75" t="s">
        <v>462</v>
      </c>
      <c r="C75" t="s">
        <v>131</v>
      </c>
      <c r="D75" t="s">
        <v>466</v>
      </c>
      <c r="E75" s="4">
        <f>SUM(F75:P75)</f>
        <v>3.8246443678729497E-4</v>
      </c>
      <c r="F75" s="4">
        <f>$C$92*(AVERAGE(F57,F63,F69))/$C$91</f>
        <v>1.684774766302073E-4</v>
      </c>
      <c r="G75" s="4">
        <f>$C$92*(AVERAGE(G57,G63,G69))/$C$91</f>
        <v>4.5862068965517246E-5</v>
      </c>
      <c r="H75" s="4"/>
      <c r="I75" s="4"/>
      <c r="J75" s="4">
        <f>$C$92*(AVERAGE(J57,J63,J69))/$C$91</f>
        <v>1.0936279334641699E-5</v>
      </c>
      <c r="K75" s="4"/>
      <c r="L75" s="4">
        <f>$C$92*(AVERAGE(L57,L63,L69))/$C$91</f>
        <v>6.4606960551724142E-7</v>
      </c>
      <c r="M75" s="4">
        <f>$C$92*(AVERAGE(M57,M63,M69))/$C$91</f>
        <v>2.1884761697575221E-5</v>
      </c>
      <c r="N75" s="4"/>
      <c r="O75" s="4">
        <f>C92*(C95*AVERAGE(EF_el_CH4_FR,EF_el_CH4_DE,EF_el_CH4_PL)+C96*EF_biofuel_CH4)</f>
        <v>4.5962128379923281E-5</v>
      </c>
      <c r="P75" s="232">
        <f>2.04/1000/23</f>
        <v>8.8695652173913049E-5</v>
      </c>
      <c r="R75" t="s">
        <v>469</v>
      </c>
    </row>
    <row r="76" spans="1:18" x14ac:dyDescent="0.3">
      <c r="A76" s="231" t="s">
        <v>465</v>
      </c>
      <c r="B76" t="s">
        <v>462</v>
      </c>
      <c r="C76" t="s">
        <v>439</v>
      </c>
      <c r="D76" t="s">
        <v>466</v>
      </c>
      <c r="E76" s="4">
        <f>SUM(F76:P76)</f>
        <v>0</v>
      </c>
      <c r="F76" s="4"/>
      <c r="G76" s="4"/>
      <c r="H76" s="4"/>
      <c r="I76" s="4"/>
      <c r="J76" s="4"/>
      <c r="K76" s="4"/>
      <c r="L76" s="4"/>
      <c r="M76" s="4"/>
      <c r="N76" s="4"/>
      <c r="O76" s="4"/>
      <c r="P76" s="232"/>
    </row>
    <row r="77" spans="1:18" x14ac:dyDescent="0.3">
      <c r="A77" s="233" t="s">
        <v>465</v>
      </c>
      <c r="B77" s="234" t="s">
        <v>462</v>
      </c>
      <c r="C77" s="234" t="s">
        <v>133</v>
      </c>
      <c r="D77" s="234" t="s">
        <v>466</v>
      </c>
      <c r="E77" s="235">
        <f>SUM(F77:P77)</f>
        <v>6.732045566157569E-4</v>
      </c>
      <c r="F77" s="235">
        <f>$C$92*(AVERAGE(F59,F65,F71))/$C$91</f>
        <v>1.946970439026595E-4</v>
      </c>
      <c r="G77" s="235">
        <f>$C$92*(AVERAGE(G59,G65,G71))/$C$91</f>
        <v>5.3103448275862083E-7</v>
      </c>
      <c r="H77" s="242">
        <f>$C$92*(AVERAGE(H59,H65,H71))/$C$91</f>
        <v>4.2751561806777074E-4</v>
      </c>
      <c r="I77" s="236">
        <f>$C$92*(AVERAGE(I59,I65,I71))/$C$91</f>
        <v>4.2751561806777089E-5</v>
      </c>
      <c r="J77" s="235">
        <f>$C$92*(AVERAGE(J59,J65,J71))/$C$91</f>
        <v>6.6339607025480414E-7</v>
      </c>
      <c r="K77" s="235"/>
      <c r="L77" s="235">
        <f>$C$92*(AVERAGE(L59,L65,L71))/$C$91</f>
        <v>7.9511067188965511E-9</v>
      </c>
      <c r="M77" s="235">
        <f>$C$92*(AVERAGE(M59,M65,M71))/$C$91</f>
        <v>1.2789681892721844E-6</v>
      </c>
      <c r="N77" s="235"/>
      <c r="O77" s="235">
        <f>C92*(C95*AVERAGE(EF_el_N2O_FR,EF_el_N2O_DE,EF_el_N2O_PL)+C96*EF_biofuel_N2O)</f>
        <v>3.9312802868423834E-6</v>
      </c>
      <c r="P77" s="237">
        <f>0.541/1000/296</f>
        <v>1.8277027027027027E-6</v>
      </c>
      <c r="R77" t="s">
        <v>469</v>
      </c>
    </row>
    <row r="80" spans="1:18" ht="18" x14ac:dyDescent="0.35">
      <c r="A80" s="1" t="s">
        <v>445</v>
      </c>
    </row>
    <row r="82" spans="1:18" x14ac:dyDescent="0.3">
      <c r="A82" s="154" t="s">
        <v>374</v>
      </c>
      <c r="B82" s="155"/>
      <c r="C82" s="155"/>
      <c r="D82" s="155"/>
      <c r="E82" s="155"/>
      <c r="F82" s="156" t="s">
        <v>50</v>
      </c>
      <c r="G82" s="156" t="s">
        <v>400</v>
      </c>
      <c r="H82" s="156" t="s">
        <v>52</v>
      </c>
      <c r="I82" s="156" t="s">
        <v>53</v>
      </c>
      <c r="J82" s="157" t="s">
        <v>54</v>
      </c>
      <c r="K82" s="157" t="s">
        <v>55</v>
      </c>
      <c r="L82" s="157" t="s">
        <v>56</v>
      </c>
      <c r="M82" s="238"/>
      <c r="N82" s="239"/>
      <c r="O82" s="239"/>
      <c r="P82" s="240"/>
    </row>
    <row r="83" spans="1:18" ht="43.2" x14ac:dyDescent="0.3">
      <c r="A83" s="159" t="s">
        <v>60</v>
      </c>
      <c r="B83" s="159" t="s">
        <v>374</v>
      </c>
      <c r="C83" s="159" t="s">
        <v>376</v>
      </c>
      <c r="D83" s="159" t="s">
        <v>63</v>
      </c>
      <c r="E83" s="145" t="s">
        <v>64</v>
      </c>
      <c r="F83" s="167" t="s">
        <v>71</v>
      </c>
      <c r="G83" s="167" t="s">
        <v>401</v>
      </c>
      <c r="H83" s="167" t="s">
        <v>402</v>
      </c>
      <c r="I83" s="168" t="s">
        <v>74</v>
      </c>
      <c r="J83" s="169" t="s">
        <v>75</v>
      </c>
      <c r="K83" s="170" t="s">
        <v>76</v>
      </c>
      <c r="L83" s="170" t="s">
        <v>77</v>
      </c>
      <c r="M83" s="239"/>
    </row>
    <row r="84" spans="1:18" x14ac:dyDescent="0.3">
      <c r="A84" s="231" t="s">
        <v>465</v>
      </c>
      <c r="B84" t="s">
        <v>464</v>
      </c>
      <c r="C84" s="16" t="s">
        <v>449</v>
      </c>
      <c r="D84" t="s">
        <v>36</v>
      </c>
      <c r="E84" t="s">
        <v>84</v>
      </c>
      <c r="F84">
        <v>3.05041729708624</v>
      </c>
      <c r="G84">
        <v>4.7160731472569703E-2</v>
      </c>
      <c r="H84">
        <v>5.13314084055181E-3</v>
      </c>
      <c r="I84">
        <v>5.0398432162958003E-3</v>
      </c>
      <c r="J84">
        <v>0.66988842289432105</v>
      </c>
      <c r="K84" s="48">
        <v>3.6670410199158097E-11</v>
      </c>
      <c r="L84">
        <v>2.86711793285263E-3</v>
      </c>
      <c r="N84" t="s">
        <v>489</v>
      </c>
    </row>
    <row r="85" spans="1:18" x14ac:dyDescent="0.3">
      <c r="A85" s="231" t="s">
        <v>465</v>
      </c>
      <c r="B85" t="s">
        <v>464</v>
      </c>
      <c r="C85" s="16" t="s">
        <v>449</v>
      </c>
      <c r="D85" t="s">
        <v>33</v>
      </c>
      <c r="E85" t="s">
        <v>85</v>
      </c>
      <c r="F85">
        <v>2.9846291598268899</v>
      </c>
      <c r="G85">
        <v>4.7160731472569703E-2</v>
      </c>
      <c r="H85">
        <v>5.13314084055181E-3</v>
      </c>
      <c r="I85">
        <v>0</v>
      </c>
      <c r="J85">
        <v>0.49457909998667898</v>
      </c>
      <c r="K85" s="48">
        <v>2.7374708977573999E-11</v>
      </c>
      <c r="L85">
        <v>2.86711793285263E-3</v>
      </c>
      <c r="N85" t="s">
        <v>490</v>
      </c>
    </row>
    <row r="86" spans="1:18" x14ac:dyDescent="0.3">
      <c r="A86" s="231" t="s">
        <v>465</v>
      </c>
      <c r="B86" t="s">
        <v>464</v>
      </c>
      <c r="C86" s="16" t="s">
        <v>449</v>
      </c>
      <c r="D86" t="s">
        <v>30</v>
      </c>
      <c r="E86" t="s">
        <v>91</v>
      </c>
      <c r="F86">
        <v>3.5333691381405901</v>
      </c>
      <c r="G86">
        <v>4.7160731472569703E-2</v>
      </c>
      <c r="H86">
        <v>5.13314084055181E-3</v>
      </c>
      <c r="I86">
        <v>0</v>
      </c>
      <c r="J86">
        <v>0.66057946682741997</v>
      </c>
      <c r="K86" s="48">
        <v>1.40747179424791E-11</v>
      </c>
      <c r="L86">
        <v>2.86711793285263E-3</v>
      </c>
    </row>
    <row r="88" spans="1:18" x14ac:dyDescent="0.3">
      <c r="A88" s="293" t="s">
        <v>465</v>
      </c>
      <c r="B88" s="289" t="s">
        <v>462</v>
      </c>
      <c r="C88" s="289" t="s">
        <v>449</v>
      </c>
      <c r="D88" s="289" t="s">
        <v>466</v>
      </c>
      <c r="E88" s="289"/>
      <c r="F88" s="290">
        <f>$C$92*AVERAGE(F84:F86)/$C$91</f>
        <v>1.5397450382845068</v>
      </c>
      <c r="G88" s="290">
        <f t="shared" ref="G88:L88" si="8">$C$92*AVERAGE(G84:G86)/$C$91</f>
        <v>2.276724967641296E-2</v>
      </c>
      <c r="H88" s="291">
        <f t="shared" si="8"/>
        <v>2.4780679919905292E-3</v>
      </c>
      <c r="I88" s="291">
        <f t="shared" si="8"/>
        <v>8.1100925319702543E-4</v>
      </c>
      <c r="J88" s="290">
        <f t="shared" si="8"/>
        <v>0.29368572248181479</v>
      </c>
      <c r="K88" s="292">
        <f t="shared" si="8"/>
        <v>1.2571008272056975E-11</v>
      </c>
      <c r="L88" s="292">
        <f t="shared" si="8"/>
        <v>1.3841258986185109E-3</v>
      </c>
    </row>
    <row r="90" spans="1:18" x14ac:dyDescent="0.3">
      <c r="A90" s="113" t="s">
        <v>470</v>
      </c>
      <c r="B90" s="113"/>
      <c r="C90" s="113"/>
      <c r="D90" s="113"/>
      <c r="E90" s="113"/>
      <c r="F90" s="113"/>
      <c r="G90" s="113"/>
      <c r="H90" s="113"/>
      <c r="I90" s="113"/>
      <c r="J90" s="113"/>
      <c r="K90" s="113"/>
      <c r="L90" s="113"/>
      <c r="M90" s="113"/>
      <c r="N90" s="113"/>
      <c r="O90" s="113"/>
      <c r="P90" s="113"/>
    </row>
    <row r="91" spans="1:18" x14ac:dyDescent="0.3">
      <c r="A91" t="s">
        <v>471</v>
      </c>
      <c r="C91">
        <v>0.57999999999999996</v>
      </c>
      <c r="R91" t="s">
        <v>458</v>
      </c>
    </row>
    <row r="92" spans="1:18" x14ac:dyDescent="0.3">
      <c r="A92" t="s">
        <v>453</v>
      </c>
      <c r="C92">
        <v>0.28000000000000003</v>
      </c>
      <c r="R92" t="s">
        <v>458</v>
      </c>
    </row>
    <row r="94" spans="1:18" x14ac:dyDescent="0.3">
      <c r="A94" t="s">
        <v>454</v>
      </c>
    </row>
    <row r="95" spans="1:18" x14ac:dyDescent="0.3">
      <c r="A95" t="s">
        <v>455</v>
      </c>
      <c r="C95" s="11">
        <f>0.918*I43</f>
        <v>0.13379104477611942</v>
      </c>
      <c r="D95" t="s">
        <v>472</v>
      </c>
      <c r="R95" t="s">
        <v>473</v>
      </c>
    </row>
    <row r="96" spans="1:18" x14ac:dyDescent="0.3">
      <c r="A96" t="s">
        <v>459</v>
      </c>
      <c r="C96" s="11">
        <f>0.918*(1-I43)</f>
        <v>0.78420895522388057</v>
      </c>
      <c r="D96" t="s">
        <v>472</v>
      </c>
    </row>
    <row r="98" spans="1:18" x14ac:dyDescent="0.3">
      <c r="A98" t="s">
        <v>474</v>
      </c>
      <c r="R98" t="s">
        <v>475</v>
      </c>
    </row>
    <row r="100" spans="1:18" x14ac:dyDescent="0.3">
      <c r="A100" s="113" t="s">
        <v>476</v>
      </c>
      <c r="B100" s="113"/>
      <c r="C100" s="113"/>
      <c r="D100" s="113"/>
      <c r="E100" s="113"/>
      <c r="F100" s="113"/>
      <c r="G100" s="113"/>
      <c r="H100" s="113"/>
      <c r="I100" s="113"/>
      <c r="J100" s="113"/>
      <c r="K100" s="113"/>
      <c r="L100" s="113"/>
      <c r="M100" s="113"/>
      <c r="N100" s="113"/>
      <c r="O100" s="113"/>
      <c r="P100" s="113"/>
    </row>
    <row r="102" spans="1:18" x14ac:dyDescent="0.3">
      <c r="B102" t="s">
        <v>477</v>
      </c>
      <c r="C102" t="s">
        <v>458</v>
      </c>
    </row>
    <row r="103" spans="1:18" x14ac:dyDescent="0.3">
      <c r="A103" t="s">
        <v>478</v>
      </c>
      <c r="B103" s="4">
        <f>SUM(F73:M73)</f>
        <v>0.37608333869576438</v>
      </c>
      <c r="C103" s="4">
        <f>(0.511+2.7+265+117)/1000</f>
        <v>0.38521100000000003</v>
      </c>
      <c r="D103" t="s">
        <v>479</v>
      </c>
    </row>
    <row r="104" spans="1:18" x14ac:dyDescent="0.3">
      <c r="A104" t="s">
        <v>480</v>
      </c>
      <c r="B104" s="4">
        <f>O73</f>
        <v>2.3613703053907385E-2</v>
      </c>
      <c r="C104" s="4">
        <f>(0.401+0.181+0.289+8)/1000</f>
        <v>8.8710000000000004E-3</v>
      </c>
      <c r="D104" t="s">
        <v>481</v>
      </c>
    </row>
    <row r="105" spans="1:18" x14ac:dyDescent="0.3">
      <c r="A105" t="s">
        <v>482</v>
      </c>
      <c r="B105" s="4">
        <f>P73</f>
        <v>6.6342093272620445E-2</v>
      </c>
      <c r="C105" s="4">
        <f>(1.15+2.04+0.541+63.2)/1000</f>
        <v>6.6930999999999991E-2</v>
      </c>
      <c r="D105" t="s">
        <v>483</v>
      </c>
    </row>
    <row r="106" spans="1:18" x14ac:dyDescent="0.3">
      <c r="A106" s="172" t="s">
        <v>241</v>
      </c>
      <c r="B106" s="243">
        <f>SUM(B103:B105)</f>
        <v>0.46603913502229222</v>
      </c>
      <c r="C106" s="243">
        <f>SUM(C103:C105)</f>
        <v>0.46101300000000001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sheetPr>
  <dimension ref="A2:A7"/>
  <sheetViews>
    <sheetView workbookViewId="0">
      <selection activeCell="A4" sqref="A4"/>
    </sheetView>
  </sheetViews>
  <sheetFormatPr defaultColWidth="8.88671875" defaultRowHeight="14.4" x14ac:dyDescent="0.3"/>
  <sheetData>
    <row r="2" spans="1:1" ht="21" x14ac:dyDescent="0.4">
      <c r="A2" s="2" t="s">
        <v>484</v>
      </c>
    </row>
    <row r="4" spans="1:1" x14ac:dyDescent="0.3">
      <c r="A4" t="s">
        <v>485</v>
      </c>
    </row>
    <row r="5" spans="1:1" x14ac:dyDescent="0.3">
      <c r="A5" t="s">
        <v>486</v>
      </c>
    </row>
    <row r="6" spans="1:1" x14ac:dyDescent="0.3">
      <c r="A6" t="s">
        <v>487</v>
      </c>
    </row>
    <row r="7" spans="1:1" x14ac:dyDescent="0.3">
      <c r="A7" t="s">
        <v>488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Props1.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AA8BD2-4DFD-46C4-AB5A-9922D802D05E}">
  <ds:schemaRefs>
    <ds:schemaRef ds:uri="http://schemas.microsoft.com/sharepoint/v3/contenttype/forms"/>
  </ds:schemaRefs>
</ds:datastoreItem>
</file>

<file path=customXml/itemProps3.xml><?xml version="1.0" encoding="utf-8"?>
<ds:datastoreItem xmlns:ds="http://schemas.openxmlformats.org/officeDocument/2006/customXml" ds:itemID="{35C14542-2642-452A-849B-1DD08CED073B}">
  <ds:schemaRefs>
    <ds:schemaRef ds:uri="http://schemas.microsoft.com/office/2006/metadata/properties"/>
    <ds:schemaRef ds:uri="http://schemas.microsoft.com/office/infopath/2007/PartnerControls"/>
    <ds:schemaRef ds:uri="20b5f8f8-e964-4ea5-9bc5-5fa83731a92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218</vt:i4>
      </vt:variant>
    </vt:vector>
  </HeadingPairs>
  <TitlesOfParts>
    <vt:vector size="233" baseType="lpstr">
      <vt:lpstr>README</vt:lpstr>
      <vt:lpstr>Figures</vt:lpstr>
      <vt:lpstr>Footprints, results per kg</vt:lpstr>
      <vt:lpstr>GHG detailed, results per kg</vt:lpstr>
      <vt:lpstr>Production</vt:lpstr>
      <vt:lpstr>Parameters, country spec</vt:lpstr>
      <vt:lpstr>Egg yield</vt:lpstr>
      <vt:lpstr>Manure</vt:lpstr>
      <vt:lpstr>CO2 per kg feed</vt:lpstr>
      <vt:lpstr>CH4 per kg feed</vt:lpstr>
      <vt:lpstr>N2O per kg feed</vt:lpstr>
      <vt:lpstr>EFP per kg feed</vt:lpstr>
      <vt:lpstr>Parameters, general</vt:lpstr>
      <vt:lpstr>Off-farm feed</vt:lpstr>
      <vt:lpstr>References</vt:lpstr>
      <vt:lpstr>Ability_to_perceive_handling</vt:lpstr>
      <vt:lpstr>Bonefree_outof_CW_DE</vt:lpstr>
      <vt:lpstr>Bonefree_outof_CW_ES</vt:lpstr>
      <vt:lpstr>Bonefree_outof_CW_FR</vt:lpstr>
      <vt:lpstr>Bonefree_outof_CW_GR</vt:lpstr>
      <vt:lpstr>Bonefree_outof_CW_HU</vt:lpstr>
      <vt:lpstr>Bonefree_outof_CW_IE</vt:lpstr>
      <vt:lpstr>Bonefree_outof_CW_IT</vt:lpstr>
      <vt:lpstr>Bonefree_outof_CW_NL</vt:lpstr>
      <vt:lpstr>Bonefree_outof_CW_PL</vt:lpstr>
      <vt:lpstr>Bonefree_outof_CW_SE</vt:lpstr>
      <vt:lpstr>CF_GWP_CH4_fossil</vt:lpstr>
      <vt:lpstr>CF_GWP_N2O</vt:lpstr>
      <vt:lpstr>EF_biofuel_CH4</vt:lpstr>
      <vt:lpstr>EF_biofuel_N2O</vt:lpstr>
      <vt:lpstr>EF_biofuels_CO2</vt:lpstr>
      <vt:lpstr>EF_el_CH4_BR</vt:lpstr>
      <vt:lpstr>EF_el_CH4_DE</vt:lpstr>
      <vt:lpstr>EF_el_CH4_ES</vt:lpstr>
      <vt:lpstr>EF_el_CH4_FR</vt:lpstr>
      <vt:lpstr>EF_el_CH4_GR</vt:lpstr>
      <vt:lpstr>EF_el_CH4_HU</vt:lpstr>
      <vt:lpstr>EF_el_CH4_IE</vt:lpstr>
      <vt:lpstr>EF_el_CH4_IT</vt:lpstr>
      <vt:lpstr>EF_el_CH4_NL</vt:lpstr>
      <vt:lpstr>EF_el_CH4_PL</vt:lpstr>
      <vt:lpstr>EF_el_CH4_SE</vt:lpstr>
      <vt:lpstr>EF_el_CO2_BR</vt:lpstr>
      <vt:lpstr>EF_el_CO2_DE</vt:lpstr>
      <vt:lpstr>EF_el_CO2_ES</vt:lpstr>
      <vt:lpstr>EF_el_CO2_FR</vt:lpstr>
      <vt:lpstr>EF_el_CO2_GR</vt:lpstr>
      <vt:lpstr>EF_el_CO2_HU</vt:lpstr>
      <vt:lpstr>EF_el_CO2_IE</vt:lpstr>
      <vt:lpstr>EF_el_CO2_IT</vt:lpstr>
      <vt:lpstr>EF_el_CO2_NL</vt:lpstr>
      <vt:lpstr>EF_el_CO2_PL</vt:lpstr>
      <vt:lpstr>EF_el_CO2_SE</vt:lpstr>
      <vt:lpstr>EF_el_N2O_BR</vt:lpstr>
      <vt:lpstr>EF_el_N2O_DE</vt:lpstr>
      <vt:lpstr>EF_el_N2O_ES</vt:lpstr>
      <vt:lpstr>EF_el_N2O_FR</vt:lpstr>
      <vt:lpstr>EF_el_N2O_GR</vt:lpstr>
      <vt:lpstr>EF_el_N2O_HU</vt:lpstr>
      <vt:lpstr>EF_el_N2O_IE</vt:lpstr>
      <vt:lpstr>EF_el_N2O_IT</vt:lpstr>
      <vt:lpstr>EF_el_N2O_NL</vt:lpstr>
      <vt:lpstr>EF_el_N2O_PL</vt:lpstr>
      <vt:lpstr>EF_el_N2O_SE</vt:lpstr>
      <vt:lpstr>EF_electricity</vt:lpstr>
      <vt:lpstr>EF_indirect_N2O_DE</vt:lpstr>
      <vt:lpstr>EF_indirect_N2O_ES</vt:lpstr>
      <vt:lpstr>EF_indirect_N2O_FR</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EF_N2O_diff_ES</vt:lpstr>
      <vt:lpstr>EF_N2O_diff_FR</vt:lpstr>
      <vt:lpstr>EF_N2O_diff_GR</vt:lpstr>
      <vt:lpstr>EF_N2O_diff_HU</vt:lpstr>
      <vt:lpstr>EF_N2O_diff_IE</vt:lpstr>
      <vt:lpstr>EF_N2O_diff_IT</vt:lpstr>
      <vt:lpstr>EF_N2O_diff_NL</vt:lpstr>
      <vt:lpstr>EF_N2O_diff_PL</vt:lpstr>
      <vt:lpstr>EF_N2O_diff_SE</vt:lpstr>
      <vt:lpstr>EF_oil_CH4</vt:lpstr>
      <vt:lpstr>EF_oil_CO2</vt:lpstr>
      <vt:lpstr>EF_oil_N2O</vt:lpstr>
      <vt:lpstr>Energy_slaughter_el_DE</vt:lpstr>
      <vt:lpstr>Energy_slaughter_el_ES</vt:lpstr>
      <vt:lpstr>Energy_slaughter_el_FR</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Energy_slaughter_oil_ES</vt:lpstr>
      <vt:lpstr>Energy_slaughter_oil_FR</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Energy_stables_DE</vt:lpstr>
      <vt:lpstr>Energy_stables_ES</vt:lpstr>
      <vt:lpstr>Energy_stables_FR</vt:lpstr>
      <vt:lpstr>Energy_stables_GR</vt:lpstr>
      <vt:lpstr>Energy_stables_HU</vt:lpstr>
      <vt:lpstr>Energy_stables_IE</vt:lpstr>
      <vt:lpstr>Energy_stables_IT</vt:lpstr>
      <vt:lpstr>Energy_stables_NL</vt:lpstr>
      <vt:lpstr>Energy_stables_PL</vt:lpstr>
      <vt:lpstr>Energy_stables_SE</vt:lpstr>
      <vt:lpstr>Excreted_N_after_losses_DE</vt:lpstr>
      <vt:lpstr>Excreted_N_after_losses_ES</vt:lpstr>
      <vt:lpstr>Excreted_N_after_losses_FR</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FCR_bonefree_incl_parents_DE</vt:lpstr>
      <vt:lpstr>FCR_bonefree_incl_parents_ES</vt:lpstr>
      <vt:lpstr>FCR_bonefree_incl_parents_FR</vt:lpstr>
      <vt:lpstr>FCR_bonefree_incl_parents_GR</vt:lpstr>
      <vt:lpstr>FCR_bonefree_incl_parents_HU</vt:lpstr>
      <vt:lpstr>FCR_bonefree_incl_parents_IE</vt:lpstr>
      <vt:lpstr>FCR_bonefree_incl_parents_IT</vt:lpstr>
      <vt:lpstr>FCR_bonefree_incl_parents_NL</vt:lpstr>
      <vt:lpstr>FCR_bonefree_incl_parents_PL</vt:lpstr>
      <vt:lpstr>FCR_bonefree_incl_parents_SE</vt:lpstr>
      <vt:lpstr>Frac_AN_DE</vt:lpstr>
      <vt:lpstr>Frac_AN_ES</vt:lpstr>
      <vt:lpstr>Frac_AN_FR</vt:lpstr>
      <vt:lpstr>Frac_AN_GR</vt:lpstr>
      <vt:lpstr>Frac_AN_HU</vt:lpstr>
      <vt:lpstr>Frac_AN_IE</vt:lpstr>
      <vt:lpstr>Frac_AN_IT</vt:lpstr>
      <vt:lpstr>Frac_AN_NL</vt:lpstr>
      <vt:lpstr>Frac_AN_PL</vt:lpstr>
      <vt:lpstr>Frac_AN_SE</vt:lpstr>
      <vt:lpstr>Frac_BAT_DE</vt:lpstr>
      <vt:lpstr>Frac_BAT_ES</vt:lpstr>
      <vt:lpstr>Frac_BAT_FR</vt:lpstr>
      <vt:lpstr>Frac_BAT_GR</vt:lpstr>
      <vt:lpstr>Frac_BAT_HU</vt:lpstr>
      <vt:lpstr>Frac_BAT_IE</vt:lpstr>
      <vt:lpstr>Frac_BAT_IT</vt:lpstr>
      <vt:lpstr>Frac_BAT_NL</vt:lpstr>
      <vt:lpstr>Frac_BAT_PL</vt:lpstr>
      <vt:lpstr>Frac_BAT_SE</vt:lpstr>
      <vt:lpstr>GRAT</vt:lpstr>
      <vt:lpstr>L_DE</vt:lpstr>
      <vt:lpstr>Manure_repl_factor_DE</vt:lpstr>
      <vt:lpstr>Manure_repl_factor_ES</vt:lpstr>
      <vt:lpstr>Manure_repl_factor_FR</vt:lpstr>
      <vt:lpstr>Manure_repl_factor_GR</vt:lpstr>
      <vt:lpstr>Manure_repl_factor_HU</vt:lpstr>
      <vt:lpstr>Manure_repl_factor_IE</vt:lpstr>
      <vt:lpstr>Manure_repl_factor_IT</vt:lpstr>
      <vt:lpstr>Manure_repl_factor_NL</vt:lpstr>
      <vt:lpstr>Manure_repl_factor_PL</vt:lpstr>
      <vt:lpstr>Manure_repl_factor_SE</vt:lpstr>
      <vt:lpstr>NH3_per_kg_DE</vt:lpstr>
      <vt:lpstr>NH3_per_kg_ES</vt:lpstr>
      <vt:lpstr>NH3_per_kg_FR</vt:lpstr>
      <vt:lpstr>NH3_per_kg_GR</vt:lpstr>
      <vt:lpstr>NH3_per_kg_HU</vt:lpstr>
      <vt:lpstr>NH3_per_kg_IE</vt:lpstr>
      <vt:lpstr>NH3_per_kg_IT</vt:lpstr>
      <vt:lpstr>NH3_per_kg_NL</vt:lpstr>
      <vt:lpstr>NH3_per_kg_PL</vt:lpstr>
      <vt:lpstr>NH3_per_kg_SE</vt:lpstr>
      <vt:lpstr>No_laying_hens_DE</vt:lpstr>
      <vt:lpstr>No_laying_hens_ES</vt:lpstr>
      <vt:lpstr>No_laying_hens_FR</vt:lpstr>
      <vt:lpstr>No_laying_hens_GR</vt:lpstr>
      <vt:lpstr>No_laying_hens_HU</vt:lpstr>
      <vt:lpstr>No_laying_hens_IE</vt:lpstr>
      <vt:lpstr>No_laying_hens_IT</vt:lpstr>
      <vt:lpstr>No_laying_hens_NL</vt:lpstr>
      <vt:lpstr>No_laying_hens_PL</vt:lpstr>
      <vt:lpstr>No_laying_hens_SE</vt:lpstr>
      <vt:lpstr>Share_biofuels_DE</vt:lpstr>
      <vt:lpstr>Share_biofuels_ES</vt:lpstr>
      <vt:lpstr>Share_biofuels_FR</vt:lpstr>
      <vt:lpstr>Share_biofuels_GR</vt:lpstr>
      <vt:lpstr>Share_biofuels_HU</vt:lpstr>
      <vt:lpstr>Share_biofuels_IE</vt:lpstr>
      <vt:lpstr>Share_biofuels_IT</vt:lpstr>
      <vt:lpstr>Share_biofuels_NL</vt:lpstr>
      <vt:lpstr>Share_biofuels_PL</vt:lpstr>
      <vt:lpstr>Share_biofuels_SE</vt:lpstr>
      <vt:lpstr>Share_heating_DE</vt:lpstr>
      <vt:lpstr>Share_heating_ES</vt:lpstr>
      <vt:lpstr>Share_heating_FR</vt:lpstr>
      <vt:lpstr>Share_heating_GR</vt:lpstr>
      <vt:lpstr>Share_heating_HU</vt:lpstr>
      <vt:lpstr>Share_heating_IE</vt:lpstr>
      <vt:lpstr>Share_heating_IT</vt:lpstr>
      <vt:lpstr>Share_heating_NL</vt:lpstr>
      <vt:lpstr>Share_heating_PL</vt:lpstr>
      <vt:lpstr>Share_heating_SE</vt:lpstr>
      <vt:lpstr>Slaughter_duration_class</vt:lpstr>
      <vt:lpstr>Water_stables_DE</vt:lpstr>
      <vt:lpstr>Water_stables_ES</vt:lpstr>
      <vt:lpstr>Water_stables_FR</vt:lpstr>
      <vt:lpstr>Water_stables_GR</vt:lpstr>
      <vt:lpstr>Water_stables_HU</vt:lpstr>
      <vt:lpstr>Water_stables_IE</vt:lpstr>
      <vt:lpstr>Water_stables_IT</vt:lpstr>
      <vt:lpstr>Water_stables_NL</vt:lpstr>
      <vt:lpstr>Water_stables_PL</vt:lpstr>
      <vt:lpstr>Water_stables_SE</vt:lpstr>
      <vt:lpstr>Weight_ability_to_perceive_handling</vt:lpstr>
      <vt:lpstr>Weight_diseases</vt:lpstr>
      <vt:lpstr>Weight_mortality</vt:lpstr>
      <vt:lpstr>Weight_no_of_animal</vt:lpstr>
      <vt:lpstr>Weight_slaughter_duration_class</vt:lpstr>
      <vt:lpstr>Weight_space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2015-06-05T18:19:34Z</dcterms:created>
  <dcterms:modified xsi:type="dcterms:W3CDTF">2024-11-15T05:46:13Z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