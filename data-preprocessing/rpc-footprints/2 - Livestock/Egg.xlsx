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storage.slu.se\Home$\elinro\My Documents\SLU\Projekt 42 - Plan'eat\WP3\2 - Livestock\"/>
    </mc:Choice>
  </mc:AlternateContent>
  <xr:revisionPtr revIDLastSave="0" documentId="13_ncr:1_{13BA3F4D-FA48-4EFD-8CDA-3035FD894FC0}" xr6:coauthVersionLast="47" xr6:coauthVersionMax="47" xr10:uidLastSave="{00000000-0000-0000-0000-000000000000}"/>
  <bookViews>
    <workbookView xWindow="-110" yWindow="-110" windowWidth="19420" windowHeight="11500" activeTab="3" xr2:uid="{00000000-000D-0000-FFFF-FFFF00000000}"/>
  </bookViews>
  <sheets>
    <sheet name="README" sheetId="1" r:id="rId1"/>
    <sheet name="Figures" sheetId="2" r:id="rId2"/>
    <sheet name="Footprints, per kg egg" sheetId="3" r:id="rId3"/>
    <sheet name="GHG det, per kg egg" sheetId="4" r:id="rId4"/>
    <sheet name="Production" sheetId="5" r:id="rId5"/>
    <sheet name="Parameters, country spec" sheetId="6" r:id="rId6"/>
    <sheet name="Egg yield" sheetId="7" r:id="rId7"/>
    <sheet name="Manure" sheetId="8" r:id="rId8"/>
    <sheet name="CO2 per kg feed" sheetId="9" r:id="rId9"/>
    <sheet name="CH4 per kg feed" sheetId="10" r:id="rId10"/>
    <sheet name="N2O per kg feed" sheetId="11" r:id="rId11"/>
    <sheet name="EFP per kg feed" sheetId="12" r:id="rId12"/>
    <sheet name="Parameters, general" sheetId="13" r:id="rId13"/>
    <sheet name="Off-farm feed" sheetId="14" r:id="rId14"/>
    <sheet name="References" sheetId="15" r:id="rId15"/>
  </sheets>
  <definedNames>
    <definedName name="_xlnm._FilterDatabase" localSheetId="1" hidden="1">Figures!$A$6:$M$6</definedName>
    <definedName name="Ability_to_perceive_handling">'Parameters, general'!$B$20</definedName>
    <definedName name="Bonefree_outof_CW_DE">'Parameters, country spec'!$D$10</definedName>
    <definedName name="Bonefree_outof_CW_DK">'Parameters, country spec'!$B$10</definedName>
    <definedName name="Bonefree_outof_CW_ES">'Parameters, country spec'!$K$10</definedName>
    <definedName name="Bonefree_outof_CW_FR">'Parameters, country spec'!$C$10</definedName>
    <definedName name="Bonefree_outof_CW_GR">'Parameters, country spec'!$E$10</definedName>
    <definedName name="Bonefree_outof_CW_HU">'Parameters, country spec'!$F$10</definedName>
    <definedName name="Bonefree_outof_CW_IE">'Parameters, country spec'!$G$10</definedName>
    <definedName name="Bonefree_outof_CW_IT">'Parameters, country spec'!$H$10</definedName>
    <definedName name="Bonefree_outof_CW_NL">'Parameters, country spec'!$I$10</definedName>
    <definedName name="Bonefree_outof_CW_PL">'Parameters, country spec'!$J$10</definedName>
    <definedName name="Bonefree_outof_CW_SE">'Parameters, country spec'!$L$10</definedName>
    <definedName name="CF_GWP_CH4_fossil">'Parameters, general'!$B$15</definedName>
    <definedName name="CF_GWP_N2O">'Parameters, general'!$B$17</definedName>
    <definedName name="EF_biofuel_CH4">'Parameters, general'!$C$7</definedName>
    <definedName name="EF_biofuel_N2O">'Parameters, general'!$D$7</definedName>
    <definedName name="EF_biofuels_CO2">'Parameters, general'!$B$7</definedName>
    <definedName name="EF_el_CH4_BR">'Parameters, general'!$B$32</definedName>
    <definedName name="EF_el_CH4_DE">'Parameters, country spec'!$D$44</definedName>
    <definedName name="EF_el_CH4_DK">'Parameters, country spec'!$B$44</definedName>
    <definedName name="EF_el_CH4_ES">'Parameters, country spec'!$K$44</definedName>
    <definedName name="EF_el_CH4_FR">'Parameters, country spec'!$C$44</definedName>
    <definedName name="EF_el_CH4_GR">'Parameters, country spec'!$E$44</definedName>
    <definedName name="EF_el_CH4_HU">'Parameters, country spec'!$F$44</definedName>
    <definedName name="EF_el_CH4_IE">'Parameters, country spec'!$G$44</definedName>
    <definedName name="EF_el_CH4_IT">'Parameters, country spec'!$H$44</definedName>
    <definedName name="EF_el_CH4_NL">'Parameters, country spec'!$I$44</definedName>
    <definedName name="EF_el_CH4_PL">'Parameters, country spec'!$J$44</definedName>
    <definedName name="EF_el_CH4_SE">'Parameters, country spec'!$L$44</definedName>
    <definedName name="EF_el_CO2_BR">'Parameters, general'!$B$31</definedName>
    <definedName name="EF_el_CO2_DE">'Parameters, country spec'!$D$43</definedName>
    <definedName name="EF_el_CO2_DK">'Parameters, country spec'!$B$43</definedName>
    <definedName name="EF_el_CO2_ES">'Parameters, country spec'!$K$43</definedName>
    <definedName name="EF_el_CO2_FR">'Parameters, country spec'!$C$43</definedName>
    <definedName name="EF_el_CO2_GR">'Parameters, country spec'!$E$43</definedName>
    <definedName name="EF_el_CO2_HU">'Parameters, country spec'!$F$43</definedName>
    <definedName name="EF_el_CO2_IE">'Parameters, country spec'!$G$43</definedName>
    <definedName name="EF_el_CO2_IT">'Parameters, country spec'!$H$43</definedName>
    <definedName name="EF_el_CO2_NL">'Parameters, country spec'!$I$43</definedName>
    <definedName name="EF_el_CO2_PL">'Parameters, country spec'!$J$43</definedName>
    <definedName name="EF_el_CO2_SE">'Parameters, country spec'!$L$43</definedName>
    <definedName name="EF_el_N2O_BR">'Parameters, general'!$B$33</definedName>
    <definedName name="EF_el_N2O_DE">'Parameters, country spec'!$D$46</definedName>
    <definedName name="EF_el_N2O_DK">'Parameters, country spec'!$B$46</definedName>
    <definedName name="EF_el_N2O_ES">'Parameters, country spec'!$K$46</definedName>
    <definedName name="EF_el_N2O_FR">'Parameters, country spec'!$C$46</definedName>
    <definedName name="EF_el_N2O_GR">'Parameters, country spec'!$E$46</definedName>
    <definedName name="EF_el_N2O_HU">'Parameters, country spec'!$F$46</definedName>
    <definedName name="EF_el_N2O_IE">'Parameters, country spec'!$G$46</definedName>
    <definedName name="EF_el_N2O_IT">'Parameters, country spec'!$H$46</definedName>
    <definedName name="EF_el_N2O_NL">'Parameters, country spec'!$I$46</definedName>
    <definedName name="EF_el_N2O_PL">'Parameters, country spec'!$J$46</definedName>
    <definedName name="EF_el_N2O_SE">'Parameters, country spec'!$L$46</definedName>
    <definedName name="EF_electricity">'Parameters, country spec'!$L$42</definedName>
    <definedName name="EF_gas_CH4">'Parameters, general'!$C$6</definedName>
    <definedName name="EF_gas_CO2">'Parameters, general'!$B$6</definedName>
    <definedName name="EF_gas_N2O">'Parameters, general'!$D$6</definedName>
    <definedName name="EF_GWP_CH4_biog">'Parameters, general'!#REF!</definedName>
    <definedName name="EF_indirect_N2O_DE">'Parameters, country spec'!$D$57</definedName>
    <definedName name="EF_indirect_N2O_DK">'Parameters, country spec'!$B$57</definedName>
    <definedName name="EF_indirect_N2O_ES">'Parameters, country spec'!$K$57</definedName>
    <definedName name="EF_indirect_N2O_FR">'Parameters, country spec'!$C$57</definedName>
    <definedName name="EF_indirect_N2O_GR">'Parameters, country spec'!$E$57</definedName>
    <definedName name="EF_indirect_N2O_HU">'Parameters, country spec'!$F$57</definedName>
    <definedName name="EF_indirect_N2O_IE">'Parameters, country spec'!$G$57</definedName>
    <definedName name="EF_indirect_N2O_IT">'Parameters, country spec'!$H$57</definedName>
    <definedName name="EF_indirect_N2O_NL">'Parameters, country spec'!$I$57</definedName>
    <definedName name="EF_indirect_N2O_PL">'Parameters, country spec'!$J$57</definedName>
    <definedName name="EF_indirect_N2O_SE">'Parameters, country spec'!$L$57</definedName>
    <definedName name="EF_min_fert_AN_CH4">'Parameters, general'!$C$11</definedName>
    <definedName name="EF_min_fert_AN_CO2">'Parameters, general'!$B$11</definedName>
    <definedName name="EF_min_fert_AN_N2O">'Parameters, general'!$D$11</definedName>
    <definedName name="EF_min_fert_BAT_CH4">'Parameters, general'!$C$10</definedName>
    <definedName name="EF_min_fert_BAT_CO2">'Parameters, general'!$B$10</definedName>
    <definedName name="EF_min_fert_BAT_N2O">'Parameters, general'!$D$10</definedName>
    <definedName name="EF_min_fert_CH4_DE">'Parameters, country spec'!$D$50</definedName>
    <definedName name="EF_min_fert_CH4_DK">'Parameters, country spec'!$B$50</definedName>
    <definedName name="EF_min_fert_CH4_ES">'Parameters, country spec'!$K$50</definedName>
    <definedName name="EF_min_fert_CH4_FR">'Parameters, country spec'!$C$50</definedName>
    <definedName name="EF_min_fert_CH4_GR">'Parameters, country spec'!$E$50</definedName>
    <definedName name="EF_min_fert_CH4_HU">'Parameters, country spec'!$F$50</definedName>
    <definedName name="EF_min_fert_CH4_IE">'Parameters, country spec'!$G$50</definedName>
    <definedName name="EF_min_fert_CH4_IT">'Parameters, country spec'!$H$50</definedName>
    <definedName name="EF_min_fert_CH4_NL">'Parameters, country spec'!$I$50</definedName>
    <definedName name="EF_min_fert_CH4_PL">'Parameters, country spec'!$J$50</definedName>
    <definedName name="EF_min_fert_CH4_SE">'Parameters, country spec'!$L$50</definedName>
    <definedName name="EF_min_fert_CO2_DE">'Parameters, country spec'!$D$49</definedName>
    <definedName name="EF_min_fert_CO2_DK">'Parameters, country spec'!$B$49</definedName>
    <definedName name="EF_min_fert_CO2_ES">'Parameters, country spec'!$K$49</definedName>
    <definedName name="EF_min_fert_CO2_FR">'Parameters, country spec'!$C$49</definedName>
    <definedName name="EF_min_fert_CO2_GR">'Parameters, country spec'!$E$49</definedName>
    <definedName name="EF_min_fert_CO2_HU">'Parameters, country spec'!$F$49</definedName>
    <definedName name="EF_min_fert_CO2_IE">'Parameters, country spec'!$G$49</definedName>
    <definedName name="EF_min_fert_CO2_IT">'Parameters, country spec'!$H$49</definedName>
    <definedName name="EF_min_fert_CO2_NL">'Parameters, country spec'!$I$49</definedName>
    <definedName name="EF_min_fert_CO2_PL">'Parameters, country spec'!$J$49</definedName>
    <definedName name="EF_min_fert_CO2_SE">'Parameters, country spec'!$L$49</definedName>
    <definedName name="EF_min_fert_N2O_DE">'Parameters, country spec'!$D$51</definedName>
    <definedName name="EF_min_fert_N2O_DK">'Parameters, country spec'!$B$51</definedName>
    <definedName name="EF_min_fert_N2O_ES">'Parameters, country spec'!$K$51</definedName>
    <definedName name="EF_min_fert_N2O_FR">'Parameters, country spec'!$C$51</definedName>
    <definedName name="EF_min_fert_N2O_GR">'Parameters, country spec'!$E$51</definedName>
    <definedName name="EF_min_fert_N2O_HU">'Parameters, country spec'!$F$51</definedName>
    <definedName name="EF_min_fert_N2O_IE">'Parameters, country spec'!$G$51</definedName>
    <definedName name="EF_min_fert_N2O_IT">'Parameters, country spec'!$H$51</definedName>
    <definedName name="EF_min_fert_N2O_NL">'Parameters, country spec'!$I$51</definedName>
    <definedName name="EF_min_fert_N2O_PL">'Parameters, country spec'!$J$51</definedName>
    <definedName name="EF_min_fert_N2O_SE">'Parameters, country spec'!$L$51</definedName>
    <definedName name="EF_N2O_diff_DE">'Parameters, country spec'!$D$56</definedName>
    <definedName name="EF_N2O_diff_DK">'Parameters, country spec'!$B$56</definedName>
    <definedName name="EF_N2O_diff_ES">'Parameters, country spec'!$K$56</definedName>
    <definedName name="EF_N2O_diff_FR">'Parameters, country spec'!$C$56</definedName>
    <definedName name="EF_N2O_diff_GR">'Parameters, country spec'!$E$56</definedName>
    <definedName name="EF_N2O_diff_HU">'Parameters, country spec'!$F$56</definedName>
    <definedName name="EF_N2O_diff_IE">'Parameters, country spec'!$G$56</definedName>
    <definedName name="EF_N2O_diff_IT">'Parameters, country spec'!$H$56</definedName>
    <definedName name="EF_N2O_diff_NL">'Parameters, country spec'!$I$56</definedName>
    <definedName name="EF_N2O_diff_PL">'Parameters, country spec'!$J$56</definedName>
    <definedName name="EF_N2O_diff_SE">'Parameters, country spec'!$L$56</definedName>
    <definedName name="EF_oil_CH4">'Parameters, general'!$C$5</definedName>
    <definedName name="EF_oil_CO2">'Parameters, general'!$B$5</definedName>
    <definedName name="EF_oil_N2O">'Parameters, general'!$D$5</definedName>
    <definedName name="Energy_slaughter_el_DE">'Parameters, country spec'!$D$38</definedName>
    <definedName name="Energy_slaughter_el_DK">'Parameters, country spec'!$B$38</definedName>
    <definedName name="Energy_slaughter_el_ES">'Parameters, country spec'!$K$38</definedName>
    <definedName name="Energy_slaughter_el_FR">'Parameters, country spec'!$C$38</definedName>
    <definedName name="Energy_slaughter_el_GR">'Parameters, country spec'!$E$38</definedName>
    <definedName name="Energy_slaughter_el_HU">'Parameters, country spec'!$F$38</definedName>
    <definedName name="Energy_slaughter_el_IE">'Parameters, country spec'!$G$38</definedName>
    <definedName name="Energy_slaughter_el_IT">'Parameters, country spec'!$H$38</definedName>
    <definedName name="Energy_slaughter_el_NL">'Parameters, country spec'!$I$38</definedName>
    <definedName name="Energy_slaughter_el_PL">'Parameters, country spec'!$J$38</definedName>
    <definedName name="Energy_slaughter_el_SE">'Parameters, country spec'!$L$38</definedName>
    <definedName name="Energy_slaughter_heat_DE">'Parameters, country spec'!$D$39</definedName>
    <definedName name="Energy_slaughter_heat_DK">'Parameters, country spec'!$B$39</definedName>
    <definedName name="Energy_slaughter_heat_ES">'Parameters, country spec'!$K$39</definedName>
    <definedName name="Energy_slaughter_heat_FR">'Parameters, country spec'!$C$39</definedName>
    <definedName name="Energy_slaughter_heat_GR">'Parameters, country spec'!$E$39</definedName>
    <definedName name="Energy_slaughter_heat_HU">'Parameters, country spec'!$F$39</definedName>
    <definedName name="Energy_slaughter_heat_IE">'Parameters, country spec'!$G$39</definedName>
    <definedName name="Energy_slaughter_heat_IT">'Parameters, country spec'!$H$39</definedName>
    <definedName name="Energy_slaughter_heat_NL">'Parameters, country spec'!$I$39</definedName>
    <definedName name="Energy_slaughter_heat_PL">'Parameters, country spec'!$J$39</definedName>
    <definedName name="Energy_slaughter_heat_SE">'Parameters, country spec'!$L$39</definedName>
    <definedName name="Energy_stables_DE">'Parameters, country spec'!$D$33</definedName>
    <definedName name="Energy_stables_DK">'Parameters, country spec'!$B$33</definedName>
    <definedName name="Energy_stables_ES">'Parameters, country spec'!$K$33</definedName>
    <definedName name="Energy_stables_FR">'Parameters, country spec'!$C$33</definedName>
    <definedName name="Energy_stables_GR">'Parameters, country spec'!$E$33</definedName>
    <definedName name="Energy_stables_HU">'Parameters, country spec'!$F$33</definedName>
    <definedName name="Energy_stables_IE">'Parameters, country spec'!$G$33</definedName>
    <definedName name="Energy_stables_IT">'Parameters, country spec'!$H$33</definedName>
    <definedName name="Energy_stables_NL">'Parameters, country spec'!$I$33</definedName>
    <definedName name="Energy_stables_PL">'Parameters, country spec'!$J$33</definedName>
    <definedName name="Energy_stables_SE">'Parameters, country spec'!$L$33</definedName>
    <definedName name="Excreted_N_after_losses_DE">Manure!$D$119</definedName>
    <definedName name="Excreted_N_after_losses_DK">Manure!$B$119</definedName>
    <definedName name="Excreted_N_after_losses_ES">Manure!$K$119</definedName>
    <definedName name="Excreted_N_after_losses_FR">Manure!$C$119</definedName>
    <definedName name="Excreted_N_after_losses_GR">Manure!$E$119</definedName>
    <definedName name="Excreted_N_after_losses_HU">Manure!$F$119</definedName>
    <definedName name="Excreted_N_after_losses_IE">Manure!$G$119</definedName>
    <definedName name="Excreted_N_after_losses_IT">Manure!$H$119</definedName>
    <definedName name="Excreted_N_after_losses_NL">Manure!$I$119</definedName>
    <definedName name="Excreted_N_after_losses_PL">Manure!$J$119</definedName>
    <definedName name="Excreted_N_after_losses_SE">Manure!$L$119</definedName>
    <definedName name="FCR_bonefree_incl_parents_DE">'Parameters, country spec'!$D$30</definedName>
    <definedName name="FCR_bonefree_incl_parents_DK">'Parameters, country spec'!$B$30</definedName>
    <definedName name="FCR_bonefree_incl_parents_ES">'Parameters, country spec'!$K$30</definedName>
    <definedName name="FCR_bonefree_incl_parents_FR">'Parameters, country spec'!$C$30</definedName>
    <definedName name="FCR_bonefree_incl_parents_GR">'Parameters, country spec'!$E$30</definedName>
    <definedName name="FCR_bonefree_incl_parents_HU">'Parameters, country spec'!$F$30</definedName>
    <definedName name="FCR_bonefree_incl_parents_IE">'Parameters, country spec'!$G$30</definedName>
    <definedName name="FCR_bonefree_incl_parents_IT">'Parameters, country spec'!$H$30</definedName>
    <definedName name="FCR_bonefree_incl_parents_NL">'Parameters, country spec'!$I$30</definedName>
    <definedName name="FCR_bonefree_incl_parents_PL">'Parameters, country spec'!$J$30</definedName>
    <definedName name="FCR_bonefree_incl_parents_SE">'Parameters, country spec'!$L$30</definedName>
    <definedName name="GRAT">'Parameters, country spec'!$E$46</definedName>
    <definedName name="L_DE">'Parameters, country spec'!$I$30</definedName>
    <definedName name="Manure_repl_factor_DE">'Parameters, country spec'!$D$60</definedName>
    <definedName name="Manure_repl_factor_DK">'Parameters, country spec'!$B$60</definedName>
    <definedName name="Manure_repl_factor_ES">'Parameters, country spec'!$K$60</definedName>
    <definedName name="Manure_repl_factor_FR">'Parameters, country spec'!$C$60</definedName>
    <definedName name="Manure_repl_factor_GR">'Parameters, country spec'!$E$60</definedName>
    <definedName name="Manure_repl_factor_HU">'Parameters, country spec'!$F$60</definedName>
    <definedName name="Manure_repl_factor_IE">'Parameters, country spec'!$G$60</definedName>
    <definedName name="Manure_repl_factor_IT">'Parameters, country spec'!$H$60</definedName>
    <definedName name="Manure_repl_factor_NL">'Parameters, country spec'!$I$60</definedName>
    <definedName name="Manure_repl_factor_PL">'Parameters, country spec'!$J$60</definedName>
    <definedName name="Manure_repl_factor_SE">'Parameters, country spec'!$L$60</definedName>
    <definedName name="NH3_per_kg_DE">Manure!$D$122</definedName>
    <definedName name="NH3_per_kg_DK">Manure!$B$122</definedName>
    <definedName name="NH3_per_kg_ES">Manure!$K$122</definedName>
    <definedName name="NH3_per_kg_FR">Manure!$C$122</definedName>
    <definedName name="NH3_per_kg_GR">Manure!$E$122</definedName>
    <definedName name="NH3_per_kg_HU">Manure!$F$122</definedName>
    <definedName name="NH3_per_kg_IE">Manure!$G$122</definedName>
    <definedName name="NH3_per_kg_IT">Manure!$H$122</definedName>
    <definedName name="NH3_per_kg_NL">Manure!$I$122</definedName>
    <definedName name="NH3_per_kg_PL">Manure!$J$122</definedName>
    <definedName name="NH3_per_kg_SE">Manure!$L$122</definedName>
    <definedName name="No_laying_hens_DE">Production!$D$5</definedName>
    <definedName name="No_laying_hens_DK">Production!$B$5</definedName>
    <definedName name="No_laying_hens_ES">Production!$K$5</definedName>
    <definedName name="No_laying_hens_FR">Production!$C$5</definedName>
    <definedName name="No_laying_hens_GR">Production!$E$5</definedName>
    <definedName name="No_laying_hens_HU">Production!$F$5</definedName>
    <definedName name="No_laying_hens_IE">Production!$G$5</definedName>
    <definedName name="No_laying_hens_IT">Production!$H$5</definedName>
    <definedName name="No_laying_hens_NL">Production!$I$5</definedName>
    <definedName name="No_laying_hens_PL">Production!$J$5</definedName>
    <definedName name="No_laying_hens_SE">Production!$L$5</definedName>
    <definedName name="Share_biofuels_DE">'Parameters, country spec'!$D$35</definedName>
    <definedName name="Share_biofuels_DK">'Parameters, country spec'!$B$35</definedName>
    <definedName name="Share_biofuels_ES">'Parameters, country spec'!$K$35</definedName>
    <definedName name="Share_biofuels_FR">'Parameters, country spec'!$C$35</definedName>
    <definedName name="Share_biofuels_GR">'Parameters, country spec'!$E$35</definedName>
    <definedName name="Share_biofuels_HU">'Parameters, country spec'!$F$35</definedName>
    <definedName name="Share_biofuels_IE">'Parameters, country spec'!$G$35</definedName>
    <definedName name="Share_biofuels_IT">'Parameters, country spec'!$H$35</definedName>
    <definedName name="Share_biofuels_NL">'Parameters, country spec'!$I$35</definedName>
    <definedName name="Share_biofuels_PL">'Parameters, country spec'!$J$35</definedName>
    <definedName name="Share_biofuels_SE">'Parameters, country spec'!$L$35</definedName>
    <definedName name="Share_heating_DE">'Parameters, country spec'!$D$34</definedName>
    <definedName name="Share_heating_DK">'Parameters, country spec'!$B$34</definedName>
    <definedName name="Share_heating_ES">'Parameters, country spec'!$K$34</definedName>
    <definedName name="Share_heating_FR">'Parameters, country spec'!$C$34</definedName>
    <definedName name="Share_heating_GR">'Parameters, country spec'!$E$34</definedName>
    <definedName name="Share_heating_HU">'Parameters, country spec'!$F$34</definedName>
    <definedName name="Share_heating_IE">'Parameters, country spec'!$G$34</definedName>
    <definedName name="Share_heating_IT">'Parameters, country spec'!$H$34</definedName>
    <definedName name="Share_heating_NL">'Parameters, country spec'!$I$34</definedName>
    <definedName name="Share_heating_PL">'Parameters, country spec'!$J$34</definedName>
    <definedName name="Share_heating_SE">'Parameters, country spec'!$L$34</definedName>
    <definedName name="Slaughter_duration_class">'Parameters, general'!$B$21</definedName>
    <definedName name="Water_drinking_hens_DE">'Parameters, country spec'!$D$63</definedName>
    <definedName name="Water_drinking_hens_DK">'Parameters, country spec'!$B$63</definedName>
    <definedName name="Water_drinking_hens_ES">'Parameters, country spec'!$K$63</definedName>
    <definedName name="Water_drinking_hens_FR">'Parameters, country spec'!$C$63</definedName>
    <definedName name="Water_drinking_hens_GR">'Parameters, country spec'!$E$63</definedName>
    <definedName name="Water_drinking_hens_HU">'Parameters, country spec'!$F$63</definedName>
    <definedName name="Water_drinking_hens_IE">'Parameters, country spec'!$G$63</definedName>
    <definedName name="Water_drinking_hens_IT">'Parameters, country spec'!$H$63</definedName>
    <definedName name="Water_drinking_hens_NL">'Parameters, country spec'!$I$63</definedName>
    <definedName name="Water_drinking_hens_PL">'Parameters, country spec'!$J$63</definedName>
    <definedName name="Water_drinking_hens_SE">'Parameters, country spec'!$L$63</definedName>
    <definedName name="Water_drinking_recruit_DE">'Parameters, country spec'!$D$65</definedName>
    <definedName name="Water_drinking_recruit_DK">'Parameters, country spec'!$B$65</definedName>
    <definedName name="Water_drinking_recruit_ES">'Parameters, country spec'!$K$65</definedName>
    <definedName name="Water_drinking_recruit_FR">'Parameters, country spec'!$C$65</definedName>
    <definedName name="Water_drinking_recruit_GR">'Parameters, country spec'!$E$65</definedName>
    <definedName name="Water_drinking_recruit_HU">'Parameters, country spec'!$F$65</definedName>
    <definedName name="Water_drinking_recruit_IE">'Parameters, country spec'!$G$65</definedName>
    <definedName name="Water_drinking_recruit_IT">'Parameters, country spec'!$H$65</definedName>
    <definedName name="Water_drinking_recruit_NL">'Parameters, country spec'!$I$65</definedName>
    <definedName name="Water_drinking_recruit_PL">'Parameters, country spec'!$J$65</definedName>
    <definedName name="Water_drinking_recruit_SE">'Parameters, country spec'!$L$65</definedName>
    <definedName name="Water_service_hens_DE">'Parameters, country spec'!$D$64</definedName>
    <definedName name="Water_service_hens_DK">'Parameters, country spec'!$B$64</definedName>
    <definedName name="Water_service_hens_ES">'Parameters, country spec'!$K$64</definedName>
    <definedName name="Water_service_hens_FR">'Parameters, country spec'!$C$64</definedName>
    <definedName name="Water_service_hens_GR">'Parameters, country spec'!$E$64</definedName>
    <definedName name="Water_service_hens_HU">'Parameters, country spec'!$F$64</definedName>
    <definedName name="Water_service_hens_IE">'Parameters, country spec'!$G$64</definedName>
    <definedName name="Water_service_hens_IT">'Parameters, country spec'!$H$64</definedName>
    <definedName name="Water_service_hens_NL">'Parameters, country spec'!$I$64</definedName>
    <definedName name="Water_service_hens_PL">'Parameters, country spec'!$J$64</definedName>
    <definedName name="Water_service_hens_SE">'Parameters, country spec'!$L$64</definedName>
    <definedName name="Water_service_recruit_DE">'Parameters, country spec'!$D$66</definedName>
    <definedName name="Water_service_recruit_DK">'Parameters, country spec'!$B$66</definedName>
    <definedName name="Water_service_recruit_ES">'Parameters, country spec'!$K$66</definedName>
    <definedName name="Water_service_recruit_FR">'Parameters, country spec'!$C$66</definedName>
    <definedName name="Water_service_recruit_GR">'Parameters, country spec'!$E$66</definedName>
    <definedName name="Water_service_recruit_HU">'Parameters, country spec'!$F$66</definedName>
    <definedName name="Water_service_recruit_IE">'Parameters, country spec'!$G$66</definedName>
    <definedName name="Water_service_recruit_IT">'Parameters, country spec'!$H$66</definedName>
    <definedName name="Water_service_recruit_NL">'Parameters, country spec'!$I$66</definedName>
    <definedName name="Water_service_recruit_PL">'Parameters, country spec'!$J$66</definedName>
    <definedName name="Water_service_recruit_SE">'Parameters, country spec'!$L$66</definedName>
    <definedName name="Weight_ability_to_perceive_handling">'Parameters, general'!$B$24</definedName>
    <definedName name="Weight_diseases">'Parameters, general'!$B$26</definedName>
    <definedName name="Weight_mortality">'Parameters, general'!$B$25</definedName>
    <definedName name="Weight_no_of_animal">'Parameters, general'!$B$23</definedName>
    <definedName name="Weight_slaughter_duration_class">'Parameters, general'!$B$28</definedName>
    <definedName name="Weight_space">'Parameters, general'!$B$27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6" i="14" l="1"/>
  <c r="B106" i="14"/>
  <c r="C105" i="14"/>
  <c r="B105" i="14"/>
  <c r="C104" i="14"/>
  <c r="B104" i="14"/>
  <c r="C103" i="14"/>
  <c r="B103" i="14"/>
  <c r="L88" i="14"/>
  <c r="K88" i="14"/>
  <c r="J88" i="14"/>
  <c r="I88" i="14"/>
  <c r="H88" i="14"/>
  <c r="G88" i="14"/>
  <c r="F88" i="14"/>
  <c r="P77" i="14"/>
  <c r="M77" i="14"/>
  <c r="L77" i="14"/>
  <c r="J77" i="14"/>
  <c r="I77" i="14"/>
  <c r="H77" i="14"/>
  <c r="G77" i="14"/>
  <c r="F77" i="14"/>
  <c r="E76" i="14"/>
  <c r="P75" i="14"/>
  <c r="M75" i="14"/>
  <c r="L75" i="14"/>
  <c r="J75" i="14"/>
  <c r="G75" i="14"/>
  <c r="F75" i="14"/>
  <c r="P74" i="14"/>
  <c r="M74" i="14"/>
  <c r="L74" i="14"/>
  <c r="J74" i="14"/>
  <c r="H74" i="14"/>
  <c r="G74" i="14"/>
  <c r="F74" i="14"/>
  <c r="E71" i="14"/>
  <c r="E70" i="14"/>
  <c r="E69" i="14"/>
  <c r="E68" i="14"/>
  <c r="E65" i="14"/>
  <c r="E64" i="14"/>
  <c r="E63" i="14"/>
  <c r="E62" i="14"/>
  <c r="E59" i="14"/>
  <c r="E58" i="14"/>
  <c r="E57" i="14"/>
  <c r="E56" i="14"/>
  <c r="I43" i="14"/>
  <c r="C96" i="14" s="1"/>
  <c r="L36" i="14"/>
  <c r="K36" i="14"/>
  <c r="J36" i="14"/>
  <c r="I36" i="14"/>
  <c r="H36" i="14"/>
  <c r="H134" i="12" s="1"/>
  <c r="G36" i="14"/>
  <c r="F36" i="14"/>
  <c r="P26" i="14"/>
  <c r="O26" i="14"/>
  <c r="M26" i="14"/>
  <c r="L26" i="14"/>
  <c r="J26" i="14"/>
  <c r="I26" i="14"/>
  <c r="H26" i="14"/>
  <c r="G26" i="14"/>
  <c r="F26" i="14"/>
  <c r="E26" i="14" s="1"/>
  <c r="E25" i="14"/>
  <c r="P24" i="14"/>
  <c r="O24" i="14"/>
  <c r="M24" i="14"/>
  <c r="L24" i="14"/>
  <c r="J24" i="14"/>
  <c r="G24" i="14"/>
  <c r="F24" i="14"/>
  <c r="E24" i="14" s="1"/>
  <c r="O23" i="14" a="1"/>
  <c r="O23" i="14" s="1"/>
  <c r="N23" i="14"/>
  <c r="M23" i="14"/>
  <c r="L23" i="14"/>
  <c r="J23" i="14"/>
  <c r="H23" i="14"/>
  <c r="G23" i="14"/>
  <c r="F23" i="14"/>
  <c r="E20" i="14"/>
  <c r="E19" i="14"/>
  <c r="E18" i="14"/>
  <c r="E17" i="14"/>
  <c r="E14" i="14"/>
  <c r="E13" i="14"/>
  <c r="E12" i="14"/>
  <c r="E11" i="14"/>
  <c r="D6" i="13"/>
  <c r="C6" i="13"/>
  <c r="B6" i="13"/>
  <c r="M136" i="12"/>
  <c r="J136" i="12"/>
  <c r="M135" i="12"/>
  <c r="M134" i="12"/>
  <c r="L134" i="12"/>
  <c r="K134" i="12"/>
  <c r="J134" i="12"/>
  <c r="I134" i="12"/>
  <c r="G134" i="12"/>
  <c r="F134" i="12"/>
  <c r="M133" i="12"/>
  <c r="L133" i="12"/>
  <c r="K133" i="12"/>
  <c r="K136" i="12" s="1"/>
  <c r="J133" i="12"/>
  <c r="I133" i="12"/>
  <c r="H133" i="12"/>
  <c r="G133" i="12"/>
  <c r="F133" i="12"/>
  <c r="M132" i="12"/>
  <c r="M131" i="12"/>
  <c r="M130" i="12"/>
  <c r="M129" i="12"/>
  <c r="M128" i="12"/>
  <c r="M127" i="12"/>
  <c r="M126" i="12"/>
  <c r="I125" i="12"/>
  <c r="M124" i="12"/>
  <c r="F124" i="12"/>
  <c r="M123" i="12"/>
  <c r="M122" i="12"/>
  <c r="L122" i="12"/>
  <c r="L124" i="12" s="1"/>
  <c r="L125" i="12" s="1"/>
  <c r="K122" i="12"/>
  <c r="J122" i="12"/>
  <c r="I122" i="12"/>
  <c r="H122" i="12"/>
  <c r="G122" i="12"/>
  <c r="F122" i="12"/>
  <c r="M121" i="12"/>
  <c r="L121" i="12"/>
  <c r="K121" i="12"/>
  <c r="J121" i="12"/>
  <c r="I121" i="12"/>
  <c r="I124" i="12" s="1"/>
  <c r="H121" i="12"/>
  <c r="H124" i="12" s="1"/>
  <c r="G121" i="12"/>
  <c r="F121" i="12"/>
  <c r="M120" i="12"/>
  <c r="M119" i="12"/>
  <c r="M118" i="12"/>
  <c r="M117" i="12"/>
  <c r="M116" i="12"/>
  <c r="M115" i="12"/>
  <c r="M114" i="12"/>
  <c r="M112" i="12"/>
  <c r="I112" i="12"/>
  <c r="H112" i="12"/>
  <c r="F112" i="12"/>
  <c r="M111" i="12"/>
  <c r="M110" i="12"/>
  <c r="L110" i="12"/>
  <c r="K110" i="12"/>
  <c r="J110" i="12"/>
  <c r="I110" i="12"/>
  <c r="H110" i="12"/>
  <c r="G110" i="12"/>
  <c r="F110" i="12"/>
  <c r="M109" i="12"/>
  <c r="L109" i="12"/>
  <c r="K109" i="12"/>
  <c r="J109" i="12"/>
  <c r="J112" i="12" s="1"/>
  <c r="I109" i="12"/>
  <c r="H109" i="12"/>
  <c r="G109" i="12"/>
  <c r="F109" i="12"/>
  <c r="M108" i="12"/>
  <c r="M107" i="12"/>
  <c r="M106" i="12"/>
  <c r="M105" i="12"/>
  <c r="M104" i="12"/>
  <c r="M103" i="12"/>
  <c r="M102" i="12"/>
  <c r="M100" i="12"/>
  <c r="M99" i="12"/>
  <c r="M98" i="12"/>
  <c r="L98" i="12"/>
  <c r="K98" i="12"/>
  <c r="J98" i="12"/>
  <c r="I98" i="12"/>
  <c r="H98" i="12"/>
  <c r="G98" i="12"/>
  <c r="F98" i="12"/>
  <c r="M97" i="12"/>
  <c r="L97" i="12"/>
  <c r="K97" i="12"/>
  <c r="J97" i="12"/>
  <c r="J100" i="12" s="1"/>
  <c r="I97" i="12"/>
  <c r="H97" i="12"/>
  <c r="G97" i="12"/>
  <c r="F97" i="12"/>
  <c r="M96" i="12"/>
  <c r="M95" i="12"/>
  <c r="M94" i="12"/>
  <c r="M93" i="12"/>
  <c r="M92" i="12"/>
  <c r="M91" i="12"/>
  <c r="M90" i="12"/>
  <c r="L89" i="12"/>
  <c r="H89" i="12"/>
  <c r="M88" i="12"/>
  <c r="J88" i="12"/>
  <c r="J89" i="12" s="1"/>
  <c r="M87" i="12"/>
  <c r="M86" i="12"/>
  <c r="L86" i="12"/>
  <c r="K86" i="12"/>
  <c r="J86" i="12"/>
  <c r="I86" i="12"/>
  <c r="H86" i="12"/>
  <c r="G86" i="12"/>
  <c r="F86" i="12"/>
  <c r="M85" i="12"/>
  <c r="L85" i="12"/>
  <c r="L88" i="12" s="1"/>
  <c r="K85" i="12"/>
  <c r="K88" i="12" s="1"/>
  <c r="J85" i="12"/>
  <c r="I85" i="12"/>
  <c r="I88" i="12" s="1"/>
  <c r="I89" i="12" s="1"/>
  <c r="H85" i="12"/>
  <c r="H88" i="12" s="1"/>
  <c r="G85" i="12"/>
  <c r="F85" i="12"/>
  <c r="M84" i="12"/>
  <c r="M83" i="12"/>
  <c r="M82" i="12"/>
  <c r="M81" i="12"/>
  <c r="M80" i="12"/>
  <c r="M79" i="12"/>
  <c r="M78" i="12"/>
  <c r="M76" i="12"/>
  <c r="K76" i="12"/>
  <c r="M75" i="12"/>
  <c r="M74" i="12"/>
  <c r="L74" i="12"/>
  <c r="K74" i="12"/>
  <c r="J74" i="12"/>
  <c r="I74" i="12"/>
  <c r="H74" i="12"/>
  <c r="G74" i="12"/>
  <c r="F74" i="12"/>
  <c r="M73" i="12"/>
  <c r="L73" i="12"/>
  <c r="L76" i="12" s="1"/>
  <c r="L77" i="12" s="1"/>
  <c r="K73" i="12"/>
  <c r="J73" i="12"/>
  <c r="J76" i="12" s="1"/>
  <c r="I73" i="12"/>
  <c r="I76" i="12" s="1"/>
  <c r="H73" i="12"/>
  <c r="G73" i="12"/>
  <c r="G76" i="12" s="1"/>
  <c r="F73" i="12"/>
  <c r="F76" i="12" s="1"/>
  <c r="M72" i="12"/>
  <c r="M71" i="12"/>
  <c r="M70" i="12"/>
  <c r="M69" i="12"/>
  <c r="M68" i="12"/>
  <c r="M67" i="12"/>
  <c r="M66" i="12"/>
  <c r="M64" i="12"/>
  <c r="L64" i="12"/>
  <c r="F64" i="12"/>
  <c r="M63" i="12"/>
  <c r="M62" i="12"/>
  <c r="L62" i="12"/>
  <c r="K62" i="12"/>
  <c r="J62" i="12"/>
  <c r="I62" i="12"/>
  <c r="H62" i="12"/>
  <c r="G62" i="12"/>
  <c r="F62" i="12"/>
  <c r="M61" i="12"/>
  <c r="L61" i="12"/>
  <c r="K61" i="12"/>
  <c r="K64" i="12" s="1"/>
  <c r="J61" i="12"/>
  <c r="J64" i="12" s="1"/>
  <c r="I61" i="12"/>
  <c r="I64" i="12" s="1"/>
  <c r="H61" i="12"/>
  <c r="G61" i="12"/>
  <c r="G64" i="12" s="1"/>
  <c r="F61" i="12"/>
  <c r="M60" i="12"/>
  <c r="M59" i="12"/>
  <c r="M58" i="12"/>
  <c r="M57" i="12"/>
  <c r="M56" i="12"/>
  <c r="M55" i="12"/>
  <c r="M54" i="12"/>
  <c r="H53" i="12"/>
  <c r="M52" i="12"/>
  <c r="F52" i="12"/>
  <c r="M51" i="12"/>
  <c r="M50" i="12"/>
  <c r="L50" i="12"/>
  <c r="K50" i="12"/>
  <c r="J50" i="12"/>
  <c r="I50" i="12"/>
  <c r="H50" i="12"/>
  <c r="H52" i="12" s="1"/>
  <c r="G50" i="12"/>
  <c r="F50" i="12"/>
  <c r="M49" i="12"/>
  <c r="L49" i="12"/>
  <c r="K49" i="12"/>
  <c r="K52" i="12" s="1"/>
  <c r="J49" i="12"/>
  <c r="I49" i="12"/>
  <c r="H49" i="12"/>
  <c r="G49" i="12"/>
  <c r="F49" i="12"/>
  <c r="M48" i="12"/>
  <c r="M47" i="12"/>
  <c r="M46" i="12"/>
  <c r="M45" i="12"/>
  <c r="M44" i="12"/>
  <c r="M43" i="12"/>
  <c r="M42" i="12"/>
  <c r="M40" i="12"/>
  <c r="J40" i="12"/>
  <c r="H40" i="12"/>
  <c r="G40" i="12"/>
  <c r="M39" i="12"/>
  <c r="M38" i="12"/>
  <c r="L38" i="12"/>
  <c r="K38" i="12"/>
  <c r="J38" i="12"/>
  <c r="I38" i="12"/>
  <c r="H38" i="12"/>
  <c r="G38" i="12"/>
  <c r="F38" i="12"/>
  <c r="M37" i="12"/>
  <c r="L37" i="12"/>
  <c r="L40" i="12" s="1"/>
  <c r="K37" i="12"/>
  <c r="J37" i="12"/>
  <c r="I37" i="12"/>
  <c r="H37" i="12"/>
  <c r="H41" i="12" s="1"/>
  <c r="G37" i="12"/>
  <c r="G41" i="12" s="1"/>
  <c r="F37" i="12"/>
  <c r="M36" i="12"/>
  <c r="M35" i="12"/>
  <c r="M34" i="12"/>
  <c r="M33" i="12"/>
  <c r="M32" i="12"/>
  <c r="M31" i="12"/>
  <c r="M30" i="12"/>
  <c r="M28" i="12"/>
  <c r="I28" i="12"/>
  <c r="F28" i="12"/>
  <c r="F29" i="12" s="1"/>
  <c r="M27" i="12"/>
  <c r="M26" i="12"/>
  <c r="L26" i="12"/>
  <c r="L28" i="12" s="1"/>
  <c r="L29" i="12" s="1"/>
  <c r="K26" i="12"/>
  <c r="J26" i="12"/>
  <c r="I26" i="12"/>
  <c r="H26" i="12"/>
  <c r="G26" i="12"/>
  <c r="F26" i="12"/>
  <c r="M25" i="12"/>
  <c r="L25" i="12"/>
  <c r="K25" i="12"/>
  <c r="J25" i="12"/>
  <c r="I25" i="12"/>
  <c r="I29" i="12" s="1"/>
  <c r="H25" i="12"/>
  <c r="H28" i="12" s="1"/>
  <c r="G25" i="12"/>
  <c r="F25" i="12"/>
  <c r="M24" i="12"/>
  <c r="M23" i="12"/>
  <c r="M22" i="12"/>
  <c r="M21" i="12"/>
  <c r="M20" i="12"/>
  <c r="M19" i="12"/>
  <c r="M18" i="12"/>
  <c r="M16" i="12"/>
  <c r="I16" i="12"/>
  <c r="H16" i="12"/>
  <c r="F16" i="12"/>
  <c r="M15" i="12"/>
  <c r="M14" i="12"/>
  <c r="L14" i="12"/>
  <c r="K14" i="12"/>
  <c r="J14" i="12"/>
  <c r="I14" i="12"/>
  <c r="H14" i="12"/>
  <c r="G14" i="12"/>
  <c r="F14" i="12"/>
  <c r="M13" i="12"/>
  <c r="L13" i="12"/>
  <c r="L16" i="12" s="1"/>
  <c r="K13" i="12"/>
  <c r="J13" i="12"/>
  <c r="J16" i="12" s="1"/>
  <c r="I13" i="12"/>
  <c r="H13" i="12"/>
  <c r="G13" i="12"/>
  <c r="F13" i="12"/>
  <c r="M12" i="12"/>
  <c r="M11" i="12"/>
  <c r="M10" i="12"/>
  <c r="M9" i="12"/>
  <c r="M8" i="12"/>
  <c r="M7" i="12"/>
  <c r="M6" i="12"/>
  <c r="R136" i="11"/>
  <c r="N136" i="11"/>
  <c r="M136" i="11"/>
  <c r="I136" i="11"/>
  <c r="R135" i="11"/>
  <c r="F135" i="11"/>
  <c r="R134" i="11"/>
  <c r="Q134" i="11"/>
  <c r="P134" i="11"/>
  <c r="N134" i="11"/>
  <c r="M134" i="11"/>
  <c r="K134" i="11"/>
  <c r="K136" i="11" s="1"/>
  <c r="J134" i="11"/>
  <c r="J136" i="11" s="1"/>
  <c r="I134" i="11"/>
  <c r="I137" i="11" s="1"/>
  <c r="H134" i="11"/>
  <c r="G134" i="11"/>
  <c r="R133" i="11"/>
  <c r="Q133" i="11"/>
  <c r="N133" i="11"/>
  <c r="M133" i="11"/>
  <c r="K133" i="11"/>
  <c r="J133" i="11"/>
  <c r="I133" i="11"/>
  <c r="H133" i="11"/>
  <c r="H136" i="11" s="1"/>
  <c r="G133" i="11"/>
  <c r="G136" i="11" s="1"/>
  <c r="R132" i="11"/>
  <c r="F132" i="11"/>
  <c r="R131" i="11"/>
  <c r="F131" i="11"/>
  <c r="R130" i="11"/>
  <c r="Q137" i="11" s="1"/>
  <c r="F130" i="11"/>
  <c r="R129" i="11"/>
  <c r="F129" i="11"/>
  <c r="R128" i="11"/>
  <c r="F128" i="11"/>
  <c r="R127" i="11"/>
  <c r="F127" i="11"/>
  <c r="R126" i="11"/>
  <c r="F126" i="11"/>
  <c r="R124" i="11"/>
  <c r="J124" i="11"/>
  <c r="I124" i="11"/>
  <c r="H124" i="11"/>
  <c r="G124" i="11"/>
  <c r="R123" i="11"/>
  <c r="F123" i="11"/>
  <c r="R122" i="11"/>
  <c r="Q122" i="11"/>
  <c r="P122" i="11"/>
  <c r="N122" i="11"/>
  <c r="M122" i="11"/>
  <c r="K122" i="11"/>
  <c r="F122" i="11" s="1"/>
  <c r="J122" i="11"/>
  <c r="I122" i="11"/>
  <c r="H122" i="11"/>
  <c r="G122" i="11"/>
  <c r="R121" i="11"/>
  <c r="Q121" i="11"/>
  <c r="N121" i="11"/>
  <c r="N124" i="11" s="1"/>
  <c r="M121" i="11"/>
  <c r="K121" i="11"/>
  <c r="J121" i="11"/>
  <c r="I121" i="11"/>
  <c r="H121" i="11"/>
  <c r="G121" i="11"/>
  <c r="R120" i="11"/>
  <c r="F120" i="11"/>
  <c r="R119" i="11"/>
  <c r="F119" i="11"/>
  <c r="R118" i="11"/>
  <c r="F118" i="11"/>
  <c r="R117" i="11"/>
  <c r="F117" i="11"/>
  <c r="R116" i="11"/>
  <c r="F116" i="11"/>
  <c r="R115" i="11"/>
  <c r="F115" i="11"/>
  <c r="R114" i="11"/>
  <c r="F114" i="11"/>
  <c r="R112" i="11"/>
  <c r="R111" i="11"/>
  <c r="F111" i="11"/>
  <c r="R110" i="11"/>
  <c r="Q110" i="11"/>
  <c r="P110" i="11"/>
  <c r="N110" i="11"/>
  <c r="N112" i="11" s="1"/>
  <c r="M110" i="11"/>
  <c r="K110" i="11"/>
  <c r="J110" i="11"/>
  <c r="I110" i="11"/>
  <c r="H110" i="11"/>
  <c r="G110" i="11"/>
  <c r="R109" i="11"/>
  <c r="Q109" i="11"/>
  <c r="N109" i="11"/>
  <c r="M109" i="11"/>
  <c r="M112" i="11" s="1"/>
  <c r="K109" i="11"/>
  <c r="K112" i="11" s="1"/>
  <c r="J109" i="11"/>
  <c r="J112" i="11" s="1"/>
  <c r="I109" i="11"/>
  <c r="I112" i="11" s="1"/>
  <c r="H109" i="11"/>
  <c r="G109" i="11"/>
  <c r="G112" i="11" s="1"/>
  <c r="R108" i="11"/>
  <c r="F108" i="11"/>
  <c r="R107" i="11"/>
  <c r="F107" i="11"/>
  <c r="R106" i="11"/>
  <c r="F106" i="11"/>
  <c r="R105" i="11"/>
  <c r="F105" i="11"/>
  <c r="R104" i="11"/>
  <c r="F104" i="11"/>
  <c r="R103" i="11"/>
  <c r="F103" i="11"/>
  <c r="R102" i="11"/>
  <c r="F102" i="11"/>
  <c r="N101" i="11"/>
  <c r="R100" i="11"/>
  <c r="N100" i="11"/>
  <c r="M100" i="11"/>
  <c r="K100" i="11"/>
  <c r="J100" i="11"/>
  <c r="I100" i="11"/>
  <c r="R99" i="11"/>
  <c r="F99" i="11"/>
  <c r="R98" i="11"/>
  <c r="Q98" i="11"/>
  <c r="P98" i="11"/>
  <c r="N98" i="11"/>
  <c r="M98" i="11"/>
  <c r="K98" i="11"/>
  <c r="J98" i="11"/>
  <c r="I98" i="11"/>
  <c r="H98" i="11"/>
  <c r="G98" i="11"/>
  <c r="R97" i="11"/>
  <c r="Q97" i="11"/>
  <c r="N97" i="11"/>
  <c r="M97" i="11"/>
  <c r="K97" i="11"/>
  <c r="J97" i="11"/>
  <c r="I97" i="11"/>
  <c r="H97" i="11"/>
  <c r="G97" i="11"/>
  <c r="R96" i="11"/>
  <c r="F96" i="11"/>
  <c r="R95" i="11"/>
  <c r="F95" i="11"/>
  <c r="R94" i="11"/>
  <c r="F94" i="11"/>
  <c r="R93" i="11"/>
  <c r="F93" i="11"/>
  <c r="R92" i="11"/>
  <c r="F92" i="11"/>
  <c r="R91" i="11"/>
  <c r="F91" i="11"/>
  <c r="R90" i="11"/>
  <c r="F90" i="11"/>
  <c r="R88" i="11"/>
  <c r="G88" i="11"/>
  <c r="R87" i="11"/>
  <c r="F87" i="11"/>
  <c r="R86" i="11"/>
  <c r="Q86" i="11"/>
  <c r="P86" i="11"/>
  <c r="N86" i="11"/>
  <c r="M86" i="11"/>
  <c r="K86" i="11"/>
  <c r="J86" i="11"/>
  <c r="I86" i="11"/>
  <c r="H86" i="11"/>
  <c r="F86" i="11" s="1"/>
  <c r="G86" i="11"/>
  <c r="R85" i="11"/>
  <c r="Q85" i="11"/>
  <c r="N85" i="11"/>
  <c r="M85" i="11"/>
  <c r="K85" i="11"/>
  <c r="K88" i="11" s="1"/>
  <c r="J85" i="11"/>
  <c r="J88" i="11" s="1"/>
  <c r="I85" i="11"/>
  <c r="I88" i="11" s="1"/>
  <c r="H85" i="11"/>
  <c r="H88" i="11" s="1"/>
  <c r="G85" i="11"/>
  <c r="R84" i="11"/>
  <c r="F84" i="11"/>
  <c r="R83" i="11"/>
  <c r="F83" i="11"/>
  <c r="R82" i="11"/>
  <c r="F82" i="11"/>
  <c r="R81" i="11"/>
  <c r="F81" i="11"/>
  <c r="R80" i="11"/>
  <c r="L89" i="11" s="1"/>
  <c r="F80" i="11"/>
  <c r="R79" i="11"/>
  <c r="F79" i="11"/>
  <c r="R78" i="11"/>
  <c r="F78" i="11"/>
  <c r="R76" i="11"/>
  <c r="N76" i="11"/>
  <c r="R75" i="11"/>
  <c r="F75" i="11"/>
  <c r="R74" i="11"/>
  <c r="Q74" i="11"/>
  <c r="P74" i="11"/>
  <c r="N74" i="11"/>
  <c r="M74" i="11"/>
  <c r="K74" i="11"/>
  <c r="K76" i="11" s="1"/>
  <c r="J74" i="11"/>
  <c r="I74" i="11"/>
  <c r="I76" i="11" s="1"/>
  <c r="H74" i="11"/>
  <c r="G74" i="11"/>
  <c r="R73" i="11"/>
  <c r="Q73" i="11"/>
  <c r="N73" i="11"/>
  <c r="M73" i="11"/>
  <c r="K73" i="11"/>
  <c r="J73" i="11"/>
  <c r="I73" i="11"/>
  <c r="H73" i="11"/>
  <c r="H76" i="11" s="1"/>
  <c r="G73" i="11"/>
  <c r="G76" i="11" s="1"/>
  <c r="R72" i="11"/>
  <c r="F72" i="11"/>
  <c r="R71" i="11"/>
  <c r="F71" i="11"/>
  <c r="R70" i="11"/>
  <c r="F70" i="11"/>
  <c r="R69" i="11"/>
  <c r="F69" i="11"/>
  <c r="R68" i="11"/>
  <c r="F68" i="11"/>
  <c r="R67" i="11"/>
  <c r="F67" i="11"/>
  <c r="R66" i="11"/>
  <c r="F66" i="11"/>
  <c r="O65" i="11"/>
  <c r="P30" i="4" s="1"/>
  <c r="R64" i="11"/>
  <c r="J64" i="11"/>
  <c r="I64" i="11"/>
  <c r="H64" i="11"/>
  <c r="G64" i="11"/>
  <c r="R63" i="11"/>
  <c r="F63" i="11"/>
  <c r="R62" i="11"/>
  <c r="Q62" i="11"/>
  <c r="P62" i="11"/>
  <c r="N62" i="11"/>
  <c r="M62" i="11"/>
  <c r="K62" i="11"/>
  <c r="K64" i="11" s="1"/>
  <c r="J62" i="11"/>
  <c r="I62" i="11"/>
  <c r="H62" i="11"/>
  <c r="G62" i="11"/>
  <c r="R61" i="11"/>
  <c r="Q61" i="11"/>
  <c r="Q65" i="11" s="1"/>
  <c r="R30" i="4" s="1"/>
  <c r="N61" i="11"/>
  <c r="N64" i="11" s="1"/>
  <c r="M61" i="11"/>
  <c r="M64" i="11" s="1"/>
  <c r="K61" i="11"/>
  <c r="J61" i="11"/>
  <c r="I61" i="11"/>
  <c r="H61" i="11"/>
  <c r="G61" i="11"/>
  <c r="R60" i="11"/>
  <c r="F60" i="11"/>
  <c r="R59" i="11"/>
  <c r="F59" i="11"/>
  <c r="R58" i="11"/>
  <c r="F58" i="11"/>
  <c r="R57" i="11"/>
  <c r="K65" i="11" s="1"/>
  <c r="L30" i="4" s="1"/>
  <c r="F57" i="11"/>
  <c r="R56" i="11"/>
  <c r="L65" i="11" s="1"/>
  <c r="F56" i="11"/>
  <c r="R55" i="11"/>
  <c r="F55" i="11"/>
  <c r="R54" i="11"/>
  <c r="F54" i="11"/>
  <c r="R52" i="11"/>
  <c r="R51" i="11"/>
  <c r="F51" i="11"/>
  <c r="R50" i="11"/>
  <c r="Q50" i="11"/>
  <c r="P50" i="11"/>
  <c r="N50" i="11"/>
  <c r="M50" i="11"/>
  <c r="K50" i="11"/>
  <c r="J50" i="11"/>
  <c r="I50" i="11"/>
  <c r="H50" i="11"/>
  <c r="G50" i="11"/>
  <c r="F50" i="11"/>
  <c r="R49" i="11"/>
  <c r="Q49" i="11"/>
  <c r="N49" i="11"/>
  <c r="N52" i="11" s="1"/>
  <c r="M49" i="11"/>
  <c r="M52" i="11" s="1"/>
  <c r="K49" i="11"/>
  <c r="J49" i="11"/>
  <c r="I49" i="11"/>
  <c r="I52" i="11" s="1"/>
  <c r="I53" i="11" s="1"/>
  <c r="H49" i="11"/>
  <c r="H52" i="11" s="1"/>
  <c r="G49" i="11"/>
  <c r="R48" i="11"/>
  <c r="F48" i="11"/>
  <c r="R47" i="11"/>
  <c r="F47" i="11"/>
  <c r="R46" i="11"/>
  <c r="F46" i="11"/>
  <c r="R45" i="11"/>
  <c r="F45" i="11"/>
  <c r="R44" i="11"/>
  <c r="F44" i="11"/>
  <c r="R43" i="11"/>
  <c r="F43" i="11"/>
  <c r="R42" i="11"/>
  <c r="F42" i="11"/>
  <c r="R40" i="11"/>
  <c r="M40" i="11"/>
  <c r="K40" i="11"/>
  <c r="J40" i="11"/>
  <c r="R39" i="11"/>
  <c r="F39" i="11"/>
  <c r="R38" i="11"/>
  <c r="Q38" i="11"/>
  <c r="P38" i="11"/>
  <c r="N38" i="11"/>
  <c r="M38" i="11"/>
  <c r="K38" i="11"/>
  <c r="J38" i="11"/>
  <c r="I38" i="11"/>
  <c r="H38" i="11"/>
  <c r="G38" i="11"/>
  <c r="R37" i="11"/>
  <c r="Q37" i="11"/>
  <c r="N37" i="11"/>
  <c r="N40" i="11" s="1"/>
  <c r="M37" i="11"/>
  <c r="K37" i="11"/>
  <c r="J37" i="11"/>
  <c r="I37" i="11"/>
  <c r="I40" i="11" s="1"/>
  <c r="H37" i="11"/>
  <c r="G37" i="11"/>
  <c r="R36" i="11"/>
  <c r="F36" i="11"/>
  <c r="R35" i="11"/>
  <c r="F35" i="11"/>
  <c r="R34" i="11"/>
  <c r="F34" i="11"/>
  <c r="R33" i="11"/>
  <c r="F33" i="11"/>
  <c r="R32" i="11"/>
  <c r="F32" i="11"/>
  <c r="R31" i="11"/>
  <c r="F31" i="11"/>
  <c r="R30" i="11"/>
  <c r="F30" i="11"/>
  <c r="R28" i="11"/>
  <c r="R27" i="11"/>
  <c r="F27" i="11"/>
  <c r="R26" i="11"/>
  <c r="Q26" i="11"/>
  <c r="P26" i="11"/>
  <c r="N26" i="11"/>
  <c r="M26" i="11"/>
  <c r="K26" i="11"/>
  <c r="J26" i="11"/>
  <c r="I26" i="11"/>
  <c r="H26" i="11"/>
  <c r="G26" i="11"/>
  <c r="R25" i="11"/>
  <c r="Q25" i="11"/>
  <c r="N25" i="11"/>
  <c r="N28" i="11" s="1"/>
  <c r="M25" i="11"/>
  <c r="K25" i="11"/>
  <c r="K28" i="11" s="1"/>
  <c r="J25" i="11"/>
  <c r="J28" i="11" s="1"/>
  <c r="I25" i="11"/>
  <c r="I28" i="11" s="1"/>
  <c r="I29" i="11" s="1"/>
  <c r="H25" i="11"/>
  <c r="H28" i="11" s="1"/>
  <c r="G25" i="11"/>
  <c r="R24" i="11"/>
  <c r="F24" i="11"/>
  <c r="R23" i="11"/>
  <c r="F23" i="11"/>
  <c r="R22" i="11"/>
  <c r="F22" i="11"/>
  <c r="R21" i="11"/>
  <c r="F21" i="11"/>
  <c r="R20" i="11"/>
  <c r="F20" i="11"/>
  <c r="R19" i="11"/>
  <c r="L29" i="11" s="1"/>
  <c r="F19" i="11"/>
  <c r="R18" i="11"/>
  <c r="F18" i="11"/>
  <c r="R16" i="11"/>
  <c r="N16" i="11"/>
  <c r="I16" i="11"/>
  <c r="R15" i="11"/>
  <c r="F15" i="11"/>
  <c r="R14" i="11"/>
  <c r="Q14" i="11"/>
  <c r="P14" i="11"/>
  <c r="N14" i="11"/>
  <c r="M14" i="11"/>
  <c r="K14" i="11"/>
  <c r="K16" i="11" s="1"/>
  <c r="J14" i="11"/>
  <c r="J16" i="11" s="1"/>
  <c r="I14" i="11"/>
  <c r="H14" i="11"/>
  <c r="G14" i="11"/>
  <c r="G16" i="11" s="1"/>
  <c r="R13" i="11"/>
  <c r="Q13" i="11"/>
  <c r="N13" i="11"/>
  <c r="M13" i="11"/>
  <c r="K13" i="11"/>
  <c r="J13" i="11"/>
  <c r="I13" i="11"/>
  <c r="H13" i="11"/>
  <c r="H16" i="11" s="1"/>
  <c r="G13" i="11"/>
  <c r="R12" i="11"/>
  <c r="F12" i="11"/>
  <c r="R11" i="11"/>
  <c r="F11" i="11"/>
  <c r="R10" i="11"/>
  <c r="F10" i="11"/>
  <c r="R9" i="11"/>
  <c r="F9" i="11"/>
  <c r="R8" i="11"/>
  <c r="F8" i="11"/>
  <c r="R7" i="11"/>
  <c r="F7" i="11"/>
  <c r="R6" i="11"/>
  <c r="F6" i="11"/>
  <c r="O137" i="10"/>
  <c r="R136" i="10"/>
  <c r="R135" i="10"/>
  <c r="F135" i="10"/>
  <c r="R134" i="10"/>
  <c r="Q134" i="10"/>
  <c r="P134" i="10"/>
  <c r="N134" i="10"/>
  <c r="F134" i="10" s="1"/>
  <c r="M134" i="10"/>
  <c r="K134" i="10"/>
  <c r="H134" i="10"/>
  <c r="G134" i="10"/>
  <c r="R133" i="10"/>
  <c r="Q133" i="10"/>
  <c r="N133" i="10"/>
  <c r="M133" i="10"/>
  <c r="M136" i="10" s="1"/>
  <c r="K133" i="10"/>
  <c r="K136" i="10" s="1"/>
  <c r="H133" i="10"/>
  <c r="H136" i="10" s="1"/>
  <c r="G133" i="10"/>
  <c r="R132" i="10"/>
  <c r="F132" i="10"/>
  <c r="R131" i="10"/>
  <c r="J137" i="10" s="1"/>
  <c r="F131" i="10"/>
  <c r="R130" i="10"/>
  <c r="F130" i="10"/>
  <c r="R129" i="10"/>
  <c r="F129" i="10"/>
  <c r="R128" i="10"/>
  <c r="F128" i="10"/>
  <c r="R127" i="10"/>
  <c r="F127" i="10"/>
  <c r="R126" i="10"/>
  <c r="F126" i="10"/>
  <c r="R124" i="10"/>
  <c r="H124" i="10"/>
  <c r="H125" i="10" s="1"/>
  <c r="I53" i="4" s="1"/>
  <c r="R123" i="10"/>
  <c r="F123" i="10"/>
  <c r="R122" i="10"/>
  <c r="Q125" i="10" s="1"/>
  <c r="Q122" i="10"/>
  <c r="P122" i="10"/>
  <c r="N122" i="10"/>
  <c r="M122" i="10"/>
  <c r="K122" i="10"/>
  <c r="F122" i="10" s="1"/>
  <c r="H122" i="10"/>
  <c r="G122" i="10"/>
  <c r="R121" i="10"/>
  <c r="Q121" i="10"/>
  <c r="N121" i="10"/>
  <c r="M121" i="10"/>
  <c r="M124" i="10" s="1"/>
  <c r="K121" i="10"/>
  <c r="H121" i="10"/>
  <c r="G121" i="10"/>
  <c r="R120" i="10"/>
  <c r="F120" i="10"/>
  <c r="R119" i="10"/>
  <c r="F119" i="10"/>
  <c r="R118" i="10"/>
  <c r="F118" i="10"/>
  <c r="R117" i="10"/>
  <c r="F117" i="10"/>
  <c r="R116" i="10"/>
  <c r="F116" i="10"/>
  <c r="R115" i="10"/>
  <c r="F115" i="10"/>
  <c r="R114" i="10"/>
  <c r="F114" i="10"/>
  <c r="R112" i="10"/>
  <c r="Q112" i="10"/>
  <c r="Q113" i="10" s="1"/>
  <c r="R48" i="4" s="1"/>
  <c r="N112" i="10"/>
  <c r="R111" i="10"/>
  <c r="F111" i="10"/>
  <c r="R110" i="10"/>
  <c r="Q110" i="10"/>
  <c r="P110" i="10"/>
  <c r="N110" i="10"/>
  <c r="M110" i="10"/>
  <c r="K110" i="10"/>
  <c r="H110" i="10"/>
  <c r="H112" i="10" s="1"/>
  <c r="G110" i="10"/>
  <c r="R109" i="10"/>
  <c r="Q109" i="10"/>
  <c r="N109" i="10"/>
  <c r="N113" i="10" s="1"/>
  <c r="O48" i="4" s="1"/>
  <c r="M109" i="10"/>
  <c r="K109" i="10"/>
  <c r="K112" i="10" s="1"/>
  <c r="H109" i="10"/>
  <c r="G109" i="10"/>
  <c r="R108" i="10"/>
  <c r="F108" i="10"/>
  <c r="R107" i="10"/>
  <c r="F107" i="10"/>
  <c r="R106" i="10"/>
  <c r="F106" i="10"/>
  <c r="R105" i="10"/>
  <c r="L113" i="10" s="1"/>
  <c r="F105" i="10"/>
  <c r="R104" i="10"/>
  <c r="F104" i="10"/>
  <c r="R103" i="10"/>
  <c r="F103" i="10"/>
  <c r="R102" i="10"/>
  <c r="F102" i="10"/>
  <c r="R100" i="10"/>
  <c r="G100" i="10"/>
  <c r="R99" i="10"/>
  <c r="F99" i="10"/>
  <c r="R98" i="10"/>
  <c r="Q98" i="10"/>
  <c r="P98" i="10"/>
  <c r="N98" i="10"/>
  <c r="M98" i="10"/>
  <c r="K98" i="10"/>
  <c r="H98" i="10"/>
  <c r="G98" i="10"/>
  <c r="G101" i="10" s="1"/>
  <c r="R97" i="10"/>
  <c r="Q97" i="10"/>
  <c r="N97" i="10"/>
  <c r="M97" i="10"/>
  <c r="K97" i="10"/>
  <c r="K100" i="10" s="1"/>
  <c r="H97" i="10"/>
  <c r="G97" i="10"/>
  <c r="R96" i="10"/>
  <c r="F96" i="10"/>
  <c r="R95" i="10"/>
  <c r="F95" i="10"/>
  <c r="R94" i="10"/>
  <c r="F94" i="10"/>
  <c r="R93" i="10"/>
  <c r="F93" i="10"/>
  <c r="R92" i="10"/>
  <c r="F92" i="10"/>
  <c r="R91" i="10"/>
  <c r="F91" i="10"/>
  <c r="R90" i="10"/>
  <c r="F90" i="10"/>
  <c r="R88" i="10"/>
  <c r="N88" i="10"/>
  <c r="R87" i="10"/>
  <c r="F87" i="10"/>
  <c r="R86" i="10"/>
  <c r="Q86" i="10"/>
  <c r="Q88" i="10" s="1"/>
  <c r="P86" i="10"/>
  <c r="N86" i="10"/>
  <c r="M86" i="10"/>
  <c r="K86" i="10"/>
  <c r="H86" i="10"/>
  <c r="G86" i="10"/>
  <c r="R85" i="10"/>
  <c r="Q85" i="10"/>
  <c r="N85" i="10"/>
  <c r="M85" i="10"/>
  <c r="K85" i="10"/>
  <c r="K88" i="10" s="1"/>
  <c r="H85" i="10"/>
  <c r="G85" i="10"/>
  <c r="R84" i="10"/>
  <c r="F84" i="10"/>
  <c r="R83" i="10"/>
  <c r="L89" i="10" s="1"/>
  <c r="F83" i="10"/>
  <c r="R82" i="10"/>
  <c r="F82" i="10"/>
  <c r="R81" i="10"/>
  <c r="F81" i="10"/>
  <c r="R80" i="10"/>
  <c r="F80" i="10"/>
  <c r="R79" i="10"/>
  <c r="F79" i="10"/>
  <c r="R78" i="10"/>
  <c r="F78" i="10"/>
  <c r="Q77" i="10"/>
  <c r="R76" i="10"/>
  <c r="H76" i="10"/>
  <c r="H77" i="10" s="1"/>
  <c r="I33" i="4" s="1"/>
  <c r="G76" i="10"/>
  <c r="R75" i="10"/>
  <c r="F75" i="10"/>
  <c r="R74" i="10"/>
  <c r="Q74" i="10"/>
  <c r="P74" i="10"/>
  <c r="N74" i="10"/>
  <c r="M74" i="10"/>
  <c r="K74" i="10"/>
  <c r="K76" i="10" s="1"/>
  <c r="H74" i="10"/>
  <c r="G74" i="10"/>
  <c r="F74" i="10" s="1"/>
  <c r="R73" i="10"/>
  <c r="Q73" i="10"/>
  <c r="N73" i="10"/>
  <c r="M73" i="10"/>
  <c r="M76" i="10" s="1"/>
  <c r="M77" i="10" s="1"/>
  <c r="N33" i="4" s="1"/>
  <c r="K73" i="10"/>
  <c r="H73" i="10"/>
  <c r="G73" i="10"/>
  <c r="R72" i="10"/>
  <c r="F72" i="10"/>
  <c r="R71" i="10"/>
  <c r="F71" i="10"/>
  <c r="R70" i="10"/>
  <c r="F70" i="10"/>
  <c r="R69" i="10"/>
  <c r="F69" i="10"/>
  <c r="R68" i="10"/>
  <c r="F68" i="10"/>
  <c r="R67" i="10"/>
  <c r="F67" i="10"/>
  <c r="R66" i="10"/>
  <c r="F66" i="10"/>
  <c r="R64" i="10"/>
  <c r="N64" i="10"/>
  <c r="M64" i="10"/>
  <c r="R63" i="10"/>
  <c r="F63" i="10"/>
  <c r="R62" i="10"/>
  <c r="Q62" i="10"/>
  <c r="P62" i="10"/>
  <c r="N62" i="10"/>
  <c r="M62" i="10"/>
  <c r="K62" i="10"/>
  <c r="H62" i="10"/>
  <c r="G62" i="10"/>
  <c r="F62" i="10"/>
  <c r="R61" i="10"/>
  <c r="Q61" i="10"/>
  <c r="N61" i="10"/>
  <c r="M61" i="10"/>
  <c r="K61" i="10"/>
  <c r="H61" i="10"/>
  <c r="G61" i="10"/>
  <c r="R60" i="10"/>
  <c r="F60" i="10"/>
  <c r="R59" i="10"/>
  <c r="F59" i="10"/>
  <c r="R58" i="10"/>
  <c r="F58" i="10"/>
  <c r="R57" i="10"/>
  <c r="F57" i="10"/>
  <c r="R56" i="10"/>
  <c r="F56" i="10"/>
  <c r="R55" i="10"/>
  <c r="F55" i="10"/>
  <c r="R54" i="10"/>
  <c r="F54" i="10"/>
  <c r="R52" i="10"/>
  <c r="R51" i="10"/>
  <c r="F51" i="10"/>
  <c r="R50" i="10"/>
  <c r="Q50" i="10"/>
  <c r="P50" i="10"/>
  <c r="N50" i="10"/>
  <c r="M50" i="10"/>
  <c r="M52" i="10" s="1"/>
  <c r="K50" i="10"/>
  <c r="H50" i="10"/>
  <c r="G50" i="10"/>
  <c r="R49" i="10"/>
  <c r="Q49" i="10"/>
  <c r="Q52" i="10" s="1"/>
  <c r="N49" i="10"/>
  <c r="N52" i="10" s="1"/>
  <c r="M49" i="10"/>
  <c r="K49" i="10"/>
  <c r="K52" i="10" s="1"/>
  <c r="H49" i="10"/>
  <c r="H52" i="10" s="1"/>
  <c r="G49" i="10"/>
  <c r="G52" i="10" s="1"/>
  <c r="R48" i="10"/>
  <c r="F48" i="10"/>
  <c r="R47" i="10"/>
  <c r="H53" i="10" s="1"/>
  <c r="F47" i="10"/>
  <c r="R46" i="10"/>
  <c r="F46" i="10"/>
  <c r="R45" i="10"/>
  <c r="F45" i="10"/>
  <c r="R44" i="10"/>
  <c r="F44" i="10"/>
  <c r="R43" i="10"/>
  <c r="F43" i="10"/>
  <c r="R42" i="10"/>
  <c r="F42" i="10"/>
  <c r="M41" i="10"/>
  <c r="K41" i="10"/>
  <c r="G41" i="10"/>
  <c r="R40" i="10"/>
  <c r="M40" i="10"/>
  <c r="G40" i="10"/>
  <c r="R39" i="10"/>
  <c r="F39" i="10"/>
  <c r="R38" i="10"/>
  <c r="Q38" i="10"/>
  <c r="P38" i="10"/>
  <c r="N38" i="10"/>
  <c r="M38" i="10"/>
  <c r="K38" i="10"/>
  <c r="K40" i="10" s="1"/>
  <c r="H38" i="10"/>
  <c r="G38" i="10"/>
  <c r="R37" i="10"/>
  <c r="Q37" i="10"/>
  <c r="Q41" i="10" s="1"/>
  <c r="N37" i="10"/>
  <c r="N40" i="10" s="1"/>
  <c r="N41" i="10" s="1"/>
  <c r="M37" i="10"/>
  <c r="K37" i="10"/>
  <c r="H37" i="10"/>
  <c r="H40" i="10" s="1"/>
  <c r="G37" i="10"/>
  <c r="R36" i="10"/>
  <c r="F36" i="10"/>
  <c r="R35" i="10"/>
  <c r="F35" i="10"/>
  <c r="R34" i="10"/>
  <c r="F34" i="10"/>
  <c r="R33" i="10"/>
  <c r="F33" i="10"/>
  <c r="R32" i="10"/>
  <c r="F32" i="10"/>
  <c r="R31" i="10"/>
  <c r="F31" i="10"/>
  <c r="R30" i="10"/>
  <c r="L41" i="10" s="1"/>
  <c r="F30" i="10"/>
  <c r="R28" i="10"/>
  <c r="R27" i="10"/>
  <c r="F27" i="10"/>
  <c r="R26" i="10"/>
  <c r="Q26" i="10"/>
  <c r="P26" i="10"/>
  <c r="N26" i="10"/>
  <c r="M26" i="10"/>
  <c r="K26" i="10"/>
  <c r="H26" i="10"/>
  <c r="G26" i="10"/>
  <c r="F26" i="10" s="1"/>
  <c r="R25" i="10"/>
  <c r="Q25" i="10"/>
  <c r="N25" i="10"/>
  <c r="N28" i="10" s="1"/>
  <c r="M25" i="10"/>
  <c r="M28" i="10" s="1"/>
  <c r="K25" i="10"/>
  <c r="K28" i="10" s="1"/>
  <c r="H25" i="10"/>
  <c r="H28" i="10" s="1"/>
  <c r="G25" i="10"/>
  <c r="R24" i="10"/>
  <c r="F24" i="10"/>
  <c r="R23" i="10"/>
  <c r="F23" i="10"/>
  <c r="R22" i="10"/>
  <c r="F22" i="10"/>
  <c r="R21" i="10"/>
  <c r="F21" i="10"/>
  <c r="R20" i="10"/>
  <c r="F20" i="10"/>
  <c r="R19" i="10"/>
  <c r="F19" i="10"/>
  <c r="R18" i="10"/>
  <c r="K29" i="10" s="1"/>
  <c r="L13" i="4" s="1"/>
  <c r="F18" i="10"/>
  <c r="R16" i="10"/>
  <c r="K16" i="10"/>
  <c r="H16" i="10"/>
  <c r="G16" i="10"/>
  <c r="R15" i="10"/>
  <c r="F15" i="10"/>
  <c r="R14" i="10"/>
  <c r="Q14" i="10"/>
  <c r="P14" i="10"/>
  <c r="N14" i="10"/>
  <c r="M14" i="10"/>
  <c r="F14" i="10" s="1"/>
  <c r="K14" i="10"/>
  <c r="H14" i="10"/>
  <c r="G14" i="10"/>
  <c r="R13" i="10"/>
  <c r="Q13" i="10"/>
  <c r="N13" i="10"/>
  <c r="N16" i="10" s="1"/>
  <c r="M13" i="10"/>
  <c r="K13" i="10"/>
  <c r="K17" i="10" s="1"/>
  <c r="H13" i="10"/>
  <c r="G13" i="10"/>
  <c r="R12" i="10"/>
  <c r="F12" i="10"/>
  <c r="R11" i="10"/>
  <c r="F11" i="10"/>
  <c r="R10" i="10"/>
  <c r="F10" i="10"/>
  <c r="R9" i="10"/>
  <c r="F9" i="10"/>
  <c r="R8" i="10"/>
  <c r="N17" i="10" s="1"/>
  <c r="F8" i="10"/>
  <c r="R7" i="10"/>
  <c r="J17" i="10" s="1"/>
  <c r="F7" i="10"/>
  <c r="R6" i="10"/>
  <c r="L17" i="10" s="1"/>
  <c r="F6" i="10"/>
  <c r="R136" i="9"/>
  <c r="N136" i="9"/>
  <c r="N137" i="9" s="1"/>
  <c r="M136" i="9"/>
  <c r="M137" i="9" s="1"/>
  <c r="R135" i="9"/>
  <c r="F135" i="9"/>
  <c r="R134" i="9"/>
  <c r="Q134" i="9"/>
  <c r="O134" i="9"/>
  <c r="N134" i="9"/>
  <c r="M134" i="9"/>
  <c r="K134" i="9"/>
  <c r="K136" i="9" s="1"/>
  <c r="I134" i="9"/>
  <c r="I136" i="9" s="1"/>
  <c r="H134" i="9"/>
  <c r="G134" i="9"/>
  <c r="G136" i="9" s="1"/>
  <c r="R133" i="9"/>
  <c r="Q133" i="9"/>
  <c r="Q137" i="9" s="1"/>
  <c r="O133" i="9"/>
  <c r="O137" i="9" s="1"/>
  <c r="P57" i="4" s="1"/>
  <c r="N133" i="9"/>
  <c r="M133" i="9"/>
  <c r="K133" i="9"/>
  <c r="K137" i="9" s="1"/>
  <c r="L57" i="4" s="1"/>
  <c r="I133" i="9"/>
  <c r="H133" i="9"/>
  <c r="G133" i="9"/>
  <c r="R132" i="9"/>
  <c r="F132" i="9"/>
  <c r="R131" i="9"/>
  <c r="F131" i="9"/>
  <c r="R130" i="9"/>
  <c r="F130" i="9"/>
  <c r="R129" i="9"/>
  <c r="F129" i="9"/>
  <c r="R128" i="9"/>
  <c r="F128" i="9"/>
  <c r="R127" i="9"/>
  <c r="F127" i="9"/>
  <c r="R126" i="9"/>
  <c r="F126" i="9"/>
  <c r="M125" i="9"/>
  <c r="N52" i="4" s="1"/>
  <c r="R124" i="9"/>
  <c r="R123" i="9"/>
  <c r="F123" i="9"/>
  <c r="R122" i="9"/>
  <c r="Q122" i="9"/>
  <c r="O122" i="9"/>
  <c r="N122" i="9"/>
  <c r="M122" i="9"/>
  <c r="K122" i="9"/>
  <c r="I122" i="9"/>
  <c r="H122" i="9"/>
  <c r="G122" i="9"/>
  <c r="R121" i="9"/>
  <c r="Q121" i="9"/>
  <c r="Q125" i="9" s="1"/>
  <c r="R52" i="4" s="1"/>
  <c r="O121" i="9"/>
  <c r="N121" i="9"/>
  <c r="N124" i="9" s="1"/>
  <c r="M121" i="9"/>
  <c r="M124" i="9" s="1"/>
  <c r="K121" i="9"/>
  <c r="I121" i="9"/>
  <c r="H121" i="9"/>
  <c r="G121" i="9"/>
  <c r="G124" i="9" s="1"/>
  <c r="R120" i="9"/>
  <c r="F120" i="9"/>
  <c r="R119" i="9"/>
  <c r="F119" i="9"/>
  <c r="R118" i="9"/>
  <c r="F118" i="9"/>
  <c r="R117" i="9"/>
  <c r="F117" i="9"/>
  <c r="R116" i="9"/>
  <c r="F116" i="9"/>
  <c r="R115" i="9"/>
  <c r="F115" i="9"/>
  <c r="R114" i="9"/>
  <c r="F114" i="9"/>
  <c r="R112" i="9"/>
  <c r="I112" i="9"/>
  <c r="H112" i="9"/>
  <c r="G112" i="9"/>
  <c r="R111" i="9"/>
  <c r="F111" i="9"/>
  <c r="R110" i="9"/>
  <c r="Q110" i="9"/>
  <c r="O110" i="9"/>
  <c r="N110" i="9"/>
  <c r="M110" i="9"/>
  <c r="K110" i="9"/>
  <c r="I110" i="9"/>
  <c r="H110" i="9"/>
  <c r="G110" i="9"/>
  <c r="R109" i="9"/>
  <c r="Q109" i="9"/>
  <c r="O109" i="9"/>
  <c r="N109" i="9"/>
  <c r="N112" i="9" s="1"/>
  <c r="M109" i="9"/>
  <c r="K109" i="9"/>
  <c r="I109" i="9"/>
  <c r="H109" i="9"/>
  <c r="G109" i="9"/>
  <c r="R108" i="9"/>
  <c r="F108" i="9"/>
  <c r="R107" i="9"/>
  <c r="F107" i="9"/>
  <c r="R106" i="9"/>
  <c r="F106" i="9"/>
  <c r="R105" i="9"/>
  <c r="N113" i="9" s="1"/>
  <c r="F105" i="9"/>
  <c r="R104" i="9"/>
  <c r="F104" i="9"/>
  <c r="R103" i="9"/>
  <c r="F103" i="9"/>
  <c r="R102" i="9"/>
  <c r="F102" i="9"/>
  <c r="O101" i="9"/>
  <c r="G101" i="9"/>
  <c r="R100" i="9"/>
  <c r="R99" i="9"/>
  <c r="F99" i="9"/>
  <c r="R98" i="9"/>
  <c r="Q98" i="9"/>
  <c r="O98" i="9"/>
  <c r="N98" i="9"/>
  <c r="M98" i="9"/>
  <c r="K98" i="9"/>
  <c r="K100" i="9" s="1"/>
  <c r="I98" i="9"/>
  <c r="H98" i="9"/>
  <c r="G98" i="9"/>
  <c r="R97" i="9"/>
  <c r="Q97" i="9"/>
  <c r="Q101" i="9" s="1"/>
  <c r="O97" i="9"/>
  <c r="N97" i="9"/>
  <c r="M97" i="9"/>
  <c r="K97" i="9"/>
  <c r="I97" i="9"/>
  <c r="H97" i="9"/>
  <c r="H100" i="9" s="1"/>
  <c r="G97" i="9"/>
  <c r="G100" i="9" s="1"/>
  <c r="R96" i="9"/>
  <c r="F96" i="9"/>
  <c r="R95" i="9"/>
  <c r="F95" i="9"/>
  <c r="R94" i="9"/>
  <c r="F94" i="9"/>
  <c r="R93" i="9"/>
  <c r="F93" i="9"/>
  <c r="R92" i="9"/>
  <c r="F92" i="9"/>
  <c r="R91" i="9"/>
  <c r="F91" i="9"/>
  <c r="R90" i="9"/>
  <c r="F90" i="9"/>
  <c r="R88" i="9"/>
  <c r="R87" i="9"/>
  <c r="F87" i="9"/>
  <c r="R86" i="9"/>
  <c r="Q86" i="9"/>
  <c r="O86" i="9"/>
  <c r="N86" i="9"/>
  <c r="M86" i="9"/>
  <c r="K86" i="9"/>
  <c r="I86" i="9"/>
  <c r="I88" i="9" s="1"/>
  <c r="H86" i="9"/>
  <c r="G86" i="9"/>
  <c r="R85" i="9"/>
  <c r="Q85" i="9"/>
  <c r="O85" i="9"/>
  <c r="N85" i="9"/>
  <c r="M85" i="9"/>
  <c r="K85" i="9"/>
  <c r="I85" i="9"/>
  <c r="H85" i="9"/>
  <c r="H88" i="9" s="1"/>
  <c r="G85" i="9"/>
  <c r="G88" i="9" s="1"/>
  <c r="R84" i="9"/>
  <c r="F84" i="9"/>
  <c r="R83" i="9"/>
  <c r="F83" i="9"/>
  <c r="R82" i="9"/>
  <c r="F82" i="9"/>
  <c r="R81" i="9"/>
  <c r="F81" i="9"/>
  <c r="R80" i="9"/>
  <c r="F80" i="9"/>
  <c r="R79" i="9"/>
  <c r="Q89" i="9" s="1"/>
  <c r="R37" i="4" s="1"/>
  <c r="F79" i="9"/>
  <c r="R78" i="9"/>
  <c r="F78" i="9"/>
  <c r="R76" i="9"/>
  <c r="N76" i="9"/>
  <c r="M76" i="9"/>
  <c r="K76" i="9"/>
  <c r="H76" i="9"/>
  <c r="R75" i="9"/>
  <c r="F75" i="9"/>
  <c r="R74" i="9"/>
  <c r="Q74" i="9"/>
  <c r="O74" i="9"/>
  <c r="N74" i="9"/>
  <c r="M74" i="9"/>
  <c r="K74" i="9"/>
  <c r="I74" i="9"/>
  <c r="H74" i="9"/>
  <c r="G74" i="9"/>
  <c r="R73" i="9"/>
  <c r="Q73" i="9"/>
  <c r="O73" i="9"/>
  <c r="N73" i="9"/>
  <c r="M73" i="9"/>
  <c r="K73" i="9"/>
  <c r="I73" i="9"/>
  <c r="H73" i="9"/>
  <c r="G73" i="9"/>
  <c r="R72" i="9"/>
  <c r="F72" i="9"/>
  <c r="R71" i="9"/>
  <c r="F71" i="9"/>
  <c r="R70" i="9"/>
  <c r="F70" i="9"/>
  <c r="R69" i="9"/>
  <c r="F69" i="9"/>
  <c r="R68" i="9"/>
  <c r="F68" i="9"/>
  <c r="R67" i="9"/>
  <c r="F67" i="9"/>
  <c r="R66" i="9"/>
  <c r="F66" i="9"/>
  <c r="Q65" i="9"/>
  <c r="R27" i="4" s="1"/>
  <c r="K65" i="9"/>
  <c r="H65" i="9"/>
  <c r="R64" i="9"/>
  <c r="I64" i="9"/>
  <c r="R63" i="9"/>
  <c r="F63" i="9"/>
  <c r="R62" i="9"/>
  <c r="Q62" i="9"/>
  <c r="O62" i="9"/>
  <c r="N62" i="9"/>
  <c r="M62" i="9"/>
  <c r="K62" i="9"/>
  <c r="I62" i="9"/>
  <c r="H62" i="9"/>
  <c r="G62" i="9"/>
  <c r="R61" i="9"/>
  <c r="Q61" i="9"/>
  <c r="O61" i="9"/>
  <c r="N61" i="9"/>
  <c r="M61" i="9"/>
  <c r="K61" i="9"/>
  <c r="K64" i="9" s="1"/>
  <c r="I61" i="9"/>
  <c r="H61" i="9"/>
  <c r="H64" i="9" s="1"/>
  <c r="G61" i="9"/>
  <c r="R60" i="9"/>
  <c r="F60" i="9"/>
  <c r="R59" i="9"/>
  <c r="F59" i="9"/>
  <c r="R58" i="9"/>
  <c r="F58" i="9"/>
  <c r="R57" i="9"/>
  <c r="F57" i="9"/>
  <c r="R56" i="9"/>
  <c r="F56" i="9"/>
  <c r="R55" i="9"/>
  <c r="F55" i="9"/>
  <c r="R54" i="9"/>
  <c r="F54" i="9"/>
  <c r="O53" i="9"/>
  <c r="P22" i="4" s="1"/>
  <c r="K53" i="9"/>
  <c r="L22" i="4" s="1"/>
  <c r="R52" i="9"/>
  <c r="H52" i="9"/>
  <c r="G52" i="9"/>
  <c r="R51" i="9"/>
  <c r="F51" i="9"/>
  <c r="R50" i="9"/>
  <c r="Q50" i="9"/>
  <c r="O50" i="9"/>
  <c r="N50" i="9"/>
  <c r="M50" i="9"/>
  <c r="K50" i="9"/>
  <c r="I50" i="9"/>
  <c r="H50" i="9"/>
  <c r="G50" i="9"/>
  <c r="R49" i="9"/>
  <c r="Q49" i="9"/>
  <c r="Q53" i="9" s="1"/>
  <c r="O49" i="9"/>
  <c r="N49" i="9"/>
  <c r="M49" i="9"/>
  <c r="K49" i="9"/>
  <c r="K52" i="9" s="1"/>
  <c r="I49" i="9"/>
  <c r="H49" i="9"/>
  <c r="G49" i="9"/>
  <c r="R48" i="9"/>
  <c r="F48" i="9"/>
  <c r="R47" i="9"/>
  <c r="F47" i="9"/>
  <c r="R46" i="9"/>
  <c r="F46" i="9"/>
  <c r="R45" i="9"/>
  <c r="F45" i="9"/>
  <c r="R44" i="9"/>
  <c r="F44" i="9"/>
  <c r="R43" i="9"/>
  <c r="F43" i="9"/>
  <c r="R42" i="9"/>
  <c r="F42" i="9"/>
  <c r="R40" i="9"/>
  <c r="N40" i="9"/>
  <c r="M40" i="9"/>
  <c r="M41" i="9" s="1"/>
  <c r="N17" i="4" s="1"/>
  <c r="G40" i="9"/>
  <c r="R39" i="9"/>
  <c r="F39" i="9"/>
  <c r="R38" i="9"/>
  <c r="Q38" i="9"/>
  <c r="O38" i="9"/>
  <c r="N38" i="9"/>
  <c r="M38" i="9"/>
  <c r="K38" i="9"/>
  <c r="K40" i="9" s="1"/>
  <c r="I38" i="9"/>
  <c r="I40" i="9" s="1"/>
  <c r="H38" i="9"/>
  <c r="G38" i="9"/>
  <c r="R37" i="9"/>
  <c r="Q37" i="9"/>
  <c r="O37" i="9"/>
  <c r="O41" i="9" s="1"/>
  <c r="N37" i="9"/>
  <c r="M37" i="9"/>
  <c r="K37" i="9"/>
  <c r="K41" i="9" s="1"/>
  <c r="L17" i="4" s="1"/>
  <c r="I37" i="9"/>
  <c r="H37" i="9"/>
  <c r="G37" i="9"/>
  <c r="R36" i="9"/>
  <c r="F36" i="9"/>
  <c r="R35" i="9"/>
  <c r="F35" i="9"/>
  <c r="R34" i="9"/>
  <c r="F34" i="9"/>
  <c r="R33" i="9"/>
  <c r="F33" i="9"/>
  <c r="R32" i="9"/>
  <c r="F32" i="9"/>
  <c r="R31" i="9"/>
  <c r="F31" i="9"/>
  <c r="R30" i="9"/>
  <c r="I41" i="9" s="1"/>
  <c r="J17" i="4" s="1"/>
  <c r="F30" i="9"/>
  <c r="O29" i="9"/>
  <c r="R28" i="9"/>
  <c r="R27" i="9"/>
  <c r="F27" i="9"/>
  <c r="R26" i="9"/>
  <c r="Q26" i="9"/>
  <c r="O26" i="9"/>
  <c r="N26" i="9"/>
  <c r="M26" i="9"/>
  <c r="K26" i="9"/>
  <c r="I26" i="9"/>
  <c r="H26" i="9"/>
  <c r="G26" i="9"/>
  <c r="R25" i="9"/>
  <c r="Q25" i="9"/>
  <c r="O25" i="9"/>
  <c r="N25" i="9"/>
  <c r="N28" i="9" s="1"/>
  <c r="M25" i="9"/>
  <c r="M28" i="9" s="1"/>
  <c r="K25" i="9"/>
  <c r="I25" i="9"/>
  <c r="I28" i="9" s="1"/>
  <c r="H25" i="9"/>
  <c r="G25" i="9"/>
  <c r="R24" i="9"/>
  <c r="F24" i="9"/>
  <c r="R23" i="9"/>
  <c r="F23" i="9"/>
  <c r="R22" i="9"/>
  <c r="F22" i="9"/>
  <c r="R21" i="9"/>
  <c r="F21" i="9"/>
  <c r="R20" i="9"/>
  <c r="F20" i="9"/>
  <c r="R19" i="9"/>
  <c r="F19" i="9"/>
  <c r="R18" i="9"/>
  <c r="N29" i="9" s="1"/>
  <c r="F18" i="9"/>
  <c r="R16" i="9"/>
  <c r="N16" i="9"/>
  <c r="N17" i="9" s="1"/>
  <c r="M16" i="9"/>
  <c r="K16" i="9"/>
  <c r="H16" i="9"/>
  <c r="R15" i="9"/>
  <c r="F15" i="9"/>
  <c r="R14" i="9"/>
  <c r="Q14" i="9"/>
  <c r="O14" i="9"/>
  <c r="N14" i="9"/>
  <c r="M14" i="9"/>
  <c r="K14" i="9"/>
  <c r="I14" i="9"/>
  <c r="I16" i="9" s="1"/>
  <c r="H14" i="9"/>
  <c r="G14" i="9"/>
  <c r="R13" i="9"/>
  <c r="Q17" i="9" s="1"/>
  <c r="Q13" i="9"/>
  <c r="O13" i="9"/>
  <c r="N13" i="9"/>
  <c r="M13" i="9"/>
  <c r="K13" i="9"/>
  <c r="I13" i="9"/>
  <c r="H13" i="9"/>
  <c r="G13" i="9"/>
  <c r="R12" i="9"/>
  <c r="F12" i="9"/>
  <c r="R11" i="9"/>
  <c r="F11" i="9"/>
  <c r="R10" i="9"/>
  <c r="F10" i="9"/>
  <c r="R9" i="9"/>
  <c r="F9" i="9"/>
  <c r="R8" i="9"/>
  <c r="F8" i="9"/>
  <c r="R7" i="9"/>
  <c r="F7" i="9"/>
  <c r="R6" i="9"/>
  <c r="F6" i="9"/>
  <c r="H44" i="8"/>
  <c r="H49" i="8" s="1"/>
  <c r="B43" i="8"/>
  <c r="B48" i="8" s="1"/>
  <c r="J32" i="8"/>
  <c r="E32" i="8"/>
  <c r="D32" i="8"/>
  <c r="D44" i="8" s="1"/>
  <c r="D49" i="8" s="1"/>
  <c r="F31" i="8"/>
  <c r="E31" i="8"/>
  <c r="E43" i="8" s="1"/>
  <c r="E48" i="8" s="1"/>
  <c r="K27" i="8"/>
  <c r="J27" i="8"/>
  <c r="H27" i="8"/>
  <c r="H32" i="8" s="1"/>
  <c r="F27" i="8"/>
  <c r="E27" i="8"/>
  <c r="B27" i="8"/>
  <c r="K26" i="8"/>
  <c r="J26" i="8"/>
  <c r="F26" i="8"/>
  <c r="E26" i="8"/>
  <c r="C26" i="8"/>
  <c r="C31" i="8" s="1"/>
  <c r="L25" i="8"/>
  <c r="K25" i="8"/>
  <c r="K30" i="8" s="1"/>
  <c r="H25" i="8"/>
  <c r="E25" i="8"/>
  <c r="B25" i="8"/>
  <c r="L22" i="8"/>
  <c r="K22" i="8"/>
  <c r="J22" i="8"/>
  <c r="I22" i="8"/>
  <c r="H22" i="8"/>
  <c r="G22" i="8"/>
  <c r="F22" i="8"/>
  <c r="E22" i="8"/>
  <c r="D22" i="8"/>
  <c r="D27" i="8" s="1"/>
  <c r="C22" i="8"/>
  <c r="B22" i="8"/>
  <c r="L21" i="8"/>
  <c r="K21" i="8"/>
  <c r="J21" i="8"/>
  <c r="I21" i="8"/>
  <c r="H21" i="8"/>
  <c r="G21" i="8"/>
  <c r="F21" i="8"/>
  <c r="E21" i="8"/>
  <c r="D21" i="8"/>
  <c r="C21" i="8"/>
  <c r="B21" i="8"/>
  <c r="B26" i="8" s="1"/>
  <c r="B31" i="8" s="1"/>
  <c r="L20" i="8"/>
  <c r="K20" i="8"/>
  <c r="J20" i="8"/>
  <c r="I20" i="8"/>
  <c r="H20" i="8"/>
  <c r="G20" i="8"/>
  <c r="F20" i="8"/>
  <c r="E20" i="8"/>
  <c r="D20" i="8"/>
  <c r="C20" i="8"/>
  <c r="B20" i="8"/>
  <c r="J53" i="7"/>
  <c r="J52" i="7"/>
  <c r="J55" i="7" s="1"/>
  <c r="J56" i="7" s="1"/>
  <c r="V40" i="7"/>
  <c r="U40" i="7"/>
  <c r="V39" i="7"/>
  <c r="U39" i="7"/>
  <c r="W39" i="7" s="1"/>
  <c r="X39" i="7" s="1"/>
  <c r="Y39" i="7" s="1"/>
  <c r="X35" i="7"/>
  <c r="Y35" i="7" s="1"/>
  <c r="V35" i="7"/>
  <c r="U35" i="7"/>
  <c r="W35" i="7" s="1"/>
  <c r="X34" i="7"/>
  <c r="Y34" i="7" s="1"/>
  <c r="W34" i="7"/>
  <c r="V34" i="7"/>
  <c r="U34" i="7"/>
  <c r="Y33" i="7"/>
  <c r="W33" i="7"/>
  <c r="X33" i="7" s="1"/>
  <c r="V33" i="7"/>
  <c r="U33" i="7"/>
  <c r="W32" i="7"/>
  <c r="X32" i="7" s="1"/>
  <c r="Y32" i="7" s="1"/>
  <c r="V32" i="7"/>
  <c r="U32" i="7"/>
  <c r="V31" i="7"/>
  <c r="W31" i="7" s="1"/>
  <c r="X31" i="7" s="1"/>
  <c r="U31" i="7"/>
  <c r="V30" i="7"/>
  <c r="U30" i="7"/>
  <c r="W29" i="7"/>
  <c r="X29" i="7" s="1"/>
  <c r="V29" i="7"/>
  <c r="U29" i="7"/>
  <c r="V28" i="7"/>
  <c r="W28" i="7" s="1"/>
  <c r="X28" i="7" s="1"/>
  <c r="Y28" i="7" s="1"/>
  <c r="U28" i="7"/>
  <c r="V27" i="7"/>
  <c r="U27" i="7"/>
  <c r="W27" i="7" s="1"/>
  <c r="X27" i="7" s="1"/>
  <c r="Y27" i="7" s="1"/>
  <c r="V26" i="7"/>
  <c r="U26" i="7"/>
  <c r="W26" i="7" s="1"/>
  <c r="X26" i="7" s="1"/>
  <c r="Y26" i="7" s="1"/>
  <c r="V25" i="7"/>
  <c r="U25" i="7"/>
  <c r="W25" i="7" s="1"/>
  <c r="X25" i="7" s="1"/>
  <c r="Y25" i="7" s="1"/>
  <c r="V24" i="7"/>
  <c r="W24" i="7" s="1"/>
  <c r="X24" i="7" s="1"/>
  <c r="Y24" i="7" s="1"/>
  <c r="U24" i="7"/>
  <c r="V23" i="7"/>
  <c r="W23" i="7" s="1"/>
  <c r="X23" i="7" s="1"/>
  <c r="U23" i="7"/>
  <c r="V22" i="7"/>
  <c r="W22" i="7" s="1"/>
  <c r="X22" i="7" s="1"/>
  <c r="Y22" i="7" s="1"/>
  <c r="U22" i="7"/>
  <c r="V21" i="7"/>
  <c r="U21" i="7"/>
  <c r="V20" i="7"/>
  <c r="U20" i="7"/>
  <c r="W20" i="7" s="1"/>
  <c r="X20" i="7" s="1"/>
  <c r="Y20" i="7" s="1"/>
  <c r="V19" i="7"/>
  <c r="U19" i="7"/>
  <c r="W19" i="7" s="1"/>
  <c r="X19" i="7" s="1"/>
  <c r="D11" i="6" s="1"/>
  <c r="D13" i="5" s="1"/>
  <c r="W17" i="7"/>
  <c r="X17" i="7" s="1"/>
  <c r="Y17" i="7" s="1"/>
  <c r="V17" i="7"/>
  <c r="U17" i="7"/>
  <c r="V16" i="7"/>
  <c r="W16" i="7" s="1"/>
  <c r="X16" i="7" s="1"/>
  <c r="Y16" i="7" s="1"/>
  <c r="U16" i="7"/>
  <c r="Y15" i="7"/>
  <c r="W15" i="7"/>
  <c r="X15" i="7" s="1"/>
  <c r="V15" i="7"/>
  <c r="U15" i="7"/>
  <c r="C20" i="5"/>
  <c r="C21" i="5" s="1"/>
  <c r="C22" i="5" s="1"/>
  <c r="C19" i="5"/>
  <c r="B14" i="5"/>
  <c r="B16" i="5" s="1"/>
  <c r="B13" i="5"/>
  <c r="L12" i="5"/>
  <c r="K12" i="5"/>
  <c r="J12" i="5"/>
  <c r="I12" i="5"/>
  <c r="H12" i="5"/>
  <c r="G12" i="5"/>
  <c r="F12" i="5"/>
  <c r="E12" i="5"/>
  <c r="D12" i="5"/>
  <c r="C12" i="5"/>
  <c r="B12" i="5"/>
  <c r="J10" i="5"/>
  <c r="I10" i="5"/>
  <c r="H10" i="5"/>
  <c r="F10" i="5"/>
  <c r="C10" i="5"/>
  <c r="B10" i="5"/>
  <c r="L9" i="5"/>
  <c r="L10" i="5" s="1"/>
  <c r="K9" i="5"/>
  <c r="K10" i="5" s="1"/>
  <c r="J9" i="5"/>
  <c r="I9" i="5"/>
  <c r="H9" i="5"/>
  <c r="G9" i="5"/>
  <c r="G10" i="5" s="1"/>
  <c r="F9" i="5"/>
  <c r="E9" i="5"/>
  <c r="E10" i="5" s="1"/>
  <c r="D9" i="5"/>
  <c r="D10" i="5" s="1"/>
  <c r="C9" i="5"/>
  <c r="B9" i="5"/>
  <c r="J6" i="5"/>
  <c r="J7" i="5" s="1"/>
  <c r="M61" i="4"/>
  <c r="W60" i="4"/>
  <c r="R60" i="4"/>
  <c r="W58" i="4"/>
  <c r="P58" i="4"/>
  <c r="W57" i="4"/>
  <c r="R57" i="4"/>
  <c r="O57" i="4"/>
  <c r="N57" i="4"/>
  <c r="M56" i="4"/>
  <c r="X55" i="4"/>
  <c r="W55" i="4"/>
  <c r="X53" i="4"/>
  <c r="W53" i="4"/>
  <c r="R53" i="4"/>
  <c r="X52" i="4"/>
  <c r="W52" i="4"/>
  <c r="M51" i="4"/>
  <c r="X50" i="4"/>
  <c r="W50" i="4"/>
  <c r="X48" i="4"/>
  <c r="W48" i="4"/>
  <c r="X47" i="4"/>
  <c r="X51" i="4" s="1"/>
  <c r="W47" i="4"/>
  <c r="W51" i="4" s="1"/>
  <c r="O47" i="4"/>
  <c r="M46" i="4"/>
  <c r="X45" i="4"/>
  <c r="W45" i="4"/>
  <c r="O45" i="4"/>
  <c r="X43" i="4"/>
  <c r="W43" i="4"/>
  <c r="W46" i="4" s="1"/>
  <c r="X42" i="4"/>
  <c r="W42" i="4"/>
  <c r="R42" i="4"/>
  <c r="P42" i="4"/>
  <c r="M41" i="4"/>
  <c r="X40" i="4"/>
  <c r="W40" i="4"/>
  <c r="X38" i="4"/>
  <c r="W38" i="4"/>
  <c r="W41" i="4" s="1"/>
  <c r="K15" i="2" s="1"/>
  <c r="X37" i="4"/>
  <c r="X41" i="4" s="1"/>
  <c r="W37" i="4"/>
  <c r="M36" i="4"/>
  <c r="X35" i="4"/>
  <c r="W35" i="4"/>
  <c r="X33" i="4"/>
  <c r="W33" i="4"/>
  <c r="R33" i="4"/>
  <c r="X32" i="4"/>
  <c r="X36" i="4" s="1"/>
  <c r="L17" i="2" s="1"/>
  <c r="W32" i="4"/>
  <c r="W36" i="4" s="1"/>
  <c r="K17" i="2" s="1"/>
  <c r="M31" i="4"/>
  <c r="X30" i="4"/>
  <c r="W30" i="4"/>
  <c r="X28" i="4"/>
  <c r="W28" i="4"/>
  <c r="X27" i="4"/>
  <c r="X31" i="4" s="1"/>
  <c r="W27" i="4"/>
  <c r="W31" i="4" s="1"/>
  <c r="K16" i="2" s="1"/>
  <c r="L27" i="4"/>
  <c r="I27" i="4"/>
  <c r="M26" i="4"/>
  <c r="X25" i="4"/>
  <c r="W25" i="4"/>
  <c r="U25" i="4"/>
  <c r="X23" i="4"/>
  <c r="W23" i="4"/>
  <c r="I23" i="4"/>
  <c r="X22" i="4"/>
  <c r="X26" i="4" s="1"/>
  <c r="W22" i="4"/>
  <c r="R22" i="4"/>
  <c r="M21" i="4"/>
  <c r="X20" i="4"/>
  <c r="W20" i="4"/>
  <c r="X18" i="4"/>
  <c r="W18" i="4"/>
  <c r="R18" i="4"/>
  <c r="O18" i="4"/>
  <c r="N18" i="4"/>
  <c r="L18" i="4"/>
  <c r="X17" i="4"/>
  <c r="X21" i="4" s="1"/>
  <c r="L9" i="2" s="1"/>
  <c r="W17" i="4"/>
  <c r="W21" i="4" s="1"/>
  <c r="K9" i="2" s="1"/>
  <c r="P17" i="4"/>
  <c r="W16" i="4"/>
  <c r="K13" i="2" s="1"/>
  <c r="M16" i="4"/>
  <c r="X15" i="4"/>
  <c r="W15" i="4"/>
  <c r="X13" i="4"/>
  <c r="W13" i="4"/>
  <c r="X12" i="4"/>
  <c r="X16" i="4" s="1"/>
  <c r="L13" i="2" s="1"/>
  <c r="W12" i="4"/>
  <c r="P12" i="4"/>
  <c r="O12" i="4"/>
  <c r="M11" i="4"/>
  <c r="X10" i="4"/>
  <c r="W10" i="4" a="1"/>
  <c r="W10" i="4"/>
  <c r="U9" i="4"/>
  <c r="T9" i="4"/>
  <c r="G9" i="4" s="1"/>
  <c r="I7" i="3" s="1"/>
  <c r="X8" i="4"/>
  <c r="W8" i="4" a="1"/>
  <c r="W8" i="4" s="1"/>
  <c r="O8" i="4"/>
  <c r="L8" i="4"/>
  <c r="X7" i="4"/>
  <c r="W7" i="4" a="1"/>
  <c r="W7" i="4"/>
  <c r="R7" i="4"/>
  <c r="O7" i="4"/>
  <c r="P13" i="3"/>
  <c r="N13" i="3"/>
  <c r="Q10" i="3"/>
  <c r="P10" i="3"/>
  <c r="N10" i="3"/>
  <c r="L10" i="3"/>
  <c r="N9" i="3"/>
  <c r="L8" i="3"/>
  <c r="S7" i="3"/>
  <c r="N7" i="3"/>
  <c r="L7" i="3"/>
  <c r="I17" i="2"/>
  <c r="L16" i="2"/>
  <c r="I16" i="2"/>
  <c r="L15" i="2"/>
  <c r="I15" i="2"/>
  <c r="I14" i="2"/>
  <c r="I13" i="2"/>
  <c r="L12" i="2"/>
  <c r="I12" i="2"/>
  <c r="I11" i="2"/>
  <c r="I10" i="2"/>
  <c r="I9" i="2"/>
  <c r="K8" i="2"/>
  <c r="I8" i="2"/>
  <c r="L7" i="2"/>
  <c r="K7" i="2"/>
  <c r="I7" i="2"/>
  <c r="E6" i="1"/>
  <c r="L56" i="6"/>
  <c r="K56" i="6"/>
  <c r="J56" i="6"/>
  <c r="I56" i="6"/>
  <c r="H56" i="6"/>
  <c r="G56" i="6"/>
  <c r="F56" i="6"/>
  <c r="E56" i="6"/>
  <c r="D56" i="6"/>
  <c r="C56" i="6"/>
  <c r="B56" i="6"/>
  <c r="L42" i="6"/>
  <c r="K42" i="6"/>
  <c r="J42" i="6"/>
  <c r="I42" i="6"/>
  <c r="H42" i="6"/>
  <c r="G42" i="6"/>
  <c r="F42" i="6"/>
  <c r="E42" i="6"/>
  <c r="D42" i="6"/>
  <c r="C42" i="6"/>
  <c r="B42" i="6"/>
  <c r="L39" i="6"/>
  <c r="L27" i="6"/>
  <c r="K27" i="6"/>
  <c r="J27" i="6"/>
  <c r="I27" i="6"/>
  <c r="H27" i="6"/>
  <c r="G27" i="6"/>
  <c r="F27" i="6"/>
  <c r="E27" i="6"/>
  <c r="D27" i="6"/>
  <c r="C27" i="6"/>
  <c r="B27" i="6"/>
  <c r="L11" i="6"/>
  <c r="L13" i="5" s="1"/>
  <c r="K11" i="6"/>
  <c r="K13" i="5" s="1"/>
  <c r="I11" i="6"/>
  <c r="I13" i="5" s="1"/>
  <c r="I14" i="5" s="1"/>
  <c r="I16" i="5" s="1"/>
  <c r="H11" i="6"/>
  <c r="H13" i="5" s="1"/>
  <c r="H14" i="5" s="1"/>
  <c r="H16" i="5" s="1"/>
  <c r="L7" i="6"/>
  <c r="L6" i="5" s="1"/>
  <c r="L7" i="5" s="1"/>
  <c r="K7" i="6"/>
  <c r="K6" i="5" s="1"/>
  <c r="J7" i="6"/>
  <c r="I7" i="6"/>
  <c r="I6" i="5" s="1"/>
  <c r="I7" i="5" s="1"/>
  <c r="H7" i="6"/>
  <c r="H6" i="5" s="1"/>
  <c r="H7" i="5" s="1"/>
  <c r="G7" i="6"/>
  <c r="G6" i="5" s="1"/>
  <c r="G7" i="5" s="1"/>
  <c r="F7" i="6"/>
  <c r="F6" i="5" s="1"/>
  <c r="F7" i="5" s="1"/>
  <c r="E7" i="6"/>
  <c r="E6" i="5" s="1"/>
  <c r="D7" i="6"/>
  <c r="D6" i="5" s="1"/>
  <c r="D7" i="5" s="1"/>
  <c r="C7" i="6"/>
  <c r="C6" i="5" s="1"/>
  <c r="C7" i="5" s="1"/>
  <c r="B7" i="6"/>
  <c r="B6" i="5" s="1"/>
  <c r="B7" i="5" s="1"/>
  <c r="Y29" i="7" l="1"/>
  <c r="F11" i="6"/>
  <c r="S13" i="3"/>
  <c r="U39" i="4"/>
  <c r="T39" i="4" s="1"/>
  <c r="Y31" i="7"/>
  <c r="J11" i="6"/>
  <c r="J13" i="5" s="1"/>
  <c r="R41" i="4"/>
  <c r="H15" i="2" s="1"/>
  <c r="U44" i="4"/>
  <c r="T44" i="4" s="1"/>
  <c r="S14" i="3"/>
  <c r="E7" i="5"/>
  <c r="K33" i="8"/>
  <c r="K34" i="8" s="1"/>
  <c r="X58" i="4"/>
  <c r="X60" i="4"/>
  <c r="W11" i="4"/>
  <c r="K11" i="2" s="1"/>
  <c r="K89" i="9"/>
  <c r="L37" i="4" s="1"/>
  <c r="K88" i="9"/>
  <c r="D14" i="5"/>
  <c r="D16" i="5" s="1"/>
  <c r="Y19" i="7"/>
  <c r="J44" i="8"/>
  <c r="J49" i="8" s="1"/>
  <c r="O89" i="9"/>
  <c r="P37" i="4" s="1"/>
  <c r="H136" i="12"/>
  <c r="H137" i="12"/>
  <c r="N17" i="3" s="1"/>
  <c r="G89" i="9"/>
  <c r="J31" i="8"/>
  <c r="O35" i="12"/>
  <c r="P134" i="9"/>
  <c r="P110" i="9"/>
  <c r="P86" i="9"/>
  <c r="P62" i="9"/>
  <c r="P38" i="9"/>
  <c r="E23" i="14"/>
  <c r="P74" i="9"/>
  <c r="P14" i="9"/>
  <c r="F14" i="9" s="1"/>
  <c r="P98" i="9"/>
  <c r="F98" i="9" s="1"/>
  <c r="P50" i="9"/>
  <c r="P122" i="9"/>
  <c r="F122" i="9" s="1"/>
  <c r="P26" i="9"/>
  <c r="K31" i="8"/>
  <c r="F40" i="9"/>
  <c r="L61" i="4"/>
  <c r="E10" i="2" s="1"/>
  <c r="B32" i="8"/>
  <c r="F40" i="12"/>
  <c r="F41" i="12"/>
  <c r="L9" i="3" s="1"/>
  <c r="N88" i="9"/>
  <c r="N89" i="9"/>
  <c r="O37" i="4" s="1"/>
  <c r="O7" i="3"/>
  <c r="W26" i="4"/>
  <c r="K12" i="2" s="1"/>
  <c r="X46" i="4"/>
  <c r="L8" i="2" s="1"/>
  <c r="D66" i="8"/>
  <c r="D76" i="8"/>
  <c r="D56" i="8"/>
  <c r="O13" i="3"/>
  <c r="W21" i="7"/>
  <c r="X21" i="7" s="1"/>
  <c r="F32" i="8"/>
  <c r="F44" i="8"/>
  <c r="F49" i="8" s="1"/>
  <c r="O89" i="11"/>
  <c r="P40" i="4" s="1"/>
  <c r="M88" i="11"/>
  <c r="M89" i="11" s="1"/>
  <c r="N40" i="4" s="1"/>
  <c r="L17" i="11"/>
  <c r="Q17" i="11"/>
  <c r="R10" i="4" s="1"/>
  <c r="X56" i="4"/>
  <c r="L14" i="2" s="1"/>
  <c r="H26" i="8"/>
  <c r="B30" i="8"/>
  <c r="F74" i="11"/>
  <c r="J76" i="11"/>
  <c r="Q89" i="11"/>
  <c r="R40" i="4" s="1"/>
  <c r="H89" i="11"/>
  <c r="I40" i="4" s="1"/>
  <c r="X11" i="4"/>
  <c r="L11" i="2" s="1"/>
  <c r="K7" i="5"/>
  <c r="X57" i="4"/>
  <c r="X61" i="4" s="1"/>
  <c r="L10" i="2" s="1"/>
  <c r="D25" i="8"/>
  <c r="I26" i="8"/>
  <c r="C25" i="8"/>
  <c r="K44" i="8"/>
  <c r="K49" i="8" s="1"/>
  <c r="K32" i="8"/>
  <c r="B75" i="8"/>
  <c r="B65" i="8"/>
  <c r="B55" i="8"/>
  <c r="E30" i="8"/>
  <c r="E55" i="8"/>
  <c r="E85" i="8" s="1"/>
  <c r="E65" i="8"/>
  <c r="E75" i="8"/>
  <c r="E44" i="8"/>
  <c r="E49" i="8" s="1"/>
  <c r="Y23" i="7"/>
  <c r="C11" i="6"/>
  <c r="C13" i="5" s="1"/>
  <c r="C14" i="5" s="1"/>
  <c r="C16" i="5" s="1"/>
  <c r="F25" i="8"/>
  <c r="Q29" i="10"/>
  <c r="R13" i="4" s="1"/>
  <c r="J29" i="10"/>
  <c r="I29" i="10"/>
  <c r="H29" i="10"/>
  <c r="I13" i="4" s="1"/>
  <c r="M29" i="10"/>
  <c r="N13" i="4" s="1"/>
  <c r="L29" i="10"/>
  <c r="O29" i="10"/>
  <c r="P13" i="4" s="1"/>
  <c r="P16" i="4" s="1"/>
  <c r="G13" i="2" s="1"/>
  <c r="H76" i="8"/>
  <c r="H66" i="8"/>
  <c r="H56" i="8"/>
  <c r="H86" i="8" s="1"/>
  <c r="W61" i="4"/>
  <c r="K10" i="2" s="1"/>
  <c r="W30" i="7"/>
  <c r="X30" i="7" s="1"/>
  <c r="Y30" i="7" s="1"/>
  <c r="M88" i="9"/>
  <c r="M89" i="9"/>
  <c r="N37" i="4" s="1"/>
  <c r="O22" i="12"/>
  <c r="L125" i="10"/>
  <c r="M125" i="10"/>
  <c r="N53" i="4" s="1"/>
  <c r="I41" i="11"/>
  <c r="N41" i="11"/>
  <c r="O20" i="4" s="1"/>
  <c r="Q41" i="11"/>
  <c r="R20" i="4" s="1"/>
  <c r="H137" i="9"/>
  <c r="I57" i="4" s="1"/>
  <c r="I61" i="4" s="1"/>
  <c r="C10" i="2" s="1"/>
  <c r="G112" i="10"/>
  <c r="G113" i="10"/>
  <c r="F110" i="10"/>
  <c r="N124" i="10"/>
  <c r="N125" i="10"/>
  <c r="O53" i="4" s="1"/>
  <c r="O75" i="12"/>
  <c r="F77" i="12"/>
  <c r="L12" i="3" s="1"/>
  <c r="G25" i="8"/>
  <c r="L26" i="8"/>
  <c r="H30" i="8"/>
  <c r="L27" i="8"/>
  <c r="F38" i="11"/>
  <c r="G40" i="11"/>
  <c r="F40" i="11" s="1"/>
  <c r="Q53" i="11"/>
  <c r="R25" i="4" s="1"/>
  <c r="O88" i="12"/>
  <c r="K42" i="8"/>
  <c r="K47" i="8" s="1"/>
  <c r="F62" i="9"/>
  <c r="H77" i="9"/>
  <c r="I32" i="4" s="1"/>
  <c r="F98" i="10"/>
  <c r="M28" i="11"/>
  <c r="M29" i="11"/>
  <c r="N15" i="4" s="1"/>
  <c r="O53" i="11"/>
  <c r="P25" i="4" s="1"/>
  <c r="L53" i="11"/>
  <c r="J52" i="11"/>
  <c r="J53" i="11" s="1"/>
  <c r="O125" i="11"/>
  <c r="P55" i="4" s="1"/>
  <c r="J14" i="5"/>
  <c r="J16" i="5" s="1"/>
  <c r="I25" i="8"/>
  <c r="C27" i="8"/>
  <c r="L30" i="8"/>
  <c r="L42" i="8"/>
  <c r="L47" i="8" s="1"/>
  <c r="F38" i="9"/>
  <c r="F136" i="11"/>
  <c r="I77" i="12"/>
  <c r="K77" i="12"/>
  <c r="O76" i="12" s="1"/>
  <c r="K14" i="5"/>
  <c r="K16" i="5" s="1"/>
  <c r="C43" i="8"/>
  <c r="C48" i="8" s="1"/>
  <c r="H113" i="9"/>
  <c r="I47" i="4" s="1"/>
  <c r="I51" i="4" s="1"/>
  <c r="C7" i="2" s="1"/>
  <c r="G28" i="11"/>
  <c r="G29" i="11"/>
  <c r="J41" i="11"/>
  <c r="L65" i="12"/>
  <c r="W56" i="4"/>
  <c r="K14" i="2" s="1"/>
  <c r="L14" i="5"/>
  <c r="L16" i="5" s="1"/>
  <c r="G28" i="9"/>
  <c r="G29" i="9"/>
  <c r="F86" i="9"/>
  <c r="J101" i="10"/>
  <c r="I101" i="10"/>
  <c r="H101" i="11"/>
  <c r="I45" i="4" s="1"/>
  <c r="H100" i="11"/>
  <c r="F43" i="8"/>
  <c r="F48" i="8" s="1"/>
  <c r="H17" i="9"/>
  <c r="I7" i="4" s="1"/>
  <c r="H29" i="9"/>
  <c r="I12" i="4" s="1"/>
  <c r="H28" i="9"/>
  <c r="M64" i="9"/>
  <c r="M65" i="9"/>
  <c r="N27" i="4" s="1"/>
  <c r="N31" i="4" s="1"/>
  <c r="K112" i="9"/>
  <c r="K113" i="9" s="1"/>
  <c r="L47" i="4" s="1"/>
  <c r="L51" i="4" s="1"/>
  <c r="E7" i="2" s="1"/>
  <c r="H112" i="11"/>
  <c r="H113" i="11"/>
  <c r="I50" i="4" s="1"/>
  <c r="H64" i="12"/>
  <c r="H65" i="12" s="1"/>
  <c r="N11" i="3" s="1"/>
  <c r="AA11" i="4"/>
  <c r="W40" i="7"/>
  <c r="X40" i="7" s="1"/>
  <c r="Y40" i="7" s="1"/>
  <c r="G27" i="8"/>
  <c r="G26" i="8"/>
  <c r="G89" i="10"/>
  <c r="G88" i="10"/>
  <c r="G17" i="11"/>
  <c r="J29" i="11"/>
  <c r="K28" i="9"/>
  <c r="K29" i="9" s="1"/>
  <c r="L12" i="4" s="1"/>
  <c r="L16" i="4" s="1"/>
  <c r="E13" i="2" s="1"/>
  <c r="H88" i="10"/>
  <c r="H89" i="10" s="1"/>
  <c r="I38" i="4" s="1"/>
  <c r="N113" i="11"/>
  <c r="O50" i="4" s="1"/>
  <c r="O51" i="4" s="1"/>
  <c r="F7" i="2" s="1"/>
  <c r="Q113" i="11"/>
  <c r="R50" i="4" s="1"/>
  <c r="O113" i="11"/>
  <c r="P50" i="4" s="1"/>
  <c r="L113" i="11"/>
  <c r="J65" i="12"/>
  <c r="P11" i="3" s="1"/>
  <c r="G65" i="12"/>
  <c r="G137" i="9"/>
  <c r="K77" i="10"/>
  <c r="L33" i="4" s="1"/>
  <c r="G77" i="10"/>
  <c r="F112" i="11"/>
  <c r="H76" i="12"/>
  <c r="H77" i="12" s="1"/>
  <c r="N12" i="3" s="1"/>
  <c r="K125" i="12"/>
  <c r="O116" i="12" s="1"/>
  <c r="G76" i="9"/>
  <c r="F40" i="10"/>
  <c r="N76" i="10"/>
  <c r="F76" i="10" s="1"/>
  <c r="N77" i="10"/>
  <c r="O33" i="4" s="1"/>
  <c r="G124" i="10"/>
  <c r="F124" i="10" s="1"/>
  <c r="F14" i="11"/>
  <c r="H53" i="11"/>
  <c r="I25" i="4" s="1"/>
  <c r="N88" i="11"/>
  <c r="N89" i="11"/>
  <c r="O40" i="4" s="1"/>
  <c r="O38" i="12"/>
  <c r="F53" i="12"/>
  <c r="M17" i="9"/>
  <c r="N7" i="4" s="1"/>
  <c r="I125" i="10"/>
  <c r="G136" i="10"/>
  <c r="F136" i="10" s="1"/>
  <c r="K52" i="11"/>
  <c r="K53" i="11"/>
  <c r="L25" i="4" s="1"/>
  <c r="G29" i="12"/>
  <c r="I52" i="12"/>
  <c r="I53" i="12"/>
  <c r="Q41" i="9"/>
  <c r="R17" i="4" s="1"/>
  <c r="R21" i="4" s="1"/>
  <c r="H9" i="2" s="1"/>
  <c r="G64" i="9"/>
  <c r="M77" i="9"/>
  <c r="N32" i="4" s="1"/>
  <c r="O113" i="9"/>
  <c r="P47" i="4" s="1"/>
  <c r="G113" i="9"/>
  <c r="F52" i="10"/>
  <c r="O89" i="10"/>
  <c r="P38" i="4" s="1"/>
  <c r="M113" i="10"/>
  <c r="N48" i="4" s="1"/>
  <c r="M65" i="11"/>
  <c r="N30" i="4" s="1"/>
  <c r="I77" i="11"/>
  <c r="J137" i="11"/>
  <c r="F17" i="12"/>
  <c r="O15" i="12"/>
  <c r="J52" i="12"/>
  <c r="J53" i="12"/>
  <c r="G77" i="12"/>
  <c r="K101" i="12"/>
  <c r="O98" i="12" s="1"/>
  <c r="G112" i="12"/>
  <c r="G113" i="12" s="1"/>
  <c r="G17" i="9"/>
  <c r="N41" i="9"/>
  <c r="O17" i="4" s="1"/>
  <c r="O21" i="4" s="1"/>
  <c r="F9" i="2" s="1"/>
  <c r="N77" i="9"/>
  <c r="O32" i="4" s="1"/>
  <c r="K77" i="9"/>
  <c r="L32" i="4" s="1"/>
  <c r="J77" i="11"/>
  <c r="Q101" i="11"/>
  <c r="R45" i="4" s="1"/>
  <c r="G125" i="11"/>
  <c r="O137" i="11"/>
  <c r="P60" i="4" s="1"/>
  <c r="P61" i="4" s="1"/>
  <c r="G10" i="2" s="1"/>
  <c r="K137" i="11"/>
  <c r="L60" i="4" s="1"/>
  <c r="G16" i="12"/>
  <c r="G17" i="12" s="1"/>
  <c r="G28" i="12"/>
  <c r="O52" i="12"/>
  <c r="I65" i="12"/>
  <c r="F65" i="12"/>
  <c r="L11" i="3" s="1"/>
  <c r="H113" i="12"/>
  <c r="N15" i="3" s="1"/>
  <c r="J25" i="8"/>
  <c r="I65" i="9"/>
  <c r="J27" i="4" s="1"/>
  <c r="O77" i="9"/>
  <c r="P32" i="4" s="1"/>
  <c r="Q113" i="9"/>
  <c r="R47" i="4" s="1"/>
  <c r="R51" i="4" s="1"/>
  <c r="H7" i="2" s="1"/>
  <c r="O125" i="9"/>
  <c r="P52" i="4" s="1"/>
  <c r="H17" i="10"/>
  <c r="I8" i="4" s="1"/>
  <c r="F38" i="10"/>
  <c r="Q89" i="10"/>
  <c r="R38" i="4" s="1"/>
  <c r="L137" i="10"/>
  <c r="M137" i="10"/>
  <c r="N58" i="4" s="1"/>
  <c r="N61" i="4" s="1"/>
  <c r="N137" i="10"/>
  <c r="O58" i="4" s="1"/>
  <c r="O61" i="4" s="1"/>
  <c r="F10" i="2" s="1"/>
  <c r="Q29" i="11"/>
  <c r="R15" i="4" s="1"/>
  <c r="G41" i="11"/>
  <c r="G65" i="11"/>
  <c r="K77" i="11"/>
  <c r="L35" i="4" s="1"/>
  <c r="K101" i="11"/>
  <c r="L45" i="4" s="1"/>
  <c r="I113" i="11"/>
  <c r="H125" i="11"/>
  <c r="I55" i="4" s="1"/>
  <c r="H17" i="12"/>
  <c r="K40" i="12"/>
  <c r="K41" i="12"/>
  <c r="O32" i="12" s="1"/>
  <c r="J41" i="12"/>
  <c r="P9" i="3" s="1"/>
  <c r="L52" i="12"/>
  <c r="L53" i="12" s="1"/>
  <c r="O81" i="12"/>
  <c r="I113" i="12"/>
  <c r="O15" i="3" s="1"/>
  <c r="I17" i="9"/>
  <c r="J7" i="4" s="1"/>
  <c r="Q77" i="9"/>
  <c r="R32" i="4" s="1"/>
  <c r="Q53" i="10"/>
  <c r="R23" i="4" s="1"/>
  <c r="R26" i="4" s="1"/>
  <c r="H12" i="2" s="1"/>
  <c r="G53" i="10"/>
  <c r="N136" i="10"/>
  <c r="H41" i="11"/>
  <c r="I20" i="4" s="1"/>
  <c r="H65" i="11"/>
  <c r="I30" i="4" s="1"/>
  <c r="M77" i="11"/>
  <c r="N35" i="4" s="1"/>
  <c r="M101" i="11"/>
  <c r="N45" i="4" s="1"/>
  <c r="F110" i="11"/>
  <c r="I125" i="11"/>
  <c r="L137" i="11"/>
  <c r="N137" i="11"/>
  <c r="O60" i="4" s="1"/>
  <c r="I17" i="12"/>
  <c r="K28" i="12"/>
  <c r="L41" i="12"/>
  <c r="O55" i="12"/>
  <c r="K89" i="12"/>
  <c r="K17" i="9"/>
  <c r="L7" i="4" s="1"/>
  <c r="L11" i="4" s="1"/>
  <c r="E11" i="2" s="1"/>
  <c r="Q29" i="9"/>
  <c r="R12" i="4" s="1"/>
  <c r="H53" i="9"/>
  <c r="I22" i="4" s="1"/>
  <c r="I26" i="4" s="1"/>
  <c r="C12" i="2" s="1"/>
  <c r="H101" i="9"/>
  <c r="I42" i="4" s="1"/>
  <c r="H124" i="9"/>
  <c r="F124" i="9" s="1"/>
  <c r="H125" i="9"/>
  <c r="I52" i="4" s="1"/>
  <c r="I56" i="4" s="1"/>
  <c r="C14" i="2" s="1"/>
  <c r="F134" i="9"/>
  <c r="N53" i="10"/>
  <c r="O23" i="4" s="1"/>
  <c r="O101" i="10"/>
  <c r="P43" i="4" s="1"/>
  <c r="P46" i="4" s="1"/>
  <c r="G8" i="2" s="1"/>
  <c r="M100" i="10"/>
  <c r="M101" i="10" s="1"/>
  <c r="N43" i="4" s="1"/>
  <c r="F26" i="11"/>
  <c r="I65" i="11"/>
  <c r="N77" i="11"/>
  <c r="O35" i="4" s="1"/>
  <c r="J125" i="11"/>
  <c r="M137" i="11"/>
  <c r="N60" i="4" s="1"/>
  <c r="K29" i="12"/>
  <c r="O56" i="12"/>
  <c r="J77" i="12"/>
  <c r="P12" i="3" s="1"/>
  <c r="G101" i="12"/>
  <c r="K112" i="12"/>
  <c r="I29" i="9"/>
  <c r="J12" i="4" s="1"/>
  <c r="F74" i="9"/>
  <c r="I124" i="9"/>
  <c r="I125" i="9" s="1"/>
  <c r="J52" i="4" s="1"/>
  <c r="K65" i="10"/>
  <c r="L28" i="4" s="1"/>
  <c r="L31" i="4" s="1"/>
  <c r="E16" i="2" s="1"/>
  <c r="K64" i="10"/>
  <c r="N100" i="10"/>
  <c r="N101" i="10" s="1"/>
  <c r="O43" i="4" s="1"/>
  <c r="H29" i="11"/>
  <c r="I15" i="4" s="1"/>
  <c r="O41" i="11"/>
  <c r="P20" i="4" s="1"/>
  <c r="G53" i="11"/>
  <c r="Q77" i="11"/>
  <c r="R35" i="4" s="1"/>
  <c r="K124" i="11"/>
  <c r="K125" i="11" s="1"/>
  <c r="L55" i="4" s="1"/>
  <c r="O13" i="12"/>
  <c r="K17" i="12"/>
  <c r="O8" i="12" s="1"/>
  <c r="K16" i="12"/>
  <c r="L17" i="12"/>
  <c r="O43" i="12"/>
  <c r="H100" i="12"/>
  <c r="H101" i="12" s="1"/>
  <c r="N14" i="3" s="1"/>
  <c r="L112" i="12"/>
  <c r="L113" i="12"/>
  <c r="O65" i="9"/>
  <c r="P27" i="4" s="1"/>
  <c r="P31" i="4" s="1"/>
  <c r="G16" i="2" s="1"/>
  <c r="K101" i="9"/>
  <c r="L42" i="4" s="1"/>
  <c r="L46" i="4" s="1"/>
  <c r="E8" i="2" s="1"/>
  <c r="K124" i="9"/>
  <c r="K125" i="9" s="1"/>
  <c r="L52" i="4" s="1"/>
  <c r="Q65" i="10"/>
  <c r="R28" i="4" s="1"/>
  <c r="R31" i="4" s="1"/>
  <c r="H16" i="2" s="1"/>
  <c r="O65" i="10"/>
  <c r="P28" i="4" s="1"/>
  <c r="N65" i="10"/>
  <c r="O28" i="4" s="1"/>
  <c r="M65" i="10"/>
  <c r="N28" i="4" s="1"/>
  <c r="L65" i="10"/>
  <c r="J65" i="10"/>
  <c r="I65" i="10"/>
  <c r="K41" i="11"/>
  <c r="L20" i="4" s="1"/>
  <c r="L21" i="4" s="1"/>
  <c r="E9" i="2" s="1"/>
  <c r="G89" i="11"/>
  <c r="J101" i="11"/>
  <c r="L125" i="11"/>
  <c r="F124" i="11"/>
  <c r="F134" i="11"/>
  <c r="K65" i="12"/>
  <c r="O62" i="12" s="1"/>
  <c r="F88" i="12"/>
  <c r="F89" i="12" s="1"/>
  <c r="L13" i="3" s="1"/>
  <c r="I101" i="12"/>
  <c r="O14" i="3" s="1"/>
  <c r="I100" i="12"/>
  <c r="J101" i="12"/>
  <c r="P14" i="3" s="1"/>
  <c r="D26" i="8"/>
  <c r="I27" i="8"/>
  <c r="O17" i="9"/>
  <c r="P7" i="4" s="1"/>
  <c r="P11" i="4" s="1"/>
  <c r="G11" i="2" s="1"/>
  <c r="M29" i="9"/>
  <c r="N12" i="4" s="1"/>
  <c r="N16" i="4" s="1"/>
  <c r="M52" i="9"/>
  <c r="M53" i="9" s="1"/>
  <c r="N22" i="4" s="1"/>
  <c r="N26" i="4" s="1"/>
  <c r="M101" i="9"/>
  <c r="N42" i="4" s="1"/>
  <c r="M100" i="9"/>
  <c r="F110" i="9"/>
  <c r="Q17" i="10"/>
  <c r="R8" i="4" s="1"/>
  <c r="R11" i="4" s="1"/>
  <c r="H11" i="2" s="1"/>
  <c r="F50" i="10"/>
  <c r="F86" i="10"/>
  <c r="M88" i="10"/>
  <c r="M89" i="10" s="1"/>
  <c r="N38" i="4" s="1"/>
  <c r="M41" i="11"/>
  <c r="N20" i="4" s="1"/>
  <c r="N21" i="4" s="1"/>
  <c r="F64" i="11"/>
  <c r="F88" i="11"/>
  <c r="N125" i="11"/>
  <c r="O55" i="4" s="1"/>
  <c r="G88" i="12"/>
  <c r="G89" i="12" s="1"/>
  <c r="G41" i="9"/>
  <c r="N52" i="9"/>
  <c r="N53" i="9" s="1"/>
  <c r="O22" i="4" s="1"/>
  <c r="O26" i="4" s="1"/>
  <c r="F12" i="2" s="1"/>
  <c r="I89" i="9"/>
  <c r="J37" i="4" s="1"/>
  <c r="N125" i="9"/>
  <c r="O52" i="4" s="1"/>
  <c r="J113" i="10"/>
  <c r="N65" i="11"/>
  <c r="O30" i="4" s="1"/>
  <c r="L77" i="11"/>
  <c r="F98" i="11"/>
  <c r="G100" i="11"/>
  <c r="F100" i="11" s="1"/>
  <c r="Q125" i="11"/>
  <c r="R55" i="4" s="1"/>
  <c r="R56" i="4" s="1"/>
  <c r="H14" i="2" s="1"/>
  <c r="K100" i="12"/>
  <c r="H40" i="9"/>
  <c r="H41" i="9" s="1"/>
  <c r="I17" i="4" s="1"/>
  <c r="I21" i="4" s="1"/>
  <c r="C9" i="2" s="1"/>
  <c r="I52" i="9"/>
  <c r="F52" i="9" s="1"/>
  <c r="N64" i="9"/>
  <c r="N65" i="9" s="1"/>
  <c r="O27" i="4" s="1"/>
  <c r="O31" i="4" s="1"/>
  <c r="F16" i="2" s="1"/>
  <c r="H89" i="9"/>
  <c r="I37" i="4" s="1"/>
  <c r="G125" i="9"/>
  <c r="H136" i="9"/>
  <c r="F136" i="9" s="1"/>
  <c r="O17" i="10"/>
  <c r="P8" i="4" s="1"/>
  <c r="H41" i="10"/>
  <c r="I18" i="4" s="1"/>
  <c r="G64" i="10"/>
  <c r="G65" i="10" s="1"/>
  <c r="I89" i="10"/>
  <c r="K137" i="10"/>
  <c r="L58" i="4" s="1"/>
  <c r="I89" i="11"/>
  <c r="O101" i="11"/>
  <c r="P45" i="4" s="1"/>
  <c r="M124" i="11"/>
  <c r="I136" i="12"/>
  <c r="I137" i="12"/>
  <c r="O17" i="3" s="1"/>
  <c r="G16" i="9"/>
  <c r="F16" i="9" s="1"/>
  <c r="N100" i="9"/>
  <c r="N101" i="9" s="1"/>
  <c r="O42" i="4" s="1"/>
  <c r="O46" i="4" s="1"/>
  <c r="F8" i="2" s="1"/>
  <c r="I41" i="10"/>
  <c r="L77" i="10"/>
  <c r="O77" i="10"/>
  <c r="P33" i="4" s="1"/>
  <c r="J89" i="10"/>
  <c r="M112" i="10"/>
  <c r="O125" i="10"/>
  <c r="P53" i="4" s="1"/>
  <c r="K29" i="11"/>
  <c r="L15" i="4" s="1"/>
  <c r="H40" i="11"/>
  <c r="M76" i="11"/>
  <c r="F76" i="11" s="1"/>
  <c r="J89" i="11"/>
  <c r="M125" i="11"/>
  <c r="N55" i="4" s="1"/>
  <c r="F101" i="12"/>
  <c r="L14" i="3" s="1"/>
  <c r="N29" i="10"/>
  <c r="O13" i="4" s="1"/>
  <c r="O16" i="4" s="1"/>
  <c r="F13" i="2" s="1"/>
  <c r="J41" i="10"/>
  <c r="K89" i="10"/>
  <c r="L38" i="4" s="1"/>
  <c r="M16" i="11"/>
  <c r="M17" i="11" s="1"/>
  <c r="N10" i="4" s="1"/>
  <c r="K89" i="11"/>
  <c r="L40" i="4" s="1"/>
  <c r="G113" i="11"/>
  <c r="K53" i="12"/>
  <c r="O44" i="12" s="1"/>
  <c r="M16" i="10"/>
  <c r="M17" i="10" s="1"/>
  <c r="N8" i="4" s="1"/>
  <c r="G28" i="10"/>
  <c r="F28" i="10" s="1"/>
  <c r="I53" i="10"/>
  <c r="N89" i="10"/>
  <c r="O38" i="4" s="1"/>
  <c r="K101" i="10"/>
  <c r="L43" i="4" s="1"/>
  <c r="K124" i="10"/>
  <c r="K125" i="10" s="1"/>
  <c r="L53" i="4" s="1"/>
  <c r="Q137" i="10"/>
  <c r="R58" i="4" s="1"/>
  <c r="R61" i="4" s="1"/>
  <c r="H10" i="2" s="1"/>
  <c r="F62" i="11"/>
  <c r="G77" i="11"/>
  <c r="J113" i="11"/>
  <c r="J28" i="12"/>
  <c r="P7" i="3" s="1"/>
  <c r="I40" i="12"/>
  <c r="I41" i="12" s="1"/>
  <c r="O9" i="3" s="1"/>
  <c r="G52" i="12"/>
  <c r="G53" i="12" s="1"/>
  <c r="F100" i="12"/>
  <c r="O41" i="10"/>
  <c r="P18" i="4" s="1"/>
  <c r="P21" i="4" s="1"/>
  <c r="G9" i="2" s="1"/>
  <c r="J53" i="10"/>
  <c r="L101" i="10"/>
  <c r="H17" i="11"/>
  <c r="I10" i="4" s="1"/>
  <c r="N29" i="11"/>
  <c r="O15" i="4" s="1"/>
  <c r="H77" i="11"/>
  <c r="I35" i="4" s="1"/>
  <c r="K113" i="11"/>
  <c r="L50" i="4" s="1"/>
  <c r="G137" i="11"/>
  <c r="G100" i="12"/>
  <c r="M112" i="9"/>
  <c r="M113" i="9" s="1"/>
  <c r="N47" i="4" s="1"/>
  <c r="N51" i="4" s="1"/>
  <c r="K53" i="10"/>
  <c r="L23" i="4" s="1"/>
  <c r="H113" i="10"/>
  <c r="I48" i="4" s="1"/>
  <c r="I17" i="11"/>
  <c r="O29" i="11"/>
  <c r="P15" i="4" s="1"/>
  <c r="M53" i="11"/>
  <c r="N25" i="4" s="1"/>
  <c r="O77" i="11"/>
  <c r="P35" i="4" s="1"/>
  <c r="H137" i="11"/>
  <c r="I60" i="4" s="1"/>
  <c r="L100" i="12"/>
  <c r="L101" i="12" s="1"/>
  <c r="F125" i="12"/>
  <c r="L16" i="3" s="1"/>
  <c r="F50" i="9"/>
  <c r="I100" i="9"/>
  <c r="F100" i="9" s="1"/>
  <c r="G17" i="10"/>
  <c r="L53" i="10"/>
  <c r="I113" i="10"/>
  <c r="J17" i="11"/>
  <c r="G52" i="11"/>
  <c r="N53" i="11"/>
  <c r="O25" i="4" s="1"/>
  <c r="M113" i="11"/>
  <c r="N50" i="4" s="1"/>
  <c r="O49" i="12"/>
  <c r="M53" i="10"/>
  <c r="N23" i="4" s="1"/>
  <c r="H100" i="10"/>
  <c r="K17" i="11"/>
  <c r="L10" i="4" s="1"/>
  <c r="J113" i="12"/>
  <c r="P15" i="3" s="1"/>
  <c r="J137" i="12"/>
  <c r="P17" i="3" s="1"/>
  <c r="I137" i="9"/>
  <c r="J57" i="4" s="1"/>
  <c r="I17" i="10"/>
  <c r="Q101" i="10"/>
  <c r="R43" i="4" s="1"/>
  <c r="R46" i="4" s="1"/>
  <c r="H8" i="2" s="1"/>
  <c r="I101" i="11"/>
  <c r="K137" i="12"/>
  <c r="O126" i="12" s="1"/>
  <c r="O53" i="10"/>
  <c r="P23" i="4" s="1"/>
  <c r="P26" i="4" s="1"/>
  <c r="G12" i="2" s="1"/>
  <c r="J124" i="12"/>
  <c r="J125" i="12" s="1"/>
  <c r="P16" i="3" s="1"/>
  <c r="G124" i="12"/>
  <c r="G125" i="12" s="1"/>
  <c r="L136" i="12"/>
  <c r="L137" i="12" s="1"/>
  <c r="J17" i="9"/>
  <c r="F26" i="9"/>
  <c r="G53" i="9"/>
  <c r="I76" i="9"/>
  <c r="I77" i="9" s="1"/>
  <c r="J32" i="4" s="1"/>
  <c r="I77" i="10"/>
  <c r="K113" i="10"/>
  <c r="L48" i="4" s="1"/>
  <c r="J125" i="10"/>
  <c r="N17" i="11"/>
  <c r="O10" i="4" s="1"/>
  <c r="O11" i="4" s="1"/>
  <c r="F11" i="2" s="1"/>
  <c r="H29" i="12"/>
  <c r="N8" i="3" s="1"/>
  <c r="O94" i="12"/>
  <c r="K124" i="12"/>
  <c r="O121" i="12"/>
  <c r="L17" i="9"/>
  <c r="J77" i="10"/>
  <c r="O113" i="10"/>
  <c r="P48" i="4" s="1"/>
  <c r="H137" i="10"/>
  <c r="I58" i="4" s="1"/>
  <c r="O17" i="11"/>
  <c r="P10" i="4" s="1"/>
  <c r="L41" i="11"/>
  <c r="J65" i="11"/>
  <c r="L101" i="11"/>
  <c r="J17" i="12"/>
  <c r="F136" i="12"/>
  <c r="F137" i="12" s="1"/>
  <c r="L17" i="3" s="1"/>
  <c r="I53" i="9"/>
  <c r="J22" i="4" s="1"/>
  <c r="I113" i="9"/>
  <c r="J47" i="4" s="1"/>
  <c r="H64" i="10"/>
  <c r="H65" i="10" s="1"/>
  <c r="I28" i="4" s="1"/>
  <c r="I31" i="4" s="1"/>
  <c r="C16" i="2" s="1"/>
  <c r="I137" i="10"/>
  <c r="F113" i="12"/>
  <c r="L15" i="3" s="1"/>
  <c r="H125" i="12"/>
  <c r="N16" i="3" s="1"/>
  <c r="G136" i="12"/>
  <c r="G137" i="12"/>
  <c r="C95" i="14"/>
  <c r="H91" i="8" l="1"/>
  <c r="H107" i="8" s="1"/>
  <c r="E90" i="8"/>
  <c r="E101" i="8" s="1"/>
  <c r="F100" i="10"/>
  <c r="H101" i="10"/>
  <c r="I43" i="4" s="1"/>
  <c r="F16" i="11"/>
  <c r="O14" i="12"/>
  <c r="N41" i="4"/>
  <c r="E33" i="8"/>
  <c r="D86" i="8"/>
  <c r="K64" i="8"/>
  <c r="K84" i="8" s="1"/>
  <c r="K74" i="8"/>
  <c r="K54" i="8"/>
  <c r="L36" i="4"/>
  <c r="E17" i="2" s="1"/>
  <c r="O134" i="12"/>
  <c r="D31" i="8"/>
  <c r="D43" i="8"/>
  <c r="D48" i="8" s="1"/>
  <c r="I46" i="4"/>
  <c r="C8" i="2" s="1"/>
  <c r="O96" i="12"/>
  <c r="O67" i="12"/>
  <c r="O36" i="4"/>
  <c r="F17" i="2" s="1"/>
  <c r="U49" i="4"/>
  <c r="T49" i="4" s="1"/>
  <c r="S15" i="3"/>
  <c r="E42" i="8"/>
  <c r="E47" i="8" s="1"/>
  <c r="O16" i="3"/>
  <c r="G101" i="11"/>
  <c r="K43" i="8"/>
  <c r="K48" i="8" s="1"/>
  <c r="U19" i="4"/>
  <c r="T19" i="4" s="1"/>
  <c r="S9" i="3"/>
  <c r="I32" i="8"/>
  <c r="I44" i="8"/>
  <c r="I49" i="8" s="1"/>
  <c r="O130" i="12"/>
  <c r="O129" i="12"/>
  <c r="F88" i="10"/>
  <c r="U54" i="4"/>
  <c r="T54" i="4" s="1"/>
  <c r="S16" i="3"/>
  <c r="J43" i="8"/>
  <c r="J48" i="8" s="1"/>
  <c r="F88" i="9"/>
  <c r="F64" i="10"/>
  <c r="G137" i="10"/>
  <c r="O24" i="12"/>
  <c r="O23" i="12"/>
  <c r="O20" i="12"/>
  <c r="O27" i="12"/>
  <c r="O18" i="12"/>
  <c r="O19" i="12"/>
  <c r="O26" i="12"/>
  <c r="Q8" i="3"/>
  <c r="R16" i="4"/>
  <c r="H13" i="2" s="1"/>
  <c r="O54" i="12"/>
  <c r="O92" i="12"/>
  <c r="O91" i="12"/>
  <c r="G44" i="4"/>
  <c r="I14" i="3" s="1"/>
  <c r="F112" i="9"/>
  <c r="O70" i="12"/>
  <c r="O69" i="12"/>
  <c r="O73" i="12"/>
  <c r="O68" i="12"/>
  <c r="O72" i="12"/>
  <c r="O74" i="12"/>
  <c r="O71" i="12"/>
  <c r="Q12" i="3"/>
  <c r="L41" i="4"/>
  <c r="E15" i="2" s="1"/>
  <c r="O82" i="12"/>
  <c r="O85" i="12"/>
  <c r="O80" i="12"/>
  <c r="O84" i="12"/>
  <c r="O83" i="12"/>
  <c r="O86" i="12"/>
  <c r="Q13" i="3"/>
  <c r="O21" i="12"/>
  <c r="F28" i="9"/>
  <c r="F112" i="10"/>
  <c r="O56" i="4"/>
  <c r="F14" i="2" s="1"/>
  <c r="O37" i="12"/>
  <c r="N11" i="4"/>
  <c r="G31" i="8"/>
  <c r="B85" i="8"/>
  <c r="O41" i="4"/>
  <c r="F15" i="2" s="1"/>
  <c r="O8" i="3"/>
  <c r="O112" i="12"/>
  <c r="O128" i="12"/>
  <c r="O132" i="12"/>
  <c r="O131" i="12"/>
  <c r="O133" i="12"/>
  <c r="Q17" i="3"/>
  <c r="O135" i="12"/>
  <c r="I41" i="4"/>
  <c r="C15" i="2" s="1"/>
  <c r="O77" i="14"/>
  <c r="O74" i="14"/>
  <c r="O75" i="14"/>
  <c r="F52" i="11"/>
  <c r="O16" i="12"/>
  <c r="O25" i="12"/>
  <c r="F16" i="10"/>
  <c r="O40" i="12"/>
  <c r="O79" i="12"/>
  <c r="P51" i="4"/>
  <c r="G7" i="2" s="1"/>
  <c r="G125" i="10"/>
  <c r="I101" i="9"/>
  <c r="J42" i="4" s="1"/>
  <c r="O63" i="12"/>
  <c r="H42" i="8"/>
  <c r="H47" i="8" s="1"/>
  <c r="O64" i="12"/>
  <c r="G39" i="4"/>
  <c r="I13" i="3" s="1"/>
  <c r="F30" i="8"/>
  <c r="O12" i="12"/>
  <c r="O11" i="12"/>
  <c r="O10" i="12"/>
  <c r="O9" i="12"/>
  <c r="O6" i="12"/>
  <c r="O7" i="12"/>
  <c r="O28" i="12"/>
  <c r="Q7" i="3"/>
  <c r="J29" i="12"/>
  <c r="P8" i="3" s="1"/>
  <c r="P56" i="4"/>
  <c r="G14" i="2" s="1"/>
  <c r="O66" i="12"/>
  <c r="N36" i="4"/>
  <c r="G32" i="8"/>
  <c r="G44" i="8"/>
  <c r="G49" i="8" s="1"/>
  <c r="I16" i="4"/>
  <c r="C13" i="2" s="1"/>
  <c r="L31" i="8"/>
  <c r="L43" i="8" s="1"/>
  <c r="L48" i="8" s="1"/>
  <c r="U14" i="4"/>
  <c r="T14" i="4" s="1"/>
  <c r="S8" i="3"/>
  <c r="K56" i="8"/>
  <c r="K86" i="8" s="1"/>
  <c r="K76" i="8"/>
  <c r="K66" i="8"/>
  <c r="E2" i="4"/>
  <c r="O117" i="12"/>
  <c r="O123" i="12"/>
  <c r="O115" i="12"/>
  <c r="Q16" i="3"/>
  <c r="O119" i="12"/>
  <c r="O124" i="12"/>
  <c r="F64" i="9"/>
  <c r="G65" i="9"/>
  <c r="O120" i="12"/>
  <c r="F76" i="9"/>
  <c r="I11" i="4"/>
  <c r="C11" i="2" s="1"/>
  <c r="C30" i="8"/>
  <c r="C42" i="8"/>
  <c r="C47" i="8" s="1"/>
  <c r="B33" i="8"/>
  <c r="B34" i="8" s="1"/>
  <c r="O122" i="12"/>
  <c r="C75" i="8"/>
  <c r="C65" i="8"/>
  <c r="C85" i="8" s="1"/>
  <c r="C55" i="8"/>
  <c r="O95" i="12"/>
  <c r="O93" i="12"/>
  <c r="O99" i="12"/>
  <c r="Q14" i="3"/>
  <c r="L32" i="8"/>
  <c r="N46" i="4"/>
  <c r="O97" i="12"/>
  <c r="O136" i="12"/>
  <c r="G77" i="9"/>
  <c r="E106" i="8"/>
  <c r="F55" i="8"/>
  <c r="F65" i="8"/>
  <c r="F85" i="8"/>
  <c r="F75" i="8"/>
  <c r="L74" i="8"/>
  <c r="L54" i="8"/>
  <c r="L64" i="8"/>
  <c r="G30" i="8"/>
  <c r="N56" i="4"/>
  <c r="E66" i="8"/>
  <c r="E56" i="8"/>
  <c r="E86" i="8" s="1"/>
  <c r="E76" i="8"/>
  <c r="I31" i="8"/>
  <c r="B42" i="8"/>
  <c r="B47" i="8" s="1"/>
  <c r="F56" i="8"/>
  <c r="F86" i="8" s="1"/>
  <c r="F66" i="8"/>
  <c r="F76" i="8"/>
  <c r="P41" i="4"/>
  <c r="G15" i="2" s="1"/>
  <c r="F13" i="5"/>
  <c r="F14" i="5" s="1"/>
  <c r="F16" i="5" s="1"/>
  <c r="E11" i="6"/>
  <c r="E13" i="5" s="1"/>
  <c r="E14" i="5" s="1"/>
  <c r="J30" i="8"/>
  <c r="J42" i="8"/>
  <c r="J47" i="8" s="1"/>
  <c r="I30" i="8"/>
  <c r="I42" i="8" s="1"/>
  <c r="I47" i="8" s="1"/>
  <c r="O100" i="12"/>
  <c r="O59" i="12"/>
  <c r="O57" i="12"/>
  <c r="Q11" i="3"/>
  <c r="O60" i="12"/>
  <c r="O58" i="12"/>
  <c r="O61" i="12"/>
  <c r="O127" i="12"/>
  <c r="O118" i="12"/>
  <c r="G29" i="10"/>
  <c r="O114" i="12"/>
  <c r="R36" i="4"/>
  <c r="H17" i="2" s="1"/>
  <c r="P36" i="4"/>
  <c r="G17" i="2" s="1"/>
  <c r="O90" i="12"/>
  <c r="F28" i="11"/>
  <c r="I36" i="4"/>
  <c r="C17" i="2" s="1"/>
  <c r="H43" i="8"/>
  <c r="H48" i="8" s="1"/>
  <c r="H31" i="8"/>
  <c r="H33" i="8" s="1"/>
  <c r="H34" i="8" s="1"/>
  <c r="B44" i="8"/>
  <c r="B49" i="8" s="1"/>
  <c r="J56" i="8"/>
  <c r="J66" i="8"/>
  <c r="J86" i="8" s="1"/>
  <c r="J76" i="8"/>
  <c r="O36" i="12"/>
  <c r="O34" i="12"/>
  <c r="O39" i="12"/>
  <c r="O30" i="12"/>
  <c r="O31" i="12"/>
  <c r="Q9" i="3"/>
  <c r="U59" i="4"/>
  <c r="T59" i="4" s="1"/>
  <c r="S17" i="3"/>
  <c r="L26" i="4"/>
  <c r="E12" i="2" s="1"/>
  <c r="O47" i="12"/>
  <c r="O46" i="12"/>
  <c r="O45" i="12"/>
  <c r="O50" i="12"/>
  <c r="O42" i="12"/>
  <c r="O48" i="12"/>
  <c r="O51" i="12"/>
  <c r="O87" i="12"/>
  <c r="L56" i="4"/>
  <c r="E14" i="2" s="1"/>
  <c r="K113" i="12"/>
  <c r="O78" i="12"/>
  <c r="O33" i="12"/>
  <c r="C32" i="8"/>
  <c r="C44" i="8"/>
  <c r="C49" i="8" s="1"/>
  <c r="D30" i="8"/>
  <c r="D42" i="8"/>
  <c r="D47" i="8" s="1"/>
  <c r="Y21" i="7"/>
  <c r="G11" i="6"/>
  <c r="G13" i="5" s="1"/>
  <c r="G14" i="5" s="1"/>
  <c r="G16" i="5" s="1"/>
  <c r="C90" i="8" l="1"/>
  <c r="C101" i="8"/>
  <c r="K91" i="8"/>
  <c r="K102" i="8"/>
  <c r="K89" i="8"/>
  <c r="F91" i="8"/>
  <c r="F107" i="8" s="1"/>
  <c r="J91" i="8"/>
  <c r="J102" i="8"/>
  <c r="E91" i="8"/>
  <c r="E102" i="8"/>
  <c r="L75" i="8"/>
  <c r="L55" i="8"/>
  <c r="L65" i="8"/>
  <c r="I64" i="8"/>
  <c r="I74" i="8"/>
  <c r="I54" i="8"/>
  <c r="U34" i="4"/>
  <c r="T34" i="4" s="1"/>
  <c r="S12" i="3"/>
  <c r="G14" i="4"/>
  <c r="I8" i="3" s="1"/>
  <c r="B74" i="8"/>
  <c r="B64" i="8"/>
  <c r="B67" i="8" s="1"/>
  <c r="B68" i="8" s="1"/>
  <c r="U10" i="4" s="1"/>
  <c r="B54" i="8"/>
  <c r="B84" i="8" s="1"/>
  <c r="G19" i="4"/>
  <c r="I9" i="3" s="1"/>
  <c r="I43" i="8"/>
  <c r="I48" i="8" s="1"/>
  <c r="K65" i="8"/>
  <c r="K75" i="8"/>
  <c r="K55" i="8"/>
  <c r="K85" i="8" s="1"/>
  <c r="F90" i="8"/>
  <c r="F106" i="8" s="1"/>
  <c r="F101" i="8"/>
  <c r="I33" i="8"/>
  <c r="I34" i="8" s="1"/>
  <c r="E109" i="8"/>
  <c r="E114" i="8"/>
  <c r="O11" i="3"/>
  <c r="O12" i="3"/>
  <c r="E64" i="8"/>
  <c r="E67" i="8" s="1"/>
  <c r="E68" i="8" s="1"/>
  <c r="E54" i="8"/>
  <c r="E84" i="8"/>
  <c r="E74" i="8"/>
  <c r="C84" i="8"/>
  <c r="C74" i="8"/>
  <c r="C54" i="8"/>
  <c r="C64" i="8"/>
  <c r="C67" i="8" s="1"/>
  <c r="C68" i="8" s="1"/>
  <c r="U15" i="4" s="1"/>
  <c r="F33" i="8"/>
  <c r="F34" i="8" s="1"/>
  <c r="G49" i="4"/>
  <c r="I15" i="3" s="1"/>
  <c r="D74" i="8"/>
  <c r="D54" i="8"/>
  <c r="D57" i="8" s="1"/>
  <c r="D58" i="8" s="1"/>
  <c r="D64" i="8"/>
  <c r="D67" i="8" s="1"/>
  <c r="D68" i="8" s="1"/>
  <c r="U20" i="4" s="1"/>
  <c r="J33" i="8"/>
  <c r="J34" i="8" s="1"/>
  <c r="C66" i="8"/>
  <c r="C56" i="8"/>
  <c r="C76" i="8"/>
  <c r="J107" i="8"/>
  <c r="E16" i="5"/>
  <c r="O10" i="3"/>
  <c r="G33" i="8"/>
  <c r="G34" i="8" s="1"/>
  <c r="C33" i="8"/>
  <c r="C34" i="8" s="1"/>
  <c r="F42" i="8"/>
  <c r="F47" i="8" s="1"/>
  <c r="B56" i="8"/>
  <c r="B76" i="8"/>
  <c r="B86" i="8" s="1"/>
  <c r="B66" i="8"/>
  <c r="U29" i="4"/>
  <c r="T29" i="4" s="1"/>
  <c r="S11" i="3"/>
  <c r="G42" i="8"/>
  <c r="G47" i="8" s="1"/>
  <c r="G76" i="8"/>
  <c r="G66" i="8"/>
  <c r="G56" i="8"/>
  <c r="G86" i="8" s="1"/>
  <c r="B90" i="8"/>
  <c r="B106" i="8" s="1"/>
  <c r="D91" i="8"/>
  <c r="D107" i="8" s="1"/>
  <c r="E107" i="8"/>
  <c r="J65" i="8"/>
  <c r="J75" i="8"/>
  <c r="J55" i="8"/>
  <c r="J64" i="8"/>
  <c r="J67" i="8" s="1"/>
  <c r="J68" i="8" s="1"/>
  <c r="U50" i="4" s="1"/>
  <c r="J54" i="8"/>
  <c r="J74" i="8"/>
  <c r="L44" i="8"/>
  <c r="L49" i="8" s="1"/>
  <c r="E34" i="8"/>
  <c r="E3" i="4"/>
  <c r="G59" i="4"/>
  <c r="I17" i="3" s="1"/>
  <c r="H75" i="8"/>
  <c r="H55" i="8"/>
  <c r="H65" i="8"/>
  <c r="P133" i="10"/>
  <c r="P97" i="10"/>
  <c r="P61" i="10"/>
  <c r="P25" i="10"/>
  <c r="P49" i="10"/>
  <c r="P37" i="10"/>
  <c r="P85" i="10"/>
  <c r="P13" i="10"/>
  <c r="P121" i="10"/>
  <c r="P109" i="10"/>
  <c r="P73" i="10"/>
  <c r="E75" i="14"/>
  <c r="G54" i="4"/>
  <c r="I16" i="3" s="1"/>
  <c r="D33" i="8"/>
  <c r="D34" i="8" s="1"/>
  <c r="L84" i="8"/>
  <c r="P97" i="9"/>
  <c r="P61" i="9"/>
  <c r="P121" i="9"/>
  <c r="P25" i="9"/>
  <c r="P85" i="9"/>
  <c r="P73" i="9"/>
  <c r="P13" i="9"/>
  <c r="P133" i="9"/>
  <c r="P109" i="9"/>
  <c r="P37" i="9"/>
  <c r="P49" i="9"/>
  <c r="E74" i="14"/>
  <c r="G43" i="8"/>
  <c r="G48" i="8" s="1"/>
  <c r="I76" i="8"/>
  <c r="I56" i="8"/>
  <c r="I86" i="8" s="1"/>
  <c r="I66" i="8"/>
  <c r="D75" i="8"/>
  <c r="D65" i="8"/>
  <c r="D55" i="8"/>
  <c r="D85" i="8" s="1"/>
  <c r="K67" i="8"/>
  <c r="K68" i="8" s="1"/>
  <c r="U55" i="4" s="1"/>
  <c r="O106" i="12"/>
  <c r="O107" i="12"/>
  <c r="O102" i="12"/>
  <c r="Q15" i="3"/>
  <c r="O108" i="12"/>
  <c r="O111" i="12"/>
  <c r="O110" i="12"/>
  <c r="O105" i="12"/>
  <c r="O103" i="12"/>
  <c r="O109" i="12"/>
  <c r="O104" i="12"/>
  <c r="L33" i="8"/>
  <c r="L34" i="8" s="1"/>
  <c r="K107" i="8"/>
  <c r="P133" i="11"/>
  <c r="P73" i="11"/>
  <c r="P13" i="11"/>
  <c r="P109" i="11"/>
  <c r="P49" i="11"/>
  <c r="P25" i="11"/>
  <c r="P85" i="11"/>
  <c r="P121" i="11"/>
  <c r="P61" i="11"/>
  <c r="P37" i="11"/>
  <c r="P97" i="11"/>
  <c r="E77" i="14"/>
  <c r="H110" i="8"/>
  <c r="H115" i="8"/>
  <c r="C106" i="8"/>
  <c r="H64" i="8"/>
  <c r="H54" i="8"/>
  <c r="H84" i="8" s="1"/>
  <c r="H74" i="8"/>
  <c r="H102" i="8"/>
  <c r="I91" i="8" l="1"/>
  <c r="I102" i="8" s="1"/>
  <c r="K90" i="8"/>
  <c r="K101" i="8"/>
  <c r="F109" i="8"/>
  <c r="F114" i="8"/>
  <c r="B89" i="8"/>
  <c r="L57" i="8"/>
  <c r="L58" i="8" s="1"/>
  <c r="D90" i="8"/>
  <c r="D106" i="8" s="1"/>
  <c r="H89" i="8"/>
  <c r="H100" i="8" s="1"/>
  <c r="L67" i="8"/>
  <c r="L68" i="8" s="1"/>
  <c r="U60" i="4" s="1"/>
  <c r="B91" i="8"/>
  <c r="B102" i="8" s="1"/>
  <c r="G91" i="8"/>
  <c r="G102" i="8" s="1"/>
  <c r="I107" i="8"/>
  <c r="P101" i="10"/>
  <c r="Q43" i="4" s="1"/>
  <c r="F97" i="10"/>
  <c r="F101" i="10" s="1"/>
  <c r="U24" i="4"/>
  <c r="T24" i="4" s="1"/>
  <c r="S10" i="3"/>
  <c r="L85" i="8"/>
  <c r="P29" i="10"/>
  <c r="Q13" i="4" s="1"/>
  <c r="F25" i="10"/>
  <c r="F29" i="10" s="1"/>
  <c r="P65" i="10"/>
  <c r="Q28" i="4" s="1"/>
  <c r="F61" i="10"/>
  <c r="F65" i="10" s="1"/>
  <c r="L100" i="8"/>
  <c r="L89" i="8"/>
  <c r="P101" i="11"/>
  <c r="Q45" i="4" s="1"/>
  <c r="F97" i="11"/>
  <c r="F101" i="11" s="1"/>
  <c r="P137" i="10"/>
  <c r="Q58" i="4" s="1"/>
  <c r="F133" i="10"/>
  <c r="F137" i="10" s="1"/>
  <c r="J84" i="8"/>
  <c r="J110" i="8"/>
  <c r="J115" i="8"/>
  <c r="L56" i="8"/>
  <c r="L76" i="8"/>
  <c r="L66" i="8"/>
  <c r="F37" i="11"/>
  <c r="F41" i="11" s="1"/>
  <c r="P41" i="11"/>
  <c r="Q20" i="4" s="1"/>
  <c r="G55" i="8"/>
  <c r="G75" i="8"/>
  <c r="G65" i="8"/>
  <c r="J57" i="8"/>
  <c r="J58" i="8" s="1"/>
  <c r="G74" i="8"/>
  <c r="G64" i="8"/>
  <c r="G67" i="8" s="1"/>
  <c r="G68" i="8" s="1"/>
  <c r="U35" i="4" s="1"/>
  <c r="G54" i="8"/>
  <c r="G84" i="8" s="1"/>
  <c r="C86" i="8"/>
  <c r="C57" i="8"/>
  <c r="C58" i="8" s="1"/>
  <c r="P89" i="11"/>
  <c r="Q40" i="4" s="1"/>
  <c r="F85" i="11"/>
  <c r="F89" i="11" s="1"/>
  <c r="P41" i="9"/>
  <c r="Q17" i="4" s="1"/>
  <c r="F37" i="9"/>
  <c r="F41" i="9" s="1"/>
  <c r="F61" i="11"/>
  <c r="F65" i="11" s="1"/>
  <c r="P65" i="11"/>
  <c r="Q30" i="4" s="1"/>
  <c r="F110" i="8"/>
  <c r="F115" i="8"/>
  <c r="P29" i="11"/>
  <c r="Q15" i="4" s="1"/>
  <c r="F25" i="11"/>
  <c r="F29" i="11" s="1"/>
  <c r="P77" i="10"/>
  <c r="Q33" i="4" s="1"/>
  <c r="F73" i="10"/>
  <c r="F77" i="10" s="1"/>
  <c r="J85" i="8"/>
  <c r="E57" i="8"/>
  <c r="E58" i="8" s="1"/>
  <c r="E122" i="8" s="1"/>
  <c r="E105" i="8"/>
  <c r="F102" i="8"/>
  <c r="G29" i="4"/>
  <c r="I11" i="3" s="1"/>
  <c r="C89" i="8"/>
  <c r="C100" i="8"/>
  <c r="P17" i="9"/>
  <c r="Q7" i="4" s="1"/>
  <c r="F13" i="9"/>
  <c r="F17" i="9" s="1"/>
  <c r="E115" i="8"/>
  <c r="E110" i="8"/>
  <c r="G34" i="4"/>
  <c r="I12" i="3" s="1"/>
  <c r="K92" i="8"/>
  <c r="K93" i="8" s="1"/>
  <c r="P113" i="9"/>
  <c r="Q47" i="4" s="1"/>
  <c r="Q51" i="4" s="1"/>
  <c r="F109" i="9"/>
  <c r="F113" i="9" s="1"/>
  <c r="AA51" i="4" s="1"/>
  <c r="K106" i="8"/>
  <c r="P77" i="9"/>
  <c r="Q32" i="4" s="1"/>
  <c r="F73" i="9"/>
  <c r="F77" i="9" s="1"/>
  <c r="D110" i="8"/>
  <c r="D115" i="8"/>
  <c r="K100" i="8"/>
  <c r="P101" i="9"/>
  <c r="Q42" i="4" s="1"/>
  <c r="Q46" i="4" s="1"/>
  <c r="F97" i="9"/>
  <c r="F101" i="9" s="1"/>
  <c r="AA46" i="4" s="1"/>
  <c r="B57" i="8"/>
  <c r="B58" i="8" s="1"/>
  <c r="B105" i="8"/>
  <c r="P89" i="9"/>
  <c r="Q37" i="4" s="1"/>
  <c r="F85" i="9"/>
  <c r="F89" i="9" s="1"/>
  <c r="D102" i="8"/>
  <c r="F64" i="8"/>
  <c r="F67" i="8" s="1"/>
  <c r="F68" i="8" s="1"/>
  <c r="U30" i="4" s="1"/>
  <c r="F84" i="8"/>
  <c r="F74" i="8"/>
  <c r="F54" i="8"/>
  <c r="H85" i="8"/>
  <c r="P125" i="10"/>
  <c r="Q53" i="4" s="1"/>
  <c r="F121" i="10"/>
  <c r="F125" i="10" s="1"/>
  <c r="P77" i="11"/>
  <c r="Q35" i="4" s="1"/>
  <c r="F73" i="11"/>
  <c r="F77" i="11" s="1"/>
  <c r="P137" i="11"/>
  <c r="Q60" i="4" s="1"/>
  <c r="F133" i="11"/>
  <c r="F137" i="11" s="1"/>
  <c r="P29" i="9"/>
  <c r="Q12" i="4" s="1"/>
  <c r="Q16" i="4" s="1"/>
  <c r="F25" i="9"/>
  <c r="F29" i="9" s="1"/>
  <c r="AA16" i="4" s="1"/>
  <c r="P89" i="10"/>
  <c r="Q38" i="4" s="1"/>
  <c r="F85" i="10"/>
  <c r="F89" i="10" s="1"/>
  <c r="B109" i="8"/>
  <c r="B114" i="8"/>
  <c r="D84" i="8"/>
  <c r="I84" i="8"/>
  <c r="P53" i="9"/>
  <c r="Q22" i="4" s="1"/>
  <c r="F49" i="9"/>
  <c r="F53" i="9" s="1"/>
  <c r="P137" i="9"/>
  <c r="Q57" i="4" s="1"/>
  <c r="F133" i="9"/>
  <c r="F137" i="9" s="1"/>
  <c r="P113" i="10"/>
  <c r="Q48" i="4" s="1"/>
  <c r="F109" i="10"/>
  <c r="F113" i="10" s="1"/>
  <c r="H67" i="8"/>
  <c r="H68" i="8" s="1"/>
  <c r="U40" i="4" s="1"/>
  <c r="F13" i="11"/>
  <c r="F17" i="11" s="1"/>
  <c r="P17" i="11"/>
  <c r="Q10" i="4" s="1"/>
  <c r="C109" i="8"/>
  <c r="C114" i="8"/>
  <c r="P17" i="10"/>
  <c r="Q8" i="4" s="1"/>
  <c r="F13" i="10"/>
  <c r="F17" i="10" s="1"/>
  <c r="K110" i="8"/>
  <c r="K115" i="8"/>
  <c r="P125" i="9"/>
  <c r="Q52" i="4" s="1"/>
  <c r="F121" i="9"/>
  <c r="F125" i="9" s="1"/>
  <c r="P41" i="10"/>
  <c r="Q18" i="4" s="1"/>
  <c r="F37" i="10"/>
  <c r="F41" i="10" s="1"/>
  <c r="B101" i="8"/>
  <c r="C105" i="8"/>
  <c r="K105" i="8"/>
  <c r="I75" i="8"/>
  <c r="I55" i="8"/>
  <c r="I57" i="8" s="1"/>
  <c r="I58" i="8" s="1"/>
  <c r="I65" i="8"/>
  <c r="I67" i="8"/>
  <c r="I68" i="8" s="1"/>
  <c r="U45" i="4" s="1"/>
  <c r="P125" i="11"/>
  <c r="Q55" i="4" s="1"/>
  <c r="F121" i="11"/>
  <c r="F125" i="11" s="1"/>
  <c r="E89" i="8"/>
  <c r="E92" i="8" s="1"/>
  <c r="E93" i="8" s="1"/>
  <c r="E100" i="8"/>
  <c r="H57" i="8"/>
  <c r="H58" i="8" s="1"/>
  <c r="P53" i="11"/>
  <c r="Q25" i="4" s="1"/>
  <c r="F49" i="11"/>
  <c r="F53" i="11" s="1"/>
  <c r="P113" i="11"/>
  <c r="Q50" i="4" s="1"/>
  <c r="F109" i="11"/>
  <c r="F113" i="11" s="1"/>
  <c r="P65" i="9"/>
  <c r="Q27" i="4" s="1"/>
  <c r="F61" i="9"/>
  <c r="F65" i="9" s="1"/>
  <c r="P53" i="10"/>
  <c r="Q23" i="4" s="1"/>
  <c r="F49" i="10"/>
  <c r="F53" i="10" s="1"/>
  <c r="G107" i="8"/>
  <c r="K57" i="8"/>
  <c r="K58" i="8" s="1"/>
  <c r="G89" i="8" l="1"/>
  <c r="G100" i="8"/>
  <c r="V25" i="4"/>
  <c r="T25" i="4" s="1"/>
  <c r="R10" i="3"/>
  <c r="B107" i="8"/>
  <c r="AA41" i="4"/>
  <c r="J90" i="8"/>
  <c r="J106" i="8" s="1"/>
  <c r="J101" i="8"/>
  <c r="H92" i="8"/>
  <c r="H93" i="8" s="1"/>
  <c r="H122" i="8" s="1"/>
  <c r="Q41" i="4"/>
  <c r="L86" i="8"/>
  <c r="L90" i="8"/>
  <c r="L106" i="8" s="1"/>
  <c r="D101" i="8"/>
  <c r="C91" i="8"/>
  <c r="C107" i="8" s="1"/>
  <c r="C102" i="8"/>
  <c r="D109" i="8"/>
  <c r="D114" i="8"/>
  <c r="K113" i="8"/>
  <c r="K108" i="8"/>
  <c r="G24" i="4"/>
  <c r="I10" i="3" s="1"/>
  <c r="T26" i="4"/>
  <c r="J12" i="2" s="1"/>
  <c r="B92" i="8"/>
  <c r="B93" i="8" s="1"/>
  <c r="B122" i="8" s="1"/>
  <c r="J89" i="8"/>
  <c r="J100" i="8" s="1"/>
  <c r="B100" i="8"/>
  <c r="G110" i="8"/>
  <c r="G115" i="8"/>
  <c r="F89" i="8"/>
  <c r="F92" i="8" s="1"/>
  <c r="F93" i="8" s="1"/>
  <c r="AA61" i="4"/>
  <c r="Q11" i="4"/>
  <c r="AA31" i="4"/>
  <c r="B108" i="8"/>
  <c r="B113" i="8"/>
  <c r="H105" i="8"/>
  <c r="AA26" i="4"/>
  <c r="C92" i="8"/>
  <c r="C93" i="8" s="1"/>
  <c r="C122" i="8" s="1"/>
  <c r="I110" i="8"/>
  <c r="I115" i="8"/>
  <c r="Q31" i="4"/>
  <c r="Q26" i="4"/>
  <c r="H90" i="8"/>
  <c r="H106" i="8" s="1"/>
  <c r="I89" i="8"/>
  <c r="I100" i="8"/>
  <c r="AA36" i="4"/>
  <c r="G57" i="8"/>
  <c r="G58" i="8" s="1"/>
  <c r="G105" i="8"/>
  <c r="C108" i="8"/>
  <c r="C113" i="8"/>
  <c r="Q61" i="4"/>
  <c r="AA56" i="4"/>
  <c r="Q56" i="4"/>
  <c r="K122" i="8"/>
  <c r="D89" i="8"/>
  <c r="D100" i="8"/>
  <c r="F57" i="8"/>
  <c r="F58" i="8" s="1"/>
  <c r="F122" i="8" s="1"/>
  <c r="F105" i="8"/>
  <c r="Q36" i="4"/>
  <c r="AA21" i="4"/>
  <c r="G85" i="8"/>
  <c r="L105" i="8"/>
  <c r="I85" i="8"/>
  <c r="K109" i="8"/>
  <c r="K114" i="8"/>
  <c r="E108" i="8"/>
  <c r="E113" i="8"/>
  <c r="E116" i="8" s="1"/>
  <c r="E119" i="8" s="1"/>
  <c r="Q21" i="4"/>
  <c r="R13" i="3" l="1"/>
  <c r="V40" i="4"/>
  <c r="T40" i="4" s="1"/>
  <c r="T41" i="4" s="1"/>
  <c r="J15" i="2" s="1"/>
  <c r="V15" i="4"/>
  <c r="T15" i="4" s="1"/>
  <c r="T16" i="4" s="1"/>
  <c r="J13" i="2" s="1"/>
  <c r="R8" i="3"/>
  <c r="V10" i="4"/>
  <c r="T10" i="4" s="1"/>
  <c r="T11" i="4" s="1"/>
  <c r="J11" i="2" s="1"/>
  <c r="R7" i="3"/>
  <c r="L109" i="8"/>
  <c r="L114" i="8"/>
  <c r="I90" i="8"/>
  <c r="I106" i="8" s="1"/>
  <c r="I101" i="8"/>
  <c r="C116" i="8"/>
  <c r="C119" i="8" s="1"/>
  <c r="G122" i="8"/>
  <c r="J109" i="8"/>
  <c r="J114" i="8"/>
  <c r="H108" i="8"/>
  <c r="H113" i="8"/>
  <c r="H116" i="8" s="1"/>
  <c r="H119" i="8" s="1"/>
  <c r="J92" i="8"/>
  <c r="J93" i="8" s="1"/>
  <c r="J122" i="8" s="1"/>
  <c r="J105" i="8"/>
  <c r="G108" i="8"/>
  <c r="G113" i="8"/>
  <c r="G101" i="8"/>
  <c r="G90" i="8"/>
  <c r="G106" i="8" s="1"/>
  <c r="B110" i="8"/>
  <c r="B115" i="8"/>
  <c r="B116" i="8" s="1"/>
  <c r="B119" i="8" s="1"/>
  <c r="K116" i="8"/>
  <c r="K119" i="8" s="1"/>
  <c r="I92" i="8"/>
  <c r="I93" i="8" s="1"/>
  <c r="I122" i="8" s="1"/>
  <c r="I105" i="8"/>
  <c r="L91" i="8"/>
  <c r="L107" i="8" s="1"/>
  <c r="F108" i="8"/>
  <c r="F113" i="8"/>
  <c r="F116" i="8" s="1"/>
  <c r="F119" i="8" s="1"/>
  <c r="V30" i="4"/>
  <c r="T30" i="4" s="1"/>
  <c r="T31" i="4" s="1"/>
  <c r="J16" i="2" s="1"/>
  <c r="R11" i="3"/>
  <c r="C110" i="8"/>
  <c r="C115" i="8"/>
  <c r="G92" i="8"/>
  <c r="G93" i="8" s="1"/>
  <c r="L108" i="8"/>
  <c r="L113" i="8"/>
  <c r="M10" i="3"/>
  <c r="J25" i="4"/>
  <c r="H23" i="4"/>
  <c r="G23" i="4" s="1"/>
  <c r="H10" i="3" s="1"/>
  <c r="H25" i="4"/>
  <c r="H22" i="4"/>
  <c r="D92" i="8"/>
  <c r="D93" i="8" s="1"/>
  <c r="D122" i="8" s="1"/>
  <c r="D105" i="8"/>
  <c r="H101" i="8"/>
  <c r="F100" i="8"/>
  <c r="V55" i="4"/>
  <c r="T55" i="4" s="1"/>
  <c r="T56" i="4" s="1"/>
  <c r="J14" i="2" s="1"/>
  <c r="R16" i="3"/>
  <c r="H109" i="8"/>
  <c r="H114" i="8"/>
  <c r="L101" i="8"/>
  <c r="H8" i="4" l="1"/>
  <c r="G8" i="4" s="1"/>
  <c r="H7" i="3" s="1"/>
  <c r="M7" i="3"/>
  <c r="H10" i="4"/>
  <c r="H7" i="4"/>
  <c r="J10" i="4"/>
  <c r="L102" i="8"/>
  <c r="D108" i="8"/>
  <c r="D113" i="8"/>
  <c r="D116" i="8" s="1"/>
  <c r="D119" i="8" s="1"/>
  <c r="J15" i="4"/>
  <c r="H15" i="4"/>
  <c r="M8" i="3"/>
  <c r="H12" i="4"/>
  <c r="H13" i="4"/>
  <c r="G13" i="4" s="1"/>
  <c r="H8" i="3" s="1"/>
  <c r="G22" i="4"/>
  <c r="G10" i="3" s="1"/>
  <c r="H26" i="4"/>
  <c r="V45" i="4"/>
  <c r="T45" i="4" s="1"/>
  <c r="T46" i="4" s="1"/>
  <c r="J8" i="2" s="1"/>
  <c r="R14" i="3"/>
  <c r="I109" i="8"/>
  <c r="I114" i="8"/>
  <c r="K25" i="4"/>
  <c r="K26" i="4" s="1"/>
  <c r="J26" i="4"/>
  <c r="D12" i="2" s="1"/>
  <c r="G109" i="8"/>
  <c r="G114" i="8"/>
  <c r="G25" i="4"/>
  <c r="J10" i="3" s="1"/>
  <c r="J55" i="4"/>
  <c r="M16" i="3"/>
  <c r="H52" i="4"/>
  <c r="H55" i="4"/>
  <c r="H53" i="4"/>
  <c r="G53" i="4" s="1"/>
  <c r="H16" i="3" s="1"/>
  <c r="G116" i="8"/>
  <c r="G119" i="8" s="1"/>
  <c r="H40" i="4"/>
  <c r="J40" i="4"/>
  <c r="M13" i="3"/>
  <c r="H37" i="4"/>
  <c r="H38" i="4"/>
  <c r="G38" i="4" s="1"/>
  <c r="H13" i="3" s="1"/>
  <c r="V20" i="4"/>
  <c r="T20" i="4" s="1"/>
  <c r="T21" i="4" s="1"/>
  <c r="J9" i="2" s="1"/>
  <c r="R9" i="3"/>
  <c r="I108" i="8"/>
  <c r="I113" i="8"/>
  <c r="I116" i="8" s="1"/>
  <c r="I119" i="8" s="1"/>
  <c r="L110" i="8"/>
  <c r="L115" i="8"/>
  <c r="L116" i="8" s="1"/>
  <c r="L119" i="8" s="1"/>
  <c r="V35" i="4"/>
  <c r="T35" i="4" s="1"/>
  <c r="T36" i="4" s="1"/>
  <c r="J17" i="2" s="1"/>
  <c r="R12" i="3"/>
  <c r="J108" i="8"/>
  <c r="J113" i="8"/>
  <c r="J116" i="8" s="1"/>
  <c r="J119" i="8" s="1"/>
  <c r="H28" i="4"/>
  <c r="G28" i="4" s="1"/>
  <c r="H11" i="3" s="1"/>
  <c r="M11" i="3"/>
  <c r="J30" i="4"/>
  <c r="H30" i="4"/>
  <c r="H27" i="4"/>
  <c r="L92" i="8"/>
  <c r="L93" i="8" s="1"/>
  <c r="L122" i="8" s="1"/>
  <c r="V50" i="4"/>
  <c r="T50" i="4" s="1"/>
  <c r="T51" i="4" s="1"/>
  <c r="J7" i="2" s="1"/>
  <c r="R15" i="3"/>
  <c r="J60" i="4" l="1"/>
  <c r="H60" i="4"/>
  <c r="H57" i="4"/>
  <c r="M17" i="3"/>
  <c r="H58" i="4"/>
  <c r="G58" i="4" s="1"/>
  <c r="H17" i="3" s="1"/>
  <c r="Z26" i="4"/>
  <c r="B12" i="2"/>
  <c r="M12" i="2" s="1"/>
  <c r="G26" i="4"/>
  <c r="F10" i="3" s="1"/>
  <c r="K15" i="4"/>
  <c r="K16" i="4" s="1"/>
  <c r="J16" i="4"/>
  <c r="D13" i="2" s="1"/>
  <c r="G40" i="4"/>
  <c r="J13" i="3" s="1"/>
  <c r="H42" i="4"/>
  <c r="H43" i="4"/>
  <c r="G43" i="4" s="1"/>
  <c r="H14" i="3" s="1"/>
  <c r="J45" i="4"/>
  <c r="M14" i="3"/>
  <c r="H45" i="4"/>
  <c r="M9" i="3"/>
  <c r="H18" i="4"/>
  <c r="G18" i="4" s="1"/>
  <c r="H9" i="3" s="1"/>
  <c r="H17" i="4"/>
  <c r="J20" i="4"/>
  <c r="H20" i="4"/>
  <c r="M12" i="3"/>
  <c r="H35" i="4"/>
  <c r="J35" i="4"/>
  <c r="H33" i="4"/>
  <c r="G33" i="4" s="1"/>
  <c r="H12" i="3" s="1"/>
  <c r="H32" i="4"/>
  <c r="G52" i="4"/>
  <c r="G16" i="3" s="1"/>
  <c r="H56" i="4"/>
  <c r="K10" i="4" a="1"/>
  <c r="K10" i="4" s="1"/>
  <c r="K11" i="4" s="1"/>
  <c r="J11" i="4"/>
  <c r="D11" i="2" s="1"/>
  <c r="K55" i="4"/>
  <c r="K56" i="4" s="1"/>
  <c r="J56" i="4"/>
  <c r="V60" i="4"/>
  <c r="T60" i="4" s="1"/>
  <c r="T61" i="4" s="1"/>
  <c r="J10" i="2" s="1"/>
  <c r="R17" i="3"/>
  <c r="G7" i="4"/>
  <c r="G7" i="3" s="1"/>
  <c r="H11" i="4"/>
  <c r="G27" i="4"/>
  <c r="G11" i="3" s="1"/>
  <c r="H31" i="4"/>
  <c r="G37" i="4"/>
  <c r="G13" i="3" s="1"/>
  <c r="H41" i="4"/>
  <c r="G30" i="4"/>
  <c r="J11" i="3" s="1"/>
  <c r="H47" i="4"/>
  <c r="H50" i="4"/>
  <c r="H48" i="4"/>
  <c r="G48" i="4" s="1"/>
  <c r="H15" i="3" s="1"/>
  <c r="J50" i="4"/>
  <c r="M15" i="3"/>
  <c r="H16" i="4"/>
  <c r="G12" i="4"/>
  <c r="G8" i="3" s="1"/>
  <c r="K30" i="4"/>
  <c r="K31" i="4" s="1"/>
  <c r="J31" i="4"/>
  <c r="D16" i="2" s="1"/>
  <c r="K40" i="4"/>
  <c r="K41" i="4" s="1"/>
  <c r="J41" i="4"/>
  <c r="B15" i="2" l="1"/>
  <c r="G41" i="4"/>
  <c r="F13" i="3" s="1"/>
  <c r="Z41" i="4"/>
  <c r="K35" i="4"/>
  <c r="K36" i="4" s="1"/>
  <c r="J36" i="4"/>
  <c r="D17" i="2" s="1"/>
  <c r="G56" i="4"/>
  <c r="F16" i="3" s="1"/>
  <c r="Z56" i="4"/>
  <c r="B14" i="2"/>
  <c r="Z31" i="4"/>
  <c r="B16" i="2"/>
  <c r="M16" i="2" s="1"/>
  <c r="G31" i="4"/>
  <c r="F11" i="3" s="1"/>
  <c r="G50" i="4"/>
  <c r="J15" i="3" s="1"/>
  <c r="G10" i="4"/>
  <c r="J7" i="3" s="1"/>
  <c r="G11" i="4"/>
  <c r="F7" i="3" s="1"/>
  <c r="B11" i="2"/>
  <c r="M11" i="2" s="1"/>
  <c r="Z11" i="4"/>
  <c r="G42" i="4"/>
  <c r="G14" i="3" s="1"/>
  <c r="H46" i="4"/>
  <c r="D15" i="2"/>
  <c r="G55" i="4"/>
  <c r="J16" i="3" s="1"/>
  <c r="K20" i="4"/>
  <c r="K21" i="4" s="1"/>
  <c r="J21" i="4"/>
  <c r="K45" i="4"/>
  <c r="K46" i="4" s="1"/>
  <c r="J46" i="4"/>
  <c r="D8" i="2" s="1"/>
  <c r="G35" i="4"/>
  <c r="J12" i="3" s="1"/>
  <c r="G15" i="4"/>
  <c r="J8" i="3" s="1"/>
  <c r="H21" i="4"/>
  <c r="G17" i="4"/>
  <c r="G9" i="3" s="1"/>
  <c r="G57" i="4"/>
  <c r="G17" i="3" s="1"/>
  <c r="H61" i="4"/>
  <c r="H51" i="4"/>
  <c r="G47" i="4"/>
  <c r="G15" i="3" s="1"/>
  <c r="K50" i="4"/>
  <c r="K51" i="4" s="1"/>
  <c r="J51" i="4"/>
  <c r="D7" i="2" s="1"/>
  <c r="H36" i="4"/>
  <c r="G32" i="4"/>
  <c r="G12" i="3" s="1"/>
  <c r="G16" i="4"/>
  <c r="F8" i="3" s="1"/>
  <c r="Z16" i="4"/>
  <c r="B13" i="2"/>
  <c r="M13" i="2" s="1"/>
  <c r="D14" i="2"/>
  <c r="K60" i="4"/>
  <c r="K61" i="4" s="1"/>
  <c r="J61" i="4"/>
  <c r="D10" i="2" s="1"/>
  <c r="G61" i="4" l="1"/>
  <c r="F17" i="3" s="1"/>
  <c r="Z61" i="4"/>
  <c r="B10" i="2"/>
  <c r="M10" i="2" s="1"/>
  <c r="B9" i="2"/>
  <c r="G21" i="4"/>
  <c r="F9" i="3" s="1"/>
  <c r="Z21" i="4"/>
  <c r="G45" i="4"/>
  <c r="J14" i="3" s="1"/>
  <c r="D9" i="2"/>
  <c r="M14" i="2"/>
  <c r="Z36" i="4"/>
  <c r="G36" i="4"/>
  <c r="F12" i="3" s="1"/>
  <c r="B17" i="2"/>
  <c r="M17" i="2" s="1"/>
  <c r="G20" i="4"/>
  <c r="J9" i="3" s="1"/>
  <c r="G60" i="4"/>
  <c r="J17" i="3" s="1"/>
  <c r="Z46" i="4"/>
  <c r="B8" i="2"/>
  <c r="M8" i="2" s="1"/>
  <c r="G46" i="4"/>
  <c r="F14" i="3" s="1"/>
  <c r="G51" i="4"/>
  <c r="F15" i="3" s="1"/>
  <c r="Z51" i="4"/>
  <c r="B7" i="2"/>
  <c r="M7" i="2" s="1"/>
  <c r="M15" i="2"/>
  <c r="M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Ludvig Karlsson</author>
  </authors>
  <commentList>
    <comment ref="G12" authorId="0" shapeId="0" xr:uid="{7C880B36-DEAA-45C6-BBBF-505082479EB8}">
      <text>
        <r>
          <rPr>
            <sz val="11"/>
            <color theme="1"/>
            <rFont val="Calibri"/>
            <family val="2"/>
            <scheme val="minor"/>
          </rPr>
          <t xml:space="preserve">Ludvig Karlsson:
0,21 according to CRF-table. Assumed to have missed a zero, adjusted to 0,021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<sst xmlns="http://schemas.openxmlformats.org/spreadsheetml/2006/main" count="3934" uniqueCount="502">
  <si>
    <t>Read me</t>
  </si>
  <si>
    <t xml:space="preserve">This is a file that contains the calculations of the footprints from egg production. </t>
  </si>
  <si>
    <t>Mj/kg</t>
  </si>
  <si>
    <t>Assumptions:</t>
  </si>
  <si>
    <t xml:space="preserve"> - All hens are also eaten</t>
  </si>
  <si>
    <t xml:space="preserve"> - Impacts are allocated equally across egg and hen meat</t>
  </si>
  <si>
    <t>Color codes:</t>
  </si>
  <si>
    <t>Results</t>
  </si>
  <si>
    <t>Sheets for input</t>
  </si>
  <si>
    <t>Intermediate calculations</t>
  </si>
  <si>
    <t>Figures</t>
  </si>
  <si>
    <t>Att göra:</t>
  </si>
  <si>
    <t>Fyll i olika gödselsystem från NIR-rapporterna - ev. gjort? Kolla med Ludvig</t>
  </si>
  <si>
    <t>Lägg in landspecifika foderstater, åtminstonde Sverige efter återkoppling med Svenska Ägg</t>
  </si>
  <si>
    <t>Noggrannare energiförbrukning i stallar - låg prio</t>
  </si>
  <si>
    <t>Greenhouse gas emission for egg across countries, to farmgate</t>
  </si>
  <si>
    <t>Production of mineral fertilizer</t>
  </si>
  <si>
    <t xml:space="preserve">Production of capital goods </t>
  </si>
  <si>
    <t xml:space="preserve">Emissions from soil </t>
  </si>
  <si>
    <t>Diesel use field machinary</t>
  </si>
  <si>
    <t>Energy use for feed processing</t>
  </si>
  <si>
    <t>Land use change emissions</t>
  </si>
  <si>
    <t>Feed transports</t>
  </si>
  <si>
    <t>Enteric fermentation</t>
  </si>
  <si>
    <t>Manure management</t>
  </si>
  <si>
    <t>Energy use in stables</t>
  </si>
  <si>
    <t>Energy use for slaughter</t>
  </si>
  <si>
    <t>Tot</t>
  </si>
  <si>
    <t>Order this study:</t>
  </si>
  <si>
    <t>Order Lesschen:</t>
  </si>
  <si>
    <t>Poland</t>
  </si>
  <si>
    <t>Greece</t>
  </si>
  <si>
    <t>Netherlands</t>
  </si>
  <si>
    <t>Germany</t>
  </si>
  <si>
    <t>Sweden</t>
  </si>
  <si>
    <t>Hungary</t>
  </si>
  <si>
    <t>France</t>
  </si>
  <si>
    <t>Ireland</t>
  </si>
  <si>
    <t>Spain</t>
  </si>
  <si>
    <t>Italy</t>
  </si>
  <si>
    <t xml:space="preserve">Hungary </t>
  </si>
  <si>
    <t>Comment:</t>
  </si>
  <si>
    <t xml:space="preserve"> - Hungary and Italy low feed emissions because of lower N2O emission factors</t>
  </si>
  <si>
    <t xml:space="preserve"> - Ireland has a high egg yield</t>
  </si>
  <si>
    <t>Water use - have not checked!!</t>
  </si>
  <si>
    <t xml:space="preserve">Denmark </t>
  </si>
  <si>
    <t>Footprints (per kg of egg)</t>
  </si>
  <si>
    <t>* Adjusted for manure</t>
  </si>
  <si>
    <t>Animal products</t>
  </si>
  <si>
    <t>Climate</t>
  </si>
  <si>
    <t>Land</t>
  </si>
  <si>
    <t>Nitrogen*</t>
  </si>
  <si>
    <t>Phosphorus</t>
  </si>
  <si>
    <t>Water</t>
  </si>
  <si>
    <t>Pesticides</t>
  </si>
  <si>
    <t>Biodiversity</t>
  </si>
  <si>
    <t>Ammonia</t>
  </si>
  <si>
    <t>Labour</t>
  </si>
  <si>
    <t>Animal welfare</t>
  </si>
  <si>
    <t>Use of antibiotics</t>
  </si>
  <si>
    <t>Code</t>
  </si>
  <si>
    <t>Name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</si>
  <si>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</si>
  <si>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</si>
  <si>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</si>
  <si>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</si>
  <si>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</si>
  <si>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</si>
  <si>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</si>
  <si>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</si>
  <si>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</si>
  <si>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</si>
  <si>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</si>
  <si>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</si>
  <si>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</si>
  <si>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</si>
  <si>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</si>
  <si>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</si>
  <si>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</si>
  <si>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egg</t>
  </si>
  <si>
    <t>Antibiotica use indicator</t>
  </si>
  <si>
    <t>0231</t>
  </si>
  <si>
    <t>Hen eggs in shell</t>
  </si>
  <si>
    <t>Egg</t>
  </si>
  <si>
    <t>FR</t>
  </si>
  <si>
    <t>DE</t>
  </si>
  <si>
    <t>GR</t>
  </si>
  <si>
    <t>HU</t>
  </si>
  <si>
    <t>IE</t>
  </si>
  <si>
    <t>IT</t>
  </si>
  <si>
    <t>NL</t>
  </si>
  <si>
    <t>PL</t>
  </si>
  <si>
    <t>ES</t>
  </si>
  <si>
    <t>SE</t>
  </si>
  <si>
    <t>* Production of mineral fertiliser is adjusted to account for the N supplied by manure.</t>
  </si>
  <si>
    <t>GHG emissions (per kg of egg)</t>
  </si>
  <si>
    <t>** Adjusted for use of manure instead of mineral fertiliser (lower emission factor for manure)</t>
  </si>
  <si>
    <t>*** Calculated as percentage of direct emissions due to assumption due to data limitations regarding nitrogen leaching and volatilization from soils in different regions.</t>
  </si>
  <si>
    <t>Animals</t>
  </si>
  <si>
    <t>Stables</t>
  </si>
  <si>
    <t>Slaughter</t>
  </si>
  <si>
    <t>Control</t>
  </si>
  <si>
    <t>Sum</t>
  </si>
  <si>
    <t>Inputs</t>
  </si>
  <si>
    <t>Soil emissions</t>
  </si>
  <si>
    <t>Energy use</t>
  </si>
  <si>
    <t>Land use change</t>
  </si>
  <si>
    <t>Feed processing</t>
  </si>
  <si>
    <t>Transports</t>
  </si>
  <si>
    <t>FoodEx code</t>
  </si>
  <si>
    <t>FoodEx name</t>
  </si>
  <si>
    <t>Food Ex category (L1)</t>
  </si>
  <si>
    <t>Gas</t>
  </si>
  <si>
    <t>GHG</t>
  </si>
  <si>
    <t>Production of mineral fertilizer*</t>
  </si>
  <si>
    <t>Direct emissions**</t>
  </si>
  <si>
    <t>Indirect emissions***</t>
  </si>
  <si>
    <t>Diesel use field mach</t>
  </si>
  <si>
    <t>Energy use in greenhouses</t>
  </si>
  <si>
    <t>Energy use for irrigation</t>
  </si>
  <si>
    <t>Energy use for post-harvest proc</t>
  </si>
  <si>
    <t>LUC emissions</t>
  </si>
  <si>
    <t>Enteric fermentation*</t>
  </si>
  <si>
    <t>Manure management - tot</t>
  </si>
  <si>
    <t>Manure management - direct</t>
  </si>
  <si>
    <t>Manure management - indirect</t>
  </si>
  <si>
    <t>Total feed, excl LUC</t>
  </si>
  <si>
    <t>Feed mix emissions, kg CO2 per kg feed, excl. adjustement manure</t>
  </si>
  <si>
    <t>A031G</t>
  </si>
  <si>
    <t>Hen eggs</t>
  </si>
  <si>
    <t>CO2</t>
  </si>
  <si>
    <t>CH4, fossil</t>
  </si>
  <si>
    <t>CH4, biogenic</t>
  </si>
  <si>
    <t>N2O</t>
  </si>
  <si>
    <t>CO2e</t>
  </si>
  <si>
    <t xml:space="preserve">Ireland </t>
  </si>
  <si>
    <t>Netherland</t>
  </si>
  <si>
    <t>Production system</t>
  </si>
  <si>
    <t>Animals in production per year (no)</t>
  </si>
  <si>
    <t>Laying hens</t>
  </si>
  <si>
    <t>Number of laying hens (any number can be used here)</t>
  </si>
  <si>
    <t>Recruitment hens</t>
  </si>
  <si>
    <t>HAR JAG TÄNKT RÄTT HÄR??</t>
  </si>
  <si>
    <t>Total:</t>
  </si>
  <si>
    <t>Animals slaughtered per year (no)</t>
  </si>
  <si>
    <t>Hens</t>
  </si>
  <si>
    <t>Food produced (kg bonefree meat for hen)</t>
  </si>
  <si>
    <t>Hen meat, kg bonefree</t>
  </si>
  <si>
    <t>Number of animals * slaughtering weight</t>
  </si>
  <si>
    <t>Eggs, kg</t>
  </si>
  <si>
    <t xml:space="preserve">Animals in production per kg of food </t>
  </si>
  <si>
    <t>Hens per kg of egg&amp;meat, no</t>
  </si>
  <si>
    <t>Production parameters and emission factors, country specific</t>
  </si>
  <si>
    <t>Sources:</t>
  </si>
  <si>
    <t>Production parameters</t>
  </si>
  <si>
    <t>Denmark</t>
  </si>
  <si>
    <t>Slaughter age, days</t>
  </si>
  <si>
    <t>Cederberg et al. 2009</t>
  </si>
  <si>
    <t>Hens eaten, %</t>
  </si>
  <si>
    <t>Meat yield, kg CW per hen</t>
  </si>
  <si>
    <t xml:space="preserve">Assuming the same as chicken </t>
  </si>
  <si>
    <t>Meat yield, kg bonefree meat per kg CW</t>
  </si>
  <si>
    <t>Assuming the same as chicken</t>
  </si>
  <si>
    <t>Eggs per hen and year, kg</t>
  </si>
  <si>
    <t>Calculated from Eurostat (and SCB for Sweden) statistics on number of hens and production of eggs (see tab Egg yield),  no data for GR, IT and NL approx. with neighbouring countries</t>
  </si>
  <si>
    <t>Mortality rearing, %</t>
  </si>
  <si>
    <t>Cumulative mortality at 60wk. 4% in cages and 3% in avaries. Percent in cages within country range from 7 to 88; no data on Greece.</t>
  </si>
  <si>
    <t>Share of feed ingredients (%)</t>
  </si>
  <si>
    <t>Barley, average</t>
  </si>
  <si>
    <t>CAPRI-diets from Karlsson et al., see "Livestock feed.xlsx", tab Egg</t>
  </si>
  <si>
    <t>Maize (corn)</t>
  </si>
  <si>
    <t>Oats</t>
  </si>
  <si>
    <t>Rye</t>
  </si>
  <si>
    <t>Wheat, average</t>
  </si>
  <si>
    <t>Peas, dry</t>
  </si>
  <si>
    <t>Broad beans and horse beans, dry</t>
  </si>
  <si>
    <t>Approximation based on multiple sources:</t>
  </si>
  <si>
    <t>Rape seed cake</t>
  </si>
  <si>
    <t>Abín et al. (2018) show an energy use of approx 0.06 kWh/kg egg in Spain</t>
  </si>
  <si>
    <t>Soy cake</t>
  </si>
  <si>
    <t>Guillaume et al. (2022) estimate an energy use of approx 0.01 kWh for the Czech Repulic.</t>
  </si>
  <si>
    <t>By-products</t>
  </si>
  <si>
    <t>Paris et al. (2022) contain estimates between 0.3-3 kWh/kg egg</t>
  </si>
  <si>
    <t>Other</t>
  </si>
  <si>
    <t>For Sweden only very old data of 1 kWh/kg egg (+ additional energy for layers is available)</t>
  </si>
  <si>
    <t>Based on the above we set energy use to 0.1 kWh/kg egg</t>
  </si>
  <si>
    <t>Cereals</t>
  </si>
  <si>
    <t>Feed requirement</t>
  </si>
  <si>
    <t>Source:</t>
  </si>
  <si>
    <t>Feed conversion, kg per kg bonefree including parents and losses</t>
  </si>
  <si>
    <t>Cederberg et al. 2009, retrieved from Moberg et al. 2019</t>
  </si>
  <si>
    <t xml:space="preserve">Energy use in stables </t>
  </si>
  <si>
    <t>For Sweden (from Cederberg et al):</t>
  </si>
  <si>
    <t>Total energy use, kWh per kg egg&amp;meat</t>
  </si>
  <si>
    <t>Share non electricity</t>
  </si>
  <si>
    <t>Share biofuels for non-electricity</t>
  </si>
  <si>
    <t>Energy use at slaughter</t>
  </si>
  <si>
    <t>Energy use electricity, kWh/kg CW</t>
  </si>
  <si>
    <t>Approx with chicken, see Chicken.xlsx</t>
  </si>
  <si>
    <t>Emission factors electricity</t>
  </si>
  <si>
    <t>Electricity, kg CO2e/kWh</t>
  </si>
  <si>
    <t>ecoinvent; market for electricity, low voltage</t>
  </si>
  <si>
    <t>Electricity, kg CO2/kWh</t>
  </si>
  <si>
    <t>Electricity, kg CH4 fossil/kWh</t>
  </si>
  <si>
    <t>Electricity, kg CH4 biogenic/kWh</t>
  </si>
  <si>
    <t>Electricity, kg N2O/kWh</t>
  </si>
  <si>
    <t>Emission from the production of mineral fertilisers (kg)</t>
  </si>
  <si>
    <t>Emission factors N2O from soil</t>
  </si>
  <si>
    <t>Direct emissions from mineral fertiliser</t>
  </si>
  <si>
    <t>Direct emissions from manure</t>
  </si>
  <si>
    <t>Difference in emission factor min. fert - manure</t>
  </si>
  <si>
    <t>Indirect emissions, share of direct emissions</t>
  </si>
  <si>
    <t>Manure replacement factor</t>
  </si>
  <si>
    <t>Based on växttillgängligt kväve</t>
  </si>
  <si>
    <t>Water use</t>
  </si>
  <si>
    <t>Yield (eggs per hen) - for Sweden, see further down</t>
  </si>
  <si>
    <t>Data extracted on 03/03/2024 09:06:11 from [ESTAT]</t>
  </si>
  <si>
    <t>Data extracted on 03/03/2024 09:11:24 from [ESTAT]</t>
  </si>
  <si>
    <t xml:space="preserve">Dataset: </t>
  </si>
  <si>
    <t>Production of eggs for consumption and number of laying hens [apro_ec_egghen__custom_10105181]</t>
  </si>
  <si>
    <t xml:space="preserve">Last updated: </t>
  </si>
  <si>
    <t>31/08/2023 23:00</t>
  </si>
  <si>
    <t>Time frequency</t>
  </si>
  <si>
    <t>Annual</t>
  </si>
  <si>
    <t>Operator/Trader</t>
  </si>
  <si>
    <t>Total</t>
  </si>
  <si>
    <t>Agricultural products</t>
  </si>
  <si>
    <t>Laying hens (producing eggs for consumption)</t>
  </si>
  <si>
    <t>Unit of measure</t>
  </si>
  <si>
    <t>Thousand</t>
  </si>
  <si>
    <t>TIME</t>
  </si>
  <si>
    <t>2019</t>
  </si>
  <si>
    <t/>
  </si>
  <si>
    <t>2020</t>
  </si>
  <si>
    <t>2021</t>
  </si>
  <si>
    <t>2022</t>
  </si>
  <si>
    <t>Averages:</t>
  </si>
  <si>
    <t>GEO (Labels)</t>
  </si>
  <si>
    <t>Hens (thousands)</t>
  </si>
  <si>
    <t>Eggs (millions)</t>
  </si>
  <si>
    <t>Egg/hen</t>
  </si>
  <si>
    <t>kg egg/hen</t>
  </si>
  <si>
    <t>hens/egg (for animal welfare assessment)</t>
  </si>
  <si>
    <t>Belgium</t>
  </si>
  <si>
    <t>e</t>
  </si>
  <si>
    <t>:</t>
  </si>
  <si>
    <t>Bulgaria</t>
  </si>
  <si>
    <t>Czechia</t>
  </si>
  <si>
    <t>Estonia</t>
  </si>
  <si>
    <t>p</t>
  </si>
  <si>
    <t>Croatia</t>
  </si>
  <si>
    <t>Cyprus</t>
  </si>
  <si>
    <t>Latvia</t>
  </si>
  <si>
    <t>Lithuania</t>
  </si>
  <si>
    <t>Luxembourg</t>
  </si>
  <si>
    <t>Malta</t>
  </si>
  <si>
    <t>Portugal</t>
  </si>
  <si>
    <t>Romania</t>
  </si>
  <si>
    <t>Slovenia</t>
  </si>
  <si>
    <t>Slovakia</t>
  </si>
  <si>
    <t>Finland</t>
  </si>
  <si>
    <t>United Kingdom</t>
  </si>
  <si>
    <t>Serbia</t>
  </si>
  <si>
    <t>Türkiye</t>
  </si>
  <si>
    <t>Special value</t>
  </si>
  <si>
    <t>not available</t>
  </si>
  <si>
    <t>Available flags:</t>
  </si>
  <si>
    <t>estimated</t>
  </si>
  <si>
    <t>b</t>
  </si>
  <si>
    <t>provisional</t>
  </si>
  <si>
    <t>Sweden, https://statistik.sjv.se/PXWeb/pxweb/sv/Jordbruksverkets%20statistikdatabas/Jordbruksverkets%20statistikdatabas__Animalieproduktion__Agg/JO0604A7.px/table/tableViewLayout1/?loadedQueryId=JO0604A7_2020&amp;timeType=item</t>
  </si>
  <si>
    <t>Average</t>
  </si>
  <si>
    <t>Egg, thousand tons</t>
  </si>
  <si>
    <t>No of hens</t>
  </si>
  <si>
    <t>kg  egg/hen</t>
  </si>
  <si>
    <t>hens/kg egg</t>
  </si>
  <si>
    <t>Manure emissions</t>
  </si>
  <si>
    <t xml:space="preserve"> </t>
  </si>
  <si>
    <t>Share solid</t>
  </si>
  <si>
    <t>CRF 2023, Table3.B(a)s2. Only solid, liquid and other (deep litter) considered, adjusted to 100%.</t>
  </si>
  <si>
    <t>NIR 2023, Table 5.10-5.12</t>
  </si>
  <si>
    <t>Share liquid</t>
  </si>
  <si>
    <t>NIR 2023, Table 5.10-5.13</t>
  </si>
  <si>
    <t>Share deep litter</t>
  </si>
  <si>
    <t>NIR 2023, Table 5.10-5.14</t>
  </si>
  <si>
    <t>METHANE EMISSIONS</t>
  </si>
  <si>
    <t>Emission factors methane emissions</t>
  </si>
  <si>
    <t>Poultry, broilers, kg CH4 per animal per year</t>
  </si>
  <si>
    <t>CRF 2023, Table3.B(a)s1</t>
  </si>
  <si>
    <t>NIR, 2023. Table 5.17</t>
  </si>
  <si>
    <t>CRF 2023, Table3.B(a)s1. 0,21 according to CRF-table. Assumed to have missed a zero, adjusted to 0,021</t>
  </si>
  <si>
    <t>NIR, 2023. p. 245</t>
  </si>
  <si>
    <t>NIR 2023, Table 5.3.3</t>
  </si>
  <si>
    <t>NIR 2022, Table 5.18</t>
  </si>
  <si>
    <t>NITROGEN  EMISSIONS</t>
  </si>
  <si>
    <t>N excreted per animal</t>
  </si>
  <si>
    <t>N excreted, kg per head per year</t>
  </si>
  <si>
    <t>CRF 2023, Table3.B(b)</t>
  </si>
  <si>
    <t>NIR, 2023. Table 5.3.16</t>
  </si>
  <si>
    <t>NIR 2022, Table 5.17</t>
  </si>
  <si>
    <t>Proportion of TAN</t>
  </si>
  <si>
    <t>EMEP/EEA 2019. Table 3.9</t>
  </si>
  <si>
    <t>N excreted in different systems, kg per year</t>
  </si>
  <si>
    <t>Solid</t>
  </si>
  <si>
    <t>Liquid</t>
  </si>
  <si>
    <t xml:space="preserve">Deep litter </t>
  </si>
  <si>
    <t>TAN excreted in different systems, kg per year, m_house, TAN</t>
  </si>
  <si>
    <t>Emissions from housing, kg NH3-N per year, E_house</t>
  </si>
  <si>
    <t>Step 6</t>
  </si>
  <si>
    <t xml:space="preserve">Using EF for solid manure </t>
  </si>
  <si>
    <t>Per kg egg&amp;meat</t>
  </si>
  <si>
    <t>EF NH3-N housing solid</t>
  </si>
  <si>
    <t>EF NH3-N housing slurry</t>
  </si>
  <si>
    <t>Add bedding</t>
  </si>
  <si>
    <t>Step 7</t>
  </si>
  <si>
    <t>Remaining TAN after housing losses, kg per year, m_storage, TAN</t>
  </si>
  <si>
    <t>Modified TAN to account for org N mineralisation (only applies to liquid)</t>
  </si>
  <si>
    <t>Step 9</t>
  </si>
  <si>
    <t>Deep litter</t>
  </si>
  <si>
    <t>f min</t>
  </si>
  <si>
    <t>EMEP/EEA 2019, just below equ. 32</t>
  </si>
  <si>
    <t>Emission of NH3-N from storage, kg per year, E_storage_ammonia</t>
  </si>
  <si>
    <t>Step 10</t>
  </si>
  <si>
    <t>Step 10 is emissions of NH3-N, N2O-N, NO-N and N2 but here they are split</t>
  </si>
  <si>
    <t>EF NH3-N storage solid</t>
  </si>
  <si>
    <t>EF NH3-N storage slurry</t>
  </si>
  <si>
    <t>Emission of N2O-N from storage, kg per year, E_storage_N2O</t>
  </si>
  <si>
    <t>EF N2O-N storage solid</t>
  </si>
  <si>
    <t>EMEP/EEA 2019. Table 3.8, Layer manure heaps, solid</t>
  </si>
  <si>
    <t>Här verkar alla använda litet olika och det slår ganska mycket</t>
  </si>
  <si>
    <t>EF N2O-N storage slurry</t>
  </si>
  <si>
    <t>EMEP/EEA 2019. Table 3.8, Cattle slurry with natural crust</t>
  </si>
  <si>
    <t>Emission of NO and N2 from storage, kg per year, E_storage_NO and N2</t>
  </si>
  <si>
    <t>EF NO storage solid</t>
  </si>
  <si>
    <t>EMEP/EEA 2019. Table 3.10</t>
  </si>
  <si>
    <t>EF NO storage slurry</t>
  </si>
  <si>
    <t>EF N2 storage solid</t>
  </si>
  <si>
    <t>EF N2 storage slurry</t>
  </si>
  <si>
    <t>Remaining TAN after storage losses, kg per year, m_applic, TAN</t>
  </si>
  <si>
    <t>Emission of NH3-N from application, kg per year, E_application_ammonia</t>
  </si>
  <si>
    <t>Step 12</t>
  </si>
  <si>
    <t>Per kg of egg&amp;meat</t>
  </si>
  <si>
    <t>EF NH3-N application solid</t>
  </si>
  <si>
    <t>EF NH3-N application slurry</t>
  </si>
  <si>
    <t>EF N2O volatilization</t>
  </si>
  <si>
    <t>IPCC, 2019</t>
  </si>
  <si>
    <t>Remaining TAN after application losses, kg per year, m_returned, TAN</t>
  </si>
  <si>
    <t>Total losses, kg N per year</t>
  </si>
  <si>
    <t>Fraction of applied that is lost:</t>
  </si>
  <si>
    <t>Remaining total-N after losses, kg per year</t>
  </si>
  <si>
    <t>Total returned to soils:</t>
  </si>
  <si>
    <t>Remaining total-N per kg of food</t>
  </si>
  <si>
    <t>Excreted N after losses, kg N per kg of egg&amp;meat</t>
  </si>
  <si>
    <t>Ammonia emissions</t>
  </si>
  <si>
    <t>Ammonia emissions, kg NH3 per kg of egg&amp;meat</t>
  </si>
  <si>
    <t>Emissions of CO2 from feed crops (per kg of crop)</t>
  </si>
  <si>
    <t>Columns A-M copied straight from RPC filerna</t>
  </si>
  <si>
    <t xml:space="preserve">Shares from Karlsson et al. </t>
  </si>
  <si>
    <t>Crops</t>
  </si>
  <si>
    <t>Share</t>
  </si>
  <si>
    <t xml:space="preserve">Categories </t>
  </si>
  <si>
    <t>Direct emissions</t>
  </si>
  <si>
    <t>Indirect emissions</t>
  </si>
  <si>
    <t>Energy use feed processing</t>
  </si>
  <si>
    <t>Transports of feed</t>
  </si>
  <si>
    <t>0115</t>
  </si>
  <si>
    <t>Cereals, incl feed</t>
  </si>
  <si>
    <t>0112</t>
  </si>
  <si>
    <t>0117</t>
  </si>
  <si>
    <t>0116</t>
  </si>
  <si>
    <t>0111</t>
  </si>
  <si>
    <t>01705</t>
  </si>
  <si>
    <t>Pulses, incl feed</t>
  </si>
  <si>
    <t>01702</t>
  </si>
  <si>
    <t>Protein feed</t>
  </si>
  <si>
    <t>Soy bean meal</t>
  </si>
  <si>
    <t>By-product</t>
  </si>
  <si>
    <t>Other, feed</t>
  </si>
  <si>
    <t>Feed, other</t>
  </si>
  <si>
    <t>Total for the feed mix:</t>
  </si>
  <si>
    <t>Emissions of CH4 from feed crops (per kg of crop)</t>
  </si>
  <si>
    <t>Emissions of N2O from feed crops (per kg of crop)</t>
  </si>
  <si>
    <t>Environmental footprints per kg of feed</t>
  </si>
  <si>
    <t>Columns F-L copied straight from RPC filerna</t>
  </si>
  <si>
    <t>Nitrogen</t>
  </si>
  <si>
    <t>N application, kg N/kg</t>
  </si>
  <si>
    <t>P application, kg P/kg</t>
  </si>
  <si>
    <t>Emission and characterisation factors, general</t>
  </si>
  <si>
    <t>Emission factors energy carriers</t>
  </si>
  <si>
    <t>kg CO2 per kWh</t>
  </si>
  <si>
    <t>kg CH4 per kWh</t>
  </si>
  <si>
    <t>kg N2O per kWh</t>
  </si>
  <si>
    <t>Heating oil, kg CO2e/kWh</t>
  </si>
  <si>
    <t>Gode et al 2011</t>
  </si>
  <si>
    <t>Biofuels, kg CO2e/kWh</t>
  </si>
  <si>
    <t>Gode et al 2011, average of bark and chips, pellets and briquettes</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</si>
  <si>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</si>
  <si>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</si>
  <si>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</si>
  <si>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</si>
  <si>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</si>
  <si>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</si>
  <si>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</si>
  <si>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Characterisations factors</t>
  </si>
  <si>
    <t>Ability to perceive handling (from 0 to 1)</t>
  </si>
  <si>
    <t>Slaughter duration class (0.01-2)</t>
  </si>
  <si>
    <t>Weight no of animal</t>
  </si>
  <si>
    <t>Weight ability to perceive handling</t>
  </si>
  <si>
    <t>Weight mortality</t>
  </si>
  <si>
    <t>Weight diseases</t>
  </si>
  <si>
    <t>Weight space</t>
  </si>
  <si>
    <t>Weight slaughter duration class</t>
  </si>
  <si>
    <t>Emission factors, electricity Brazil</t>
  </si>
  <si>
    <t>See Chicken.xlsx</t>
  </si>
  <si>
    <t>Electricity, kg CH4/kWh</t>
  </si>
  <si>
    <t>Off-farm feed</t>
  </si>
  <si>
    <t>Greenhouse gas emissons:</t>
  </si>
  <si>
    <t>Cultivated in country</t>
  </si>
  <si>
    <t>Source LUC:</t>
  </si>
  <si>
    <t>0141</t>
  </si>
  <si>
    <t>Soya beans</t>
  </si>
  <si>
    <t>Brazil</t>
  </si>
  <si>
    <t>Pendrill et al. 2022</t>
  </si>
  <si>
    <t>CH4, bio</t>
  </si>
  <si>
    <t>Argentina</t>
  </si>
  <si>
    <t>0141_m</t>
  </si>
  <si>
    <t>Brazil, Argentina</t>
  </si>
  <si>
    <t>Flysjö et al. 2008, Figur 6.35</t>
  </si>
  <si>
    <t>Flysjö et al. 2008, Figur 6.35, divided by GWP-factor used in report, Tabell 5.1</t>
  </si>
  <si>
    <t>Other footprints:</t>
  </si>
  <si>
    <t>Pulses</t>
  </si>
  <si>
    <t>BR</t>
  </si>
  <si>
    <t>AR</t>
  </si>
  <si>
    <t>Feed</t>
  </si>
  <si>
    <t>Parameters for soy</t>
  </si>
  <si>
    <t>Soy meal in 1 kg soy bean</t>
  </si>
  <si>
    <t>Flysjö et al. 2008, Tabell 4.24</t>
  </si>
  <si>
    <t>Economic allocation factor meal</t>
  </si>
  <si>
    <t>Energy use processing:</t>
  </si>
  <si>
    <t>Electricity</t>
  </si>
  <si>
    <t>MJ per kg soy beans processed</t>
  </si>
  <si>
    <t>Share electricity:</t>
  </si>
  <si>
    <t>Flysjö et al. 2008</t>
  </si>
  <si>
    <t>Biomass</t>
  </si>
  <si>
    <t>Assuming half of soy from Brazil and the other half from Argentina.</t>
  </si>
  <si>
    <t xml:space="preserve">https://www.fediol.eu/data/Where%20does%20soy%20come%20from.pdf </t>
  </si>
  <si>
    <t>Rape seed meal</t>
  </si>
  <si>
    <t>01443</t>
  </si>
  <si>
    <t>Rape or colza seed, average</t>
  </si>
  <si>
    <t>01443_m</t>
  </si>
  <si>
    <t>France, Germany, Poland</t>
  </si>
  <si>
    <t>Source transports:</t>
  </si>
  <si>
    <t>Flysjö et al. 2008, Figur 6.36</t>
  </si>
  <si>
    <t>Flysjö et al. 2008, Figur 6.36, divided by GWP-factor used in report, Tabell 5.1</t>
  </si>
  <si>
    <t>Parameters for rape seed</t>
  </si>
  <si>
    <t>Rape meal in 1 kg rape seed</t>
  </si>
  <si>
    <t>MJ per kg rape seed processed</t>
  </si>
  <si>
    <t>Flysjö et al. 2008, p. 45, using share of electricity as for soy because ratio between electricity and gas/biofuels not stated</t>
  </si>
  <si>
    <t>Using the three largest rapeseed countries and taking an average of these.</t>
  </si>
  <si>
    <t>https://projects.luke.fi/ruokafakta/en/field-crops/rapeseed-production-volumes/#:~:text=The%20largest%20producers%20are%20France,Germany%2C%20with%203.7%20billion%20kilos.</t>
  </si>
  <si>
    <t>Verification</t>
  </si>
  <si>
    <t>This study</t>
  </si>
  <si>
    <t>Cultivation</t>
  </si>
  <si>
    <t>Slightly different because in this study we use a mix of three countries, Flysjö only Sweden</t>
  </si>
  <si>
    <t>Processing</t>
  </si>
  <si>
    <t>Slightly higher because of electricity mix from the three countries</t>
  </si>
  <si>
    <t>Transport</t>
  </si>
  <si>
    <t>Slightly different because of different GWP-factors</t>
  </si>
  <si>
    <t>References</t>
  </si>
  <si>
    <t>Abín et al. 2018.Environmental assesment of intensive egg production: A Spanish case study. Journal of Cleaner Production 179, 160-168. https://doi.org/10.1016/j.jclepro.2018.01.067</t>
  </si>
  <si>
    <t>Guillaume et al. 2022. Environmental Impacts of Egg Production from a Life Cycle Perspective. Agriculture 2022, 12, 355. https://doi.org/10.3390/agriculture12030355</t>
  </si>
  <si>
    <t xml:space="preserve">Landquist et al. 2020. Uppdaterad och utökad livscykelanalys av svensk grisproduktion. RISE Rapport 2020:59. https://www.diva-portal.org/smash/get/diva2:1516404/FULLTEXT03.pdf </t>
  </si>
  <si>
    <t>Paris et al. 2022. Energy Use in the EU Livestock Sector: A Review Recommending Energy Efficiency Measures and Renewable Energy Sources Adoption. Appl. Sci. 2022, 12, 2142. https://doi.org/10.3390/app12042142</t>
  </si>
  <si>
    <t>Copied from RPC-file</t>
  </si>
  <si>
    <t>Remember to divide biodiversity by 100 when updating! Or use merged_data in the R-script</t>
  </si>
  <si>
    <t>approx Germany</t>
  </si>
  <si>
    <t>Share of extinction rate , %</t>
  </si>
  <si>
    <t>Parent animals</t>
  </si>
  <si>
    <t>Half are hens</t>
  </si>
  <si>
    <t>No of eggs per parent hen, 16 kg egg per year * 60 g per egg</t>
  </si>
  <si>
    <t>Parent animals per hen</t>
  </si>
  <si>
    <t>Per kg of egg</t>
  </si>
  <si>
    <t>DK</t>
  </si>
  <si>
    <t>No data in CRF-table, assuming average</t>
  </si>
  <si>
    <t>Barn system, 431 eggs per hen</t>
  </si>
  <si>
    <t>Including feed for young hens, DK har 1.9-2.2 for kg feed/kg egg without feed for young hens and this is similar to the Cederberg data for Sweden</t>
  </si>
  <si>
    <t xml:space="preserve">Spain </t>
  </si>
  <si>
    <t>Production of mineral fertiliser, kg CO2/kg N</t>
  </si>
  <si>
    <t>From EF N Fertiliser.xlsx</t>
  </si>
  <si>
    <t>Production of mineral fertiliser, kg CH4/kg N</t>
  </si>
  <si>
    <t>Production of mineral fertiliser, kg N2O/kg N</t>
  </si>
  <si>
    <t>Energy use heat, kWh/kg CW</t>
  </si>
  <si>
    <t>Natural gas, kg CO2e/kWh</t>
  </si>
  <si>
    <t>From Emission factors.xslx</t>
  </si>
  <si>
    <t>Assumption - no data</t>
  </si>
  <si>
    <t>Drinking water, hens, l per animal per day</t>
  </si>
  <si>
    <t>Service water, hens, l per animal per day</t>
  </si>
  <si>
    <t>Drinking water, recruit hens, l per animal per day</t>
  </si>
  <si>
    <t>Service water, recruit hens, l per animal per day</t>
  </si>
  <si>
    <t>Rearing period (age at point of lay), days</t>
  </si>
  <si>
    <t>Laying period, days</t>
  </si>
  <si>
    <t>From Water requirements per species.xlsx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</si>
</sst>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000"/>
    <numFmt numFmtId="165" formatCode="0.0"/>
    <numFmt numFmtId="166" formatCode="0.0E+00"/>
    <numFmt numFmtId="167" formatCode="0.000E+00"/>
    <numFmt numFmtId="168" formatCode="#,##0.0"/>
    <numFmt numFmtId="169" formatCode="0E+00"/>
    <numFmt numFmtId="170" formatCode="0.0000"/>
    <numFmt numFmtId="171" formatCode="0.00000"/>
    <numFmt numFmtId="172" formatCode="#,##0.000"/>
    <numFmt numFmtId="173" formatCode="#,##0.##########"/>
    <numFmt numFmtId="174" formatCode="_-* #,##0.00\ _F_-;\-* #,##0.00\ _F_-;_-* &quot;-&quot;??\ _F_-;_-@_-"/>
    <numFmt numFmtId="175" formatCode="#,##0.0000"/>
  </numFmts>
  <fonts count="90"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b/>
      <i/>
      <sz val="11"/>
      <color theme="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b/>
      <i/>
      <sz val="11"/>
      <name val="Calibri"/>
      <family val="2"/>
      <scheme val="minor"/>
    </font>
    <font>
      <sz val="11"/>
      <color rgb="FF000000"/>
      <name val="Calibri"/>
      <family val="2"/>
      <scheme val="minor"/>
    </font>
    <font>
      <sz val="11"/>
      <color theme="5" tint="-0.249977111117893"/>
      <name val="Calibri"/>
      <family val="2"/>
      <scheme val="minor"/>
    </font>
    <font>
      <sz val="10"/>
      <color rgb="FFFF0000"/>
      <name val="Calibri"/>
      <family val="2"/>
      <scheme val="minor"/>
    </font>
    <font>
      <sz val="10"/>
      <name val="Calibri"/>
      <family val="2"/>
      <scheme val="minor"/>
    </font>
    <font>
      <i/>
      <sz val="11"/>
      <color rgb="FFFF0000"/>
      <name val="Calibri"/>
      <family val="2"/>
      <scheme val="minor"/>
    </font>
    <font>
      <b/>
      <sz val="11"/>
      <color rgb="FFFF0000"/>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i/>
      <sz val="11"/>
      <color rgb="FF7F7F7F"/>
      <name val="Calibri"/>
      <family val="2"/>
      <scheme val="minor"/>
    </font>
    <font>
      <b/>
      <sz val="12"/>
      <name val="Times New Roman"/>
      <family val="1"/>
    </font>
    <font>
      <sz val="9"/>
      <color indexed="8"/>
      <name val="Times New Roman"/>
      <family val="1"/>
    </font>
    <font>
      <b/>
      <sz val="9"/>
      <name val="Times New Roman"/>
      <family val="1"/>
    </font>
    <font>
      <sz val="9"/>
      <name val="Times New Roman"/>
      <family val="1"/>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sz val="11"/>
      <color theme="8"/>
      <name val="Calibri"/>
      <family val="2"/>
      <scheme val="minor"/>
    </font>
    <font>
      <sz val="9"/>
      <name val="Arial"/>
      <family val="2"/>
    </font>
    <font>
      <b/>
      <sz val="9"/>
      <name val="Arial"/>
      <family val="2"/>
    </font>
    <font>
      <b/>
      <sz val="9"/>
      <color indexed="9"/>
      <name val="Arial"/>
      <family val="2"/>
    </font>
    <font>
      <b/>
      <sz val="10"/>
      <color theme="1"/>
      <name val="Calibri"/>
      <family val="2"/>
      <scheme val="minor"/>
    </font>
    <font>
      <b/>
      <sz val="11"/>
      <color theme="5"/>
      <name val="Calibri"/>
      <family val="2"/>
      <scheme val="minor"/>
    </font>
    <font>
      <sz val="11"/>
      <color theme="5"/>
      <name val="Calibri"/>
      <family val="2"/>
      <scheme val="minor"/>
    </font>
    <font>
      <sz val="11"/>
      <color theme="1"/>
      <name val="Calibri"/>
      <family val="2"/>
      <charset val="1"/>
    </font>
    <font>
      <sz val="11"/>
      <color theme="5"/>
      <name val="Calibri"/>
      <family val="2"/>
      <charset val="1"/>
    </font>
    <font>
      <sz val="10"/>
      <color theme="1"/>
      <name val="Calibri"/>
      <family val="2"/>
      <charset val="1"/>
    </font>
  </fonts>
  <fills count="69">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FCC99"/>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theme="9" tint="0.39997558519241921"/>
        <bgColor indexed="64"/>
      </patternFill>
    </fill>
    <fill>
      <patternFill patternType="solid">
        <fgColor theme="2" tint="-0.249977111117893"/>
        <bgColor indexed="64"/>
      </patternFill>
    </fill>
    <fill>
      <patternFill patternType="solid">
        <fgColor rgb="FF4669AF"/>
      </patternFill>
    </fill>
    <fill>
      <patternFill patternType="solid">
        <fgColor rgb="FF0096DC"/>
      </patternFill>
    </fill>
    <fill>
      <patternFill patternType="mediumGray">
        <bgColor indexed="22"/>
      </patternFill>
    </fill>
    <fill>
      <patternFill patternType="solid">
        <fgColor rgb="FFDCE6F1"/>
      </patternFill>
    </fill>
    <fill>
      <patternFill patternType="solid">
        <fgColor rgb="FFF6F6F6"/>
      </patternFill>
    </fill>
  </fills>
  <borders count="42">
    <border>
      <left/>
      <right/>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double">
        <color theme="9" tint="-0.249977111117893"/>
      </left>
      <right style="double">
        <color theme="9" tint="-0.249977111117893"/>
      </right>
      <top style="double">
        <color theme="9" tint="-0.249977111117893"/>
      </top>
      <bottom style="thin">
        <color indexed="64"/>
      </bottom>
      <diagonal/>
    </border>
    <border>
      <left style="double">
        <color theme="9" tint="-0.249977111117893"/>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0B0B0"/>
      </left>
      <right style="thin">
        <color rgb="FFB0B0B0"/>
      </right>
      <top style="thin">
        <color rgb="FFB0B0B0"/>
      </top>
      <bottom style="thin">
        <color rgb="FFB0B0B0"/>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793">
    <xf numFmtId="0" fontId="0" fillId="0" borderId="0"/>
    <xf numFmtId="0" fontId="5" fillId="0" borderId="0"/>
    <xf numFmtId="0" fontId="36" fillId="0" borderId="26"/>
    <xf numFmtId="0" fontId="29" fillId="13" borderId="7"/>
    <xf numFmtId="0" fontId="33" fillId="0" borderId="0"/>
    <xf numFmtId="0" fontId="34" fillId="0" borderId="0">
      <alignment horizontal="right"/>
    </xf>
    <xf numFmtId="0" fontId="5" fillId="0" borderId="0"/>
    <xf numFmtId="0" fontId="35" fillId="0" borderId="0">
      <alignment horizontal="left" vertical="center"/>
    </xf>
    <xf numFmtId="0" fontId="36" fillId="33" borderId="0">
      <alignment horizontal="right" vertical="center"/>
    </xf>
    <xf numFmtId="0" fontId="36" fillId="33" borderId="10">
      <alignment horizontal="right" vertical="center"/>
    </xf>
    <xf numFmtId="0" fontId="5" fillId="0" borderId="0">
      <alignment horizontal="left" vertical="center" indent="2"/>
    </xf>
    <xf numFmtId="0" fontId="36" fillId="33" borderId="0">
      <alignment horizontal="right" vertical="center"/>
    </xf>
    <xf numFmtId="0" fontId="36" fillId="0" borderId="0">
      <alignment horizontal="right" vertical="center"/>
    </xf>
    <xf numFmtId="0" fontId="5" fillId="34" borderId="0"/>
    <xf numFmtId="0" fontId="5" fillId="0" borderId="0">
      <alignment horizontal="left" vertical="center" indent="5"/>
    </xf>
    <xf numFmtId="0" fontId="36" fillId="0" borderId="14"/>
    <xf numFmtId="0" fontId="34" fillId="0" borderId="17">
      <alignment horizontal="left" vertical="top" wrapText="1"/>
    </xf>
    <xf numFmtId="0" fontId="34" fillId="35" borderId="14">
      <alignment horizontal="right" vertical="center"/>
    </xf>
    <xf numFmtId="0" fontId="34" fillId="35" borderId="14">
      <alignment horizontal="right" vertical="center"/>
    </xf>
    <xf numFmtId="0" fontId="36" fillId="0" borderId="19">
      <alignment horizontal="left" vertical="center" wrapText="1" indent="2"/>
    </xf>
    <xf numFmtId="0" fontId="34" fillId="35" borderId="15">
      <alignment horizontal="right" vertical="center"/>
    </xf>
    <xf numFmtId="0" fontId="36" fillId="0" borderId="14">
      <alignment horizontal="right" vertical="center"/>
    </xf>
    <xf numFmtId="0" fontId="5" fillId="0" borderId="18"/>
    <xf numFmtId="0" fontId="38" fillId="33" borderId="14">
      <alignment horizontal="right" vertical="center"/>
    </xf>
    <xf numFmtId="0" fontId="36" fillId="34" borderId="14"/>
    <xf numFmtId="0" fontId="34" fillId="33" borderId="14">
      <alignment horizontal="right" vertical="center"/>
    </xf>
    <xf numFmtId="0" fontId="34" fillId="33" borderId="11">
      <alignment horizontal="right" vertical="center"/>
    </xf>
    <xf numFmtId="0" fontId="36" fillId="0" borderId="11">
      <alignment horizontal="right" vertical="center"/>
    </xf>
    <xf numFmtId="4" fontId="5" fillId="0" borderId="0"/>
    <xf numFmtId="0" fontId="34" fillId="35" borderId="16">
      <alignment horizontal="right" vertical="center"/>
    </xf>
    <xf numFmtId="0" fontId="34" fillId="35" borderId="11">
      <alignment horizontal="right" vertical="center"/>
    </xf>
    <xf numFmtId="0" fontId="34" fillId="35" borderId="13">
      <alignment horizontal="right" vertical="center"/>
    </xf>
    <xf numFmtId="4" fontId="34" fillId="35" borderId="15">
      <alignment horizontal="right" vertical="center"/>
    </xf>
    <xf numFmtId="0" fontId="36" fillId="0" borderId="0"/>
    <xf numFmtId="0" fontId="36" fillId="38" borderId="14">
      <alignment horizontal="right" vertical="center"/>
    </xf>
    <xf numFmtId="0" fontId="36" fillId="38" borderId="0">
      <alignment horizontal="right" vertical="center"/>
    </xf>
    <xf numFmtId="0" fontId="5" fillId="0" borderId="0"/>
    <xf numFmtId="0" fontId="5" fillId="37" borderId="14"/>
    <xf numFmtId="4" fontId="5" fillId="0" borderId="0"/>
    <xf numFmtId="4" fontId="36" fillId="0" borderId="14">
      <alignment horizontal="right" vertical="center"/>
    </xf>
    <xf numFmtId="0" fontId="41" fillId="0" borderId="0"/>
    <xf numFmtId="4" fontId="5" fillId="0" borderId="0"/>
    <xf numFmtId="4" fontId="5" fillId="0" borderId="0"/>
    <xf numFmtId="0" fontId="28" fillId="0" borderId="0"/>
    <xf numFmtId="0" fontId="36" fillId="34" borderId="14"/>
    <xf numFmtId="0" fontId="34" fillId="35" borderId="15">
      <alignment horizontal="right" vertical="center"/>
    </xf>
    <xf numFmtId="0" fontId="34" fillId="35" borderId="26">
      <alignment horizontal="right" vertical="center"/>
    </xf>
    <xf numFmtId="0" fontId="34" fillId="35" borderId="26">
      <alignment horizontal="right" vertical="center"/>
    </xf>
    <xf numFmtId="0" fontId="13" fillId="26" borderId="0"/>
    <xf numFmtId="0" fontId="5" fillId="60" borderId="25"/>
    <xf numFmtId="0" fontId="36" fillId="0" borderId="26">
      <alignment horizontal="right" vertical="center"/>
    </xf>
    <xf numFmtId="0" fontId="34" fillId="35" borderId="26">
      <alignment horizontal="right" vertical="center"/>
    </xf>
    <xf numFmtId="4" fontId="34" fillId="35" borderId="28">
      <alignment horizontal="right" vertical="center"/>
    </xf>
    <xf numFmtId="4" fontId="38" fillId="33" borderId="26">
      <alignment horizontal="right" vertical="center"/>
    </xf>
    <xf numFmtId="0" fontId="30" fillId="14" borderId="8"/>
    <xf numFmtId="0" fontId="31" fillId="14" borderId="7"/>
    <xf numFmtId="0" fontId="42" fillId="60" borderId="25"/>
    <xf numFmtId="0" fontId="36" fillId="0" borderId="29">
      <alignment horizontal="left" vertical="center" wrapText="1" indent="2"/>
    </xf>
    <xf numFmtId="0" fontId="1" fillId="0" borderId="0"/>
    <xf numFmtId="0" fontId="34" fillId="33" borderId="26">
      <alignment horizontal="right" vertical="center"/>
    </xf>
    <xf numFmtId="0" fontId="32" fillId="0" borderId="0"/>
    <xf numFmtId="0" fontId="2" fillId="0" borderId="9"/>
    <xf numFmtId="0" fontId="66" fillId="0" borderId="32"/>
    <xf numFmtId="0" fontId="28" fillId="15" borderId="0"/>
    <xf numFmtId="0" fontId="28" fillId="16" borderId="0"/>
    <xf numFmtId="0" fontId="13" fillId="17" borderId="0"/>
    <xf numFmtId="0" fontId="59" fillId="44" borderId="31"/>
    <xf numFmtId="0" fontId="28" fillId="18" borderId="0"/>
    <xf numFmtId="0" fontId="28" fillId="19" borderId="0"/>
    <xf numFmtId="0" fontId="13" fillId="20" borderId="0"/>
    <xf numFmtId="0" fontId="28" fillId="22" borderId="0"/>
    <xf numFmtId="0" fontId="28" fillId="21" borderId="0"/>
    <xf numFmtId="0" fontId="13" fillId="23" borderId="0"/>
    <xf numFmtId="0" fontId="42" fillId="60" borderId="25"/>
    <xf numFmtId="0" fontId="28" fillId="24" borderId="0"/>
    <xf numFmtId="0" fontId="28" fillId="25" borderId="0"/>
    <xf numFmtId="0" fontId="28" fillId="27" borderId="0"/>
    <xf numFmtId="0" fontId="28" fillId="28" borderId="0"/>
    <xf numFmtId="0" fontId="13" fillId="29" borderId="0"/>
    <xf numFmtId="0" fontId="34" fillId="35" borderId="26">
      <alignment horizontal="right" vertical="center"/>
    </xf>
    <xf numFmtId="0" fontId="28" fillId="30" borderId="0"/>
    <xf numFmtId="0" fontId="28" fillId="31" borderId="0"/>
    <xf numFmtId="0" fontId="13" fillId="32" borderId="0"/>
    <xf numFmtId="0" fontId="36" fillId="0" borderId="14"/>
    <xf numFmtId="0" fontId="34" fillId="35" borderId="14">
      <alignment horizontal="right" vertical="center"/>
    </xf>
    <xf numFmtId="0" fontId="34" fillId="35" borderId="14">
      <alignment horizontal="right" vertical="center"/>
    </xf>
    <xf numFmtId="0" fontId="36" fillId="0" borderId="19">
      <alignment horizontal="left" vertical="center" wrapText="1" indent="2"/>
    </xf>
    <xf numFmtId="0" fontId="34" fillId="35" borderId="15">
      <alignment horizontal="right" vertical="center"/>
    </xf>
    <xf numFmtId="0" fontId="36" fillId="0" borderId="14">
      <alignment horizontal="right" vertical="center"/>
    </xf>
    <xf numFmtId="0" fontId="38" fillId="33" borderId="14">
      <alignment horizontal="right" vertical="center"/>
    </xf>
    <xf numFmtId="0" fontId="36" fillId="34" borderId="14"/>
    <xf numFmtId="0" fontId="34" fillId="33" borderId="14">
      <alignment horizontal="right" vertical="center"/>
    </xf>
    <xf numFmtId="0" fontId="34" fillId="35" borderId="13">
      <alignment horizontal="right" vertical="center"/>
    </xf>
    <xf numFmtId="0" fontId="40" fillId="0" borderId="0"/>
    <xf numFmtId="0" fontId="42" fillId="39" borderId="0"/>
    <xf numFmtId="0" fontId="42" fillId="40" borderId="0"/>
    <xf numFmtId="0" fontId="42" fillId="41" borderId="0"/>
    <xf numFmtId="0" fontId="42" fillId="42" borderId="0"/>
    <xf numFmtId="0" fontId="42" fillId="43" borderId="0"/>
    <xf numFmtId="0" fontId="42" fillId="44" borderId="0"/>
    <xf numFmtId="0" fontId="5" fillId="0" borderId="0">
      <alignment horizontal="left" vertical="center" indent="2"/>
    </xf>
    <xf numFmtId="0" fontId="5" fillId="0" borderId="0">
      <alignment horizontal="left" vertical="center" indent="2"/>
    </xf>
    <xf numFmtId="49" fontId="36" fillId="0" borderId="14">
      <alignment horizontal="left" vertical="center" indent="2"/>
    </xf>
    <xf numFmtId="0" fontId="42" fillId="45" borderId="0"/>
    <xf numFmtId="0" fontId="42" fillId="46" borderId="0"/>
    <xf numFmtId="0" fontId="42" fillId="47" borderId="0"/>
    <xf numFmtId="0" fontId="42" fillId="42" borderId="0"/>
    <xf numFmtId="0" fontId="42" fillId="45" borderId="0"/>
    <xf numFmtId="0" fontId="42" fillId="48" borderId="0"/>
    <xf numFmtId="0" fontId="5" fillId="0" borderId="0">
      <alignment horizontal="left" vertical="center" indent="5"/>
    </xf>
    <xf numFmtId="0" fontId="5" fillId="0" borderId="0">
      <alignment horizontal="left" vertical="center" indent="5"/>
    </xf>
    <xf numFmtId="49" fontId="36" fillId="0" borderId="13">
      <alignment horizontal="left" vertical="center" indent="5"/>
    </xf>
    <xf numFmtId="0" fontId="44" fillId="49" borderId="0"/>
    <xf numFmtId="0" fontId="44" fillId="46" borderId="0"/>
    <xf numFmtId="0" fontId="44" fillId="47" borderId="0"/>
    <xf numFmtId="0" fontId="44" fillId="50" borderId="0"/>
    <xf numFmtId="0" fontId="44" fillId="51" borderId="0"/>
    <xf numFmtId="0" fontId="44" fillId="52" borderId="0"/>
    <xf numFmtId="0" fontId="44" fillId="53" borderId="0"/>
    <xf numFmtId="0" fontId="44" fillId="54" borderId="0"/>
    <xf numFmtId="0" fontId="44" fillId="55" borderId="0"/>
    <xf numFmtId="0" fontId="44" fillId="50" borderId="0"/>
    <xf numFmtId="0" fontId="44" fillId="51" borderId="0"/>
    <xf numFmtId="0" fontId="44" fillId="56" borderId="0"/>
    <xf numFmtId="0" fontId="35" fillId="38" borderId="0"/>
    <xf numFmtId="4" fontId="35" fillId="38" borderId="0"/>
    <xf numFmtId="4" fontId="36" fillId="38" borderId="0">
      <alignment horizontal="right" vertical="center"/>
    </xf>
    <xf numFmtId="4" fontId="36" fillId="33" borderId="0">
      <alignment horizontal="right" vertical="center"/>
    </xf>
    <xf numFmtId="4" fontId="36" fillId="33" borderId="0">
      <alignment horizontal="right" vertical="center"/>
    </xf>
    <xf numFmtId="4" fontId="34" fillId="33" borderId="14">
      <alignment horizontal="right" vertical="center"/>
    </xf>
    <xf numFmtId="4" fontId="38" fillId="33" borderId="14">
      <alignment horizontal="right" vertical="center"/>
    </xf>
    <xf numFmtId="4" fontId="34" fillId="35" borderId="14">
      <alignment horizontal="right" vertical="center"/>
    </xf>
    <xf numFmtId="4" fontId="34" fillId="35" borderId="14">
      <alignment horizontal="right" vertical="center"/>
    </xf>
    <xf numFmtId="4" fontId="34" fillId="35" borderId="13">
      <alignment horizontal="right" vertical="center"/>
    </xf>
    <xf numFmtId="4" fontId="34" fillId="35" borderId="15">
      <alignment horizontal="right" vertical="center"/>
    </xf>
    <xf numFmtId="0" fontId="43" fillId="53" borderId="0"/>
    <xf numFmtId="0" fontId="43" fillId="54" borderId="0"/>
    <xf numFmtId="0" fontId="43" fillId="55" borderId="0"/>
    <xf numFmtId="0" fontId="43" fillId="50" borderId="0"/>
    <xf numFmtId="0" fontId="43" fillId="51" borderId="0"/>
    <xf numFmtId="0" fontId="43" fillId="56" borderId="0"/>
    <xf numFmtId="0" fontId="46" fillId="40" borderId="0"/>
    <xf numFmtId="4" fontId="35" fillId="0" borderId="12">
      <alignment horizontal="right" vertical="center"/>
    </xf>
    <xf numFmtId="0" fontId="48" fillId="57" borderId="31"/>
    <xf numFmtId="0" fontId="49" fillId="58" borderId="20"/>
    <xf numFmtId="43" fontId="39" fillId="0" borderId="0"/>
    <xf numFmtId="174" fontId="78" fillId="0" borderId="0"/>
    <xf numFmtId="43" fontId="39" fillId="0" borderId="0"/>
    <xf numFmtId="0" fontId="36" fillId="35" borderId="19">
      <alignment horizontal="left" vertical="center" wrapText="1" indent="2"/>
    </xf>
    <xf numFmtId="0" fontId="36" fillId="33" borderId="13">
      <alignment horizontal="left" vertical="center"/>
    </xf>
    <xf numFmtId="0" fontId="53" fillId="0" borderId="0"/>
    <xf numFmtId="0" fontId="54" fillId="41" borderId="0"/>
    <xf numFmtId="0" fontId="55" fillId="41" borderId="0"/>
    <xf numFmtId="0" fontId="56" fillId="0" borderId="21"/>
    <xf numFmtId="0" fontId="57" fillId="0" borderId="22"/>
    <xf numFmtId="0" fontId="58" fillId="0" borderId="23"/>
    <xf numFmtId="0" fontId="58" fillId="0" borderId="0"/>
    <xf numFmtId="0" fontId="59" fillId="44" borderId="31"/>
    <xf numFmtId="4" fontId="36" fillId="0" borderId="0">
      <alignment horizontal="right" vertical="center"/>
    </xf>
    <xf numFmtId="0" fontId="36" fillId="0" borderId="2">
      <alignment horizontal="right" vertical="center"/>
    </xf>
    <xf numFmtId="4" fontId="36" fillId="0" borderId="14">
      <alignment horizontal="right" vertical="center"/>
    </xf>
    <xf numFmtId="1" fontId="37" fillId="33" borderId="0">
      <alignment horizontal="right" vertical="center"/>
    </xf>
    <xf numFmtId="0" fontId="60" fillId="0" borderId="24"/>
    <xf numFmtId="0" fontId="61" fillId="59" borderId="0"/>
    <xf numFmtId="0" fontId="5" fillId="0" borderId="0"/>
    <xf numFmtId="0" fontId="5" fillId="0" borderId="0"/>
    <xf numFmtId="0" fontId="5" fillId="0" borderId="0"/>
    <xf numFmtId="0" fontId="5" fillId="0" borderId="0"/>
    <xf numFmtId="0" fontId="78" fillId="0" borderId="0"/>
    <xf numFmtId="4" fontId="62" fillId="0" borderId="0"/>
    <xf numFmtId="0" fontId="5" fillId="0" borderId="0"/>
    <xf numFmtId="0" fontId="5" fillId="0" borderId="0"/>
    <xf numFmtId="0" fontId="5" fillId="0" borderId="0"/>
    <xf numFmtId="0" fontId="5" fillId="0" borderId="0"/>
    <xf numFmtId="0" fontId="28" fillId="0" borderId="0"/>
    <xf numFmtId="4" fontId="36" fillId="0" borderId="0">
      <alignment horizontal="right" vertical="center"/>
    </xf>
    <xf numFmtId="4" fontId="36" fillId="0" borderId="0">
      <alignment horizontal="right" vertical="center"/>
    </xf>
    <xf numFmtId="4" fontId="36" fillId="0" borderId="14">
      <alignment horizontal="right" vertical="center"/>
    </xf>
    <xf numFmtId="0" fontId="35" fillId="0" borderId="0">
      <alignment horizontal="left" vertical="center"/>
    </xf>
    <xf numFmtId="49" fontId="35" fillId="0" borderId="14">
      <alignment horizontal="left" vertical="center"/>
    </xf>
    <xf numFmtId="0" fontId="5" fillId="34" borderId="0"/>
    <xf numFmtId="4" fontId="5" fillId="34" borderId="0"/>
    <xf numFmtId="4" fontId="5" fillId="34" borderId="0"/>
    <xf numFmtId="0" fontId="5" fillId="34" borderId="0"/>
    <xf numFmtId="0" fontId="5" fillId="34" borderId="0"/>
    <xf numFmtId="0" fontId="78" fillId="36" borderId="0"/>
    <xf numFmtId="0" fontId="42" fillId="60" borderId="25"/>
    <xf numFmtId="0" fontId="5" fillId="60" borderId="25"/>
    <xf numFmtId="0" fontId="63" fillId="57" borderId="30"/>
    <xf numFmtId="175" fontId="36" fillId="61" borderId="14">
      <alignment horizontal="right" vertical="center"/>
    </xf>
    <xf numFmtId="9" fontId="78" fillId="0" borderId="0"/>
    <xf numFmtId="0" fontId="64" fillId="40" borderId="0"/>
    <xf numFmtId="4" fontId="36" fillId="34" borderId="14"/>
    <xf numFmtId="0" fontId="36" fillId="34" borderId="11"/>
    <xf numFmtId="0" fontId="65" fillId="0" borderId="0"/>
    <xf numFmtId="0" fontId="66" fillId="0" borderId="32"/>
    <xf numFmtId="0" fontId="67" fillId="0" borderId="0"/>
    <xf numFmtId="0" fontId="68" fillId="0" borderId="21"/>
    <xf numFmtId="0" fontId="69" fillId="0" borderId="22"/>
    <xf numFmtId="0" fontId="70" fillId="0" borderId="23"/>
    <xf numFmtId="0" fontId="70" fillId="0" borderId="0"/>
    <xf numFmtId="0" fontId="71" fillId="0" borderId="24"/>
    <xf numFmtId="0" fontId="73" fillId="0" borderId="0"/>
    <xf numFmtId="0" fontId="74" fillId="58" borderId="20"/>
    <xf numFmtId="0" fontId="41" fillId="0" borderId="0"/>
    <xf numFmtId="0" fontId="75" fillId="0" borderId="0"/>
    <xf numFmtId="0" fontId="5" fillId="0" borderId="0">
      <alignment horizontal="left" vertical="center"/>
    </xf>
    <xf numFmtId="0" fontId="36" fillId="33" borderId="0">
      <alignment horizontal="right" vertical="center"/>
    </xf>
    <xf numFmtId="0" fontId="36" fillId="33" borderId="0">
      <alignment horizontal="right" vertical="center"/>
    </xf>
    <xf numFmtId="0" fontId="36" fillId="0" borderId="0">
      <alignment horizontal="right" vertical="center"/>
    </xf>
    <xf numFmtId="4" fontId="5" fillId="0" borderId="0"/>
    <xf numFmtId="0" fontId="76" fillId="0" borderId="0"/>
    <xf numFmtId="0" fontId="5" fillId="34" borderId="0"/>
    <xf numFmtId="0" fontId="41" fillId="0" borderId="0"/>
    <xf numFmtId="0" fontId="42" fillId="39" borderId="0"/>
    <xf numFmtId="0" fontId="42" fillId="40" borderId="0"/>
    <xf numFmtId="0" fontId="42" fillId="41" borderId="0"/>
    <xf numFmtId="0" fontId="42" fillId="42" borderId="0"/>
    <xf numFmtId="0" fontId="42" fillId="43" borderId="0"/>
    <xf numFmtId="0" fontId="42" fillId="44" borderId="0"/>
    <xf numFmtId="0" fontId="42" fillId="45" borderId="0"/>
    <xf numFmtId="0" fontId="42" fillId="46" borderId="0"/>
    <xf numFmtId="0" fontId="42" fillId="47" borderId="0"/>
    <xf numFmtId="0" fontId="42" fillId="42" borderId="0"/>
    <xf numFmtId="0" fontId="42" fillId="45" borderId="0"/>
    <xf numFmtId="0" fontId="42" fillId="48" borderId="0"/>
    <xf numFmtId="0" fontId="44" fillId="49" borderId="0"/>
    <xf numFmtId="0" fontId="44" fillId="46" borderId="0"/>
    <xf numFmtId="0" fontId="44" fillId="47" borderId="0"/>
    <xf numFmtId="0" fontId="44" fillId="50" borderId="0"/>
    <xf numFmtId="0" fontId="44" fillId="51" borderId="0"/>
    <xf numFmtId="0" fontId="44" fillId="52" borderId="0"/>
    <xf numFmtId="0" fontId="44" fillId="53" borderId="0"/>
    <xf numFmtId="0" fontId="44" fillId="54" borderId="0"/>
    <xf numFmtId="0" fontId="44" fillId="55" borderId="0"/>
    <xf numFmtId="0" fontId="44" fillId="50" borderId="0"/>
    <xf numFmtId="0" fontId="44" fillId="51" borderId="0"/>
    <xf numFmtId="0" fontId="44" fillId="56" borderId="0"/>
    <xf numFmtId="0" fontId="46" fillId="40" borderId="0"/>
    <xf numFmtId="0" fontId="48" fillId="57" borderId="31"/>
    <xf numFmtId="0" fontId="49" fillId="58" borderId="20"/>
    <xf numFmtId="0" fontId="53" fillId="0" borderId="0"/>
    <xf numFmtId="0" fontId="54" fillId="41" borderId="0"/>
    <xf numFmtId="0" fontId="56" fillId="0" borderId="21"/>
    <xf numFmtId="0" fontId="57" fillId="0" borderId="22"/>
    <xf numFmtId="0" fontId="58" fillId="0" borderId="23"/>
    <xf numFmtId="0" fontId="58" fillId="0" borderId="0"/>
    <xf numFmtId="0" fontId="59" fillId="44" borderId="31"/>
    <xf numFmtId="0" fontId="60" fillId="0" borderId="24"/>
    <xf numFmtId="0" fontId="61" fillId="59" borderId="0"/>
    <xf numFmtId="0" fontId="5" fillId="0" borderId="0"/>
    <xf numFmtId="0" fontId="42" fillId="60" borderId="25"/>
    <xf numFmtId="0" fontId="63" fillId="57" borderId="30"/>
    <xf numFmtId="0" fontId="65" fillId="0" borderId="0"/>
    <xf numFmtId="0" fontId="66" fillId="0" borderId="32"/>
    <xf numFmtId="0" fontId="73" fillId="0" borderId="0"/>
    <xf numFmtId="0" fontId="77" fillId="0" borderId="0">
      <alignment horizontal="left" vertical="center" indent="1"/>
    </xf>
    <xf numFmtId="0" fontId="42" fillId="39" borderId="0"/>
    <xf numFmtId="0" fontId="42" fillId="40" borderId="0"/>
    <xf numFmtId="0" fontId="42" fillId="41" borderId="0"/>
    <xf numFmtId="0" fontId="42" fillId="42" borderId="0"/>
    <xf numFmtId="0" fontId="42" fillId="43" borderId="0"/>
    <xf numFmtId="0" fontId="42" fillId="44" borderId="0"/>
    <xf numFmtId="0" fontId="42" fillId="45" borderId="0"/>
    <xf numFmtId="0" fontId="42" fillId="46" borderId="0"/>
    <xf numFmtId="0" fontId="42" fillId="47" borderId="0"/>
    <xf numFmtId="0" fontId="42" fillId="42" borderId="0"/>
    <xf numFmtId="0" fontId="42" fillId="45" borderId="0"/>
    <xf numFmtId="0" fontId="42" fillId="48" borderId="0"/>
    <xf numFmtId="0" fontId="44" fillId="49" borderId="0"/>
    <xf numFmtId="0" fontId="44" fillId="46" borderId="0"/>
    <xf numFmtId="0" fontId="44" fillId="47" borderId="0"/>
    <xf numFmtId="0" fontId="44" fillId="50" borderId="0"/>
    <xf numFmtId="0" fontId="44" fillId="51" borderId="0"/>
    <xf numFmtId="0" fontId="44" fillId="52" borderId="0"/>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34" fillId="35" borderId="27">
      <alignment horizontal="right" vertical="center"/>
    </xf>
    <xf numFmtId="4" fontId="34" fillId="35" borderId="27">
      <alignment horizontal="right" vertical="center"/>
    </xf>
    <xf numFmtId="0" fontId="34" fillId="35" borderId="28">
      <alignment horizontal="right" vertical="center"/>
    </xf>
    <xf numFmtId="4" fontId="34" fillId="35" borderId="28">
      <alignment horizontal="right" vertical="center"/>
    </xf>
    <xf numFmtId="0" fontId="48" fillId="57" borderId="31"/>
    <xf numFmtId="0" fontId="36" fillId="35" borderId="29">
      <alignment horizontal="left" vertical="center" wrapText="1" indent="2"/>
    </xf>
    <xf numFmtId="0" fontId="36" fillId="0" borderId="29">
      <alignment horizontal="left" vertical="center" wrapText="1" indent="2"/>
    </xf>
    <xf numFmtId="0" fontId="36" fillId="33" borderId="27">
      <alignment horizontal="left" vertical="center"/>
    </xf>
    <xf numFmtId="0" fontId="53" fillId="0" borderId="0"/>
    <xf numFmtId="0" fontId="59" fillId="44" borderId="31"/>
    <xf numFmtId="0" fontId="36" fillId="0" borderId="26">
      <alignment horizontal="right" vertical="center"/>
    </xf>
    <xf numFmtId="4" fontId="36" fillId="0" borderId="26">
      <alignment horizontal="right" vertical="center"/>
    </xf>
    <xf numFmtId="0" fontId="28" fillId="0" borderId="0"/>
    <xf numFmtId="0" fontId="36" fillId="0" borderId="26"/>
    <xf numFmtId="0" fontId="63" fillId="57" borderId="30"/>
    <xf numFmtId="175" fontId="36" fillId="61" borderId="26">
      <alignment horizontal="right" vertical="center"/>
    </xf>
    <xf numFmtId="0" fontId="36" fillId="34" borderId="26"/>
    <xf numFmtId="4" fontId="36" fillId="34" borderId="26"/>
    <xf numFmtId="0" fontId="66" fillId="0" borderId="32"/>
    <xf numFmtId="0" fontId="7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9" fillId="13" borderId="7"/>
    <xf numFmtId="0" fontId="36" fillId="33" borderId="0">
      <alignment horizontal="right" vertical="center"/>
    </xf>
    <xf numFmtId="0" fontId="36" fillId="33" borderId="0">
      <alignment horizontal="right" vertical="center"/>
    </xf>
    <xf numFmtId="0" fontId="36" fillId="0" borderId="0">
      <alignment horizontal="right" vertical="center"/>
    </xf>
    <xf numFmtId="0" fontId="5" fillId="0" borderId="0"/>
    <xf numFmtId="49" fontId="36" fillId="0" borderId="26">
      <alignment horizontal="left" vertical="center" indent="2"/>
    </xf>
    <xf numFmtId="49" fontId="36" fillId="0" borderId="27">
      <alignment horizontal="left" vertical="center" indent="5"/>
    </xf>
    <xf numFmtId="0" fontId="43" fillId="53" borderId="0"/>
    <xf numFmtId="0" fontId="43" fillId="54" borderId="0"/>
    <xf numFmtId="0" fontId="43" fillId="55" borderId="0"/>
    <xf numFmtId="0" fontId="43" fillId="50" borderId="0"/>
    <xf numFmtId="0" fontId="43" fillId="51" borderId="0"/>
    <xf numFmtId="0" fontId="43" fillId="56" borderId="0"/>
    <xf numFmtId="0" fontId="55" fillId="41" borderId="0"/>
    <xf numFmtId="4" fontId="5" fillId="0" borderId="0"/>
    <xf numFmtId="0" fontId="5" fillId="0" borderId="0"/>
    <xf numFmtId="0" fontId="28" fillId="0" borderId="0"/>
    <xf numFmtId="4" fontId="36" fillId="0" borderId="26">
      <alignment horizontal="right" vertical="center"/>
    </xf>
    <xf numFmtId="49" fontId="35" fillId="0" borderId="26">
      <alignment horizontal="left" vertical="center"/>
    </xf>
    <xf numFmtId="0" fontId="5" fillId="34" borderId="0"/>
    <xf numFmtId="0" fontId="64" fillId="40" borderId="0"/>
    <xf numFmtId="0" fontId="68" fillId="0" borderId="21"/>
    <xf numFmtId="0" fontId="69" fillId="0" borderId="22"/>
    <xf numFmtId="0" fontId="70" fillId="0" borderId="23"/>
    <xf numFmtId="0" fontId="70" fillId="0" borderId="0"/>
    <xf numFmtId="0" fontId="71" fillId="0" borderId="24"/>
    <xf numFmtId="0" fontId="74" fillId="58" borderId="20"/>
    <xf numFmtId="0" fontId="41" fillId="0" borderId="0"/>
    <xf numFmtId="0" fontId="28" fillId="0" borderId="0"/>
    <xf numFmtId="0" fontId="29" fillId="13" borderId="7"/>
    <xf numFmtId="0" fontId="39" fillId="39" borderId="0"/>
    <xf numFmtId="0" fontId="39" fillId="40" borderId="0"/>
    <xf numFmtId="0" fontId="39" fillId="41" borderId="0"/>
    <xf numFmtId="0" fontId="39" fillId="42" borderId="0"/>
    <xf numFmtId="0" fontId="39" fillId="43" borderId="0"/>
    <xf numFmtId="0" fontId="39" fillId="44" borderId="0"/>
    <xf numFmtId="0" fontId="39" fillId="45" borderId="0"/>
    <xf numFmtId="0" fontId="39" fillId="46" borderId="0"/>
    <xf numFmtId="0" fontId="39" fillId="47" borderId="0"/>
    <xf numFmtId="0" fontId="39" fillId="42" borderId="0"/>
    <xf numFmtId="0" fontId="39" fillId="45" borderId="0"/>
    <xf numFmtId="0" fontId="39" fillId="48" borderId="0"/>
    <xf numFmtId="0" fontId="43" fillId="49" borderId="0"/>
    <xf numFmtId="0" fontId="43" fillId="46" borderId="0"/>
    <xf numFmtId="0" fontId="43" fillId="47" borderId="0"/>
    <xf numFmtId="0" fontId="43" fillId="50" borderId="0"/>
    <xf numFmtId="0" fontId="43" fillId="51" borderId="0"/>
    <xf numFmtId="0" fontId="43" fillId="52" borderId="0"/>
    <xf numFmtId="0" fontId="45" fillId="57" borderId="30"/>
    <xf numFmtId="0" fontId="47" fillId="57" borderId="31"/>
    <xf numFmtId="0" fontId="51" fillId="0" borderId="32"/>
    <xf numFmtId="0" fontId="52" fillId="0" borderId="0"/>
    <xf numFmtId="0" fontId="28" fillId="0" borderId="0"/>
    <xf numFmtId="0" fontId="72" fillId="0" borderId="0"/>
    <xf numFmtId="0" fontId="28" fillId="0" borderId="0"/>
    <xf numFmtId="0" fontId="28" fillId="0" borderId="0"/>
    <xf numFmtId="0" fontId="28" fillId="0" borderId="0"/>
    <xf numFmtId="49" fontId="36" fillId="0" borderId="14">
      <alignment horizontal="left" vertical="center" indent="2"/>
    </xf>
    <xf numFmtId="49" fontId="36" fillId="0" borderId="13">
      <alignment horizontal="left" vertical="center" indent="5"/>
    </xf>
    <xf numFmtId="0" fontId="34" fillId="33" borderId="14">
      <alignment horizontal="right" vertical="center"/>
    </xf>
    <xf numFmtId="4" fontId="34" fillId="33" borderId="14">
      <alignment horizontal="right" vertical="center"/>
    </xf>
    <xf numFmtId="0" fontId="38" fillId="33" borderId="14">
      <alignment horizontal="right" vertical="center"/>
    </xf>
    <xf numFmtId="4" fontId="38" fillId="33" borderId="14">
      <alignment horizontal="right" vertical="center"/>
    </xf>
    <xf numFmtId="0" fontId="34" fillId="35" borderId="14">
      <alignment horizontal="right" vertical="center"/>
    </xf>
    <xf numFmtId="4" fontId="34" fillId="35" borderId="14">
      <alignment horizontal="right" vertical="center"/>
    </xf>
    <xf numFmtId="0" fontId="34" fillId="35" borderId="14">
      <alignment horizontal="right" vertical="center"/>
    </xf>
    <xf numFmtId="4" fontId="34" fillId="35" borderId="14">
      <alignment horizontal="right" vertical="center"/>
    </xf>
    <xf numFmtId="0" fontId="34" fillId="35" borderId="13">
      <alignment horizontal="right" vertical="center"/>
    </xf>
    <xf numFmtId="4" fontId="34" fillId="35" borderId="13">
      <alignment horizontal="right" vertical="center"/>
    </xf>
    <xf numFmtId="0" fontId="34" fillId="35" borderId="15">
      <alignment horizontal="right" vertical="center"/>
    </xf>
    <xf numFmtId="4" fontId="34" fillId="35" borderId="15">
      <alignment horizontal="right" vertical="center"/>
    </xf>
    <xf numFmtId="174" fontId="78" fillId="0" borderId="0"/>
    <xf numFmtId="0" fontId="36" fillId="35" borderId="19">
      <alignment horizontal="left" vertical="center" wrapText="1" indent="2"/>
    </xf>
    <xf numFmtId="0" fontId="36" fillId="0" borderId="19">
      <alignment horizontal="left" vertical="center" wrapText="1" indent="2"/>
    </xf>
    <xf numFmtId="0" fontId="36" fillId="33" borderId="13">
      <alignment horizontal="left" vertical="center"/>
    </xf>
    <xf numFmtId="0" fontId="50" fillId="44" borderId="31"/>
    <xf numFmtId="0" fontId="36" fillId="0" borderId="14">
      <alignment horizontal="right" vertical="center"/>
    </xf>
    <xf numFmtId="4" fontId="36" fillId="0" borderId="14">
      <alignment horizontal="right" vertical="center"/>
    </xf>
    <xf numFmtId="0" fontId="78" fillId="0" borderId="0"/>
    <xf numFmtId="0" fontId="76" fillId="0" borderId="0"/>
    <xf numFmtId="0" fontId="76" fillId="0" borderId="0"/>
    <xf numFmtId="0" fontId="28" fillId="0" borderId="0"/>
    <xf numFmtId="0" fontId="28" fillId="0" borderId="0"/>
    <xf numFmtId="0" fontId="28" fillId="0" borderId="0"/>
    <xf numFmtId="0" fontId="28" fillId="0" borderId="0"/>
    <xf numFmtId="0" fontId="76" fillId="0" borderId="0"/>
    <xf numFmtId="0" fontId="5" fillId="0" borderId="0"/>
    <xf numFmtId="4" fontId="36" fillId="0" borderId="14">
      <alignment horizontal="right" vertical="center"/>
    </xf>
    <xf numFmtId="49" fontId="35" fillId="0" borderId="14">
      <alignment horizontal="left" vertical="center"/>
    </xf>
    <xf numFmtId="0" fontId="36" fillId="0" borderId="14"/>
    <xf numFmtId="0" fontId="78" fillId="36" borderId="0"/>
    <xf numFmtId="175" fontId="36" fillId="61" borderId="14">
      <alignment horizontal="right" vertical="center"/>
    </xf>
    <xf numFmtId="9" fontId="78" fillId="0" borderId="0"/>
    <xf numFmtId="0" fontId="36" fillId="34" borderId="14"/>
    <xf numFmtId="4" fontId="36" fillId="34" borderId="14"/>
    <xf numFmtId="0" fontId="36" fillId="35" borderId="29">
      <alignment horizontal="left" vertical="center" wrapText="1" indent="2"/>
    </xf>
    <xf numFmtId="0" fontId="36" fillId="0" borderId="29">
      <alignment horizontal="left" vertical="center" wrapText="1" indent="2"/>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36" fillId="35" borderId="19">
      <alignment horizontal="left" vertical="center" wrapText="1" indent="2"/>
    </xf>
    <xf numFmtId="0" fontId="36" fillId="0" borderId="19">
      <alignment horizontal="left" vertical="center" wrapText="1" indent="2"/>
    </xf>
    <xf numFmtId="0" fontId="5" fillId="0" borderId="0"/>
    <xf numFmtId="4" fontId="34" fillId="35" borderId="26">
      <alignment horizontal="right" vertical="center"/>
    </xf>
    <xf numFmtId="0" fontId="36" fillId="34" borderId="26"/>
    <xf numFmtId="0" fontId="47" fillId="57" borderId="31"/>
    <xf numFmtId="0" fontId="34" fillId="33" borderId="26">
      <alignment horizontal="right" vertical="center"/>
    </xf>
    <xf numFmtId="0" fontId="36" fillId="0" borderId="26">
      <alignment horizontal="right" vertical="center"/>
    </xf>
    <xf numFmtId="0" fontId="66" fillId="0" borderId="32"/>
    <xf numFmtId="0" fontId="36" fillId="33" borderId="27">
      <alignment horizontal="left" vertical="center"/>
    </xf>
    <xf numFmtId="0" fontId="59" fillId="44" borderId="31"/>
    <xf numFmtId="175" fontId="36" fillId="61" borderId="26">
      <alignment horizontal="right" vertical="center"/>
    </xf>
    <xf numFmtId="0" fontId="42" fillId="60" borderId="25"/>
    <xf numFmtId="0" fontId="36" fillId="0" borderId="29">
      <alignment horizontal="left" vertical="center" wrapText="1" indent="2"/>
    </xf>
    <xf numFmtId="4" fontId="36" fillId="34" borderId="26"/>
    <xf numFmtId="49" fontId="35" fillId="0" borderId="26">
      <alignment horizontal="left" vertical="center"/>
    </xf>
    <xf numFmtId="0" fontId="36" fillId="0" borderId="26">
      <alignment horizontal="right" vertical="center"/>
    </xf>
    <xf numFmtId="4" fontId="34" fillId="35" borderId="28">
      <alignment horizontal="right" vertical="center"/>
    </xf>
    <xf numFmtId="4" fontId="34" fillId="35" borderId="26">
      <alignment horizontal="right" vertical="center"/>
    </xf>
    <xf numFmtId="4" fontId="34" fillId="35" borderId="26">
      <alignment horizontal="right" vertical="center"/>
    </xf>
    <xf numFmtId="0" fontId="38" fillId="33" borderId="26">
      <alignment horizontal="right" vertical="center"/>
    </xf>
    <xf numFmtId="0" fontId="34" fillId="33" borderId="26">
      <alignment horizontal="right" vertical="center"/>
    </xf>
    <xf numFmtId="49" fontId="36" fillId="0" borderId="26">
      <alignment horizontal="left" vertical="center" indent="2"/>
    </xf>
    <xf numFmtId="0" fontId="59" fillId="44" borderId="31"/>
    <xf numFmtId="0" fontId="45" fillId="57" borderId="30"/>
    <xf numFmtId="49" fontId="36" fillId="0" borderId="26">
      <alignment horizontal="left" vertical="center" indent="2"/>
    </xf>
    <xf numFmtId="0" fontId="50" fillId="44" borderId="31"/>
    <xf numFmtId="4" fontId="36" fillId="0" borderId="26">
      <alignment horizontal="right" vertical="center"/>
    </xf>
    <xf numFmtId="0" fontId="48" fillId="57" borderId="31"/>
    <xf numFmtId="0" fontId="66" fillId="0" borderId="32"/>
    <xf numFmtId="0" fontId="63" fillId="57" borderId="30"/>
    <xf numFmtId="0" fontId="36" fillId="0" borderId="26"/>
    <xf numFmtId="4" fontId="36" fillId="0" borderId="26">
      <alignment horizontal="right" vertical="center"/>
    </xf>
    <xf numFmtId="0" fontId="36" fillId="0" borderId="26">
      <alignment horizontal="right" vertical="center"/>
    </xf>
    <xf numFmtId="0" fontId="59" fillId="44" borderId="31"/>
    <xf numFmtId="0" fontId="45" fillId="57" borderId="30"/>
    <xf numFmtId="0" fontId="47" fillId="57" borderId="31"/>
    <xf numFmtId="0" fontId="36" fillId="35" borderId="29">
      <alignment horizontal="left" vertical="center" wrapText="1" indent="2"/>
    </xf>
    <xf numFmtId="0" fontId="48" fillId="57" borderId="31"/>
    <xf numFmtId="0" fontId="48" fillId="57" borderId="31"/>
    <xf numFmtId="4" fontId="34" fillId="35" borderId="27">
      <alignment horizontal="right" vertical="center"/>
    </xf>
    <xf numFmtId="0" fontId="34" fillId="35" borderId="27">
      <alignment horizontal="right" vertical="center"/>
    </xf>
    <xf numFmtId="0" fontId="34" fillId="35" borderId="26">
      <alignment horizontal="right" vertical="center"/>
    </xf>
    <xf numFmtId="4" fontId="38" fillId="33" borderId="26">
      <alignment horizontal="right" vertical="center"/>
    </xf>
    <xf numFmtId="0" fontId="50" fillId="44" borderId="31"/>
    <xf numFmtId="0" fontId="51" fillId="0" borderId="32"/>
    <xf numFmtId="0" fontId="66" fillId="0" borderId="32"/>
    <xf numFmtId="0" fontId="42" fillId="60" borderId="25"/>
    <xf numFmtId="0" fontId="59" fillId="44" borderId="31"/>
    <xf numFmtId="49" fontId="35" fillId="0" borderId="26">
      <alignment horizontal="left" vertical="center"/>
    </xf>
    <xf numFmtId="0" fontId="36" fillId="35" borderId="29">
      <alignment horizontal="left" vertical="center" wrapText="1" indent="2"/>
    </xf>
    <xf numFmtId="0" fontId="48" fillId="57" borderId="31"/>
    <xf numFmtId="0" fontId="36" fillId="0" borderId="29">
      <alignment horizontal="left" vertical="center" wrapText="1" indent="2"/>
    </xf>
    <xf numFmtId="0" fontId="42" fillId="60" borderId="25"/>
    <xf numFmtId="0" fontId="5" fillId="60" borderId="25"/>
    <xf numFmtId="0" fontId="63" fillId="57" borderId="30"/>
    <xf numFmtId="0" fontId="66" fillId="0" borderId="32"/>
    <xf numFmtId="4" fontId="36" fillId="34" borderId="26"/>
    <xf numFmtId="0" fontId="34" fillId="35" borderId="26">
      <alignment horizontal="right" vertical="center"/>
    </xf>
    <xf numFmtId="0" fontId="66" fillId="0" borderId="32"/>
    <xf numFmtId="4" fontId="34" fillId="35" borderId="28">
      <alignment horizontal="right" vertical="center"/>
    </xf>
    <xf numFmtId="0" fontId="47" fillId="57" borderId="31"/>
    <xf numFmtId="0" fontId="34" fillId="35" borderId="27">
      <alignment horizontal="right" vertical="center"/>
    </xf>
    <xf numFmtId="0" fontId="48" fillId="57" borderId="31"/>
    <xf numFmtId="0" fontId="51" fillId="0" borderId="32"/>
    <xf numFmtId="0" fontId="42" fillId="60" borderId="25"/>
    <xf numFmtId="4" fontId="34" fillId="35" borderId="27">
      <alignment horizontal="right" vertical="center"/>
    </xf>
    <xf numFmtId="0" fontId="36" fillId="35" borderId="29">
      <alignment horizontal="left" vertical="center" wrapText="1" indent="2"/>
    </xf>
    <xf numFmtId="0" fontId="36" fillId="34" borderId="26"/>
    <xf numFmtId="175" fontId="36" fillId="61" borderId="26">
      <alignment horizontal="right" vertical="center"/>
    </xf>
    <xf numFmtId="0" fontId="36" fillId="0" borderId="26"/>
    <xf numFmtId="4" fontId="36" fillId="0" borderId="26">
      <alignment horizontal="right" vertical="center"/>
    </xf>
    <xf numFmtId="4" fontId="34" fillId="33" borderId="26">
      <alignment horizontal="right" vertical="center"/>
    </xf>
    <xf numFmtId="0" fontId="51" fillId="0" borderId="32"/>
    <xf numFmtId="49" fontId="35" fillId="0" borderId="26">
      <alignment horizontal="left" vertical="center"/>
    </xf>
    <xf numFmtId="49" fontId="36" fillId="0" borderId="27">
      <alignment horizontal="left" vertical="center" indent="5"/>
    </xf>
    <xf numFmtId="0" fontId="36" fillId="33" borderId="27">
      <alignment horizontal="left" vertical="center"/>
    </xf>
    <xf numFmtId="0" fontId="48" fillId="57" borderId="31"/>
    <xf numFmtId="4" fontId="34" fillId="35" borderId="28">
      <alignment horizontal="right" vertical="center"/>
    </xf>
    <xf numFmtId="0" fontId="59" fillId="44" borderId="31"/>
    <xf numFmtId="0" fontId="59" fillId="44" borderId="31"/>
    <xf numFmtId="0" fontId="42" fillId="60" borderId="25"/>
    <xf numFmtId="0" fontId="63" fillId="57" borderId="30"/>
    <xf numFmtId="0" fontId="66" fillId="0" borderId="32"/>
    <xf numFmtId="0" fontId="34" fillId="35" borderId="26">
      <alignment horizontal="right" vertical="center"/>
    </xf>
    <xf numFmtId="0" fontId="5" fillId="60" borderId="25"/>
    <xf numFmtId="4" fontId="36" fillId="0" borderId="26">
      <alignment horizontal="right" vertical="center"/>
    </xf>
    <xf numFmtId="0" fontId="66" fillId="0" borderId="32"/>
    <xf numFmtId="0" fontId="34" fillId="35" borderId="26">
      <alignment horizontal="right" vertical="center"/>
    </xf>
    <xf numFmtId="0" fontId="34" fillId="35" borderId="26">
      <alignment horizontal="right" vertical="center"/>
    </xf>
    <xf numFmtId="4" fontId="38" fillId="33" borderId="26">
      <alignment horizontal="right" vertical="center"/>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34" fillId="35" borderId="27">
      <alignment horizontal="right" vertical="center"/>
    </xf>
    <xf numFmtId="4" fontId="34" fillId="35" borderId="27">
      <alignment horizontal="right" vertical="center"/>
    </xf>
    <xf numFmtId="0" fontId="34" fillId="35" borderId="28">
      <alignment horizontal="right" vertical="center"/>
    </xf>
    <xf numFmtId="4" fontId="34" fillId="35" borderId="28">
      <alignment horizontal="right" vertical="center"/>
    </xf>
    <xf numFmtId="0" fontId="48" fillId="57" borderId="31"/>
    <xf numFmtId="0" fontId="36" fillId="35" borderId="29">
      <alignment horizontal="left" vertical="center" wrapText="1" indent="2"/>
    </xf>
    <xf numFmtId="0" fontId="36" fillId="0" borderId="29">
      <alignment horizontal="left" vertical="center" wrapText="1" indent="2"/>
    </xf>
    <xf numFmtId="0" fontId="36" fillId="33" borderId="27">
      <alignment horizontal="left" vertical="center"/>
    </xf>
    <xf numFmtId="0" fontId="59" fillId="44" borderId="31"/>
    <xf numFmtId="0" fontId="36" fillId="0" borderId="26">
      <alignment horizontal="right" vertical="center"/>
    </xf>
    <xf numFmtId="4" fontId="36" fillId="0" borderId="26">
      <alignment horizontal="right" vertical="center"/>
    </xf>
    <xf numFmtId="0" fontId="36" fillId="0" borderId="26"/>
    <xf numFmtId="0" fontId="63" fillId="57" borderId="30"/>
    <xf numFmtId="175" fontId="36" fillId="61" borderId="26">
      <alignment horizontal="right" vertical="center"/>
    </xf>
    <xf numFmtId="0" fontId="36" fillId="34" borderId="26"/>
    <xf numFmtId="4" fontId="36" fillId="34" borderId="26"/>
    <xf numFmtId="0" fontId="66" fillId="0" borderId="32"/>
    <xf numFmtId="0" fontId="5" fillId="60" borderId="25"/>
    <xf numFmtId="0" fontId="42" fillId="60" borderId="25"/>
    <xf numFmtId="0" fontId="36" fillId="0" borderId="26"/>
    <xf numFmtId="0" fontId="51" fillId="0" borderId="32"/>
    <xf numFmtId="0" fontId="66" fillId="0" borderId="32"/>
    <xf numFmtId="0" fontId="50" fillId="44" borderId="31"/>
    <xf numFmtId="0" fontId="48" fillId="57" borderId="31"/>
    <xf numFmtId="4" fontId="38" fillId="33" borderId="26">
      <alignment horizontal="right" vertical="center"/>
    </xf>
    <xf numFmtId="0" fontId="34" fillId="33" borderId="26">
      <alignment horizontal="right" vertical="center"/>
    </xf>
    <xf numFmtId="175" fontId="36" fillId="61" borderId="26">
      <alignment horizontal="right" vertical="center"/>
    </xf>
    <xf numFmtId="0" fontId="51" fillId="0" borderId="32"/>
    <xf numFmtId="49" fontId="36" fillId="0" borderId="26">
      <alignment horizontal="left" vertical="center" indent="2"/>
    </xf>
    <xf numFmtId="49" fontId="36" fillId="0" borderId="27">
      <alignment horizontal="left" vertical="center" indent="5"/>
    </xf>
    <xf numFmtId="49" fontId="36" fillId="0" borderId="26">
      <alignment horizontal="left" vertical="center" indent="2"/>
    </xf>
    <xf numFmtId="4" fontId="36" fillId="0" borderId="26">
      <alignment horizontal="right" vertical="center"/>
    </xf>
    <xf numFmtId="49" fontId="35" fillId="0" borderId="26">
      <alignment horizontal="left" vertical="center"/>
    </xf>
    <xf numFmtId="0" fontId="36" fillId="0" borderId="29">
      <alignment horizontal="left" vertical="center" wrapText="1" indent="2"/>
    </xf>
    <xf numFmtId="0" fontId="63" fillId="57" borderId="30"/>
    <xf numFmtId="0" fontId="34" fillId="35" borderId="28">
      <alignment horizontal="right" vertical="center"/>
    </xf>
    <xf numFmtId="0" fontId="50" fillId="44" borderId="31"/>
    <xf numFmtId="0" fontId="34" fillId="35" borderId="28">
      <alignment horizontal="right" vertical="center"/>
    </xf>
    <xf numFmtId="4" fontId="34" fillId="35" borderId="26">
      <alignment horizontal="right" vertical="center"/>
    </xf>
    <xf numFmtId="0" fontId="34" fillId="35" borderId="26">
      <alignment horizontal="right" vertical="center"/>
    </xf>
    <xf numFmtId="0" fontId="45" fillId="57" borderId="30"/>
    <xf numFmtId="0" fontId="47" fillId="57" borderId="31"/>
    <xf numFmtId="0" fontId="51" fillId="0" borderId="32"/>
    <xf numFmtId="0" fontId="36" fillId="34" borderId="26"/>
    <xf numFmtId="4" fontId="36" fillId="34" borderId="26"/>
    <xf numFmtId="4" fontId="34" fillId="35" borderId="26">
      <alignment horizontal="right" vertical="center"/>
    </xf>
    <xf numFmtId="0" fontId="38" fillId="33" borderId="26">
      <alignment horizontal="right" vertical="center"/>
    </xf>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5" fillId="0" borderId="0"/>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36" fillId="0" borderId="29">
      <alignment horizontal="left" vertical="center" wrapText="1" indent="2"/>
    </xf>
    <xf numFmtId="0" fontId="45" fillId="57" borderId="30"/>
    <xf numFmtId="0" fontId="47" fillId="57" borderId="31"/>
    <xf numFmtId="0" fontId="48" fillId="57" borderId="31"/>
    <xf numFmtId="0" fontId="50" fillId="44" borderId="31"/>
    <xf numFmtId="0" fontId="51" fillId="0" borderId="32"/>
    <xf numFmtId="0" fontId="59" fillId="44" borderId="31"/>
    <xf numFmtId="0" fontId="42" fillId="60" borderId="25"/>
    <xf numFmtId="0" fontId="5" fillId="60" borderId="25"/>
    <xf numFmtId="0" fontId="63" fillId="57" borderId="30"/>
    <xf numFmtId="0" fontId="66" fillId="0" borderId="32"/>
    <xf numFmtId="0" fontId="48" fillId="57" borderId="31"/>
    <xf numFmtId="0" fontId="59" fillId="44" borderId="31"/>
    <xf numFmtId="0" fontId="42" fillId="60" borderId="25"/>
    <xf numFmtId="0" fontId="63" fillId="57" borderId="30"/>
    <xf numFmtId="0" fontId="66" fillId="0" borderId="32"/>
    <xf numFmtId="0" fontId="34" fillId="35" borderId="13">
      <alignment horizontal="right" vertical="center"/>
    </xf>
    <xf numFmtId="4" fontId="34" fillId="35" borderId="13">
      <alignment horizontal="right" vertical="center"/>
    </xf>
    <xf numFmtId="0" fontId="34" fillId="35" borderId="15">
      <alignment horizontal="right" vertical="center"/>
    </xf>
    <xf numFmtId="4" fontId="34" fillId="35" borderId="15">
      <alignment horizontal="right" vertical="center"/>
    </xf>
    <xf numFmtId="0" fontId="48" fillId="57" borderId="31"/>
    <xf numFmtId="0" fontId="36" fillId="35" borderId="19">
      <alignment horizontal="left" vertical="center" wrapText="1" indent="2"/>
    </xf>
    <xf numFmtId="0" fontId="36" fillId="0" borderId="19">
      <alignment horizontal="left" vertical="center" wrapText="1" indent="2"/>
    </xf>
    <xf numFmtId="0" fontId="36" fillId="33" borderId="13">
      <alignment horizontal="left" vertical="center"/>
    </xf>
    <xf numFmtId="0" fontId="59" fillId="44" borderId="31"/>
    <xf numFmtId="0" fontId="63" fillId="57" borderId="30"/>
    <xf numFmtId="0" fontId="66" fillId="0" borderId="32"/>
    <xf numFmtId="49" fontId="36" fillId="0" borderId="13">
      <alignment horizontal="left" vertical="center" indent="5"/>
    </xf>
    <xf numFmtId="0" fontId="45" fillId="57" borderId="30"/>
    <xf numFmtId="0" fontId="47" fillId="57" borderId="31"/>
    <xf numFmtId="0" fontId="51" fillId="0" borderId="32"/>
    <xf numFmtId="49" fontId="36" fillId="0" borderId="26">
      <alignment horizontal="left" vertical="center" indent="2"/>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50" fillId="44" borderId="31"/>
    <xf numFmtId="0" fontId="36" fillId="0" borderId="26">
      <alignment horizontal="right" vertical="center"/>
    </xf>
    <xf numFmtId="4" fontId="36" fillId="0" borderId="26">
      <alignment horizontal="right" vertical="center"/>
    </xf>
    <xf numFmtId="4" fontId="36" fillId="0" borderId="26">
      <alignment horizontal="right" vertical="center"/>
    </xf>
    <xf numFmtId="49" fontId="35" fillId="0" borderId="26">
      <alignment horizontal="left" vertical="center"/>
    </xf>
    <xf numFmtId="0" fontId="36" fillId="0" borderId="26"/>
    <xf numFmtId="175" fontId="36" fillId="61" borderId="26">
      <alignment horizontal="right" vertical="center"/>
    </xf>
    <xf numFmtId="0" fontId="36" fillId="34" borderId="26"/>
    <xf numFmtId="4" fontId="36" fillId="34" borderId="26"/>
    <xf numFmtId="4" fontId="34" fillId="35" borderId="26">
      <alignment horizontal="right" vertical="center"/>
    </xf>
    <xf numFmtId="0" fontId="36" fillId="34" borderId="26"/>
    <xf numFmtId="0" fontId="47" fillId="57" borderId="31"/>
    <xf numFmtId="0" fontId="34" fillId="33" borderId="26">
      <alignment horizontal="right" vertical="center"/>
    </xf>
    <xf numFmtId="0" fontId="36" fillId="0" borderId="26">
      <alignment horizontal="right" vertical="center"/>
    </xf>
    <xf numFmtId="0" fontId="66" fillId="0" borderId="32"/>
    <xf numFmtId="0" fontId="36" fillId="33" borderId="27">
      <alignment horizontal="left" vertical="center"/>
    </xf>
    <xf numFmtId="0" fontId="59" fillId="44" borderId="31"/>
    <xf numFmtId="175" fontId="36" fillId="61" borderId="26">
      <alignment horizontal="right" vertical="center"/>
    </xf>
    <xf numFmtId="0" fontId="42" fillId="60" borderId="25"/>
    <xf numFmtId="0" fontId="36" fillId="0" borderId="29">
      <alignment horizontal="left" vertical="center" wrapText="1" indent="2"/>
    </xf>
    <xf numFmtId="4" fontId="36" fillId="34" borderId="26"/>
    <xf numFmtId="49" fontId="35" fillId="0" borderId="26">
      <alignment horizontal="left" vertical="center"/>
    </xf>
    <xf numFmtId="0" fontId="36" fillId="0" borderId="26">
      <alignment horizontal="right" vertical="center"/>
    </xf>
    <xf numFmtId="4" fontId="34" fillId="35" borderId="28">
      <alignment horizontal="right" vertical="center"/>
    </xf>
    <xf numFmtId="4" fontId="34" fillId="35" borderId="26">
      <alignment horizontal="right" vertical="center"/>
    </xf>
    <xf numFmtId="4" fontId="34" fillId="35" borderId="26">
      <alignment horizontal="right" vertical="center"/>
    </xf>
    <xf numFmtId="0" fontId="38" fillId="33" borderId="26">
      <alignment horizontal="right" vertical="center"/>
    </xf>
    <xf numFmtId="0" fontId="34" fillId="33" borderId="26">
      <alignment horizontal="right" vertical="center"/>
    </xf>
    <xf numFmtId="49" fontId="36" fillId="0" borderId="26">
      <alignment horizontal="left" vertical="center" indent="2"/>
    </xf>
    <xf numFmtId="0" fontId="59" fillId="44" borderId="31"/>
    <xf numFmtId="0" fontId="45" fillId="57" borderId="30"/>
    <xf numFmtId="49" fontId="36" fillId="0" borderId="26">
      <alignment horizontal="left" vertical="center" indent="2"/>
    </xf>
    <xf numFmtId="0" fontId="50" fillId="44" borderId="31"/>
    <xf numFmtId="4" fontId="36" fillId="0" borderId="26">
      <alignment horizontal="right" vertical="center"/>
    </xf>
    <xf numFmtId="0" fontId="48" fillId="57" borderId="31"/>
    <xf numFmtId="0" fontId="66" fillId="0" borderId="32"/>
    <xf numFmtId="0" fontId="63" fillId="57" borderId="30"/>
    <xf numFmtId="0" fontId="36" fillId="0" borderId="26"/>
    <xf numFmtId="4" fontId="36" fillId="0" borderId="26">
      <alignment horizontal="right" vertical="center"/>
    </xf>
    <xf numFmtId="0" fontId="36" fillId="0" borderId="26">
      <alignment horizontal="right" vertical="center"/>
    </xf>
    <xf numFmtId="0" fontId="59" fillId="44" borderId="31"/>
    <xf numFmtId="0" fontId="45" fillId="57" borderId="30"/>
    <xf numFmtId="0" fontId="47" fillId="57" borderId="31"/>
    <xf numFmtId="0" fontId="36" fillId="35" borderId="29">
      <alignment horizontal="left" vertical="center" wrapText="1" indent="2"/>
    </xf>
    <xf numFmtId="0" fontId="48" fillId="57" borderId="31"/>
    <xf numFmtId="0" fontId="48" fillId="57" borderId="31"/>
    <xf numFmtId="4" fontId="34" fillId="35" borderId="27">
      <alignment horizontal="right" vertical="center"/>
    </xf>
    <xf numFmtId="0" fontId="34" fillId="35" borderId="27">
      <alignment horizontal="right" vertical="center"/>
    </xf>
    <xf numFmtId="0" fontId="34" fillId="35" borderId="26">
      <alignment horizontal="right" vertical="center"/>
    </xf>
    <xf numFmtId="4" fontId="38" fillId="33" borderId="26">
      <alignment horizontal="right" vertical="center"/>
    </xf>
    <xf numFmtId="0" fontId="50" fillId="44" borderId="31"/>
    <xf numFmtId="0" fontId="51" fillId="0" borderId="32"/>
    <xf numFmtId="0" fontId="66" fillId="0" borderId="32"/>
    <xf numFmtId="0" fontId="42" fillId="60" borderId="25"/>
    <xf numFmtId="0" fontId="59" fillId="44" borderId="31"/>
    <xf numFmtId="49" fontId="35" fillId="0" borderId="26">
      <alignment horizontal="left" vertical="center"/>
    </xf>
    <xf numFmtId="0" fontId="36" fillId="35" borderId="29">
      <alignment horizontal="left" vertical="center" wrapText="1" indent="2"/>
    </xf>
    <xf numFmtId="0" fontId="48" fillId="57" borderId="31"/>
    <xf numFmtId="0" fontId="36" fillId="0" borderId="29">
      <alignment horizontal="left" vertical="center" wrapText="1" indent="2"/>
    </xf>
    <xf numFmtId="0" fontId="42" fillId="60" borderId="25"/>
    <xf numFmtId="0" fontId="5" fillId="60" borderId="25"/>
    <xf numFmtId="0" fontId="63" fillId="57" borderId="30"/>
    <xf numFmtId="0" fontId="66" fillId="0" borderId="32"/>
    <xf numFmtId="4" fontId="36" fillId="34" borderId="26"/>
    <xf numFmtId="0" fontId="34" fillId="35" borderId="26">
      <alignment horizontal="right" vertical="center"/>
    </xf>
    <xf numFmtId="0" fontId="66" fillId="0" borderId="32"/>
    <xf numFmtId="4" fontId="34" fillId="35" borderId="28">
      <alignment horizontal="right" vertical="center"/>
    </xf>
    <xf numFmtId="0" fontId="47" fillId="57" borderId="31"/>
    <xf numFmtId="0" fontId="34" fillId="35" borderId="27">
      <alignment horizontal="right" vertical="center"/>
    </xf>
    <xf numFmtId="0" fontId="48" fillId="57" borderId="31"/>
    <xf numFmtId="0" fontId="51" fillId="0" borderId="32"/>
    <xf numFmtId="0" fontId="42" fillId="60" borderId="25"/>
    <xf numFmtId="4" fontId="34" fillId="35" borderId="27">
      <alignment horizontal="right" vertical="center"/>
    </xf>
    <xf numFmtId="0" fontId="36" fillId="35" borderId="29">
      <alignment horizontal="left" vertical="center" wrapText="1" indent="2"/>
    </xf>
    <xf numFmtId="0" fontId="36" fillId="34" borderId="26"/>
    <xf numFmtId="175" fontId="36" fillId="61" borderId="26">
      <alignment horizontal="right" vertical="center"/>
    </xf>
    <xf numFmtId="0" fontId="36" fillId="0" borderId="26"/>
    <xf numFmtId="4" fontId="36" fillId="0" borderId="26">
      <alignment horizontal="right" vertical="center"/>
    </xf>
    <xf numFmtId="4" fontId="34" fillId="33" borderId="26">
      <alignment horizontal="right" vertical="center"/>
    </xf>
    <xf numFmtId="0" fontId="51" fillId="0" borderId="32"/>
    <xf numFmtId="49" fontId="35" fillId="0" borderId="26">
      <alignment horizontal="left" vertical="center"/>
    </xf>
    <xf numFmtId="49" fontId="36" fillId="0" borderId="27">
      <alignment horizontal="left" vertical="center" indent="5"/>
    </xf>
    <xf numFmtId="0" fontId="36" fillId="33" borderId="27">
      <alignment horizontal="left" vertical="center"/>
    </xf>
    <xf numFmtId="0" fontId="48" fillId="57" borderId="31"/>
    <xf numFmtId="4" fontId="34" fillId="35" borderId="28">
      <alignment horizontal="right" vertical="center"/>
    </xf>
    <xf numFmtId="0" fontId="59" fillId="44" borderId="31"/>
    <xf numFmtId="0" fontId="59" fillId="44" borderId="31"/>
    <xf numFmtId="0" fontId="42" fillId="60" borderId="25"/>
    <xf numFmtId="0" fontId="63" fillId="57" borderId="30"/>
    <xf numFmtId="0" fontId="66" fillId="0" borderId="32"/>
    <xf numFmtId="0" fontId="34" fillId="35" borderId="26">
      <alignment horizontal="right" vertical="center"/>
    </xf>
    <xf numFmtId="0" fontId="5" fillId="60" borderId="25"/>
    <xf numFmtId="4" fontId="36" fillId="0" borderId="26">
      <alignment horizontal="right" vertical="center"/>
    </xf>
    <xf numFmtId="0" fontId="66" fillId="0" borderId="32"/>
    <xf numFmtId="0" fontId="34" fillId="35" borderId="26">
      <alignment horizontal="right" vertical="center"/>
    </xf>
    <xf numFmtId="0" fontId="34" fillId="35" borderId="26">
      <alignment horizontal="right" vertical="center"/>
    </xf>
    <xf numFmtId="4" fontId="38" fillId="33" borderId="26">
      <alignment horizontal="right" vertical="center"/>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34" fillId="35" borderId="27">
      <alignment horizontal="right" vertical="center"/>
    </xf>
    <xf numFmtId="4" fontId="34" fillId="35" borderId="27">
      <alignment horizontal="right" vertical="center"/>
    </xf>
    <xf numFmtId="0" fontId="34" fillId="35" borderId="28">
      <alignment horizontal="right" vertical="center"/>
    </xf>
    <xf numFmtId="4" fontId="34" fillId="35" borderId="28">
      <alignment horizontal="right" vertical="center"/>
    </xf>
    <xf numFmtId="0" fontId="48" fillId="57" borderId="31"/>
    <xf numFmtId="0" fontId="36" fillId="35" borderId="29">
      <alignment horizontal="left" vertical="center" wrapText="1" indent="2"/>
    </xf>
    <xf numFmtId="0" fontId="36" fillId="0" borderId="29">
      <alignment horizontal="left" vertical="center" wrapText="1" indent="2"/>
    </xf>
    <xf numFmtId="0" fontId="36" fillId="33" borderId="27">
      <alignment horizontal="left" vertical="center"/>
    </xf>
    <xf numFmtId="0" fontId="59" fillId="44" borderId="31"/>
    <xf numFmtId="0" fontId="36" fillId="0" borderId="26">
      <alignment horizontal="right" vertical="center"/>
    </xf>
    <xf numFmtId="4" fontId="36" fillId="0" borderId="26">
      <alignment horizontal="right" vertical="center"/>
    </xf>
    <xf numFmtId="0" fontId="36" fillId="0" borderId="26"/>
    <xf numFmtId="0" fontId="63" fillId="57" borderId="30"/>
    <xf numFmtId="175" fontId="36" fillId="61" borderId="26">
      <alignment horizontal="right" vertical="center"/>
    </xf>
    <xf numFmtId="0" fontId="36" fillId="34" borderId="26"/>
    <xf numFmtId="4" fontId="36" fillId="34" borderId="26"/>
    <xf numFmtId="0" fontId="66" fillId="0" borderId="32"/>
    <xf numFmtId="0" fontId="5" fillId="60" borderId="25"/>
    <xf numFmtId="0" fontId="42" fillId="60" borderId="25"/>
    <xf numFmtId="0" fontId="36" fillId="0" borderId="26"/>
    <xf numFmtId="0" fontId="51" fillId="0" borderId="32"/>
    <xf numFmtId="0" fontId="66" fillId="0" borderId="32"/>
    <xf numFmtId="0" fontId="50" fillId="44" borderId="31"/>
    <xf numFmtId="0" fontId="48" fillId="57" borderId="31"/>
    <xf numFmtId="4" fontId="38" fillId="33" borderId="26">
      <alignment horizontal="right" vertical="center"/>
    </xf>
    <xf numFmtId="0" fontId="34" fillId="33" borderId="26">
      <alignment horizontal="right" vertical="center"/>
    </xf>
    <xf numFmtId="175" fontId="36" fillId="61" borderId="26">
      <alignment horizontal="right" vertical="center"/>
    </xf>
    <xf numFmtId="0" fontId="51" fillId="0" borderId="32"/>
    <xf numFmtId="49" fontId="36" fillId="0" borderId="26">
      <alignment horizontal="left" vertical="center" indent="2"/>
    </xf>
    <xf numFmtId="49" fontId="36" fillId="0" borderId="27">
      <alignment horizontal="left" vertical="center" indent="5"/>
    </xf>
    <xf numFmtId="49" fontId="36" fillId="0" borderId="26">
      <alignment horizontal="left" vertical="center" indent="2"/>
    </xf>
    <xf numFmtId="4" fontId="36" fillId="0" borderId="26">
      <alignment horizontal="right" vertical="center"/>
    </xf>
    <xf numFmtId="49" fontId="35" fillId="0" borderId="26">
      <alignment horizontal="left" vertical="center"/>
    </xf>
    <xf numFmtId="0" fontId="36" fillId="0" borderId="29">
      <alignment horizontal="left" vertical="center" wrapText="1" indent="2"/>
    </xf>
    <xf numFmtId="0" fontId="63" fillId="57" borderId="30"/>
    <xf numFmtId="0" fontId="34" fillId="35" borderId="28">
      <alignment horizontal="right" vertical="center"/>
    </xf>
    <xf numFmtId="0" fontId="50" fillId="44" borderId="31"/>
    <xf numFmtId="0" fontId="34" fillId="35" borderId="28">
      <alignment horizontal="right" vertical="center"/>
    </xf>
    <xf numFmtId="4" fontId="34" fillId="35" borderId="26">
      <alignment horizontal="right" vertical="center"/>
    </xf>
    <xf numFmtId="0" fontId="34" fillId="35" borderId="26">
      <alignment horizontal="right" vertical="center"/>
    </xf>
    <xf numFmtId="0" fontId="45" fillId="57" borderId="30"/>
    <xf numFmtId="0" fontId="47" fillId="57" borderId="31"/>
    <xf numFmtId="0" fontId="51" fillId="0" borderId="32"/>
    <xf numFmtId="0" fontId="36" fillId="34" borderId="26"/>
    <xf numFmtId="4" fontId="36" fillId="34" borderId="26"/>
    <xf numFmtId="4" fontId="34" fillId="35" borderId="26">
      <alignment horizontal="right" vertical="center"/>
    </xf>
    <xf numFmtId="0" fontId="38" fillId="33" borderId="26">
      <alignment horizontal="right" vertical="center"/>
    </xf>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28" fillId="0" borderId="0"/>
    <xf numFmtId="4" fontId="34" fillId="35" borderId="28">
      <alignment horizontal="right" vertical="center"/>
    </xf>
    <xf numFmtId="0" fontId="51" fillId="0" borderId="32"/>
    <xf numFmtId="0" fontId="59" fillId="44" borderId="31"/>
    <xf numFmtId="4" fontId="38" fillId="33" borderId="26">
      <alignment horizontal="right" vertical="center"/>
    </xf>
    <xf numFmtId="0" fontId="36" fillId="35" borderId="29">
      <alignment horizontal="left" vertical="center" wrapText="1" indent="2"/>
    </xf>
    <xf numFmtId="49" fontId="35" fillId="0" borderId="26">
      <alignment horizontal="left" vertical="center"/>
    </xf>
    <xf numFmtId="0" fontId="47" fillId="57" borderId="31"/>
    <xf numFmtId="4" fontId="36" fillId="0" borderId="26">
      <alignment horizontal="right" vertical="center"/>
    </xf>
    <xf numFmtId="49" fontId="36" fillId="0" borderId="26">
      <alignment horizontal="left" vertical="center" indent="2"/>
    </xf>
    <xf numFmtId="4" fontId="34" fillId="35" borderId="26">
      <alignment horizontal="right" vertical="center"/>
    </xf>
    <xf numFmtId="0" fontId="34" fillId="35" borderId="28">
      <alignment horizontal="right" vertical="center"/>
    </xf>
    <xf numFmtId="0" fontId="48" fillId="57" borderId="31"/>
    <xf numFmtId="0" fontId="34" fillId="33" borderId="26">
      <alignment horizontal="right" vertical="center"/>
    </xf>
    <xf numFmtId="0" fontId="42" fillId="60" borderId="25"/>
    <xf numFmtId="4" fontId="34" fillId="33" borderId="26">
      <alignment horizontal="right" vertical="center"/>
    </xf>
    <xf numFmtId="0" fontId="48" fillId="57" borderId="31"/>
    <xf numFmtId="0" fontId="36" fillId="0" borderId="29">
      <alignment horizontal="left" vertical="center" wrapText="1" indent="2"/>
    </xf>
    <xf numFmtId="4" fontId="34" fillId="33" borderId="26">
      <alignment horizontal="right" vertical="center"/>
    </xf>
    <xf numFmtId="0" fontId="5" fillId="60" borderId="25"/>
    <xf numFmtId="0" fontId="36" fillId="0" borderId="29">
      <alignment horizontal="left" vertical="center" wrapText="1" indent="2"/>
    </xf>
    <xf numFmtId="0" fontId="66" fillId="0" borderId="32"/>
    <xf numFmtId="0" fontId="38" fillId="33" borderId="26">
      <alignment horizontal="right" vertical="center"/>
    </xf>
    <xf numFmtId="0" fontId="50" fillId="44" borderId="31"/>
    <xf numFmtId="0" fontId="42" fillId="60" borderId="25"/>
    <xf numFmtId="4" fontId="36" fillId="0" borderId="26">
      <alignment horizontal="right" vertical="center"/>
    </xf>
    <xf numFmtId="4" fontId="34" fillId="35" borderId="26">
      <alignment horizontal="right" vertical="center"/>
    </xf>
    <xf numFmtId="0" fontId="36" fillId="34" borderId="26"/>
    <xf numFmtId="4" fontId="36" fillId="34" borderId="26"/>
    <xf numFmtId="49" fontId="35" fillId="0" borderId="26">
      <alignment horizontal="left" vertical="center"/>
    </xf>
    <xf numFmtId="0" fontId="38" fillId="33" borderId="26">
      <alignment horizontal="right" vertical="center"/>
    </xf>
    <xf numFmtId="0" fontId="36" fillId="34" borderId="26"/>
    <xf numFmtId="0" fontId="48" fillId="57" borderId="31"/>
    <xf numFmtId="0" fontId="45" fillId="57" borderId="30"/>
    <xf numFmtId="0" fontId="50" fillId="44" borderId="31"/>
    <xf numFmtId="0" fontId="42" fillId="60" borderId="25"/>
    <xf numFmtId="0" fontId="59" fillId="44" borderId="31"/>
    <xf numFmtId="49" fontId="36" fillId="0" borderId="26">
      <alignment horizontal="left" vertical="center" indent="2"/>
    </xf>
    <xf numFmtId="0" fontId="36" fillId="35" borderId="29">
      <alignment horizontal="left" vertical="center" wrapText="1" indent="2"/>
    </xf>
    <xf numFmtId="0" fontId="36" fillId="0" borderId="26">
      <alignment horizontal="right" vertical="center"/>
    </xf>
    <xf numFmtId="0" fontId="47" fillId="57" borderId="31"/>
    <xf numFmtId="0" fontId="34" fillId="33" borderId="26">
      <alignment horizontal="right" vertical="center"/>
    </xf>
    <xf numFmtId="0" fontId="48" fillId="57" borderId="31"/>
    <xf numFmtId="4" fontId="36" fillId="0" borderId="26">
      <alignment horizontal="right" vertical="center"/>
    </xf>
    <xf numFmtId="4" fontId="38" fillId="33" borderId="26">
      <alignment horizontal="right" vertical="center"/>
    </xf>
    <xf numFmtId="0" fontId="66" fillId="0" borderId="32"/>
    <xf numFmtId="4" fontId="34" fillId="35" borderId="27">
      <alignment horizontal="right" vertical="center"/>
    </xf>
    <xf numFmtId="4" fontId="34" fillId="33" borderId="26">
      <alignment horizontal="right" vertical="center"/>
    </xf>
    <xf numFmtId="0" fontId="59" fillId="44" borderId="31"/>
    <xf numFmtId="0" fontId="63" fillId="57" borderId="30"/>
    <xf numFmtId="4" fontId="38" fillId="33" borderId="26">
      <alignment horizontal="right" vertical="center"/>
    </xf>
    <xf numFmtId="0" fontId="48" fillId="57" borderId="31"/>
    <xf numFmtId="0" fontId="36" fillId="0" borderId="26"/>
    <xf numFmtId="0" fontId="36" fillId="33" borderId="27">
      <alignment horizontal="left" vertical="center"/>
    </xf>
    <xf numFmtId="0" fontId="59" fillId="44" borderId="31"/>
    <xf numFmtId="49" fontId="36" fillId="0" borderId="26">
      <alignment horizontal="left" vertical="center" indent="2"/>
    </xf>
    <xf numFmtId="0" fontId="36" fillId="35" borderId="29">
      <alignment horizontal="left" vertical="center" wrapText="1" indent="2"/>
    </xf>
    <xf numFmtId="4" fontId="36" fillId="34" borderId="26"/>
    <xf numFmtId="49" fontId="36" fillId="0" borderId="27">
      <alignment horizontal="left" vertical="center" indent="5"/>
    </xf>
    <xf numFmtId="0" fontId="5" fillId="60" borderId="25"/>
    <xf numFmtId="4" fontId="38" fillId="33" borderId="26">
      <alignment horizontal="right" vertical="center"/>
    </xf>
    <xf numFmtId="4" fontId="36" fillId="0" borderId="26">
      <alignment horizontal="right" vertical="center"/>
    </xf>
    <xf numFmtId="0" fontId="50" fillId="44" borderId="31"/>
    <xf numFmtId="4" fontId="34" fillId="35" borderId="27">
      <alignment horizontal="right" vertical="center"/>
    </xf>
    <xf numFmtId="0" fontId="38" fillId="33" borderId="26">
      <alignment horizontal="right" vertical="center"/>
    </xf>
    <xf numFmtId="4" fontId="36" fillId="0" borderId="26">
      <alignment horizontal="right" vertical="center"/>
    </xf>
    <xf numFmtId="0" fontId="42" fillId="60" borderId="25"/>
    <xf numFmtId="175" fontId="36" fillId="61" borderId="26">
      <alignment horizontal="right" vertical="center"/>
    </xf>
    <xf numFmtId="0" fontId="42" fillId="60" borderId="25"/>
    <xf numFmtId="0" fontId="63" fillId="57" borderId="30"/>
    <xf numFmtId="0" fontId="5" fillId="60" borderId="25"/>
    <xf numFmtId="175" fontId="36" fillId="61" borderId="26">
      <alignment horizontal="right" vertical="center"/>
    </xf>
    <xf numFmtId="4" fontId="36" fillId="0" borderId="26">
      <alignment horizontal="right" vertical="center"/>
    </xf>
    <xf numFmtId="0" fontId="42" fillId="60" borderId="25"/>
    <xf numFmtId="0" fontId="38" fillId="33" borderId="26">
      <alignment horizontal="right" vertical="center"/>
    </xf>
    <xf numFmtId="0" fontId="34" fillId="35" borderId="26">
      <alignment horizontal="right" vertical="center"/>
    </xf>
    <xf numFmtId="0" fontId="66" fillId="0" borderId="32"/>
    <xf numFmtId="0" fontId="50" fillId="44" borderId="31"/>
    <xf numFmtId="0" fontId="63" fillId="57" borderId="30"/>
    <xf numFmtId="49" fontId="35" fillId="0" borderId="26">
      <alignment horizontal="left" vertical="center"/>
    </xf>
    <xf numFmtId="49" fontId="36" fillId="0" borderId="26">
      <alignment horizontal="left" vertical="center" indent="2"/>
    </xf>
    <xf numFmtId="49" fontId="36" fillId="0" borderId="26">
      <alignment horizontal="left" vertical="center" indent="2"/>
    </xf>
    <xf numFmtId="175" fontId="36" fillId="61" borderId="26">
      <alignment horizontal="right" vertical="center"/>
    </xf>
    <xf numFmtId="0" fontId="48" fillId="57" borderId="31"/>
    <xf numFmtId="0" fontId="50" fillId="44" borderId="31"/>
    <xf numFmtId="0" fontId="66" fillId="0" borderId="32"/>
    <xf numFmtId="4" fontId="34" fillId="35" borderId="26">
      <alignment horizontal="right" vertical="center"/>
    </xf>
    <xf numFmtId="4" fontId="38" fillId="33" borderId="26">
      <alignment horizontal="right" vertical="center"/>
    </xf>
    <xf numFmtId="4" fontId="34" fillId="33" borderId="26">
      <alignment horizontal="right" vertical="center"/>
    </xf>
    <xf numFmtId="4" fontId="38" fillId="33" borderId="26">
      <alignment horizontal="right" vertical="center"/>
    </xf>
    <xf numFmtId="0" fontId="34" fillId="35" borderId="26">
      <alignment horizontal="right" vertical="center"/>
    </xf>
    <xf numFmtId="4" fontId="36" fillId="0" borderId="26">
      <alignment horizontal="right" vertical="center"/>
    </xf>
    <xf numFmtId="0" fontId="66" fillId="0" borderId="32"/>
    <xf numFmtId="0" fontId="63" fillId="57" borderId="30"/>
    <xf numFmtId="0" fontId="42" fillId="60" borderId="25"/>
    <xf numFmtId="0" fontId="34" fillId="35" borderId="26">
      <alignment horizontal="right" vertical="center"/>
    </xf>
    <xf numFmtId="0" fontId="66" fillId="0" borderId="32"/>
    <xf numFmtId="0" fontId="5" fillId="60" borderId="25"/>
    <xf numFmtId="0" fontId="36" fillId="0" borderId="29">
      <alignment horizontal="left" vertical="center" wrapText="1" indent="2"/>
    </xf>
    <xf numFmtId="0" fontId="36" fillId="35" borderId="29">
      <alignment horizontal="left" vertical="center" wrapText="1" indent="2"/>
    </xf>
    <xf numFmtId="0" fontId="59" fillId="44" borderId="31"/>
    <xf numFmtId="0" fontId="66" fillId="0" borderId="32"/>
    <xf numFmtId="4" fontId="38" fillId="33" borderId="26">
      <alignment horizontal="right" vertical="center"/>
    </xf>
    <xf numFmtId="4" fontId="34" fillId="35" borderId="27">
      <alignment horizontal="right" vertical="center"/>
    </xf>
    <xf numFmtId="0" fontId="36" fillId="35" borderId="29">
      <alignment horizontal="left" vertical="center" wrapText="1" indent="2"/>
    </xf>
    <xf numFmtId="0" fontId="59" fillId="44" borderId="31"/>
    <xf numFmtId="0" fontId="36" fillId="0" borderId="26"/>
    <xf numFmtId="0" fontId="48" fillId="57" borderId="31"/>
    <xf numFmtId="4" fontId="36" fillId="0" borderId="26">
      <alignment horizontal="right" vertical="center"/>
    </xf>
    <xf numFmtId="49" fontId="36" fillId="0" borderId="26">
      <alignment horizontal="left" vertical="center" indent="2"/>
    </xf>
    <xf numFmtId="0" fontId="38" fillId="33" borderId="26">
      <alignment horizontal="right" vertical="center"/>
    </xf>
    <xf numFmtId="0" fontId="36" fillId="0" borderId="26">
      <alignment horizontal="right" vertical="center"/>
    </xf>
    <xf numFmtId="175" fontId="36" fillId="61" borderId="26">
      <alignment horizontal="right" vertical="center"/>
    </xf>
    <xf numFmtId="0" fontId="51" fillId="0" borderId="32"/>
    <xf numFmtId="0" fontId="51" fillId="0" borderId="32"/>
    <xf numFmtId="0" fontId="47" fillId="57" borderId="31"/>
    <xf numFmtId="4" fontId="36" fillId="34" borderId="26"/>
    <xf numFmtId="0" fontId="38" fillId="33" borderId="26">
      <alignment horizontal="right" vertical="center"/>
    </xf>
    <xf numFmtId="0" fontId="36" fillId="35" borderId="29">
      <alignment horizontal="left" vertical="center" wrapText="1" indent="2"/>
    </xf>
    <xf numFmtId="4" fontId="34" fillId="35" borderId="27">
      <alignment horizontal="right" vertical="center"/>
    </xf>
    <xf numFmtId="0" fontId="42" fillId="60" borderId="25"/>
    <xf numFmtId="0" fontId="51" fillId="0" borderId="32"/>
    <xf numFmtId="0" fontId="48" fillId="57" borderId="31"/>
    <xf numFmtId="0" fontId="34" fillId="35" borderId="27">
      <alignment horizontal="right" vertical="center"/>
    </xf>
    <xf numFmtId="0" fontId="50" fillId="44" borderId="31"/>
    <xf numFmtId="4" fontId="34" fillId="35" borderId="26">
      <alignment horizontal="right" vertical="center"/>
    </xf>
    <xf numFmtId="4" fontId="34" fillId="35" borderId="28">
      <alignment horizontal="right" vertical="center"/>
    </xf>
    <xf numFmtId="4" fontId="34" fillId="33" borderId="26">
      <alignment horizontal="right" vertical="center"/>
    </xf>
    <xf numFmtId="0" fontId="36" fillId="0" borderId="29">
      <alignment horizontal="left" vertical="center" wrapText="1" indent="2"/>
    </xf>
    <xf numFmtId="0" fontId="66" fillId="0" borderId="32"/>
    <xf numFmtId="4" fontId="34" fillId="35" borderId="27">
      <alignment horizontal="right" vertical="center"/>
    </xf>
    <xf numFmtId="0" fontId="51" fillId="0" borderId="32"/>
    <xf numFmtId="49" fontId="35" fillId="0" borderId="26">
      <alignment horizontal="left" vertical="center"/>
    </xf>
    <xf numFmtId="0" fontId="48" fillId="57" borderId="31"/>
    <xf numFmtId="0" fontId="63" fillId="57" borderId="30"/>
    <xf numFmtId="0" fontId="36" fillId="0" borderId="29">
      <alignment horizontal="left" vertical="center" wrapText="1" indent="2"/>
    </xf>
    <xf numFmtId="4" fontId="38" fillId="33" borderId="26">
      <alignment horizontal="right" vertical="center"/>
    </xf>
    <xf numFmtId="0" fontId="63" fillId="57" borderId="30"/>
    <xf numFmtId="4" fontId="36" fillId="0" borderId="26">
      <alignment horizontal="right" vertical="center"/>
    </xf>
    <xf numFmtId="4" fontId="36" fillId="0" borderId="26">
      <alignment horizontal="right" vertical="center"/>
    </xf>
    <xf numFmtId="0" fontId="36" fillId="35" borderId="29">
      <alignment horizontal="left" vertical="center" wrapText="1" indent="2"/>
    </xf>
    <xf numFmtId="0" fontId="34" fillId="35" borderId="26">
      <alignment horizontal="right" vertical="center"/>
    </xf>
    <xf numFmtId="0" fontId="66" fillId="0" borderId="32"/>
    <xf numFmtId="0" fontId="63" fillId="57" borderId="30"/>
    <xf numFmtId="0" fontId="66" fillId="0" borderId="32"/>
    <xf numFmtId="0" fontId="50" fillId="44" borderId="31"/>
    <xf numFmtId="4" fontId="34" fillId="35" borderId="26">
      <alignment horizontal="right" vertical="center"/>
    </xf>
    <xf numFmtId="0" fontId="34" fillId="35" borderId="28">
      <alignment horizontal="right" vertical="center"/>
    </xf>
    <xf numFmtId="0" fontId="36" fillId="0" borderId="26">
      <alignment horizontal="right" vertical="center"/>
    </xf>
    <xf numFmtId="175" fontId="36" fillId="61" borderId="26">
      <alignment horizontal="right" vertical="center"/>
    </xf>
    <xf numFmtId="49" fontId="36" fillId="0" borderId="26">
      <alignment horizontal="left" vertical="center" indent="2"/>
    </xf>
    <xf numFmtId="4" fontId="34" fillId="35" borderId="28">
      <alignment horizontal="right" vertical="center"/>
    </xf>
    <xf numFmtId="4" fontId="36" fillId="0" borderId="26">
      <alignment horizontal="right" vertical="center"/>
    </xf>
    <xf numFmtId="4" fontId="36" fillId="34" borderId="26"/>
    <xf numFmtId="0" fontId="34" fillId="35" borderId="27">
      <alignment horizontal="right" vertical="center"/>
    </xf>
    <xf numFmtId="4" fontId="36" fillId="34" borderId="26"/>
    <xf numFmtId="0" fontId="36" fillId="0" borderId="29">
      <alignment horizontal="left" vertical="center" wrapText="1" indent="2"/>
    </xf>
    <xf numFmtId="0" fontId="34" fillId="35" borderId="27">
      <alignment horizontal="right" vertical="center"/>
    </xf>
    <xf numFmtId="0" fontId="48" fillId="57" borderId="31"/>
    <xf numFmtId="4" fontId="34" fillId="35" borderId="28">
      <alignment horizontal="right" vertical="center"/>
    </xf>
    <xf numFmtId="4" fontId="34" fillId="35" borderId="27">
      <alignment horizontal="right" vertical="center"/>
    </xf>
    <xf numFmtId="0" fontId="36" fillId="35" borderId="29">
      <alignment horizontal="left" vertical="center" wrapText="1" indent="2"/>
    </xf>
    <xf numFmtId="0" fontId="63" fillId="57" borderId="30"/>
    <xf numFmtId="4" fontId="36" fillId="0" borderId="26">
      <alignment horizontal="right" vertical="center"/>
    </xf>
    <xf numFmtId="0" fontId="34" fillId="35" borderId="26">
      <alignment horizontal="right" vertical="center"/>
    </xf>
    <xf numFmtId="49" fontId="36" fillId="0" borderId="26">
      <alignment horizontal="left" vertical="center" indent="2"/>
    </xf>
    <xf numFmtId="0" fontId="66" fillId="0" borderId="32"/>
    <xf numFmtId="4" fontId="36" fillId="0" borderId="26">
      <alignment horizontal="right" vertical="center"/>
    </xf>
    <xf numFmtId="4" fontId="34" fillId="35" borderId="26">
      <alignment horizontal="right" vertical="center"/>
    </xf>
    <xf numFmtId="49" fontId="35" fillId="0" borderId="26">
      <alignment horizontal="left" vertical="center"/>
    </xf>
    <xf numFmtId="4" fontId="34" fillId="35" borderId="27">
      <alignment horizontal="right" vertical="center"/>
    </xf>
    <xf numFmtId="4" fontId="34" fillId="35" borderId="26">
      <alignment horizontal="right" vertical="center"/>
    </xf>
    <xf numFmtId="0" fontId="48" fillId="57" borderId="31"/>
    <xf numFmtId="4" fontId="34" fillId="33" borderId="26">
      <alignment horizontal="right" vertical="center"/>
    </xf>
    <xf numFmtId="4" fontId="38" fillId="33" borderId="26">
      <alignment horizontal="right" vertical="center"/>
    </xf>
    <xf numFmtId="0" fontId="34" fillId="35" borderId="28">
      <alignment horizontal="right" vertical="center"/>
    </xf>
    <xf numFmtId="0" fontId="36" fillId="0" borderId="29">
      <alignment horizontal="left" vertical="center" wrapText="1" indent="2"/>
    </xf>
    <xf numFmtId="4" fontId="36" fillId="0" borderId="26">
      <alignment horizontal="right" vertical="center"/>
    </xf>
    <xf numFmtId="49" fontId="36" fillId="0" borderId="27">
      <alignment horizontal="left" vertical="center" indent="5"/>
    </xf>
    <xf numFmtId="0" fontId="51" fillId="0" borderId="32"/>
    <xf numFmtId="0" fontId="34" fillId="33" borderId="26">
      <alignment horizontal="right" vertical="center"/>
    </xf>
    <xf numFmtId="0" fontId="34" fillId="35" borderId="26">
      <alignment horizontal="right" vertical="center"/>
    </xf>
    <xf numFmtId="0" fontId="38" fillId="33" borderId="26">
      <alignment horizontal="right" vertical="center"/>
    </xf>
    <xf numFmtId="0" fontId="34" fillId="33" borderId="26">
      <alignment horizontal="right" vertical="center"/>
    </xf>
    <xf numFmtId="0" fontId="34" fillId="35" borderId="26">
      <alignment horizontal="right" vertical="center"/>
    </xf>
    <xf numFmtId="0" fontId="66" fillId="0" borderId="32"/>
    <xf numFmtId="0" fontId="5" fillId="60" borderId="25"/>
    <xf numFmtId="4" fontId="36" fillId="34" borderId="26"/>
    <xf numFmtId="0" fontId="63" fillId="57" borderId="30"/>
    <xf numFmtId="0" fontId="42" fillId="60" borderId="25"/>
    <xf numFmtId="0" fontId="48" fillId="57" borderId="31"/>
    <xf numFmtId="49" fontId="35" fillId="0" borderId="26">
      <alignment horizontal="left" vertical="center"/>
    </xf>
    <xf numFmtId="0" fontId="42" fillId="60" borderId="25"/>
    <xf numFmtId="0" fontId="51" fillId="0" borderId="32"/>
    <xf numFmtId="0" fontId="34" fillId="35" borderId="26">
      <alignment horizontal="right" vertical="center"/>
    </xf>
    <xf numFmtId="0" fontId="48" fillId="57" borderId="31"/>
    <xf numFmtId="0" fontId="47" fillId="57" borderId="31"/>
    <xf numFmtId="0" fontId="36" fillId="0" borderId="26">
      <alignment horizontal="right" vertical="center"/>
    </xf>
    <xf numFmtId="0" fontId="63" fillId="57" borderId="30"/>
    <xf numFmtId="4" fontId="38" fillId="33" borderId="26">
      <alignment horizontal="right" vertical="center"/>
    </xf>
    <xf numFmtId="0" fontId="36" fillId="33" borderId="27">
      <alignment horizontal="left" vertical="center"/>
    </xf>
    <xf numFmtId="4" fontId="34" fillId="35" borderId="26">
      <alignment horizontal="right" vertical="center"/>
    </xf>
    <xf numFmtId="0" fontId="50" fillId="44" borderId="31"/>
    <xf numFmtId="0" fontId="47" fillId="57" borderId="31"/>
    <xf numFmtId="0" fontId="59" fillId="44" borderId="31"/>
    <xf numFmtId="0" fontId="47" fillId="57" borderId="31"/>
    <xf numFmtId="4" fontId="38" fillId="33" borderId="26">
      <alignment horizontal="right" vertical="center"/>
    </xf>
    <xf numFmtId="0" fontId="47" fillId="57" borderId="31"/>
    <xf numFmtId="0" fontId="45" fillId="57" borderId="30"/>
    <xf numFmtId="0" fontId="42" fillId="60" borderId="25"/>
    <xf numFmtId="0" fontId="59" fillId="44" borderId="31"/>
    <xf numFmtId="0" fontId="34" fillId="35" borderId="26">
      <alignment horizontal="right" vertical="center"/>
    </xf>
    <xf numFmtId="0" fontId="48" fillId="57" borderId="31"/>
    <xf numFmtId="0" fontId="50" fillId="44" borderId="31"/>
    <xf numFmtId="4" fontId="34" fillId="35" borderId="26">
      <alignment horizontal="right" vertical="center"/>
    </xf>
    <xf numFmtId="0" fontId="36" fillId="34" borderId="26"/>
    <xf numFmtId="0" fontId="47" fillId="57" borderId="31"/>
    <xf numFmtId="0" fontId="34" fillId="35" borderId="26">
      <alignment horizontal="right" vertical="center"/>
    </xf>
    <xf numFmtId="0" fontId="34" fillId="35" borderId="28">
      <alignment horizontal="right" vertical="center"/>
    </xf>
    <xf numFmtId="0" fontId="59" fillId="44" borderId="31"/>
    <xf numFmtId="0" fontId="36" fillId="0" borderId="29">
      <alignment horizontal="left" vertical="center" wrapText="1" indent="2"/>
    </xf>
    <xf numFmtId="0" fontId="48" fillId="57" borderId="31"/>
    <xf numFmtId="0" fontId="34" fillId="35" borderId="28">
      <alignment horizontal="right" vertical="center"/>
    </xf>
    <xf numFmtId="0" fontId="34" fillId="35" borderId="27">
      <alignment horizontal="right" vertical="center"/>
    </xf>
    <xf numFmtId="0" fontId="34" fillId="35" borderId="26">
      <alignment horizontal="right" vertical="center"/>
    </xf>
    <xf numFmtId="175" fontId="36" fillId="61" borderId="26">
      <alignment horizontal="right" vertical="center"/>
    </xf>
    <xf numFmtId="0" fontId="36" fillId="35" borderId="29">
      <alignment horizontal="left" vertical="center" wrapText="1" indent="2"/>
    </xf>
    <xf numFmtId="0" fontId="42" fillId="60" borderId="25"/>
    <xf numFmtId="0" fontId="48" fillId="57" borderId="31"/>
    <xf numFmtId="0" fontId="47" fillId="57" borderId="31"/>
    <xf numFmtId="0" fontId="66" fillId="0" borderId="32"/>
    <xf numFmtId="0" fontId="36" fillId="0" borderId="26">
      <alignment horizontal="right" vertical="center"/>
    </xf>
    <xf numFmtId="0" fontId="34" fillId="33" borderId="26">
      <alignment horizontal="right" vertical="center"/>
    </xf>
    <xf numFmtId="0" fontId="63" fillId="57" borderId="30"/>
    <xf numFmtId="0" fontId="63" fillId="57" borderId="30"/>
    <xf numFmtId="4" fontId="34" fillId="35" borderId="26">
      <alignment horizontal="right" vertical="center"/>
    </xf>
    <xf numFmtId="0" fontId="36" fillId="0" borderId="29">
      <alignment horizontal="left" vertical="center" wrapText="1" indent="2"/>
    </xf>
    <xf numFmtId="0" fontId="34" fillId="33" borderId="26">
      <alignment horizontal="right" vertical="center"/>
    </xf>
    <xf numFmtId="0" fontId="50" fillId="44" borderId="31"/>
    <xf numFmtId="0" fontId="48" fillId="57" borderId="31"/>
    <xf numFmtId="175" fontId="36" fillId="61" borderId="26">
      <alignment horizontal="right" vertical="center"/>
    </xf>
    <xf numFmtId="0" fontId="48" fillId="57" borderId="31"/>
    <xf numFmtId="0" fontId="34" fillId="35" borderId="26">
      <alignment horizontal="right" vertical="center"/>
    </xf>
    <xf numFmtId="0" fontId="36" fillId="0" borderId="26">
      <alignment horizontal="right" vertical="center"/>
    </xf>
    <xf numFmtId="0" fontId="50" fillId="44" borderId="31"/>
    <xf numFmtId="0" fontId="36" fillId="35" borderId="29">
      <alignment horizontal="left" vertical="center" wrapText="1" indent="2"/>
    </xf>
    <xf numFmtId="0" fontId="66" fillId="0" borderId="32"/>
    <xf numFmtId="0" fontId="63" fillId="57" borderId="30"/>
    <xf numFmtId="4" fontId="34" fillId="33" borderId="26">
      <alignment horizontal="right" vertical="center"/>
    </xf>
    <xf numFmtId="0" fontId="36" fillId="33" borderId="27">
      <alignment horizontal="left" vertical="center"/>
    </xf>
    <xf numFmtId="0" fontId="45" fillId="57" borderId="30"/>
    <xf numFmtId="49" fontId="35" fillId="0" borderId="26">
      <alignment horizontal="left" vertical="center"/>
    </xf>
    <xf numFmtId="0" fontId="59" fillId="44" borderId="31"/>
    <xf numFmtId="0" fontId="50" fillId="44" borderId="31"/>
    <xf numFmtId="0" fontId="34" fillId="35" borderId="28">
      <alignment horizontal="right" vertical="center"/>
    </xf>
    <xf numFmtId="0" fontId="36" fillId="34" borderId="26"/>
    <xf numFmtId="0" fontId="34" fillId="35" borderId="26">
      <alignment horizontal="right" vertical="center"/>
    </xf>
    <xf numFmtId="0" fontId="66" fillId="0" borderId="32"/>
    <xf numFmtId="4" fontId="36" fillId="34" borderId="26"/>
    <xf numFmtId="0" fontId="38" fillId="33" borderId="26">
      <alignment horizontal="right" vertical="center"/>
    </xf>
    <xf numFmtId="4" fontId="36" fillId="0" borderId="26">
      <alignment horizontal="right" vertical="center"/>
    </xf>
    <xf numFmtId="0" fontId="66" fillId="0" borderId="32"/>
    <xf numFmtId="4" fontId="34" fillId="35" borderId="27">
      <alignment horizontal="right" vertical="center"/>
    </xf>
    <xf numFmtId="175" fontId="36" fillId="61" borderId="26">
      <alignment horizontal="right" vertical="center"/>
    </xf>
    <xf numFmtId="0" fontId="36" fillId="0" borderId="29">
      <alignment horizontal="left" vertical="center" wrapText="1" indent="2"/>
    </xf>
    <xf numFmtId="0" fontId="5" fillId="60" borderId="25"/>
    <xf numFmtId="0" fontId="42" fillId="60" borderId="25"/>
    <xf numFmtId="4" fontId="34" fillId="33" borderId="26">
      <alignment horizontal="right" vertical="center"/>
    </xf>
    <xf numFmtId="0" fontId="63" fillId="57" borderId="30"/>
    <xf numFmtId="0" fontId="42" fillId="60" borderId="25"/>
    <xf numFmtId="4" fontId="34" fillId="35" borderId="26">
      <alignment horizontal="right" vertical="center"/>
    </xf>
    <xf numFmtId="0" fontId="36" fillId="0" borderId="29">
      <alignment horizontal="left" vertical="center" wrapText="1" indent="2"/>
    </xf>
    <xf numFmtId="0" fontId="45" fillId="57" borderId="30"/>
    <xf numFmtId="0" fontId="36" fillId="33" borderId="27">
      <alignment horizontal="left" vertical="center"/>
    </xf>
    <xf numFmtId="0" fontId="63" fillId="57" borderId="30"/>
    <xf numFmtId="4" fontId="36" fillId="34" borderId="26"/>
    <xf numFmtId="0" fontId="36" fillId="0" borderId="26">
      <alignment horizontal="right" vertical="center"/>
    </xf>
    <xf numFmtId="4" fontId="34" fillId="35" borderId="26">
      <alignment horizontal="right" vertical="center"/>
    </xf>
    <xf numFmtId="0" fontId="34" fillId="35" borderId="27">
      <alignment horizontal="right" vertical="center"/>
    </xf>
    <xf numFmtId="4" fontId="34" fillId="33" borderId="26">
      <alignment horizontal="right" vertical="center"/>
    </xf>
    <xf numFmtId="0" fontId="42" fillId="60" borderId="25"/>
    <xf numFmtId="0" fontId="66" fillId="0" borderId="32"/>
    <xf numFmtId="0" fontId="34" fillId="33" borderId="26">
      <alignment horizontal="right" vertical="center"/>
    </xf>
    <xf numFmtId="0" fontId="66" fillId="0" borderId="32"/>
    <xf numFmtId="0" fontId="36" fillId="33" borderId="27">
      <alignment horizontal="left" vertical="center"/>
    </xf>
    <xf numFmtId="0" fontId="66" fillId="0" borderId="32"/>
    <xf numFmtId="0" fontId="34" fillId="35" borderId="26">
      <alignment horizontal="right" vertical="center"/>
    </xf>
    <xf numFmtId="0" fontId="45" fillId="57" borderId="30"/>
    <xf numFmtId="49" fontId="35" fillId="0" borderId="26">
      <alignment horizontal="left" vertical="center"/>
    </xf>
    <xf numFmtId="49" fontId="36" fillId="0" borderId="26">
      <alignment horizontal="left" vertical="center" indent="2"/>
    </xf>
    <xf numFmtId="0" fontId="42" fillId="60" borderId="25"/>
    <xf numFmtId="4" fontId="36" fillId="34" borderId="26"/>
    <xf numFmtId="4" fontId="34" fillId="35" borderId="26">
      <alignment horizontal="right" vertical="center"/>
    </xf>
    <xf numFmtId="4" fontId="34" fillId="35" borderId="26">
      <alignment horizontal="right" vertical="center"/>
    </xf>
    <xf numFmtId="4" fontId="36" fillId="34" borderId="26"/>
    <xf numFmtId="49" fontId="36" fillId="0" borderId="27">
      <alignment horizontal="left" vertical="center" indent="5"/>
    </xf>
    <xf numFmtId="4" fontId="34" fillId="35" borderId="27">
      <alignment horizontal="right" vertical="center"/>
    </xf>
    <xf numFmtId="0" fontId="66" fillId="0" borderId="32"/>
    <xf numFmtId="0" fontId="59" fillId="44" borderId="31"/>
    <xf numFmtId="0" fontId="50" fillId="44" borderId="31"/>
    <xf numFmtId="0" fontId="34" fillId="35" borderId="27">
      <alignment horizontal="right" vertical="center"/>
    </xf>
    <xf numFmtId="0" fontId="48" fillId="57" borderId="31"/>
    <xf numFmtId="0" fontId="45" fillId="57" borderId="30"/>
    <xf numFmtId="4" fontId="36" fillId="0" borderId="26">
      <alignment horizontal="right" vertical="center"/>
    </xf>
    <xf numFmtId="0" fontId="66" fillId="0" borderId="32"/>
    <xf numFmtId="0" fontId="45" fillId="57" borderId="30"/>
    <xf numFmtId="0" fontId="66" fillId="0" borderId="32"/>
    <xf numFmtId="0" fontId="45" fillId="57" borderId="30"/>
    <xf numFmtId="0" fontId="48" fillId="57" borderId="31"/>
    <xf numFmtId="4" fontId="34" fillId="35" borderId="26">
      <alignment horizontal="right" vertical="center"/>
    </xf>
    <xf numFmtId="0" fontId="34" fillId="35" borderId="28">
      <alignment horizontal="right" vertical="center"/>
    </xf>
    <xf numFmtId="4" fontId="36" fillId="0" borderId="26">
      <alignment horizontal="right" vertical="center"/>
    </xf>
    <xf numFmtId="0" fontId="34" fillId="35" borderId="26">
      <alignment horizontal="right" vertical="center"/>
    </xf>
    <xf numFmtId="0" fontId="34" fillId="35" borderId="26">
      <alignment horizontal="right" vertical="center"/>
    </xf>
    <xf numFmtId="4" fontId="36" fillId="0" borderId="26">
      <alignment horizontal="right" vertical="center"/>
    </xf>
    <xf numFmtId="0" fontId="34" fillId="35" borderId="26">
      <alignment horizontal="right" vertical="center"/>
    </xf>
    <xf numFmtId="0" fontId="47" fillId="57" borderId="31"/>
    <xf numFmtId="0" fontId="59" fillId="44" borderId="31"/>
    <xf numFmtId="4" fontId="36" fillId="34" borderId="26"/>
    <xf numFmtId="0" fontId="48" fillId="57" borderId="31"/>
    <xf numFmtId="0" fontId="38" fillId="33" borderId="26">
      <alignment horizontal="right" vertical="center"/>
    </xf>
    <xf numFmtId="4" fontId="36" fillId="34" borderId="26"/>
    <xf numFmtId="0" fontId="51" fillId="0" borderId="32"/>
    <xf numFmtId="0" fontId="45" fillId="57" borderId="30"/>
    <xf numFmtId="4" fontId="34" fillId="35" borderId="26">
      <alignment horizontal="right" vertical="center"/>
    </xf>
    <xf numFmtId="0" fontId="36" fillId="0" borderId="26">
      <alignment horizontal="right" vertical="center"/>
    </xf>
    <xf numFmtId="0" fontId="36" fillId="33" borderId="27">
      <alignment horizontal="left" vertical="center"/>
    </xf>
    <xf numFmtId="0" fontId="36" fillId="35" borderId="29">
      <alignment horizontal="left" vertical="center" wrapText="1" indent="2"/>
    </xf>
    <xf numFmtId="4" fontId="34" fillId="35" borderId="28">
      <alignment horizontal="right" vertical="center"/>
    </xf>
    <xf numFmtId="4" fontId="34" fillId="35" borderId="27">
      <alignment horizontal="right" vertical="center"/>
    </xf>
    <xf numFmtId="4" fontId="34" fillId="35" borderId="26">
      <alignment horizontal="right" vertical="center"/>
    </xf>
    <xf numFmtId="0" fontId="36" fillId="0" borderId="26"/>
    <xf numFmtId="0" fontId="36" fillId="34" borderId="26"/>
    <xf numFmtId="4" fontId="34" fillId="35" borderId="27">
      <alignment horizontal="right" vertical="center"/>
    </xf>
    <xf numFmtId="0" fontId="51" fillId="0" borderId="32"/>
    <xf numFmtId="0" fontId="34" fillId="35" borderId="27">
      <alignment horizontal="right" vertical="center"/>
    </xf>
    <xf numFmtId="4" fontId="34" fillId="35" borderId="28">
      <alignment horizontal="right" vertical="center"/>
    </xf>
    <xf numFmtId="0" fontId="47" fillId="57" borderId="31"/>
    <xf numFmtId="0" fontId="34" fillId="35" borderId="27">
      <alignment horizontal="right" vertical="center"/>
    </xf>
    <xf numFmtId="4" fontId="34" fillId="35" borderId="26">
      <alignment horizontal="right" vertical="center"/>
    </xf>
    <xf numFmtId="0" fontId="36" fillId="33" borderId="27">
      <alignment horizontal="left" vertical="center"/>
    </xf>
    <xf numFmtId="0" fontId="42" fillId="60" borderId="25"/>
    <xf numFmtId="0" fontId="51" fillId="0" borderId="32"/>
    <xf numFmtId="0" fontId="59" fillId="44" borderId="31"/>
    <xf numFmtId="0" fontId="36" fillId="0" borderId="26"/>
    <xf numFmtId="0" fontId="59" fillId="44" borderId="31"/>
    <xf numFmtId="0" fontId="48" fillId="57" borderId="31"/>
    <xf numFmtId="0" fontId="47" fillId="57" borderId="31"/>
    <xf numFmtId="4" fontId="34" fillId="35" borderId="26">
      <alignment horizontal="right" vertical="center"/>
    </xf>
    <xf numFmtId="0" fontId="50" fillId="44" borderId="31"/>
    <xf numFmtId="49" fontId="36" fillId="0" borderId="27">
      <alignment horizontal="left" vertical="center" indent="5"/>
    </xf>
    <xf numFmtId="0" fontId="45" fillId="57" borderId="30"/>
    <xf numFmtId="0" fontId="36" fillId="35" borderId="29">
      <alignment horizontal="left" vertical="center" wrapText="1" indent="2"/>
    </xf>
    <xf numFmtId="0" fontId="36" fillId="34" borderId="26"/>
    <xf numFmtId="0" fontId="42" fillId="60" borderId="25"/>
    <xf numFmtId="4" fontId="34" fillId="33" borderId="26">
      <alignment horizontal="right" vertical="center"/>
    </xf>
    <xf numFmtId="4" fontId="36" fillId="0" borderId="26">
      <alignment horizontal="right" vertical="center"/>
    </xf>
    <xf numFmtId="0" fontId="36" fillId="0" borderId="26"/>
    <xf numFmtId="0" fontId="36" fillId="35" borderId="29">
      <alignment horizontal="left" vertical="center" wrapText="1" indent="2"/>
    </xf>
    <xf numFmtId="0" fontId="34" fillId="35" borderId="28">
      <alignment horizontal="right" vertical="center"/>
    </xf>
    <xf numFmtId="49" fontId="36" fillId="0" borderId="27">
      <alignment horizontal="left" vertical="center" indent="5"/>
    </xf>
    <xf numFmtId="0" fontId="36" fillId="0" borderId="26">
      <alignment horizontal="right" vertical="center"/>
    </xf>
    <xf numFmtId="0" fontId="34" fillId="33" borderId="26">
      <alignment horizontal="right" vertical="center"/>
    </xf>
    <xf numFmtId="0" fontId="42" fillId="60" borderId="25"/>
    <xf numFmtId="0" fontId="36" fillId="35" borderId="29">
      <alignment horizontal="left" vertical="center" wrapText="1" indent="2"/>
    </xf>
    <xf numFmtId="0" fontId="51" fillId="0" borderId="32"/>
    <xf numFmtId="0" fontId="48" fillId="57" borderId="31"/>
    <xf numFmtId="0" fontId="36" fillId="34" borderId="26"/>
    <xf numFmtId="0" fontId="50" fillId="44" borderId="31"/>
    <xf numFmtId="0" fontId="63" fillId="57" borderId="30"/>
    <xf numFmtId="0" fontId="36" fillId="34" borderId="26"/>
    <xf numFmtId="0" fontId="42" fillId="60" borderId="25"/>
    <xf numFmtId="49" fontId="36" fillId="0" borderId="27">
      <alignment horizontal="left" vertical="center" indent="5"/>
    </xf>
    <xf numFmtId="0" fontId="47" fillId="57" borderId="31"/>
    <xf numFmtId="0" fontId="34" fillId="35" borderId="26">
      <alignment horizontal="right" vertical="center"/>
    </xf>
    <xf numFmtId="0" fontId="34" fillId="35" borderId="26">
      <alignment horizontal="right" vertical="center"/>
    </xf>
    <xf numFmtId="0" fontId="36" fillId="0" borderId="29">
      <alignment horizontal="left" vertical="center" wrapText="1" indent="2"/>
    </xf>
    <xf numFmtId="4" fontId="34" fillId="35" borderId="28">
      <alignment horizontal="right" vertical="center"/>
    </xf>
    <xf numFmtId="0" fontId="59" fillId="44" borderId="31"/>
    <xf numFmtId="175" fontId="36" fillId="61" borderId="26">
      <alignment horizontal="right" vertical="center"/>
    </xf>
    <xf numFmtId="0" fontId="36" fillId="34" borderId="26"/>
    <xf numFmtId="0" fontId="36" fillId="0" borderId="26"/>
    <xf numFmtId="0" fontId="59" fillId="44" borderId="31"/>
    <xf numFmtId="0" fontId="36" fillId="0" borderId="29">
      <alignment horizontal="left" vertical="center" wrapText="1" indent="2"/>
    </xf>
    <xf numFmtId="0" fontId="48" fillId="57" borderId="31"/>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0" fontId="34" fillId="35" borderId="26">
      <alignment horizontal="right" vertical="center"/>
    </xf>
    <xf numFmtId="0" fontId="34" fillId="33" borderId="26">
      <alignment horizontal="right" vertical="center"/>
    </xf>
    <xf numFmtId="0" fontId="36" fillId="34" borderId="26"/>
    <xf numFmtId="0" fontId="48" fillId="57" borderId="31"/>
    <xf numFmtId="0" fontId="36" fillId="0" borderId="26"/>
    <xf numFmtId="0" fontId="59" fillId="44" borderId="31"/>
    <xf numFmtId="0" fontId="34" fillId="35" borderId="27">
      <alignment horizontal="right" vertical="center"/>
    </xf>
    <xf numFmtId="0" fontId="42" fillId="60" borderId="25"/>
    <xf numFmtId="0" fontId="38" fillId="33" borderId="26">
      <alignment horizontal="right" vertical="center"/>
    </xf>
    <xf numFmtId="0" fontId="63" fillId="57" borderId="30"/>
    <xf numFmtId="0" fontId="42" fillId="60" borderId="25"/>
    <xf numFmtId="0" fontId="66" fillId="0" borderId="32"/>
    <xf numFmtId="0" fontId="34" fillId="35" borderId="28">
      <alignment horizontal="right" vertical="center"/>
    </xf>
    <xf numFmtId="0" fontId="66" fillId="0" borderId="32"/>
    <xf numFmtId="4" fontId="36" fillId="0" borderId="26">
      <alignment horizontal="right" vertical="center"/>
    </xf>
    <xf numFmtId="0" fontId="36" fillId="0" borderId="26"/>
    <xf numFmtId="0" fontId="34" fillId="35" borderId="27">
      <alignment horizontal="right" vertical="center"/>
    </xf>
    <xf numFmtId="0" fontId="48" fillId="57" borderId="31"/>
    <xf numFmtId="0" fontId="34" fillId="33" borderId="26">
      <alignment horizontal="right" vertical="center"/>
    </xf>
    <xf numFmtId="4" fontId="34" fillId="35" borderId="28">
      <alignment horizontal="right" vertical="center"/>
    </xf>
    <xf numFmtId="0" fontId="45" fillId="57" borderId="30"/>
    <xf numFmtId="4" fontId="34" fillId="35" borderId="28">
      <alignment horizontal="right" vertical="center"/>
    </xf>
    <xf numFmtId="0" fontId="42" fillId="60" borderId="25"/>
    <xf numFmtId="0" fontId="50" fillId="44" borderId="31"/>
    <xf numFmtId="4" fontId="38" fillId="33" borderId="26">
      <alignment horizontal="right" vertical="center"/>
    </xf>
    <xf numFmtId="0" fontId="66" fillId="0" borderId="32"/>
    <xf numFmtId="0" fontId="48" fillId="57" borderId="31"/>
    <xf numFmtId="4" fontId="34" fillId="33" borderId="26">
      <alignment horizontal="right" vertical="center"/>
    </xf>
    <xf numFmtId="0" fontId="48" fillId="57" borderId="31"/>
    <xf numFmtId="0" fontId="34" fillId="35" borderId="28">
      <alignment horizontal="right" vertical="center"/>
    </xf>
    <xf numFmtId="4" fontId="36" fillId="0" borderId="26">
      <alignment horizontal="right" vertical="center"/>
    </xf>
    <xf numFmtId="4" fontId="36" fillId="34" borderId="26"/>
    <xf numFmtId="0" fontId="66" fillId="0" borderId="32"/>
    <xf numFmtId="0" fontId="36" fillId="34" borderId="26"/>
    <xf numFmtId="0" fontId="5" fillId="60" borderId="25"/>
    <xf numFmtId="0" fontId="63" fillId="57" borderId="30"/>
    <xf numFmtId="4" fontId="34" fillId="35" borderId="28">
      <alignment horizontal="right" vertical="center"/>
    </xf>
    <xf numFmtId="0" fontId="66" fillId="0" borderId="32"/>
    <xf numFmtId="0" fontId="59" fillId="44" borderId="31"/>
    <xf numFmtId="0" fontId="34" fillId="35" borderId="26">
      <alignment horizontal="right" vertical="center"/>
    </xf>
    <xf numFmtId="4" fontId="34" fillId="35" borderId="26">
      <alignment horizontal="right" vertical="center"/>
    </xf>
    <xf numFmtId="0" fontId="36" fillId="35" borderId="29">
      <alignment horizontal="left" vertical="center" wrapText="1" indent="2"/>
    </xf>
    <xf numFmtId="0" fontId="42" fillId="60" borderId="25"/>
    <xf numFmtId="0" fontId="48" fillId="57" borderId="31"/>
    <xf numFmtId="0" fontId="34" fillId="35" borderId="26">
      <alignment horizontal="right" vertical="center"/>
    </xf>
    <xf numFmtId="0" fontId="47" fillId="57" borderId="31"/>
    <xf numFmtId="0" fontId="48" fillId="57" borderId="31"/>
    <xf numFmtId="4" fontId="34" fillId="35" borderId="28">
      <alignment horizontal="right" vertical="center"/>
    </xf>
    <xf numFmtId="175" fontId="36" fillId="61" borderId="26">
      <alignment horizontal="right" vertical="center"/>
    </xf>
    <xf numFmtId="0" fontId="36" fillId="35" borderId="29">
      <alignment horizontal="left" vertical="center" wrapText="1" indent="2"/>
    </xf>
    <xf numFmtId="0" fontId="59" fillId="44" borderId="31"/>
    <xf numFmtId="4" fontId="34" fillId="35" borderId="28">
      <alignment horizontal="right" vertical="center"/>
    </xf>
    <xf numFmtId="0" fontId="34" fillId="33" borderId="26">
      <alignment horizontal="right" vertical="center"/>
    </xf>
    <xf numFmtId="0" fontId="50" fillId="44" borderId="31"/>
    <xf numFmtId="0" fontId="48" fillId="57" borderId="31"/>
    <xf numFmtId="4" fontId="34" fillId="33" borderId="26">
      <alignment horizontal="right" vertical="center"/>
    </xf>
    <xf numFmtId="49" fontId="35" fillId="0" borderId="26">
      <alignment horizontal="left" vertical="center"/>
    </xf>
    <xf numFmtId="0" fontId="36" fillId="0" borderId="26"/>
    <xf numFmtId="4" fontId="34" fillId="35" borderId="28">
      <alignment horizontal="right" vertical="center"/>
    </xf>
    <xf numFmtId="0" fontId="34" fillId="35" borderId="26">
      <alignment horizontal="right" vertical="center"/>
    </xf>
    <xf numFmtId="0" fontId="36" fillId="0" borderId="26"/>
    <xf numFmtId="0" fontId="34" fillId="33" borderId="26">
      <alignment horizontal="right" vertical="center"/>
    </xf>
    <xf numFmtId="0" fontId="42" fillId="60" borderId="25"/>
    <xf numFmtId="0" fontId="51" fillId="0" borderId="32"/>
    <xf numFmtId="0" fontId="36" fillId="0" borderId="29">
      <alignment horizontal="left" vertical="center" wrapText="1" indent="2"/>
    </xf>
    <xf numFmtId="0" fontId="48" fillId="57" borderId="31"/>
    <xf numFmtId="0" fontId="36" fillId="34" borderId="26"/>
    <xf numFmtId="0" fontId="36" fillId="0" borderId="26">
      <alignment horizontal="right" vertical="center"/>
    </xf>
    <xf numFmtId="49" fontId="35" fillId="0" borderId="26">
      <alignment horizontal="left" vertical="center"/>
    </xf>
    <xf numFmtId="49" fontId="36" fillId="0" borderId="26">
      <alignment horizontal="left" vertical="center" indent="2"/>
    </xf>
    <xf numFmtId="0" fontId="51" fillId="0" borderId="32"/>
    <xf numFmtId="0" fontId="36" fillId="0" borderId="26">
      <alignment horizontal="right" vertical="center"/>
    </xf>
    <xf numFmtId="0" fontId="63" fillId="57" borderId="30"/>
    <xf numFmtId="4" fontId="36" fillId="0" borderId="26">
      <alignment horizontal="right" vertical="center"/>
    </xf>
    <xf numFmtId="4" fontId="34" fillId="35" borderId="27">
      <alignment horizontal="right" vertical="center"/>
    </xf>
    <xf numFmtId="0" fontId="50" fillId="44" borderId="31"/>
    <xf numFmtId="0" fontId="45" fillId="57" borderId="30"/>
    <xf numFmtId="0" fontId="34" fillId="35" borderId="28">
      <alignment horizontal="right" vertical="center"/>
    </xf>
    <xf numFmtId="0" fontId="38" fillId="33" borderId="26">
      <alignment horizontal="right" vertical="center"/>
    </xf>
    <xf numFmtId="0" fontId="59" fillId="44" borderId="31"/>
    <xf numFmtId="0" fontId="34" fillId="35" borderId="26">
      <alignment horizontal="right" vertical="center"/>
    </xf>
    <xf numFmtId="0" fontId="48" fillId="57" borderId="31"/>
    <xf numFmtId="0" fontId="59" fillId="44" borderId="31"/>
    <xf numFmtId="0" fontId="48" fillId="57" borderId="31"/>
    <xf numFmtId="0" fontId="34" fillId="33" borderId="26">
      <alignment horizontal="right" vertical="center"/>
    </xf>
    <xf numFmtId="0" fontId="51" fillId="0" borderId="32"/>
    <xf numFmtId="4" fontId="36" fillId="0" borderId="26">
      <alignment horizontal="right" vertical="center"/>
    </xf>
    <xf numFmtId="0" fontId="47" fillId="57" borderId="31"/>
    <xf numFmtId="4" fontId="34" fillId="35" borderId="27">
      <alignment horizontal="right" vertical="center"/>
    </xf>
    <xf numFmtId="0" fontId="34" fillId="35" borderId="26">
      <alignment horizontal="right" vertical="center"/>
    </xf>
    <xf numFmtId="0" fontId="47" fillId="57" borderId="31"/>
    <xf numFmtId="4" fontId="34" fillId="35" borderId="26">
      <alignment horizontal="right" vertical="center"/>
    </xf>
    <xf numFmtId="0" fontId="34" fillId="33" borderId="26">
      <alignment horizontal="right" vertical="center"/>
    </xf>
    <xf numFmtId="0" fontId="34" fillId="35" borderId="26">
      <alignment horizontal="right" vertical="center"/>
    </xf>
    <xf numFmtId="0" fontId="51" fillId="0" borderId="32"/>
    <xf numFmtId="0" fontId="59" fillId="44" borderId="31"/>
    <xf numFmtId="4" fontId="34" fillId="35" borderId="26">
      <alignment horizontal="right" vertical="center"/>
    </xf>
    <xf numFmtId="175" fontId="36" fillId="61" borderId="26">
      <alignment horizontal="right" vertical="center"/>
    </xf>
    <xf numFmtId="4" fontId="38" fillId="33" borderId="26">
      <alignment horizontal="right" vertical="center"/>
    </xf>
    <xf numFmtId="0" fontId="36" fillId="33" borderId="27">
      <alignment horizontal="left" vertical="center"/>
    </xf>
    <xf numFmtId="4" fontId="34" fillId="35" borderId="27">
      <alignment horizontal="right" vertical="center"/>
    </xf>
    <xf numFmtId="0" fontId="36" fillId="33" borderId="27">
      <alignment horizontal="left" vertical="center"/>
    </xf>
    <xf numFmtId="0" fontId="66" fillId="0" borderId="32"/>
    <xf numFmtId="4" fontId="36" fillId="0" borderId="26">
      <alignment horizontal="right" vertical="center"/>
    </xf>
    <xf numFmtId="0" fontId="59" fillId="44" borderId="31"/>
    <xf numFmtId="4" fontId="34" fillId="35" borderId="26">
      <alignment horizontal="right" vertical="center"/>
    </xf>
    <xf numFmtId="0" fontId="36" fillId="35" borderId="29">
      <alignment horizontal="left" vertical="center" wrapText="1" indent="2"/>
    </xf>
    <xf numFmtId="0" fontId="34" fillId="35" borderId="28">
      <alignment horizontal="right" vertical="center"/>
    </xf>
    <xf numFmtId="0" fontId="48" fillId="57" borderId="31"/>
    <xf numFmtId="49" fontId="36" fillId="0" borderId="26">
      <alignment horizontal="left" vertical="center" indent="2"/>
    </xf>
    <xf numFmtId="4" fontId="38" fillId="33" borderId="26">
      <alignment horizontal="right" vertical="center"/>
    </xf>
    <xf numFmtId="0" fontId="51" fillId="0" borderId="32"/>
    <xf numFmtId="49" fontId="36" fillId="0" borderId="26">
      <alignment horizontal="left" vertical="center" indent="2"/>
    </xf>
    <xf numFmtId="0" fontId="45" fillId="57" borderId="30"/>
    <xf numFmtId="0" fontId="50" fillId="44" borderId="31"/>
    <xf numFmtId="0" fontId="47" fillId="57" borderId="31"/>
    <xf numFmtId="0" fontId="42" fillId="60" borderId="25"/>
    <xf numFmtId="0" fontId="59" fillId="44" borderId="31"/>
    <xf numFmtId="4" fontId="34" fillId="33" borderId="26">
      <alignment horizontal="right" vertical="center"/>
    </xf>
    <xf numFmtId="0" fontId="36" fillId="35" borderId="29">
      <alignment horizontal="left" vertical="center" wrapText="1" indent="2"/>
    </xf>
    <xf numFmtId="4" fontId="38" fillId="33" borderId="26">
      <alignment horizontal="right" vertical="center"/>
    </xf>
    <xf numFmtId="0" fontId="34" fillId="35" borderId="28">
      <alignment horizontal="right" vertical="center"/>
    </xf>
    <xf numFmtId="4" fontId="34" fillId="35" borderId="28">
      <alignment horizontal="right" vertical="center"/>
    </xf>
    <xf numFmtId="0" fontId="63" fillId="57" borderId="30"/>
    <xf numFmtId="0" fontId="36" fillId="33" borderId="27">
      <alignment horizontal="left" vertical="center"/>
    </xf>
    <xf numFmtId="0" fontId="34" fillId="35" borderId="26">
      <alignment horizontal="right" vertical="center"/>
    </xf>
    <xf numFmtId="4" fontId="36" fillId="0" borderId="26">
      <alignment horizontal="right" vertical="center"/>
    </xf>
    <xf numFmtId="0" fontId="50" fillId="44" borderId="31"/>
    <xf numFmtId="0" fontId="47" fillId="57" borderId="31"/>
    <xf numFmtId="0" fontId="48" fillId="57" borderId="31"/>
    <xf numFmtId="0" fontId="48" fillId="57" borderId="31"/>
    <xf numFmtId="0" fontId="42" fillId="60" borderId="25"/>
    <xf numFmtId="0" fontId="34" fillId="35" borderId="26">
      <alignment horizontal="right" vertical="center"/>
    </xf>
    <xf numFmtId="0" fontId="5" fillId="60" borderId="25"/>
    <xf numFmtId="4" fontId="36" fillId="0" borderId="26">
      <alignment horizontal="right" vertical="center"/>
    </xf>
    <xf numFmtId="49" fontId="35" fillId="0" borderId="26">
      <alignment horizontal="left" vertical="center"/>
    </xf>
    <xf numFmtId="0" fontId="5" fillId="60" borderId="25"/>
    <xf numFmtId="0" fontId="59" fillId="44" borderId="31"/>
    <xf numFmtId="0" fontId="36" fillId="33" borderId="27">
      <alignment horizontal="left" vertical="center"/>
    </xf>
    <xf numFmtId="4" fontId="36" fillId="34" borderId="26"/>
    <xf numFmtId="0" fontId="48" fillId="57" borderId="31"/>
    <xf numFmtId="0" fontId="34" fillId="35" borderId="26">
      <alignment horizontal="right" vertical="center"/>
    </xf>
    <xf numFmtId="4" fontId="36" fillId="34" borderId="26"/>
    <xf numFmtId="4" fontId="34" fillId="35" borderId="28">
      <alignment horizontal="right" vertical="center"/>
    </xf>
    <xf numFmtId="175" fontId="36" fillId="61" borderId="26">
      <alignment horizontal="right" vertical="center"/>
    </xf>
    <xf numFmtId="0" fontId="48" fillId="57" borderId="31"/>
    <xf numFmtId="0" fontId="63" fillId="57" borderId="30"/>
    <xf numFmtId="0" fontId="36" fillId="0" borderId="26"/>
    <xf numFmtId="49" fontId="35" fillId="0" borderId="26">
      <alignment horizontal="left" vertical="center"/>
    </xf>
    <xf numFmtId="0" fontId="59" fillId="44" borderId="31"/>
    <xf numFmtId="0" fontId="34" fillId="35" borderId="26">
      <alignment horizontal="right" vertical="center"/>
    </xf>
    <xf numFmtId="4" fontId="34" fillId="33" borderId="26">
      <alignment horizontal="right" vertical="center"/>
    </xf>
    <xf numFmtId="4" fontId="34" fillId="35" borderId="28">
      <alignment horizontal="right" vertical="center"/>
    </xf>
    <xf numFmtId="4" fontId="34" fillId="35" borderId="27">
      <alignment horizontal="right" vertical="center"/>
    </xf>
    <xf numFmtId="0" fontId="47" fillId="57" borderId="31"/>
    <xf numFmtId="0" fontId="66" fillId="0" borderId="32"/>
    <xf numFmtId="0" fontId="36" fillId="0" borderId="29">
      <alignment horizontal="left" vertical="center" wrapText="1" indent="2"/>
    </xf>
    <xf numFmtId="0" fontId="48" fillId="57" borderId="31"/>
    <xf numFmtId="0" fontId="5" fillId="60" borderId="25"/>
    <xf numFmtId="0" fontId="36" fillId="34" borderId="26"/>
    <xf numFmtId="0" fontId="34" fillId="35" borderId="27">
      <alignment horizontal="right" vertical="center"/>
    </xf>
    <xf numFmtId="49" fontId="36" fillId="0" borderId="26">
      <alignment horizontal="left" vertical="center" indent="2"/>
    </xf>
    <xf numFmtId="4" fontId="34" fillId="35" borderId="28">
      <alignment horizontal="right" vertical="center"/>
    </xf>
    <xf numFmtId="0" fontId="59" fillId="44" borderId="31"/>
    <xf numFmtId="0" fontId="42" fillId="60" borderId="25"/>
    <xf numFmtId="4" fontId="34" fillId="33" borderId="26">
      <alignment horizontal="right" vertical="center"/>
    </xf>
    <xf numFmtId="0" fontId="63" fillId="57" borderId="30"/>
    <xf numFmtId="0" fontId="36" fillId="34" borderId="26"/>
    <xf numFmtId="4" fontId="36" fillId="0" borderId="26">
      <alignment horizontal="right" vertical="center"/>
    </xf>
    <xf numFmtId="49" fontId="35" fillId="0" borderId="26">
      <alignment horizontal="left" vertical="center"/>
    </xf>
    <xf numFmtId="0" fontId="59" fillId="44" borderId="31"/>
    <xf numFmtId="4" fontId="34" fillId="35" borderId="26">
      <alignment horizontal="right" vertical="center"/>
    </xf>
    <xf numFmtId="0" fontId="47" fillId="57" borderId="31"/>
    <xf numFmtId="0" fontId="34" fillId="33" borderId="26">
      <alignment horizontal="right" vertical="center"/>
    </xf>
    <xf numFmtId="0" fontId="51" fillId="0" borderId="32"/>
    <xf numFmtId="4" fontId="36" fillId="0" borderId="26">
      <alignment horizontal="right" vertical="center"/>
    </xf>
    <xf numFmtId="0" fontId="50" fillId="44" borderId="31"/>
    <xf numFmtId="0" fontId="51" fillId="0" borderId="32"/>
    <xf numFmtId="4" fontId="34" fillId="35" borderId="26">
      <alignment horizontal="right" vertical="center"/>
    </xf>
    <xf numFmtId="0" fontId="59" fillId="44" borderId="31"/>
    <xf numFmtId="0" fontId="5" fillId="60" borderId="25"/>
    <xf numFmtId="0" fontId="50" fillId="44" borderId="31"/>
    <xf numFmtId="4" fontId="36" fillId="0" borderId="26">
      <alignment horizontal="right" vertical="center"/>
    </xf>
    <xf numFmtId="0" fontId="59" fillId="44" borderId="31"/>
    <xf numFmtId="0" fontId="34" fillId="35" borderId="28">
      <alignment horizontal="right" vertical="center"/>
    </xf>
    <xf numFmtId="4" fontId="34" fillId="35" borderId="26">
      <alignment horizontal="right" vertical="center"/>
    </xf>
    <xf numFmtId="0" fontId="36" fillId="0" borderId="29">
      <alignment horizontal="left" vertical="center" wrapText="1" indent="2"/>
    </xf>
    <xf numFmtId="0" fontId="36" fillId="0" borderId="26"/>
    <xf numFmtId="0" fontId="63" fillId="57" borderId="30"/>
    <xf numFmtId="0" fontId="50" fillId="44" borderId="31"/>
    <xf numFmtId="0" fontId="50" fillId="44" borderId="31"/>
    <xf numFmtId="0" fontId="47" fillId="57" borderId="31"/>
    <xf numFmtId="0" fontId="66" fillId="0" borderId="32"/>
    <xf numFmtId="0" fontId="36" fillId="35" borderId="29">
      <alignment horizontal="left" vertical="center" wrapText="1" indent="2"/>
    </xf>
    <xf numFmtId="4" fontId="34" fillId="33" borderId="26">
      <alignment horizontal="right" vertical="center"/>
    </xf>
    <xf numFmtId="0" fontId="66" fillId="0" borderId="32"/>
    <xf numFmtId="0" fontId="59" fillId="44" borderId="31"/>
    <xf numFmtId="0" fontId="47" fillId="57" borderId="31"/>
    <xf numFmtId="0" fontId="5" fillId="60" borderId="25"/>
    <xf numFmtId="4" fontId="36" fillId="0" borderId="26">
      <alignment horizontal="right" vertical="center"/>
    </xf>
    <xf numFmtId="0" fontId="36" fillId="0" borderId="26">
      <alignment horizontal="right" vertical="center"/>
    </xf>
    <xf numFmtId="0" fontId="66" fillId="0" borderId="32"/>
    <xf numFmtId="0" fontId="66" fillId="0" borderId="32"/>
    <xf numFmtId="49" fontId="36" fillId="0" borderId="27">
      <alignment horizontal="left" vertical="center" indent="5"/>
    </xf>
    <xf numFmtId="0" fontId="45" fillId="57" borderId="30"/>
    <xf numFmtId="175" fontId="36" fillId="61" borderId="26">
      <alignment horizontal="right" vertical="center"/>
    </xf>
    <xf numFmtId="0" fontId="34" fillId="35" borderId="28">
      <alignment horizontal="right" vertical="center"/>
    </xf>
    <xf numFmtId="0" fontId="36" fillId="0" borderId="29">
      <alignment horizontal="left" vertical="center" wrapText="1" indent="2"/>
    </xf>
    <xf numFmtId="175" fontId="36" fillId="61" borderId="26">
      <alignment horizontal="right" vertical="center"/>
    </xf>
    <xf numFmtId="4" fontId="34" fillId="35" borderId="26">
      <alignment horizontal="right" vertical="center"/>
    </xf>
    <xf numFmtId="0" fontId="50" fillId="44" borderId="31"/>
    <xf numFmtId="4" fontId="34" fillId="35" borderId="26">
      <alignment horizontal="right" vertical="center"/>
    </xf>
    <xf numFmtId="4" fontId="36" fillId="34" borderId="26"/>
    <xf numFmtId="0" fontId="36" fillId="35" borderId="29">
      <alignment horizontal="left" vertical="center" wrapText="1" indent="2"/>
    </xf>
    <xf numFmtId="4" fontId="36" fillId="0" borderId="26">
      <alignment horizontal="right" vertical="center"/>
    </xf>
    <xf numFmtId="0" fontId="47" fillId="57" borderId="31"/>
    <xf numFmtId="49" fontId="36" fillId="0" borderId="26">
      <alignment horizontal="left" vertical="center" indent="2"/>
    </xf>
    <xf numFmtId="0" fontId="36" fillId="35" borderId="29">
      <alignment horizontal="left" vertical="center" wrapText="1" indent="2"/>
    </xf>
    <xf numFmtId="4" fontId="34" fillId="35" borderId="26">
      <alignment horizontal="right" vertical="center"/>
    </xf>
    <xf numFmtId="49" fontId="36" fillId="0" borderId="26">
      <alignment horizontal="left" vertical="center" indent="2"/>
    </xf>
    <xf numFmtId="0" fontId="5" fillId="60" borderId="25"/>
    <xf numFmtId="0" fontId="48" fillId="57" borderId="31"/>
    <xf numFmtId="0" fontId="66" fillId="0" borderId="32"/>
    <xf numFmtId="4" fontId="38" fillId="33" borderId="26">
      <alignment horizontal="right" vertical="center"/>
    </xf>
    <xf numFmtId="0" fontId="34" fillId="35" borderId="26">
      <alignment horizontal="right" vertical="center"/>
    </xf>
    <xf numFmtId="4" fontId="36" fillId="34" borderId="26"/>
    <xf numFmtId="4" fontId="38" fillId="33" borderId="26">
      <alignment horizontal="right" vertical="center"/>
    </xf>
    <xf numFmtId="0" fontId="59" fillId="44" borderId="31"/>
    <xf numFmtId="0" fontId="47" fillId="57" borderId="31"/>
    <xf numFmtId="4" fontId="36" fillId="0" borderId="26">
      <alignment horizontal="right" vertical="center"/>
    </xf>
    <xf numFmtId="0" fontId="42" fillId="60" borderId="25"/>
    <xf numFmtId="49" fontId="35" fillId="0" borderId="26">
      <alignment horizontal="left" vertical="center"/>
    </xf>
    <xf numFmtId="4" fontId="36" fillId="34" borderId="26"/>
    <xf numFmtId="4" fontId="36" fillId="0" borderId="26">
      <alignment horizontal="right" vertical="center"/>
    </xf>
    <xf numFmtId="0" fontId="42" fillId="60" borderId="25"/>
    <xf numFmtId="0" fontId="48" fillId="57" borderId="31"/>
    <xf numFmtId="175" fontId="36" fillId="61" borderId="26">
      <alignment horizontal="right" vertical="center"/>
    </xf>
    <xf numFmtId="0" fontId="48" fillId="57" borderId="31"/>
    <xf numFmtId="0" fontId="48" fillId="57" borderId="31"/>
    <xf numFmtId="0" fontId="48" fillId="57" borderId="31"/>
    <xf numFmtId="0" fontId="66" fillId="0" borderId="32"/>
    <xf numFmtId="0" fontId="59" fillId="44" borderId="31"/>
    <xf numFmtId="0" fontId="45" fillId="57" borderId="30"/>
    <xf numFmtId="0" fontId="34" fillId="35" borderId="28">
      <alignment horizontal="right" vertical="center"/>
    </xf>
    <xf numFmtId="49" fontId="35" fillId="0" borderId="26">
      <alignment horizontal="left" vertical="center"/>
    </xf>
    <xf numFmtId="0" fontId="66" fillId="0" borderId="32"/>
    <xf numFmtId="0" fontId="36" fillId="0" borderId="26">
      <alignment horizontal="right" vertical="center"/>
    </xf>
    <xf numFmtId="0" fontId="34" fillId="35" borderId="27">
      <alignment horizontal="right" vertical="center"/>
    </xf>
    <xf numFmtId="0" fontId="66" fillId="0" borderId="32"/>
    <xf numFmtId="0" fontId="34" fillId="35" borderId="26">
      <alignment horizontal="right" vertical="center"/>
    </xf>
    <xf numFmtId="49" fontId="35" fillId="0" borderId="26">
      <alignment horizontal="left" vertical="center"/>
    </xf>
    <xf numFmtId="0" fontId="36" fillId="0" borderId="26">
      <alignment horizontal="right" vertical="center"/>
    </xf>
    <xf numFmtId="0" fontId="63" fillId="57" borderId="30"/>
    <xf numFmtId="0" fontId="34" fillId="35" borderId="26">
      <alignment horizontal="right" vertical="center"/>
    </xf>
    <xf numFmtId="0" fontId="66" fillId="0" borderId="32"/>
    <xf numFmtId="4" fontId="36" fillId="0" borderId="26">
      <alignment horizontal="right" vertical="center"/>
    </xf>
    <xf numFmtId="175" fontId="36" fillId="61" borderId="26">
      <alignment horizontal="right" vertical="center"/>
    </xf>
    <xf numFmtId="0" fontId="38" fillId="33" borderId="26">
      <alignment horizontal="right" vertical="center"/>
    </xf>
    <xf numFmtId="0" fontId="51" fillId="0" borderId="32"/>
    <xf numFmtId="0" fontId="48" fillId="57" borderId="31"/>
    <xf numFmtId="4" fontId="34" fillId="35" borderId="26">
      <alignment horizontal="right" vertical="center"/>
    </xf>
    <xf numFmtId="0" fontId="59" fillId="44" borderId="31"/>
    <xf numFmtId="0" fontId="66" fillId="0" borderId="32"/>
    <xf numFmtId="0" fontId="45" fillId="57" borderId="30"/>
    <xf numFmtId="0" fontId="34" fillId="35" borderId="26">
      <alignment horizontal="right" vertical="center"/>
    </xf>
    <xf numFmtId="0" fontId="47" fillId="57" borderId="31"/>
    <xf numFmtId="4" fontId="34" fillId="35" borderId="28">
      <alignment horizontal="right" vertical="center"/>
    </xf>
    <xf numFmtId="0" fontId="36" fillId="33" borderId="27">
      <alignment horizontal="left" vertical="center"/>
    </xf>
    <xf numFmtId="49" fontId="36" fillId="0" borderId="26">
      <alignment horizontal="left" vertical="center" indent="2"/>
    </xf>
    <xf numFmtId="0" fontId="36" fillId="34" borderId="26"/>
    <xf numFmtId="0" fontId="36" fillId="0" borderId="29">
      <alignment horizontal="left" vertical="center" wrapText="1" indent="2"/>
    </xf>
    <xf numFmtId="0" fontId="66" fillId="0" borderId="32"/>
    <xf numFmtId="0" fontId="38" fillId="33" borderId="26">
      <alignment horizontal="right" vertical="center"/>
    </xf>
    <xf numFmtId="0" fontId="48" fillId="57" borderId="31"/>
    <xf numFmtId="49" fontId="36" fillId="0" borderId="27">
      <alignment horizontal="left" vertical="center" indent="5"/>
    </xf>
    <xf numFmtId="0" fontId="66" fillId="0" borderId="32"/>
    <xf numFmtId="0" fontId="36" fillId="0" borderId="26">
      <alignment horizontal="right" vertical="center"/>
    </xf>
    <xf numFmtId="0" fontId="5" fillId="60" borderId="25"/>
    <xf numFmtId="0" fontId="36" fillId="0" borderId="26">
      <alignment horizontal="right" vertical="center"/>
    </xf>
    <xf numFmtId="0" fontId="36" fillId="35" borderId="29">
      <alignment horizontal="left" vertical="center" wrapText="1" indent="2"/>
    </xf>
    <xf numFmtId="0" fontId="59" fillId="44" borderId="31"/>
    <xf numFmtId="0" fontId="45" fillId="57" borderId="30"/>
    <xf numFmtId="0" fontId="36" fillId="0" borderId="26"/>
    <xf numFmtId="0" fontId="51" fillId="0" borderId="32"/>
    <xf numFmtId="0" fontId="47" fillId="57" borderId="31"/>
    <xf numFmtId="4" fontId="34" fillId="35" borderId="26">
      <alignment horizontal="right" vertical="center"/>
    </xf>
    <xf numFmtId="0" fontId="36" fillId="34" borderId="26"/>
    <xf numFmtId="0" fontId="59" fillId="44" borderId="31"/>
    <xf numFmtId="0" fontId="36" fillId="0" borderId="26">
      <alignment horizontal="right" vertical="center"/>
    </xf>
    <xf numFmtId="0" fontId="38" fillId="33" borderId="26">
      <alignment horizontal="right" vertical="center"/>
    </xf>
    <xf numFmtId="0" fontId="36" fillId="0" borderId="29">
      <alignment horizontal="left" vertical="center" wrapText="1" indent="2"/>
    </xf>
    <xf numFmtId="0" fontId="48" fillId="57" borderId="31"/>
    <xf numFmtId="0" fontId="63" fillId="57" borderId="30"/>
    <xf numFmtId="0" fontId="34" fillId="35" borderId="28">
      <alignment horizontal="right" vertical="center"/>
    </xf>
    <xf numFmtId="0" fontId="36" fillId="0" borderId="26"/>
    <xf numFmtId="49" fontId="36" fillId="0" borderId="27">
      <alignment horizontal="left" vertical="center" indent="5"/>
    </xf>
    <xf numFmtId="0" fontId="66" fillId="0" borderId="32"/>
    <xf numFmtId="0" fontId="36" fillId="0" borderId="26"/>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4" fontId="34" fillId="35" borderId="27">
      <alignment horizontal="right" vertical="center"/>
    </xf>
    <xf numFmtId="4" fontId="36" fillId="34" borderId="26"/>
    <xf numFmtId="175" fontId="36" fillId="61" borderId="26">
      <alignment horizontal="right" vertical="center"/>
    </xf>
    <xf numFmtId="0" fontId="63" fillId="57" borderId="30"/>
    <xf numFmtId="0" fontId="42" fillId="60" borderId="25"/>
    <xf numFmtId="4" fontId="34" fillId="35" borderId="27">
      <alignment horizontal="right" vertical="center"/>
    </xf>
    <xf numFmtId="4" fontId="36" fillId="34" borderId="26"/>
    <xf numFmtId="0" fontId="59" fillId="44" borderId="31"/>
    <xf numFmtId="0" fontId="36" fillId="0" borderId="26">
      <alignment horizontal="right" vertical="center"/>
    </xf>
    <xf numFmtId="0" fontId="51" fillId="0" borderId="32"/>
    <xf numFmtId="0" fontId="42" fillId="60" borderId="25"/>
    <xf numFmtId="0" fontId="36" fillId="0" borderId="29">
      <alignment horizontal="left" vertical="center" wrapText="1" indent="2"/>
    </xf>
    <xf numFmtId="0" fontId="34" fillId="35" borderId="26">
      <alignment horizontal="right" vertical="center"/>
    </xf>
    <xf numFmtId="4" fontId="38" fillId="33" borderId="26">
      <alignment horizontal="right" vertical="center"/>
    </xf>
    <xf numFmtId="49" fontId="36" fillId="0" borderId="26">
      <alignment horizontal="left" vertical="center" indent="2"/>
    </xf>
    <xf numFmtId="0" fontId="36" fillId="34" borderId="26"/>
    <xf numFmtId="0" fontId="48" fillId="57" borderId="31"/>
    <xf numFmtId="0" fontId="63" fillId="57" borderId="30"/>
    <xf numFmtId="0" fontId="36" fillId="35" borderId="29">
      <alignment horizontal="left" vertical="center" wrapText="1" indent="2"/>
    </xf>
    <xf numFmtId="4" fontId="34" fillId="35" borderId="26">
      <alignment horizontal="right" vertical="center"/>
    </xf>
    <xf numFmtId="0" fontId="51" fillId="0" borderId="32"/>
    <xf numFmtId="0" fontId="34" fillId="35" borderId="28">
      <alignment horizontal="right" vertical="center"/>
    </xf>
    <xf numFmtId="4" fontId="34" fillId="35" borderId="28">
      <alignment horizontal="right" vertical="center"/>
    </xf>
    <xf numFmtId="4" fontId="34" fillId="35" borderId="26">
      <alignment horizontal="right" vertical="center"/>
    </xf>
    <xf numFmtId="4" fontId="36" fillId="0" borderId="26">
      <alignment horizontal="right" vertical="center"/>
    </xf>
    <xf numFmtId="0" fontId="66" fillId="0" borderId="32"/>
    <xf numFmtId="0" fontId="48" fillId="57" borderId="31"/>
    <xf numFmtId="0" fontId="50" fillId="44" borderId="31"/>
    <xf numFmtId="0" fontId="36" fillId="0" borderId="29">
      <alignment horizontal="left" vertical="center" wrapText="1" indent="2"/>
    </xf>
    <xf numFmtId="0" fontId="42" fillId="60" borderId="25"/>
    <xf numFmtId="49" fontId="35" fillId="0" borderId="26">
      <alignment horizontal="left" vertical="center"/>
    </xf>
    <xf numFmtId="0" fontId="66" fillId="0" borderId="32"/>
    <xf numFmtId="0" fontId="34" fillId="35" borderId="26">
      <alignment horizontal="right" vertical="center"/>
    </xf>
    <xf numFmtId="4" fontId="34" fillId="35" borderId="26">
      <alignment horizontal="right" vertical="center"/>
    </xf>
    <xf numFmtId="0" fontId="59" fillId="44" borderId="31"/>
    <xf numFmtId="4" fontId="34" fillId="35" borderId="26">
      <alignment horizontal="right" vertical="center"/>
    </xf>
    <xf numFmtId="0" fontId="48" fillId="57" borderId="31"/>
    <xf numFmtId="0" fontId="50" fillId="44" borderId="31"/>
    <xf numFmtId="49" fontId="36" fillId="0" borderId="26">
      <alignment horizontal="left" vertical="center" indent="2"/>
    </xf>
    <xf numFmtId="0" fontId="66" fillId="0" borderId="32"/>
    <xf numFmtId="4" fontId="36" fillId="0" borderId="26">
      <alignment horizontal="right" vertical="center"/>
    </xf>
    <xf numFmtId="0" fontId="5" fillId="60" borderId="25"/>
    <xf numFmtId="175" fontId="36" fillId="61" borderId="26">
      <alignment horizontal="right" vertical="center"/>
    </xf>
    <xf numFmtId="49" fontId="36" fillId="0" borderId="26">
      <alignment horizontal="left" vertical="center" indent="2"/>
    </xf>
    <xf numFmtId="0" fontId="51" fillId="0" borderId="32"/>
    <xf numFmtId="4" fontId="36" fillId="34" borderId="26"/>
    <xf numFmtId="0" fontId="36" fillId="0" borderId="29">
      <alignment horizontal="left" vertical="center" wrapText="1" indent="2"/>
    </xf>
    <xf numFmtId="0" fontId="51" fillId="0" borderId="32"/>
    <xf numFmtId="0" fontId="38" fillId="33" borderId="26">
      <alignment horizontal="right" vertical="center"/>
    </xf>
    <xf numFmtId="0" fontId="48" fillId="57" borderId="31"/>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34" fillId="33" borderId="26">
      <alignment horizontal="right" vertical="center"/>
    </xf>
    <xf numFmtId="0" fontId="59" fillId="44" borderId="31"/>
    <xf numFmtId="0" fontId="51" fillId="0" borderId="32"/>
    <xf numFmtId="0" fontId="38" fillId="33" borderId="26">
      <alignment horizontal="right" vertical="center"/>
    </xf>
    <xf numFmtId="0" fontId="34" fillId="35" borderId="27">
      <alignment horizontal="right" vertical="center"/>
    </xf>
    <xf numFmtId="0" fontId="51" fillId="0" borderId="32"/>
    <xf numFmtId="0" fontId="36" fillId="34" borderId="26"/>
    <xf numFmtId="0" fontId="36" fillId="0" borderId="26"/>
    <xf numFmtId="0" fontId="36" fillId="0" borderId="26"/>
    <xf numFmtId="4" fontId="34" fillId="35" borderId="28">
      <alignment horizontal="right" vertical="center"/>
    </xf>
    <xf numFmtId="0" fontId="36" fillId="35" borderId="29">
      <alignment horizontal="left" vertical="center" wrapText="1" indent="2"/>
    </xf>
    <xf numFmtId="0" fontId="34" fillId="35" borderId="28">
      <alignment horizontal="right" vertical="center"/>
    </xf>
    <xf numFmtId="0" fontId="34" fillId="35" borderId="26">
      <alignment horizontal="right" vertical="center"/>
    </xf>
    <xf numFmtId="0" fontId="63" fillId="57" borderId="30"/>
    <xf numFmtId="0" fontId="42" fillId="60" borderId="25"/>
    <xf numFmtId="0" fontId="34" fillId="35" borderId="27">
      <alignment horizontal="right" vertical="center"/>
    </xf>
    <xf numFmtId="0" fontId="66" fillId="0" borderId="32"/>
    <xf numFmtId="0" fontId="34" fillId="35" borderId="28">
      <alignment horizontal="right" vertical="center"/>
    </xf>
    <xf numFmtId="4" fontId="36" fillId="0" borderId="26">
      <alignment horizontal="right" vertical="center"/>
    </xf>
    <xf numFmtId="0" fontId="36" fillId="34" borderId="26"/>
    <xf numFmtId="0" fontId="66" fillId="0" borderId="32"/>
    <xf numFmtId="0" fontId="45" fillId="57" borderId="30"/>
    <xf numFmtId="4" fontId="34" fillId="35" borderId="26">
      <alignment horizontal="right" vertical="center"/>
    </xf>
    <xf numFmtId="0" fontId="34" fillId="35" borderId="26">
      <alignment horizontal="right" vertical="center"/>
    </xf>
    <xf numFmtId="49" fontId="36" fillId="0" borderId="26">
      <alignment horizontal="left" vertical="center" indent="2"/>
    </xf>
    <xf numFmtId="4" fontId="36" fillId="0" borderId="26">
      <alignment horizontal="right" vertical="center"/>
    </xf>
    <xf numFmtId="0" fontId="48" fillId="57" borderId="31"/>
    <xf numFmtId="49" fontId="36" fillId="0" borderId="26">
      <alignment horizontal="left" vertical="center" indent="2"/>
    </xf>
    <xf numFmtId="175" fontId="36" fillId="61" borderId="26">
      <alignment horizontal="right" vertical="center"/>
    </xf>
    <xf numFmtId="0" fontId="36" fillId="0" borderId="26">
      <alignment horizontal="right" vertical="center"/>
    </xf>
    <xf numFmtId="0" fontId="63" fillId="57" borderId="30"/>
    <xf numFmtId="4" fontId="36" fillId="0" borderId="26">
      <alignment horizontal="right" vertical="center"/>
    </xf>
    <xf numFmtId="0" fontId="36" fillId="0" borderId="26">
      <alignment horizontal="right" vertical="center"/>
    </xf>
    <xf numFmtId="0" fontId="36" fillId="35" borderId="29">
      <alignment horizontal="left" vertical="center" wrapText="1" indent="2"/>
    </xf>
    <xf numFmtId="0" fontId="63" fillId="57" borderId="30"/>
    <xf numFmtId="0" fontId="36" fillId="35" borderId="29">
      <alignment horizontal="left" vertical="center" wrapText="1" indent="2"/>
    </xf>
    <xf numFmtId="0" fontId="34" fillId="33" borderId="26">
      <alignment horizontal="right" vertical="center"/>
    </xf>
    <xf numFmtId="0" fontId="34" fillId="35" borderId="26">
      <alignment horizontal="right" vertical="center"/>
    </xf>
    <xf numFmtId="0" fontId="59" fillId="44" borderId="31"/>
    <xf numFmtId="0" fontId="34" fillId="35" borderId="26">
      <alignment horizontal="right" vertical="center"/>
    </xf>
    <xf numFmtId="0" fontId="36" fillId="33" borderId="27">
      <alignment horizontal="left" vertical="center"/>
    </xf>
    <xf numFmtId="4" fontId="34" fillId="35" borderId="28">
      <alignment horizontal="right" vertical="center"/>
    </xf>
    <xf numFmtId="0" fontId="42" fillId="60" borderId="25"/>
    <xf numFmtId="4" fontId="34" fillId="35" borderId="26">
      <alignment horizontal="right" vertical="center"/>
    </xf>
    <xf numFmtId="0" fontId="36" fillId="34" borderId="26"/>
    <xf numFmtId="0" fontId="47" fillId="57" borderId="31"/>
    <xf numFmtId="0" fontId="34" fillId="33" borderId="26">
      <alignment horizontal="right" vertical="center"/>
    </xf>
    <xf numFmtId="0" fontId="36" fillId="0" borderId="26">
      <alignment horizontal="right" vertical="center"/>
    </xf>
    <xf numFmtId="0" fontId="66" fillId="0" borderId="32"/>
    <xf numFmtId="0" fontId="36" fillId="33" borderId="27">
      <alignment horizontal="left" vertical="center"/>
    </xf>
    <xf numFmtId="0" fontId="59" fillId="44" borderId="31"/>
    <xf numFmtId="175" fontId="36" fillId="61" borderId="26">
      <alignment horizontal="right" vertical="center"/>
    </xf>
    <xf numFmtId="0" fontId="42" fillId="60" borderId="25"/>
    <xf numFmtId="0" fontId="36" fillId="0" borderId="29">
      <alignment horizontal="left" vertical="center" wrapText="1" indent="2"/>
    </xf>
    <xf numFmtId="4" fontId="36" fillId="34" borderId="26"/>
    <xf numFmtId="49" fontId="35" fillId="0" borderId="26">
      <alignment horizontal="left" vertical="center"/>
    </xf>
    <xf numFmtId="0" fontId="36" fillId="0" borderId="26">
      <alignment horizontal="right" vertical="center"/>
    </xf>
    <xf numFmtId="4" fontId="34" fillId="35" borderId="28">
      <alignment horizontal="right" vertical="center"/>
    </xf>
    <xf numFmtId="4" fontId="34" fillId="35" borderId="26">
      <alignment horizontal="right" vertical="center"/>
    </xf>
    <xf numFmtId="4" fontId="34" fillId="35" borderId="26">
      <alignment horizontal="right" vertical="center"/>
    </xf>
    <xf numFmtId="0" fontId="38" fillId="33" borderId="26">
      <alignment horizontal="right" vertical="center"/>
    </xf>
    <xf numFmtId="0" fontId="34" fillId="33" borderId="26">
      <alignment horizontal="right" vertical="center"/>
    </xf>
    <xf numFmtId="49" fontId="36" fillId="0" borderId="26">
      <alignment horizontal="left" vertical="center" indent="2"/>
    </xf>
    <xf numFmtId="0" fontId="59" fillId="44" borderId="31"/>
    <xf numFmtId="0" fontId="45" fillId="57" borderId="30"/>
    <xf numFmtId="49" fontId="36" fillId="0" borderId="26">
      <alignment horizontal="left" vertical="center" indent="2"/>
    </xf>
    <xf numFmtId="0" fontId="50" fillId="44" borderId="31"/>
    <xf numFmtId="4" fontId="36" fillId="0" borderId="26">
      <alignment horizontal="right" vertical="center"/>
    </xf>
    <xf numFmtId="0" fontId="48" fillId="57" borderId="31"/>
    <xf numFmtId="0" fontId="66" fillId="0" borderId="32"/>
    <xf numFmtId="0" fontId="63" fillId="57" borderId="30"/>
    <xf numFmtId="0" fontId="36" fillId="0" borderId="26"/>
    <xf numFmtId="4" fontId="36" fillId="0" borderId="26">
      <alignment horizontal="right" vertical="center"/>
    </xf>
    <xf numFmtId="0" fontId="36" fillId="0" borderId="26">
      <alignment horizontal="right" vertical="center"/>
    </xf>
    <xf numFmtId="0" fontId="59" fillId="44" borderId="31"/>
    <xf numFmtId="0" fontId="45" fillId="57" borderId="30"/>
    <xf numFmtId="0" fontId="47" fillId="57" borderId="31"/>
    <xf numFmtId="0" fontId="36" fillId="35" borderId="29">
      <alignment horizontal="left" vertical="center" wrapText="1" indent="2"/>
    </xf>
    <xf numFmtId="0" fontId="48" fillId="57" borderId="31"/>
    <xf numFmtId="0" fontId="48" fillId="57" borderId="31"/>
    <xf numFmtId="4" fontId="34" fillId="35" borderId="27">
      <alignment horizontal="right" vertical="center"/>
    </xf>
    <xf numFmtId="0" fontId="34" fillId="35" borderId="27">
      <alignment horizontal="right" vertical="center"/>
    </xf>
    <xf numFmtId="0" fontId="34" fillId="35" borderId="26">
      <alignment horizontal="right" vertical="center"/>
    </xf>
    <xf numFmtId="4" fontId="38" fillId="33" borderId="26">
      <alignment horizontal="right" vertical="center"/>
    </xf>
    <xf numFmtId="0" fontId="50" fillId="44" borderId="31"/>
    <xf numFmtId="0" fontId="51" fillId="0" borderId="32"/>
    <xf numFmtId="0" fontId="66" fillId="0" borderId="32"/>
    <xf numFmtId="0" fontId="42" fillId="60" borderId="25"/>
    <xf numFmtId="0" fontId="59" fillId="44" borderId="31"/>
    <xf numFmtId="49" fontId="35" fillId="0" borderId="26">
      <alignment horizontal="left" vertical="center"/>
    </xf>
    <xf numFmtId="0" fontId="36" fillId="35" borderId="29">
      <alignment horizontal="left" vertical="center" wrapText="1" indent="2"/>
    </xf>
    <xf numFmtId="0" fontId="48" fillId="57" borderId="31"/>
    <xf numFmtId="0" fontId="36" fillId="0" borderId="29">
      <alignment horizontal="left" vertical="center" wrapText="1" indent="2"/>
    </xf>
    <xf numFmtId="0" fontId="42" fillId="60" borderId="25"/>
    <xf numFmtId="0" fontId="5" fillId="60" borderId="25"/>
    <xf numFmtId="0" fontId="63" fillId="57" borderId="30"/>
    <xf numFmtId="0" fontId="66" fillId="0" borderId="32"/>
    <xf numFmtId="4" fontId="36" fillId="34" borderId="26"/>
    <xf numFmtId="0" fontId="34" fillId="35" borderId="26">
      <alignment horizontal="right" vertical="center"/>
    </xf>
    <xf numFmtId="0" fontId="66" fillId="0" borderId="32"/>
    <xf numFmtId="4" fontId="34" fillId="35" borderId="28">
      <alignment horizontal="right" vertical="center"/>
    </xf>
    <xf numFmtId="0" fontId="47" fillId="57" borderId="31"/>
    <xf numFmtId="0" fontId="34" fillId="35" borderId="27">
      <alignment horizontal="right" vertical="center"/>
    </xf>
    <xf numFmtId="0" fontId="48" fillId="57" borderId="31"/>
    <xf numFmtId="0" fontId="51" fillId="0" borderId="32"/>
    <xf numFmtId="0" fontId="42" fillId="60" borderId="25"/>
    <xf numFmtId="4" fontId="34" fillId="35" borderId="27">
      <alignment horizontal="right" vertical="center"/>
    </xf>
    <xf numFmtId="0" fontId="36" fillId="35" borderId="29">
      <alignment horizontal="left" vertical="center" wrapText="1" indent="2"/>
    </xf>
    <xf numFmtId="0" fontId="36" fillId="34" borderId="26"/>
    <xf numFmtId="175" fontId="36" fillId="61" borderId="26">
      <alignment horizontal="right" vertical="center"/>
    </xf>
    <xf numFmtId="0" fontId="36" fillId="0" borderId="26"/>
    <xf numFmtId="4" fontId="36" fillId="0" borderId="26">
      <alignment horizontal="right" vertical="center"/>
    </xf>
    <xf numFmtId="4" fontId="34" fillId="33" borderId="26">
      <alignment horizontal="right" vertical="center"/>
    </xf>
    <xf numFmtId="0" fontId="51" fillId="0" borderId="32"/>
    <xf numFmtId="49" fontId="35" fillId="0" borderId="26">
      <alignment horizontal="left" vertical="center"/>
    </xf>
    <xf numFmtId="49" fontId="36" fillId="0" borderId="27">
      <alignment horizontal="left" vertical="center" indent="5"/>
    </xf>
    <xf numFmtId="0" fontId="36" fillId="33" borderId="27">
      <alignment horizontal="left" vertical="center"/>
    </xf>
    <xf numFmtId="0" fontId="48" fillId="57" borderId="31"/>
    <xf numFmtId="4" fontId="34" fillId="35" borderId="28">
      <alignment horizontal="right" vertical="center"/>
    </xf>
    <xf numFmtId="0" fontId="59" fillId="44" borderId="31"/>
    <xf numFmtId="0" fontId="59" fillId="44" borderId="31"/>
    <xf numFmtId="0" fontId="42" fillId="60" borderId="25"/>
    <xf numFmtId="0" fontId="63" fillId="57" borderId="30"/>
    <xf numFmtId="0" fontId="66" fillId="0" borderId="32"/>
    <xf numFmtId="0" fontId="34" fillId="35" borderId="26">
      <alignment horizontal="right" vertical="center"/>
    </xf>
    <xf numFmtId="0" fontId="5" fillId="60" borderId="25"/>
    <xf numFmtId="4" fontId="36" fillId="0" borderId="26">
      <alignment horizontal="right" vertical="center"/>
    </xf>
    <xf numFmtId="0" fontId="66" fillId="0" borderId="32"/>
    <xf numFmtId="0" fontId="34" fillId="35" borderId="26">
      <alignment horizontal="right" vertical="center"/>
    </xf>
    <xf numFmtId="0" fontId="34" fillId="35" borderId="26">
      <alignment horizontal="right" vertical="center"/>
    </xf>
    <xf numFmtId="4" fontId="38" fillId="33" borderId="26">
      <alignment horizontal="right" vertical="center"/>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34" fillId="35" borderId="27">
      <alignment horizontal="right" vertical="center"/>
    </xf>
    <xf numFmtId="4" fontId="34" fillId="35" borderId="27">
      <alignment horizontal="right" vertical="center"/>
    </xf>
    <xf numFmtId="0" fontId="34" fillId="35" borderId="28">
      <alignment horizontal="right" vertical="center"/>
    </xf>
    <xf numFmtId="4" fontId="34" fillId="35" borderId="28">
      <alignment horizontal="right" vertical="center"/>
    </xf>
    <xf numFmtId="0" fontId="48" fillId="57" borderId="31"/>
    <xf numFmtId="0" fontId="36" fillId="35" borderId="29">
      <alignment horizontal="left" vertical="center" wrapText="1" indent="2"/>
    </xf>
    <xf numFmtId="0" fontId="36" fillId="0" borderId="29">
      <alignment horizontal="left" vertical="center" wrapText="1" indent="2"/>
    </xf>
    <xf numFmtId="0" fontId="36" fillId="33" borderId="27">
      <alignment horizontal="left" vertical="center"/>
    </xf>
    <xf numFmtId="0" fontId="59" fillId="44" borderId="31"/>
    <xf numFmtId="0" fontId="36" fillId="0" borderId="26">
      <alignment horizontal="right" vertical="center"/>
    </xf>
    <xf numFmtId="4" fontId="36" fillId="0" borderId="26">
      <alignment horizontal="right" vertical="center"/>
    </xf>
    <xf numFmtId="0" fontId="36" fillId="0" borderId="26"/>
    <xf numFmtId="0" fontId="63" fillId="57" borderId="30"/>
    <xf numFmtId="175" fontId="36" fillId="61" borderId="26">
      <alignment horizontal="right" vertical="center"/>
    </xf>
    <xf numFmtId="0" fontId="36" fillId="34" borderId="26"/>
    <xf numFmtId="4" fontId="36" fillId="34" borderId="26"/>
    <xf numFmtId="0" fontId="66" fillId="0" borderId="32"/>
    <xf numFmtId="0" fontId="5" fillId="60" borderId="25"/>
    <xf numFmtId="0" fontId="42" fillId="60" borderId="25"/>
    <xf numFmtId="0" fontId="36" fillId="0" borderId="26"/>
    <xf numFmtId="0" fontId="51" fillId="0" borderId="32"/>
    <xf numFmtId="0" fontId="66" fillId="0" borderId="32"/>
    <xf numFmtId="0" fontId="50" fillId="44" borderId="31"/>
    <xf numFmtId="0" fontId="48" fillId="57" borderId="31"/>
    <xf numFmtId="4" fontId="38" fillId="33" borderId="26">
      <alignment horizontal="right" vertical="center"/>
    </xf>
    <xf numFmtId="0" fontId="34" fillId="33" borderId="26">
      <alignment horizontal="right" vertical="center"/>
    </xf>
    <xf numFmtId="175" fontId="36" fillId="61" borderId="26">
      <alignment horizontal="right" vertical="center"/>
    </xf>
    <xf numFmtId="0" fontId="51" fillId="0" borderId="32"/>
    <xf numFmtId="49" fontId="36" fillId="0" borderId="26">
      <alignment horizontal="left" vertical="center" indent="2"/>
    </xf>
    <xf numFmtId="49" fontId="36" fillId="0" borderId="27">
      <alignment horizontal="left" vertical="center" indent="5"/>
    </xf>
    <xf numFmtId="49" fontId="36" fillId="0" borderId="26">
      <alignment horizontal="left" vertical="center" indent="2"/>
    </xf>
    <xf numFmtId="4" fontId="36" fillId="0" borderId="26">
      <alignment horizontal="right" vertical="center"/>
    </xf>
    <xf numFmtId="49" fontId="35" fillId="0" borderId="26">
      <alignment horizontal="left" vertical="center"/>
    </xf>
    <xf numFmtId="0" fontId="36" fillId="0" borderId="29">
      <alignment horizontal="left" vertical="center" wrapText="1" indent="2"/>
    </xf>
    <xf numFmtId="0" fontId="63" fillId="57" borderId="30"/>
    <xf numFmtId="0" fontId="34" fillId="35" borderId="28">
      <alignment horizontal="right" vertical="center"/>
    </xf>
    <xf numFmtId="0" fontId="50" fillId="44" borderId="31"/>
    <xf numFmtId="0" fontId="34" fillId="35" borderId="28">
      <alignment horizontal="right" vertical="center"/>
    </xf>
    <xf numFmtId="4" fontId="34" fillId="35" borderId="26">
      <alignment horizontal="right" vertical="center"/>
    </xf>
    <xf numFmtId="0" fontId="34" fillId="35" borderId="26">
      <alignment horizontal="right" vertical="center"/>
    </xf>
    <xf numFmtId="0" fontId="45" fillId="57" borderId="30"/>
    <xf numFmtId="0" fontId="47" fillId="57" borderId="31"/>
    <xf numFmtId="0" fontId="51" fillId="0" borderId="32"/>
    <xf numFmtId="0" fontId="36" fillId="34" borderId="26"/>
    <xf numFmtId="4" fontId="36" fillId="34" borderId="26"/>
    <xf numFmtId="4" fontId="34" fillId="35" borderId="26">
      <alignment horizontal="right" vertical="center"/>
    </xf>
    <xf numFmtId="0" fontId="38" fillId="33" borderId="26">
      <alignment horizontal="right" vertical="center"/>
    </xf>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36" fillId="35" borderId="29">
      <alignment horizontal="left" vertical="center" wrapText="1" indent="2"/>
    </xf>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36" fillId="0" borderId="29">
      <alignment horizontal="left" vertical="center" wrapText="1" indent="2"/>
    </xf>
    <xf numFmtId="0" fontId="45" fillId="57" borderId="30"/>
    <xf numFmtId="0" fontId="47" fillId="57" borderId="31"/>
    <xf numFmtId="0" fontId="48" fillId="57" borderId="31"/>
    <xf numFmtId="0" fontId="50" fillId="44" borderId="31"/>
    <xf numFmtId="0" fontId="51" fillId="0" borderId="32"/>
    <xf numFmtId="0" fontId="59" fillId="44" borderId="31"/>
    <xf numFmtId="0" fontId="42" fillId="60" borderId="25"/>
    <xf numFmtId="0" fontId="5" fillId="60" borderId="25"/>
    <xf numFmtId="0" fontId="63" fillId="57" borderId="30"/>
    <xf numFmtId="0" fontId="66" fillId="0" borderId="32"/>
    <xf numFmtId="0" fontId="48" fillId="57" borderId="31"/>
    <xf numFmtId="0" fontId="59" fillId="44" borderId="31"/>
    <xf numFmtId="0" fontId="42" fillId="60" borderId="25"/>
    <xf numFmtId="0" fontId="63" fillId="57" borderId="30"/>
    <xf numFmtId="0" fontId="66" fillId="0" borderId="32"/>
    <xf numFmtId="0" fontId="59" fillId="44" borderId="31"/>
    <xf numFmtId="0" fontId="38" fillId="33" borderId="26">
      <alignment horizontal="right" vertical="center"/>
    </xf>
    <xf numFmtId="0" fontId="36" fillId="0" borderId="26"/>
    <xf numFmtId="0" fontId="34" fillId="35" borderId="26">
      <alignment horizontal="right" vertical="center"/>
    </xf>
    <xf numFmtId="0" fontId="48" fillId="57" borderId="31"/>
    <xf numFmtId="0" fontId="36" fillId="0" borderId="29">
      <alignment horizontal="left" vertical="center" wrapText="1" indent="2"/>
    </xf>
    <xf numFmtId="4" fontId="34" fillId="35" borderId="27">
      <alignment horizontal="right" vertical="center"/>
    </xf>
    <xf numFmtId="4" fontId="34" fillId="35" borderId="26">
      <alignment horizontal="right" vertical="center"/>
    </xf>
    <xf numFmtId="0" fontId="59" fillId="44" borderId="31"/>
    <xf numFmtId="0" fontId="63" fillId="57" borderId="30"/>
    <xf numFmtId="0" fontId="66" fillId="0" borderId="32"/>
    <xf numFmtId="4" fontId="36" fillId="34" borderId="26"/>
    <xf numFmtId="0" fontId="45" fillId="57" borderId="30"/>
    <xf numFmtId="0" fontId="47" fillId="57" borderId="31"/>
    <xf numFmtId="0" fontId="51" fillId="0" borderId="32"/>
    <xf numFmtId="49" fontId="36" fillId="0" borderId="26">
      <alignment horizontal="left" vertical="center" indent="2"/>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50" fillId="44" borderId="31"/>
    <xf numFmtId="0" fontId="36" fillId="0" borderId="26">
      <alignment horizontal="right" vertical="center"/>
    </xf>
    <xf numFmtId="4" fontId="36" fillId="0" borderId="26">
      <alignment horizontal="right" vertical="center"/>
    </xf>
    <xf numFmtId="4" fontId="36" fillId="0" borderId="26">
      <alignment horizontal="right" vertical="center"/>
    </xf>
    <xf numFmtId="49" fontId="35" fillId="0" borderId="26">
      <alignment horizontal="left" vertical="center"/>
    </xf>
    <xf numFmtId="0" fontId="36" fillId="0" borderId="26"/>
    <xf numFmtId="175" fontId="36" fillId="61" borderId="26">
      <alignment horizontal="right" vertical="center"/>
    </xf>
    <xf numFmtId="0" fontId="36" fillId="34" borderId="26"/>
    <xf numFmtId="4" fontId="36" fillId="34" borderId="26"/>
    <xf numFmtId="4" fontId="34" fillId="35" borderId="26">
      <alignment horizontal="right" vertical="center"/>
    </xf>
    <xf numFmtId="0" fontId="36" fillId="34" borderId="26"/>
    <xf numFmtId="0" fontId="47" fillId="57" borderId="31"/>
    <xf numFmtId="0" fontId="34" fillId="33" borderId="26">
      <alignment horizontal="right" vertical="center"/>
    </xf>
    <xf numFmtId="0" fontId="36" fillId="0" borderId="26">
      <alignment horizontal="right" vertical="center"/>
    </xf>
    <xf numFmtId="0" fontId="66" fillId="0" borderId="32"/>
    <xf numFmtId="0" fontId="36" fillId="33" borderId="27">
      <alignment horizontal="left" vertical="center"/>
    </xf>
    <xf numFmtId="0" fontId="59" fillId="44" borderId="31"/>
    <xf numFmtId="175" fontId="36" fillId="61" borderId="26">
      <alignment horizontal="right" vertical="center"/>
    </xf>
    <xf numFmtId="0" fontId="42" fillId="60" borderId="25"/>
    <xf numFmtId="0" fontId="36" fillId="0" borderId="29">
      <alignment horizontal="left" vertical="center" wrapText="1" indent="2"/>
    </xf>
    <xf numFmtId="4" fontId="36" fillId="34" borderId="26"/>
    <xf numFmtId="49" fontId="35" fillId="0" borderId="26">
      <alignment horizontal="left" vertical="center"/>
    </xf>
    <xf numFmtId="0" fontId="36" fillId="0" borderId="26">
      <alignment horizontal="right" vertical="center"/>
    </xf>
    <xf numFmtId="4" fontId="34" fillId="35" borderId="28">
      <alignment horizontal="right" vertical="center"/>
    </xf>
    <xf numFmtId="4" fontId="34" fillId="35" borderId="26">
      <alignment horizontal="right" vertical="center"/>
    </xf>
    <xf numFmtId="4" fontId="34" fillId="35" borderId="26">
      <alignment horizontal="right" vertical="center"/>
    </xf>
    <xf numFmtId="0" fontId="38" fillId="33" borderId="26">
      <alignment horizontal="right" vertical="center"/>
    </xf>
    <xf numFmtId="0" fontId="34" fillId="33" borderId="26">
      <alignment horizontal="right" vertical="center"/>
    </xf>
    <xf numFmtId="49" fontId="36" fillId="0" borderId="26">
      <alignment horizontal="left" vertical="center" indent="2"/>
    </xf>
    <xf numFmtId="0" fontId="59" fillId="44" borderId="31"/>
    <xf numFmtId="0" fontId="45" fillId="57" borderId="30"/>
    <xf numFmtId="49" fontId="36" fillId="0" borderId="26">
      <alignment horizontal="left" vertical="center" indent="2"/>
    </xf>
    <xf numFmtId="0" fontId="50" fillId="44" borderId="31"/>
    <xf numFmtId="4" fontId="36" fillId="0" borderId="26">
      <alignment horizontal="right" vertical="center"/>
    </xf>
    <xf numFmtId="0" fontId="48" fillId="57" borderId="31"/>
    <xf numFmtId="0" fontId="66" fillId="0" borderId="32"/>
    <xf numFmtId="0" fontId="63" fillId="57" borderId="30"/>
    <xf numFmtId="0" fontId="36" fillId="0" borderId="26"/>
    <xf numFmtId="4" fontId="36" fillId="0" borderId="26">
      <alignment horizontal="right" vertical="center"/>
    </xf>
    <xf numFmtId="0" fontId="36" fillId="0" borderId="26">
      <alignment horizontal="right" vertical="center"/>
    </xf>
    <xf numFmtId="0" fontId="59" fillId="44" borderId="31"/>
    <xf numFmtId="0" fontId="45" fillId="57" borderId="30"/>
    <xf numFmtId="0" fontId="47" fillId="57" borderId="31"/>
    <xf numFmtId="0" fontId="36" fillId="35" borderId="29">
      <alignment horizontal="left" vertical="center" wrapText="1" indent="2"/>
    </xf>
    <xf numFmtId="0" fontId="48" fillId="57" borderId="31"/>
    <xf numFmtId="0" fontId="48" fillId="57" borderId="31"/>
    <xf numFmtId="4" fontId="34" fillId="35" borderId="27">
      <alignment horizontal="right" vertical="center"/>
    </xf>
    <xf numFmtId="0" fontId="34" fillId="35" borderId="27">
      <alignment horizontal="right" vertical="center"/>
    </xf>
    <xf numFmtId="0" fontId="34" fillId="35" borderId="26">
      <alignment horizontal="right" vertical="center"/>
    </xf>
    <xf numFmtId="4" fontId="38" fillId="33" borderId="26">
      <alignment horizontal="right" vertical="center"/>
    </xf>
    <xf numFmtId="0" fontId="50" fillId="44" borderId="31"/>
    <xf numFmtId="0" fontId="51" fillId="0" borderId="32"/>
    <xf numFmtId="0" fontId="66" fillId="0" borderId="32"/>
    <xf numFmtId="0" fontId="42" fillId="60" borderId="25"/>
    <xf numFmtId="0" fontId="59" fillId="44" borderId="31"/>
    <xf numFmtId="49" fontId="35" fillId="0" borderId="26">
      <alignment horizontal="left" vertical="center"/>
    </xf>
    <xf numFmtId="0" fontId="36" fillId="35" borderId="29">
      <alignment horizontal="left" vertical="center" wrapText="1" indent="2"/>
    </xf>
    <xf numFmtId="0" fontId="48" fillId="57" borderId="31"/>
    <xf numFmtId="0" fontId="36" fillId="0" borderId="29">
      <alignment horizontal="left" vertical="center" wrapText="1" indent="2"/>
    </xf>
    <xf numFmtId="0" fontId="42" fillId="60" borderId="25"/>
    <xf numFmtId="0" fontId="5" fillId="60" borderId="25"/>
    <xf numFmtId="0" fontId="63" fillId="57" borderId="30"/>
    <xf numFmtId="0" fontId="66" fillId="0" borderId="32"/>
    <xf numFmtId="4" fontId="36" fillId="34" borderId="26"/>
    <xf numFmtId="0" fontId="34" fillId="35" borderId="26">
      <alignment horizontal="right" vertical="center"/>
    </xf>
    <xf numFmtId="0" fontId="66" fillId="0" borderId="32"/>
    <xf numFmtId="4" fontId="34" fillId="35" borderId="28">
      <alignment horizontal="right" vertical="center"/>
    </xf>
    <xf numFmtId="0" fontId="47" fillId="57" borderId="31"/>
    <xf numFmtId="0" fontId="34" fillId="35" borderId="27">
      <alignment horizontal="right" vertical="center"/>
    </xf>
    <xf numFmtId="0" fontId="48" fillId="57" borderId="31"/>
    <xf numFmtId="0" fontId="51" fillId="0" borderId="32"/>
    <xf numFmtId="0" fontId="42" fillId="60" borderId="25"/>
    <xf numFmtId="4" fontId="34" fillId="35" borderId="27">
      <alignment horizontal="right" vertical="center"/>
    </xf>
    <xf numFmtId="0" fontId="36" fillId="35" borderId="29">
      <alignment horizontal="left" vertical="center" wrapText="1" indent="2"/>
    </xf>
    <xf numFmtId="0" fontId="36" fillId="34" borderId="26"/>
    <xf numFmtId="175" fontId="36" fillId="61" borderId="26">
      <alignment horizontal="right" vertical="center"/>
    </xf>
    <xf numFmtId="0" fontId="36" fillId="0" borderId="26"/>
    <xf numFmtId="4" fontId="36" fillId="0" borderId="26">
      <alignment horizontal="right" vertical="center"/>
    </xf>
    <xf numFmtId="4" fontId="34" fillId="33" borderId="26">
      <alignment horizontal="right" vertical="center"/>
    </xf>
    <xf numFmtId="0" fontId="51" fillId="0" borderId="32"/>
    <xf numFmtId="49" fontId="35" fillId="0" borderId="26">
      <alignment horizontal="left" vertical="center"/>
    </xf>
    <xf numFmtId="49" fontId="36" fillId="0" borderId="27">
      <alignment horizontal="left" vertical="center" indent="5"/>
    </xf>
    <xf numFmtId="0" fontId="36" fillId="33" borderId="27">
      <alignment horizontal="left" vertical="center"/>
    </xf>
    <xf numFmtId="0" fontId="48" fillId="57" borderId="31"/>
    <xf numFmtId="4" fontId="34" fillId="35" borderId="28">
      <alignment horizontal="right" vertical="center"/>
    </xf>
    <xf numFmtId="0" fontId="59" fillId="44" borderId="31"/>
    <xf numFmtId="0" fontId="59" fillId="44" borderId="31"/>
    <xf numFmtId="0" fontId="42" fillId="60" borderId="25"/>
    <xf numFmtId="0" fontId="63" fillId="57" borderId="30"/>
    <xf numFmtId="0" fontId="66" fillId="0" borderId="32"/>
    <xf numFmtId="0" fontId="34" fillId="35" borderId="26">
      <alignment horizontal="right" vertical="center"/>
    </xf>
    <xf numFmtId="0" fontId="5" fillId="60" borderId="25"/>
    <xf numFmtId="4" fontId="36" fillId="0" borderId="26">
      <alignment horizontal="right" vertical="center"/>
    </xf>
    <xf numFmtId="0" fontId="66" fillId="0" borderId="32"/>
    <xf numFmtId="0" fontId="34" fillId="35" borderId="26">
      <alignment horizontal="right" vertical="center"/>
    </xf>
    <xf numFmtId="0" fontId="34" fillId="35" borderId="26">
      <alignment horizontal="right" vertical="center"/>
    </xf>
    <xf numFmtId="4" fontId="38" fillId="33" borderId="26">
      <alignment horizontal="right" vertical="center"/>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34" fillId="35" borderId="27">
      <alignment horizontal="right" vertical="center"/>
    </xf>
    <xf numFmtId="4" fontId="34" fillId="35" borderId="27">
      <alignment horizontal="right" vertical="center"/>
    </xf>
    <xf numFmtId="0" fontId="34" fillId="35" borderId="28">
      <alignment horizontal="right" vertical="center"/>
    </xf>
    <xf numFmtId="4" fontId="34" fillId="35" borderId="28">
      <alignment horizontal="right" vertical="center"/>
    </xf>
    <xf numFmtId="0" fontId="48" fillId="57" borderId="31"/>
    <xf numFmtId="0" fontId="36" fillId="35" borderId="29">
      <alignment horizontal="left" vertical="center" wrapText="1" indent="2"/>
    </xf>
    <xf numFmtId="0" fontId="36" fillId="0" borderId="29">
      <alignment horizontal="left" vertical="center" wrapText="1" indent="2"/>
    </xf>
    <xf numFmtId="0" fontId="36" fillId="33" borderId="27">
      <alignment horizontal="left" vertical="center"/>
    </xf>
    <xf numFmtId="0" fontId="59" fillId="44" borderId="31"/>
    <xf numFmtId="0" fontId="36" fillId="0" borderId="26">
      <alignment horizontal="right" vertical="center"/>
    </xf>
    <xf numFmtId="4" fontId="36" fillId="0" borderId="26">
      <alignment horizontal="right" vertical="center"/>
    </xf>
    <xf numFmtId="0" fontId="36" fillId="0" borderId="26"/>
    <xf numFmtId="0" fontId="63" fillId="57" borderId="30"/>
    <xf numFmtId="175" fontId="36" fillId="61" borderId="26">
      <alignment horizontal="right" vertical="center"/>
    </xf>
    <xf numFmtId="0" fontId="36" fillId="34" borderId="26"/>
    <xf numFmtId="4" fontId="36" fillId="34" borderId="26"/>
    <xf numFmtId="0" fontId="66" fillId="0" borderId="32"/>
    <xf numFmtId="0" fontId="5" fillId="60" borderId="25"/>
    <xf numFmtId="0" fontId="42" fillId="60" borderId="25"/>
    <xf numFmtId="0" fontId="36" fillId="0" borderId="26"/>
    <xf numFmtId="0" fontId="51" fillId="0" borderId="32"/>
    <xf numFmtId="0" fontId="66" fillId="0" borderId="32"/>
    <xf numFmtId="0" fontId="50" fillId="44" borderId="31"/>
    <xf numFmtId="0" fontId="48" fillId="57" borderId="31"/>
    <xf numFmtId="4" fontId="38" fillId="33" borderId="26">
      <alignment horizontal="right" vertical="center"/>
    </xf>
    <xf numFmtId="0" fontId="34" fillId="33" borderId="26">
      <alignment horizontal="right" vertical="center"/>
    </xf>
    <xf numFmtId="175" fontId="36" fillId="61" borderId="26">
      <alignment horizontal="right" vertical="center"/>
    </xf>
    <xf numFmtId="0" fontId="51" fillId="0" borderId="32"/>
    <xf numFmtId="49" fontId="36" fillId="0" borderId="26">
      <alignment horizontal="left" vertical="center" indent="2"/>
    </xf>
    <xf numFmtId="49" fontId="36" fillId="0" borderId="27">
      <alignment horizontal="left" vertical="center" indent="5"/>
    </xf>
    <xf numFmtId="49" fontId="36" fillId="0" borderId="26">
      <alignment horizontal="left" vertical="center" indent="2"/>
    </xf>
    <xf numFmtId="4" fontId="36" fillId="0" borderId="26">
      <alignment horizontal="right" vertical="center"/>
    </xf>
    <xf numFmtId="49" fontId="35" fillId="0" borderId="26">
      <alignment horizontal="left" vertical="center"/>
    </xf>
    <xf numFmtId="0" fontId="36" fillId="0" borderId="29">
      <alignment horizontal="left" vertical="center" wrapText="1" indent="2"/>
    </xf>
    <xf numFmtId="0" fontId="63" fillId="57" borderId="30"/>
    <xf numFmtId="0" fontId="34" fillId="35" borderId="28">
      <alignment horizontal="right" vertical="center"/>
    </xf>
    <xf numFmtId="0" fontId="50" fillId="44" borderId="31"/>
    <xf numFmtId="0" fontId="34" fillId="35" borderId="28">
      <alignment horizontal="right" vertical="center"/>
    </xf>
    <xf numFmtId="4" fontId="34" fillId="35" borderId="26">
      <alignment horizontal="right" vertical="center"/>
    </xf>
    <xf numFmtId="0" fontId="34" fillId="35" borderId="26">
      <alignment horizontal="right" vertical="center"/>
    </xf>
    <xf numFmtId="0" fontId="45" fillId="57" borderId="30"/>
    <xf numFmtId="0" fontId="47" fillId="57" borderId="31"/>
    <xf numFmtId="0" fontId="51" fillId="0" borderId="32"/>
    <xf numFmtId="0" fontId="36" fillId="34" borderId="26"/>
    <xf numFmtId="4" fontId="36" fillId="34" borderId="26"/>
    <xf numFmtId="4" fontId="34" fillId="35" borderId="26">
      <alignment horizontal="right" vertical="center"/>
    </xf>
    <xf numFmtId="0" fontId="38" fillId="33" borderId="26">
      <alignment horizontal="right" vertical="center"/>
    </xf>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34" fillId="35" borderId="28">
      <alignment horizontal="right" vertical="center"/>
    </xf>
    <xf numFmtId="0" fontId="59" fillId="44" borderId="31"/>
    <xf numFmtId="0" fontId="34" fillId="33" borderId="26">
      <alignment horizontal="right" vertical="center"/>
    </xf>
    <xf numFmtId="4" fontId="38" fillId="33" borderId="26">
      <alignment horizontal="right" vertical="center"/>
    </xf>
    <xf numFmtId="0" fontId="45" fillId="57" borderId="30"/>
    <xf numFmtId="0" fontId="47" fillId="57" borderId="31"/>
    <xf numFmtId="0" fontId="5" fillId="60" borderId="25"/>
    <xf numFmtId="0" fontId="34" fillId="33" borderId="26">
      <alignment horizontal="right" vertical="center"/>
    </xf>
    <xf numFmtId="4" fontId="34" fillId="35" borderId="26">
      <alignment horizontal="right" vertical="center"/>
    </xf>
    <xf numFmtId="0" fontId="66" fillId="0" borderId="32"/>
    <xf numFmtId="49" fontId="35" fillId="0" borderId="26">
      <alignment horizontal="left" vertical="center"/>
    </xf>
    <xf numFmtId="0" fontId="36" fillId="33" borderId="27">
      <alignment horizontal="left" vertical="center"/>
    </xf>
    <xf numFmtId="0" fontId="66" fillId="0" borderId="32"/>
    <xf numFmtId="0" fontId="34" fillId="35" borderId="28">
      <alignment horizontal="right" vertical="center"/>
    </xf>
    <xf numFmtId="0" fontId="45" fillId="57" borderId="30"/>
    <xf numFmtId="0" fontId="50" fillId="44" borderId="31"/>
    <xf numFmtId="0" fontId="63" fillId="57" borderId="30"/>
    <xf numFmtId="0" fontId="36" fillId="35" borderId="29">
      <alignment horizontal="left" vertical="center" wrapText="1" indent="2"/>
    </xf>
    <xf numFmtId="175" fontId="36" fillId="61" borderId="26">
      <alignment horizontal="right" vertical="center"/>
    </xf>
    <xf numFmtId="0" fontId="63" fillId="57" borderId="30"/>
    <xf numFmtId="0" fontId="36" fillId="34" borderId="26"/>
    <xf numFmtId="0" fontId="45" fillId="57" borderId="30"/>
    <xf numFmtId="0" fontId="42" fillId="60" borderId="25"/>
    <xf numFmtId="0" fontId="63" fillId="57" borderId="30"/>
    <xf numFmtId="0" fontId="51" fillId="0" borderId="32"/>
    <xf numFmtId="0" fontId="47" fillId="57" borderId="31"/>
    <xf numFmtId="0" fontId="47" fillId="57" borderId="31"/>
    <xf numFmtId="0" fontId="36" fillId="34" borderId="26"/>
    <xf numFmtId="4" fontId="34" fillId="35" borderId="26">
      <alignment horizontal="right" vertical="center"/>
    </xf>
    <xf numFmtId="4" fontId="36" fillId="0" borderId="26">
      <alignment horizontal="right" vertical="center"/>
    </xf>
    <xf numFmtId="0" fontId="34" fillId="33" borderId="26">
      <alignment horizontal="right" vertical="center"/>
    </xf>
    <xf numFmtId="4" fontId="34" fillId="35" borderId="26">
      <alignment horizontal="right" vertical="center"/>
    </xf>
    <xf numFmtId="4" fontId="34" fillId="35" borderId="26">
      <alignment horizontal="right" vertical="center"/>
    </xf>
    <xf numFmtId="0" fontId="36" fillId="34" borderId="26"/>
    <xf numFmtId="0" fontId="47" fillId="57" borderId="31"/>
    <xf numFmtId="0" fontId="34" fillId="33" borderId="26">
      <alignment horizontal="right" vertical="center"/>
    </xf>
    <xf numFmtId="0" fontId="36" fillId="0" borderId="26">
      <alignment horizontal="right" vertical="center"/>
    </xf>
    <xf numFmtId="0" fontId="66" fillId="0" borderId="32"/>
    <xf numFmtId="0" fontId="36" fillId="33" borderId="27">
      <alignment horizontal="left" vertical="center"/>
    </xf>
    <xf numFmtId="0" fontId="59" fillId="44" borderId="31"/>
    <xf numFmtId="175" fontId="36" fillId="61" borderId="26">
      <alignment horizontal="right" vertical="center"/>
    </xf>
    <xf numFmtId="0" fontId="42" fillId="60" borderId="25"/>
    <xf numFmtId="0" fontId="36" fillId="0" borderId="29">
      <alignment horizontal="left" vertical="center" wrapText="1" indent="2"/>
    </xf>
    <xf numFmtId="4" fontId="36" fillId="34" borderId="26"/>
    <xf numFmtId="49" fontId="35" fillId="0" borderId="26">
      <alignment horizontal="left" vertical="center"/>
    </xf>
    <xf numFmtId="0" fontId="36" fillId="0" borderId="26">
      <alignment horizontal="right" vertical="center"/>
    </xf>
    <xf numFmtId="4" fontId="34" fillId="35" borderId="28">
      <alignment horizontal="right" vertical="center"/>
    </xf>
    <xf numFmtId="4" fontId="34" fillId="35" borderId="26">
      <alignment horizontal="right" vertical="center"/>
    </xf>
    <xf numFmtId="4" fontId="34" fillId="35" borderId="26">
      <alignment horizontal="right" vertical="center"/>
    </xf>
    <xf numFmtId="0" fontId="38" fillId="33" borderId="26">
      <alignment horizontal="right" vertical="center"/>
    </xf>
    <xf numFmtId="0" fontId="34" fillId="33" borderId="26">
      <alignment horizontal="right" vertical="center"/>
    </xf>
    <xf numFmtId="49" fontId="36" fillId="0" borderId="26">
      <alignment horizontal="left" vertical="center" indent="2"/>
    </xf>
    <xf numFmtId="0" fontId="59" fillId="44" borderId="31"/>
    <xf numFmtId="0" fontId="45" fillId="57" borderId="30"/>
    <xf numFmtId="49" fontId="36" fillId="0" borderId="26">
      <alignment horizontal="left" vertical="center" indent="2"/>
    </xf>
    <xf numFmtId="0" fontId="50" fillId="44" borderId="31"/>
    <xf numFmtId="4" fontId="36" fillId="0" borderId="26">
      <alignment horizontal="right" vertical="center"/>
    </xf>
    <xf numFmtId="0" fontId="48" fillId="57" borderId="31"/>
    <xf numFmtId="0" fontId="66" fillId="0" borderId="32"/>
    <xf numFmtId="0" fontId="63" fillId="57" borderId="30"/>
    <xf numFmtId="0" fontId="36" fillId="0" borderId="26"/>
    <xf numFmtId="4" fontId="36" fillId="0" borderId="26">
      <alignment horizontal="right" vertical="center"/>
    </xf>
    <xf numFmtId="0" fontId="36" fillId="0" borderId="26">
      <alignment horizontal="right" vertical="center"/>
    </xf>
    <xf numFmtId="0" fontId="59" fillId="44" borderId="31"/>
    <xf numFmtId="0" fontId="45" fillId="57" borderId="30"/>
    <xf numFmtId="0" fontId="47" fillId="57" borderId="31"/>
    <xf numFmtId="0" fontId="36" fillId="35" borderId="29">
      <alignment horizontal="left" vertical="center" wrapText="1" indent="2"/>
    </xf>
    <xf numFmtId="0" fontId="48" fillId="57" borderId="31"/>
    <xf numFmtId="0" fontId="48" fillId="57" borderId="31"/>
    <xf numFmtId="4" fontId="34" fillId="35" borderId="27">
      <alignment horizontal="right" vertical="center"/>
    </xf>
    <xf numFmtId="0" fontId="34" fillId="35" borderId="27">
      <alignment horizontal="right" vertical="center"/>
    </xf>
    <xf numFmtId="0" fontId="34" fillId="35" borderId="26">
      <alignment horizontal="right" vertical="center"/>
    </xf>
    <xf numFmtId="4" fontId="38" fillId="33" borderId="26">
      <alignment horizontal="right" vertical="center"/>
    </xf>
    <xf numFmtId="0" fontId="50" fillId="44" borderId="31"/>
    <xf numFmtId="0" fontId="51" fillId="0" borderId="32"/>
    <xf numFmtId="0" fontId="66" fillId="0" borderId="32"/>
    <xf numFmtId="0" fontId="42" fillId="60" borderId="25"/>
    <xf numFmtId="0" fontId="59" fillId="44" borderId="31"/>
    <xf numFmtId="49" fontId="35" fillId="0" borderId="26">
      <alignment horizontal="left" vertical="center"/>
    </xf>
    <xf numFmtId="0" fontId="36" fillId="35" borderId="29">
      <alignment horizontal="left" vertical="center" wrapText="1" indent="2"/>
    </xf>
    <xf numFmtId="0" fontId="48" fillId="57" borderId="31"/>
    <xf numFmtId="0" fontId="36" fillId="0" borderId="29">
      <alignment horizontal="left" vertical="center" wrapText="1" indent="2"/>
    </xf>
    <xf numFmtId="0" fontId="42" fillId="60" borderId="25"/>
    <xf numFmtId="0" fontId="5" fillId="60" borderId="25"/>
    <xf numFmtId="0" fontId="63" fillId="57" borderId="30"/>
    <xf numFmtId="0" fontId="66" fillId="0" borderId="32"/>
    <xf numFmtId="4" fontId="36" fillId="34" borderId="26"/>
    <xf numFmtId="0" fontId="34" fillId="35" borderId="26">
      <alignment horizontal="right" vertical="center"/>
    </xf>
    <xf numFmtId="0" fontId="66" fillId="0" borderId="32"/>
    <xf numFmtId="4" fontId="34" fillId="35" borderId="28">
      <alignment horizontal="right" vertical="center"/>
    </xf>
    <xf numFmtId="0" fontId="47" fillId="57" borderId="31"/>
    <xf numFmtId="0" fontId="34" fillId="35" borderId="27">
      <alignment horizontal="right" vertical="center"/>
    </xf>
    <xf numFmtId="0" fontId="48" fillId="57" borderId="31"/>
    <xf numFmtId="0" fontId="51" fillId="0" borderId="32"/>
    <xf numFmtId="0" fontId="42" fillId="60" borderId="25"/>
    <xf numFmtId="4" fontId="34" fillId="35" borderId="27">
      <alignment horizontal="right" vertical="center"/>
    </xf>
    <xf numFmtId="0" fontId="36" fillId="35" borderId="29">
      <alignment horizontal="left" vertical="center" wrapText="1" indent="2"/>
    </xf>
    <xf numFmtId="0" fontId="36" fillId="34" borderId="26"/>
    <xf numFmtId="175" fontId="36" fillId="61" borderId="26">
      <alignment horizontal="right" vertical="center"/>
    </xf>
    <xf numFmtId="0" fontId="36" fillId="0" borderId="26"/>
    <xf numFmtId="4" fontId="36" fillId="0" borderId="26">
      <alignment horizontal="right" vertical="center"/>
    </xf>
    <xf numFmtId="4" fontId="34" fillId="33" borderId="26">
      <alignment horizontal="right" vertical="center"/>
    </xf>
    <xf numFmtId="0" fontId="51" fillId="0" borderId="32"/>
    <xf numFmtId="49" fontId="35" fillId="0" borderId="26">
      <alignment horizontal="left" vertical="center"/>
    </xf>
    <xf numFmtId="49" fontId="36" fillId="0" borderId="27">
      <alignment horizontal="left" vertical="center" indent="5"/>
    </xf>
    <xf numFmtId="0" fontId="36" fillId="33" borderId="27">
      <alignment horizontal="left" vertical="center"/>
    </xf>
    <xf numFmtId="0" fontId="48" fillId="57" borderId="31"/>
    <xf numFmtId="4" fontId="34" fillId="35" borderId="28">
      <alignment horizontal="right" vertical="center"/>
    </xf>
    <xf numFmtId="0" fontId="59" fillId="44" borderId="31"/>
    <xf numFmtId="0" fontId="59" fillId="44" borderId="31"/>
    <xf numFmtId="0" fontId="42" fillId="60" borderId="25"/>
    <xf numFmtId="0" fontId="63" fillId="57" borderId="30"/>
    <xf numFmtId="0" fontId="66" fillId="0" borderId="32"/>
    <xf numFmtId="0" fontId="34" fillId="35" borderId="26">
      <alignment horizontal="right" vertical="center"/>
    </xf>
    <xf numFmtId="0" fontId="5" fillId="60" borderId="25"/>
    <xf numFmtId="4" fontId="36" fillId="0" borderId="26">
      <alignment horizontal="right" vertical="center"/>
    </xf>
    <xf numFmtId="0" fontId="66" fillId="0" borderId="32"/>
    <xf numFmtId="0" fontId="34" fillId="35" borderId="26">
      <alignment horizontal="right" vertical="center"/>
    </xf>
    <xf numFmtId="0" fontId="34" fillId="35" borderId="26">
      <alignment horizontal="right" vertical="center"/>
    </xf>
    <xf numFmtId="4" fontId="38" fillId="33" borderId="26">
      <alignment horizontal="right" vertical="center"/>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34" fillId="35" borderId="27">
      <alignment horizontal="right" vertical="center"/>
    </xf>
    <xf numFmtId="4" fontId="34" fillId="35" borderId="27">
      <alignment horizontal="right" vertical="center"/>
    </xf>
    <xf numFmtId="0" fontId="34" fillId="35" borderId="28">
      <alignment horizontal="right" vertical="center"/>
    </xf>
    <xf numFmtId="4" fontId="34" fillId="35" borderId="28">
      <alignment horizontal="right" vertical="center"/>
    </xf>
    <xf numFmtId="0" fontId="48" fillId="57" borderId="31"/>
    <xf numFmtId="0" fontId="36" fillId="35" borderId="29">
      <alignment horizontal="left" vertical="center" wrapText="1" indent="2"/>
    </xf>
    <xf numFmtId="0" fontId="36" fillId="0" borderId="29">
      <alignment horizontal="left" vertical="center" wrapText="1" indent="2"/>
    </xf>
    <xf numFmtId="0" fontId="36" fillId="33" borderId="27">
      <alignment horizontal="left" vertical="center"/>
    </xf>
    <xf numFmtId="0" fontId="59" fillId="44" borderId="31"/>
    <xf numFmtId="0" fontId="36" fillId="0" borderId="26">
      <alignment horizontal="right" vertical="center"/>
    </xf>
    <xf numFmtId="4" fontId="36" fillId="0" borderId="26">
      <alignment horizontal="right" vertical="center"/>
    </xf>
    <xf numFmtId="0" fontId="36" fillId="0" borderId="26"/>
    <xf numFmtId="0" fontId="63" fillId="57" borderId="30"/>
    <xf numFmtId="175" fontId="36" fillId="61" borderId="26">
      <alignment horizontal="right" vertical="center"/>
    </xf>
    <xf numFmtId="0" fontId="36" fillId="34" borderId="26"/>
    <xf numFmtId="4" fontId="36" fillId="34" borderId="26"/>
    <xf numFmtId="0" fontId="66" fillId="0" borderId="32"/>
    <xf numFmtId="0" fontId="5" fillId="60" borderId="25"/>
    <xf numFmtId="0" fontId="42" fillId="60" borderId="25"/>
    <xf numFmtId="0" fontId="36" fillId="0" borderId="26"/>
    <xf numFmtId="0" fontId="51" fillId="0" borderId="32"/>
    <xf numFmtId="0" fontId="66" fillId="0" borderId="32"/>
    <xf numFmtId="0" fontId="50" fillId="44" borderId="31"/>
    <xf numFmtId="0" fontId="48" fillId="57" borderId="31"/>
    <xf numFmtId="4" fontId="38" fillId="33" borderId="26">
      <alignment horizontal="right" vertical="center"/>
    </xf>
    <xf numFmtId="0" fontId="34" fillId="33" borderId="26">
      <alignment horizontal="right" vertical="center"/>
    </xf>
    <xf numFmtId="175" fontId="36" fillId="61" borderId="26">
      <alignment horizontal="right" vertical="center"/>
    </xf>
    <xf numFmtId="0" fontId="51" fillId="0" borderId="32"/>
    <xf numFmtId="49" fontId="36" fillId="0" borderId="26">
      <alignment horizontal="left" vertical="center" indent="2"/>
    </xf>
    <xf numFmtId="49" fontId="36" fillId="0" borderId="27">
      <alignment horizontal="left" vertical="center" indent="5"/>
    </xf>
    <xf numFmtId="49" fontId="36" fillId="0" borderId="26">
      <alignment horizontal="left" vertical="center" indent="2"/>
    </xf>
    <xf numFmtId="4" fontId="36" fillId="0" borderId="26">
      <alignment horizontal="right" vertical="center"/>
    </xf>
    <xf numFmtId="49" fontId="35" fillId="0" borderId="26">
      <alignment horizontal="left" vertical="center"/>
    </xf>
    <xf numFmtId="0" fontId="36" fillId="0" borderId="29">
      <alignment horizontal="left" vertical="center" wrapText="1" indent="2"/>
    </xf>
    <xf numFmtId="0" fontId="63" fillId="57" borderId="30"/>
    <xf numFmtId="0" fontId="34" fillId="35" borderId="28">
      <alignment horizontal="right" vertical="center"/>
    </xf>
    <xf numFmtId="0" fontId="50" fillId="44" borderId="31"/>
    <xf numFmtId="0" fontId="34" fillId="35" borderId="28">
      <alignment horizontal="right" vertical="center"/>
    </xf>
    <xf numFmtId="4" fontId="34" fillId="35" borderId="26">
      <alignment horizontal="right" vertical="center"/>
    </xf>
    <xf numFmtId="0" fontId="34" fillId="35" borderId="26">
      <alignment horizontal="right" vertical="center"/>
    </xf>
    <xf numFmtId="0" fontId="45" fillId="57" borderId="30"/>
    <xf numFmtId="0" fontId="47" fillId="57" borderId="31"/>
    <xf numFmtId="0" fontId="51" fillId="0" borderId="32"/>
    <xf numFmtId="0" fontId="36" fillId="34" borderId="26"/>
    <xf numFmtId="4" fontId="36" fillId="34" borderId="26"/>
    <xf numFmtId="4" fontId="34" fillId="35" borderId="26">
      <alignment horizontal="right" vertical="center"/>
    </xf>
    <xf numFmtId="0" fontId="38" fillId="33" borderId="26">
      <alignment horizontal="right" vertical="center"/>
    </xf>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45" fillId="57" borderId="30"/>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36" fillId="0" borderId="29">
      <alignment horizontal="left" vertical="center" wrapText="1" indent="2"/>
    </xf>
    <xf numFmtId="0" fontId="45" fillId="57" borderId="30"/>
    <xf numFmtId="0" fontId="47" fillId="57" borderId="31"/>
    <xf numFmtId="0" fontId="48" fillId="57" borderId="31"/>
    <xf numFmtId="0" fontId="50" fillId="44" borderId="31"/>
    <xf numFmtId="0" fontId="51" fillId="0" borderId="32"/>
    <xf numFmtId="0" fontId="59" fillId="44" borderId="31"/>
    <xf numFmtId="0" fontId="42" fillId="60" borderId="25"/>
    <xf numFmtId="0" fontId="5" fillId="60" borderId="25"/>
    <xf numFmtId="0" fontId="63" fillId="57" borderId="30"/>
    <xf numFmtId="0" fontId="66" fillId="0" borderId="32"/>
    <xf numFmtId="0" fontId="48" fillId="57" borderId="31"/>
    <xf numFmtId="0" fontId="59" fillId="44" borderId="31"/>
    <xf numFmtId="0" fontId="42" fillId="60" borderId="25"/>
    <xf numFmtId="0" fontId="63" fillId="57" borderId="30"/>
    <xf numFmtId="0" fontId="66" fillId="0" borderId="32"/>
    <xf numFmtId="0" fontId="51" fillId="0" borderId="32"/>
    <xf numFmtId="4" fontId="38" fillId="33" borderId="26">
      <alignment horizontal="right" vertical="center"/>
    </xf>
    <xf numFmtId="0" fontId="59" fillId="44" borderId="31"/>
    <xf numFmtId="0" fontId="34" fillId="35" borderId="26">
      <alignment horizontal="right" vertical="center"/>
    </xf>
    <xf numFmtId="0" fontId="48" fillId="57" borderId="31"/>
    <xf numFmtId="0" fontId="34" fillId="35" borderId="27">
      <alignment horizontal="right" vertical="center"/>
    </xf>
    <xf numFmtId="0" fontId="50" fillId="44" borderId="31"/>
    <xf numFmtId="0" fontId="59" fillId="44" borderId="31"/>
    <xf numFmtId="0" fontId="63" fillId="57" borderId="30"/>
    <xf numFmtId="0" fontId="66" fillId="0" borderId="32"/>
    <xf numFmtId="0" fontId="66" fillId="0" borderId="32"/>
    <xf numFmtId="0" fontId="45" fillId="57" borderId="30"/>
    <xf numFmtId="0" fontId="47" fillId="57" borderId="31"/>
    <xf numFmtId="0" fontId="51" fillId="0" borderId="32"/>
    <xf numFmtId="49" fontId="36" fillId="0" borderId="26">
      <alignment horizontal="left" vertical="center" indent="2"/>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50" fillId="44" borderId="31"/>
    <xf numFmtId="0" fontId="36" fillId="0" borderId="26">
      <alignment horizontal="right" vertical="center"/>
    </xf>
    <xf numFmtId="4" fontId="36" fillId="0" borderId="26">
      <alignment horizontal="right" vertical="center"/>
    </xf>
    <xf numFmtId="4" fontId="36" fillId="0" borderId="26">
      <alignment horizontal="right" vertical="center"/>
    </xf>
    <xf numFmtId="49" fontId="35" fillId="0" borderId="26">
      <alignment horizontal="left" vertical="center"/>
    </xf>
    <xf numFmtId="0" fontId="36" fillId="0" borderId="26"/>
    <xf numFmtId="175" fontId="36" fillId="61" borderId="26">
      <alignment horizontal="right" vertical="center"/>
    </xf>
    <xf numFmtId="0" fontId="36" fillId="34" borderId="26"/>
    <xf numFmtId="4" fontId="36" fillId="34" borderId="26"/>
    <xf numFmtId="4" fontId="34" fillId="35" borderId="26">
      <alignment horizontal="right" vertical="center"/>
    </xf>
    <xf numFmtId="0" fontId="36" fillId="34" borderId="26"/>
    <xf numFmtId="0" fontId="47" fillId="57" borderId="31"/>
    <xf numFmtId="0" fontId="34" fillId="33" borderId="26">
      <alignment horizontal="right" vertical="center"/>
    </xf>
    <xf numFmtId="0" fontId="36" fillId="0" borderId="26">
      <alignment horizontal="right" vertical="center"/>
    </xf>
    <xf numFmtId="0" fontId="66" fillId="0" borderId="32"/>
    <xf numFmtId="0" fontId="36" fillId="33" borderId="27">
      <alignment horizontal="left" vertical="center"/>
    </xf>
    <xf numFmtId="0" fontId="59" fillId="44" borderId="31"/>
    <xf numFmtId="175" fontId="36" fillId="61" borderId="26">
      <alignment horizontal="right" vertical="center"/>
    </xf>
    <xf numFmtId="0" fontId="42" fillId="60" borderId="25"/>
    <xf numFmtId="0" fontId="36" fillId="0" borderId="29">
      <alignment horizontal="left" vertical="center" wrapText="1" indent="2"/>
    </xf>
    <xf numFmtId="4" fontId="36" fillId="34" borderId="26"/>
    <xf numFmtId="49" fontId="35" fillId="0" borderId="26">
      <alignment horizontal="left" vertical="center"/>
    </xf>
    <xf numFmtId="0" fontId="36" fillId="0" borderId="26">
      <alignment horizontal="right" vertical="center"/>
    </xf>
    <xf numFmtId="4" fontId="34" fillId="35" borderId="28">
      <alignment horizontal="right" vertical="center"/>
    </xf>
    <xf numFmtId="4" fontId="34" fillId="35" borderId="26">
      <alignment horizontal="right" vertical="center"/>
    </xf>
    <xf numFmtId="4" fontId="34" fillId="35" borderId="26">
      <alignment horizontal="right" vertical="center"/>
    </xf>
    <xf numFmtId="0" fontId="38" fillId="33" borderId="26">
      <alignment horizontal="right" vertical="center"/>
    </xf>
    <xf numFmtId="0" fontId="34" fillId="33" borderId="26">
      <alignment horizontal="right" vertical="center"/>
    </xf>
    <xf numFmtId="49" fontId="36" fillId="0" borderId="26">
      <alignment horizontal="left" vertical="center" indent="2"/>
    </xf>
    <xf numFmtId="0" fontId="59" fillId="44" borderId="31"/>
    <xf numFmtId="0" fontId="45" fillId="57" borderId="30"/>
    <xf numFmtId="49" fontId="36" fillId="0" borderId="26">
      <alignment horizontal="left" vertical="center" indent="2"/>
    </xf>
    <xf numFmtId="0" fontId="50" fillId="44" borderId="31"/>
    <xf numFmtId="4" fontId="36" fillId="0" borderId="26">
      <alignment horizontal="right" vertical="center"/>
    </xf>
    <xf numFmtId="0" fontId="48" fillId="57" borderId="31"/>
    <xf numFmtId="0" fontId="66" fillId="0" borderId="32"/>
    <xf numFmtId="0" fontId="63" fillId="57" borderId="30"/>
    <xf numFmtId="0" fontId="36" fillId="0" borderId="26"/>
    <xf numFmtId="4" fontId="36" fillId="0" borderId="26">
      <alignment horizontal="right" vertical="center"/>
    </xf>
    <xf numFmtId="0" fontId="36" fillId="0" borderId="26">
      <alignment horizontal="right" vertical="center"/>
    </xf>
    <xf numFmtId="0" fontId="59" fillId="44" borderId="31"/>
    <xf numFmtId="0" fontId="45" fillId="57" borderId="30"/>
    <xf numFmtId="0" fontId="47" fillId="57" borderId="31"/>
    <xf numFmtId="0" fontId="36" fillId="35" borderId="29">
      <alignment horizontal="left" vertical="center" wrapText="1" indent="2"/>
    </xf>
    <xf numFmtId="0" fontId="48" fillId="57" borderId="31"/>
    <xf numFmtId="0" fontId="48" fillId="57" borderId="31"/>
    <xf numFmtId="4" fontId="34" fillId="35" borderId="27">
      <alignment horizontal="right" vertical="center"/>
    </xf>
    <xf numFmtId="0" fontId="34" fillId="35" borderId="27">
      <alignment horizontal="right" vertical="center"/>
    </xf>
    <xf numFmtId="0" fontId="34" fillId="35" borderId="26">
      <alignment horizontal="right" vertical="center"/>
    </xf>
    <xf numFmtId="4" fontId="38" fillId="33" borderId="26">
      <alignment horizontal="right" vertical="center"/>
    </xf>
    <xf numFmtId="0" fontId="50" fillId="44" borderId="31"/>
    <xf numFmtId="0" fontId="51" fillId="0" borderId="32"/>
    <xf numFmtId="0" fontId="66" fillId="0" borderId="32"/>
    <xf numFmtId="0" fontId="42" fillId="60" borderId="25"/>
    <xf numFmtId="0" fontId="59" fillId="44" borderId="31"/>
    <xf numFmtId="49" fontId="35" fillId="0" borderId="26">
      <alignment horizontal="left" vertical="center"/>
    </xf>
    <xf numFmtId="0" fontId="36" fillId="35" borderId="29">
      <alignment horizontal="left" vertical="center" wrapText="1" indent="2"/>
    </xf>
    <xf numFmtId="0" fontId="48" fillId="57" borderId="31"/>
    <xf numFmtId="0" fontId="36" fillId="0" borderId="29">
      <alignment horizontal="left" vertical="center" wrapText="1" indent="2"/>
    </xf>
    <xf numFmtId="0" fontId="42" fillId="60" borderId="25"/>
    <xf numFmtId="0" fontId="5" fillId="60" borderId="25"/>
    <xf numFmtId="0" fontId="63" fillId="57" borderId="30"/>
    <xf numFmtId="0" fontId="66" fillId="0" borderId="32"/>
    <xf numFmtId="4" fontId="36" fillId="34" borderId="26"/>
    <xf numFmtId="0" fontId="34" fillId="35" borderId="26">
      <alignment horizontal="right" vertical="center"/>
    </xf>
    <xf numFmtId="0" fontId="66" fillId="0" borderId="32"/>
    <xf numFmtId="4" fontId="34" fillId="35" borderId="28">
      <alignment horizontal="right" vertical="center"/>
    </xf>
    <xf numFmtId="0" fontId="47" fillId="57" borderId="31"/>
    <xf numFmtId="0" fontId="34" fillId="35" borderId="27">
      <alignment horizontal="right" vertical="center"/>
    </xf>
    <xf numFmtId="0" fontId="48" fillId="57" borderId="31"/>
    <xf numFmtId="0" fontId="51" fillId="0" borderId="32"/>
    <xf numFmtId="0" fontId="42" fillId="60" borderId="25"/>
    <xf numFmtId="4" fontId="34" fillId="35" borderId="27">
      <alignment horizontal="right" vertical="center"/>
    </xf>
    <xf numFmtId="0" fontId="36" fillId="35" borderId="29">
      <alignment horizontal="left" vertical="center" wrapText="1" indent="2"/>
    </xf>
    <xf numFmtId="0" fontId="36" fillId="34" borderId="26"/>
    <xf numFmtId="175" fontId="36" fillId="61" borderId="26">
      <alignment horizontal="right" vertical="center"/>
    </xf>
    <xf numFmtId="0" fontId="36" fillId="0" borderId="26"/>
    <xf numFmtId="4" fontId="36" fillId="0" borderId="26">
      <alignment horizontal="right" vertical="center"/>
    </xf>
    <xf numFmtId="4" fontId="34" fillId="33" borderId="26">
      <alignment horizontal="right" vertical="center"/>
    </xf>
    <xf numFmtId="0" fontId="51" fillId="0" borderId="32"/>
    <xf numFmtId="49" fontId="35" fillId="0" borderId="26">
      <alignment horizontal="left" vertical="center"/>
    </xf>
    <xf numFmtId="49" fontId="36" fillId="0" borderId="27">
      <alignment horizontal="left" vertical="center" indent="5"/>
    </xf>
    <xf numFmtId="0" fontId="36" fillId="33" borderId="27">
      <alignment horizontal="left" vertical="center"/>
    </xf>
    <xf numFmtId="0" fontId="48" fillId="57" borderId="31"/>
    <xf numFmtId="4" fontId="34" fillId="35" borderId="28">
      <alignment horizontal="right" vertical="center"/>
    </xf>
    <xf numFmtId="0" fontId="59" fillId="44" borderId="31"/>
    <xf numFmtId="0" fontId="59" fillId="44" borderId="31"/>
    <xf numFmtId="0" fontId="42" fillId="60" borderId="25"/>
    <xf numFmtId="0" fontId="63" fillId="57" borderId="30"/>
    <xf numFmtId="0" fontId="66" fillId="0" borderId="32"/>
    <xf numFmtId="0" fontId="34" fillId="35" borderId="26">
      <alignment horizontal="right" vertical="center"/>
    </xf>
    <xf numFmtId="0" fontId="5" fillId="60" borderId="25"/>
    <xf numFmtId="4" fontId="36" fillId="0" borderId="26">
      <alignment horizontal="right" vertical="center"/>
    </xf>
    <xf numFmtId="0" fontId="66" fillId="0" borderId="32"/>
    <xf numFmtId="0" fontId="34" fillId="35" borderId="26">
      <alignment horizontal="right" vertical="center"/>
    </xf>
    <xf numFmtId="0" fontId="34" fillId="35" borderId="26">
      <alignment horizontal="right" vertical="center"/>
    </xf>
    <xf numFmtId="4" fontId="38" fillId="33" borderId="26">
      <alignment horizontal="right" vertical="center"/>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34" fillId="35" borderId="27">
      <alignment horizontal="right" vertical="center"/>
    </xf>
    <xf numFmtId="4" fontId="34" fillId="35" borderId="27">
      <alignment horizontal="right" vertical="center"/>
    </xf>
    <xf numFmtId="0" fontId="34" fillId="35" borderId="28">
      <alignment horizontal="right" vertical="center"/>
    </xf>
    <xf numFmtId="4" fontId="34" fillId="35" borderId="28">
      <alignment horizontal="right" vertical="center"/>
    </xf>
    <xf numFmtId="0" fontId="48" fillId="57" borderId="31"/>
    <xf numFmtId="0" fontId="36" fillId="35" borderId="29">
      <alignment horizontal="left" vertical="center" wrapText="1" indent="2"/>
    </xf>
    <xf numFmtId="0" fontId="36" fillId="0" borderId="29">
      <alignment horizontal="left" vertical="center" wrapText="1" indent="2"/>
    </xf>
    <xf numFmtId="0" fontId="36" fillId="33" borderId="27">
      <alignment horizontal="left" vertical="center"/>
    </xf>
    <xf numFmtId="0" fontId="59" fillId="44" borderId="31"/>
    <xf numFmtId="0" fontId="36" fillId="0" borderId="26">
      <alignment horizontal="right" vertical="center"/>
    </xf>
    <xf numFmtId="4" fontId="36" fillId="0" borderId="26">
      <alignment horizontal="right" vertical="center"/>
    </xf>
    <xf numFmtId="0" fontId="36" fillId="0" borderId="26"/>
    <xf numFmtId="0" fontId="63" fillId="57" borderId="30"/>
    <xf numFmtId="175" fontId="36" fillId="61" borderId="26">
      <alignment horizontal="right" vertical="center"/>
    </xf>
    <xf numFmtId="0" fontId="36" fillId="34" borderId="26"/>
    <xf numFmtId="4" fontId="36" fillId="34" borderId="26"/>
    <xf numFmtId="0" fontId="66" fillId="0" borderId="32"/>
    <xf numFmtId="0" fontId="5" fillId="60" borderId="25"/>
    <xf numFmtId="0" fontId="42" fillId="60" borderId="25"/>
    <xf numFmtId="0" fontId="36" fillId="0" borderId="26"/>
    <xf numFmtId="0" fontId="51" fillId="0" borderId="32"/>
    <xf numFmtId="0" fontId="66" fillId="0" borderId="32"/>
    <xf numFmtId="0" fontId="50" fillId="44" borderId="31"/>
    <xf numFmtId="0" fontId="48" fillId="57" borderId="31"/>
    <xf numFmtId="4" fontId="38" fillId="33" borderId="26">
      <alignment horizontal="right" vertical="center"/>
    </xf>
    <xf numFmtId="0" fontId="34" fillId="33" borderId="26">
      <alignment horizontal="right" vertical="center"/>
    </xf>
    <xf numFmtId="175" fontId="36" fillId="61" borderId="26">
      <alignment horizontal="right" vertical="center"/>
    </xf>
    <xf numFmtId="0" fontId="51" fillId="0" borderId="32"/>
    <xf numFmtId="49" fontId="36" fillId="0" borderId="26">
      <alignment horizontal="left" vertical="center" indent="2"/>
    </xf>
    <xf numFmtId="49" fontId="36" fillId="0" borderId="27">
      <alignment horizontal="left" vertical="center" indent="5"/>
    </xf>
    <xf numFmtId="49" fontId="36" fillId="0" borderId="26">
      <alignment horizontal="left" vertical="center" indent="2"/>
    </xf>
    <xf numFmtId="4" fontId="36" fillId="0" borderId="26">
      <alignment horizontal="right" vertical="center"/>
    </xf>
    <xf numFmtId="49" fontId="35" fillId="0" borderId="26">
      <alignment horizontal="left" vertical="center"/>
    </xf>
    <xf numFmtId="0" fontId="36" fillId="0" borderId="29">
      <alignment horizontal="left" vertical="center" wrapText="1" indent="2"/>
    </xf>
    <xf numFmtId="0" fontId="63" fillId="57" borderId="30"/>
    <xf numFmtId="0" fontId="34" fillId="35" borderId="28">
      <alignment horizontal="right" vertical="center"/>
    </xf>
    <xf numFmtId="0" fontId="50" fillId="44" borderId="31"/>
    <xf numFmtId="0" fontId="34" fillId="35" borderId="28">
      <alignment horizontal="right" vertical="center"/>
    </xf>
    <xf numFmtId="4" fontId="34" fillId="35" borderId="26">
      <alignment horizontal="right" vertical="center"/>
    </xf>
    <xf numFmtId="0" fontId="34" fillId="35" borderId="26">
      <alignment horizontal="right" vertical="center"/>
    </xf>
    <xf numFmtId="0" fontId="45" fillId="57" borderId="30"/>
    <xf numFmtId="0" fontId="47" fillId="57" borderId="31"/>
    <xf numFmtId="0" fontId="51" fillId="0" borderId="32"/>
    <xf numFmtId="0" fontId="36" fillId="34" borderId="26"/>
    <xf numFmtId="4" fontId="36" fillId="34" borderId="26"/>
    <xf numFmtId="4" fontId="34" fillId="35" borderId="26">
      <alignment horizontal="right" vertical="center"/>
    </xf>
    <xf numFmtId="0" fontId="38" fillId="33" borderId="26">
      <alignment horizontal="right" vertical="center"/>
    </xf>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36" fillId="0" borderId="29">
      <alignment horizontal="left" vertical="center" wrapText="1" indent="2"/>
    </xf>
    <xf numFmtId="49" fontId="36" fillId="0" borderId="26">
      <alignment horizontal="left" vertical="center" indent="2"/>
    </xf>
    <xf numFmtId="0" fontId="36" fillId="35" borderId="29">
      <alignment horizontal="left" vertical="center" wrapText="1" indent="2"/>
    </xf>
    <xf numFmtId="4" fontId="34" fillId="35" borderId="28">
      <alignment horizontal="right" vertical="center"/>
    </xf>
    <xf numFmtId="0" fontId="63" fillId="57" borderId="30"/>
    <xf numFmtId="4" fontId="38" fillId="33" borderId="26">
      <alignment horizontal="right" vertical="center"/>
    </xf>
    <xf numFmtId="4" fontId="34" fillId="35" borderId="26">
      <alignment horizontal="right" vertical="center"/>
    </xf>
    <xf numFmtId="0" fontId="48" fillId="57" borderId="31"/>
    <xf numFmtId="0" fontId="66" fillId="0" borderId="32"/>
    <xf numFmtId="4" fontId="34" fillId="35" borderId="26">
      <alignment horizontal="right" vertical="center"/>
    </xf>
    <xf numFmtId="4" fontId="38" fillId="33" borderId="26">
      <alignment horizontal="right" vertical="center"/>
    </xf>
    <xf numFmtId="49" fontId="36" fillId="0" borderId="27">
      <alignment horizontal="left" vertical="center" indent="5"/>
    </xf>
    <xf numFmtId="0" fontId="51" fillId="0" borderId="32"/>
    <xf numFmtId="0" fontId="50" fillId="44" borderId="31"/>
    <xf numFmtId="0" fontId="63" fillId="57" borderId="30"/>
    <xf numFmtId="0" fontId="45" fillId="57" borderId="30"/>
    <xf numFmtId="0" fontId="36" fillId="33" borderId="27">
      <alignment horizontal="left" vertical="center"/>
    </xf>
    <xf numFmtId="4" fontId="34" fillId="35" borderId="26">
      <alignment horizontal="right" vertical="center"/>
    </xf>
    <xf numFmtId="0" fontId="34" fillId="35" borderId="26">
      <alignment horizontal="right" vertical="center"/>
    </xf>
    <xf numFmtId="0" fontId="48" fillId="57" borderId="31"/>
    <xf numFmtId="0" fontId="48" fillId="57" borderId="31"/>
    <xf numFmtId="0" fontId="51" fillId="0" borderId="32"/>
    <xf numFmtId="0" fontId="63" fillId="57" borderId="30"/>
    <xf numFmtId="4" fontId="36" fillId="0" borderId="26">
      <alignment horizontal="right" vertical="center"/>
    </xf>
    <xf numFmtId="0" fontId="47" fillId="57" borderId="31"/>
    <xf numFmtId="0" fontId="63" fillId="57" borderId="30"/>
    <xf numFmtId="0" fontId="36" fillId="35" borderId="29">
      <alignment horizontal="left" vertical="center" wrapText="1" indent="2"/>
    </xf>
    <xf numFmtId="0" fontId="59" fillId="44" borderId="31"/>
    <xf numFmtId="0" fontId="5" fillId="60" borderId="25"/>
    <xf numFmtId="4" fontId="38" fillId="33" borderId="26">
      <alignment horizontal="right" vertical="center"/>
    </xf>
    <xf numFmtId="0" fontId="34" fillId="35" borderId="26">
      <alignment horizontal="right" vertical="center"/>
    </xf>
    <xf numFmtId="0" fontId="50" fillId="44" borderId="31"/>
    <xf numFmtId="175" fontId="36" fillId="61" borderId="26">
      <alignment horizontal="right" vertical="center"/>
    </xf>
    <xf numFmtId="49" fontId="36" fillId="0" borderId="26">
      <alignment horizontal="left" vertical="center" indent="2"/>
    </xf>
    <xf numFmtId="4" fontId="38" fillId="33" borderId="26">
      <alignment horizontal="right" vertical="center"/>
    </xf>
    <xf numFmtId="0" fontId="34" fillId="35" borderId="26">
      <alignment horizontal="right" vertical="center"/>
    </xf>
    <xf numFmtId="0" fontId="34" fillId="35" borderId="27">
      <alignment horizontal="right" vertical="center"/>
    </xf>
    <xf numFmtId="0" fontId="36" fillId="34" borderId="26"/>
    <xf numFmtId="0" fontId="36" fillId="0" borderId="26">
      <alignment horizontal="right" vertical="center"/>
    </xf>
    <xf numFmtId="0" fontId="59" fillId="44" borderId="31"/>
    <xf numFmtId="4" fontId="36" fillId="34" borderId="26"/>
    <xf numFmtId="0" fontId="34" fillId="35" borderId="27">
      <alignment horizontal="right" vertical="center"/>
    </xf>
    <xf numFmtId="175" fontId="36" fillId="61" borderId="26">
      <alignment horizontal="right" vertical="center"/>
    </xf>
    <xf numFmtId="4" fontId="38" fillId="33" borderId="26">
      <alignment horizontal="right" vertical="center"/>
    </xf>
    <xf numFmtId="4" fontId="34" fillId="35" borderId="26">
      <alignment horizontal="right" vertical="center"/>
    </xf>
    <xf numFmtId="4" fontId="34" fillId="35" borderId="26">
      <alignment horizontal="right" vertical="center"/>
    </xf>
    <xf numFmtId="0" fontId="47" fillId="57" borderId="31"/>
    <xf numFmtId="4" fontId="34" fillId="35" borderId="27">
      <alignment horizontal="right" vertical="center"/>
    </xf>
    <xf numFmtId="0" fontId="38" fillId="33" borderId="26">
      <alignment horizontal="right" vertical="center"/>
    </xf>
    <xf numFmtId="4" fontId="34" fillId="35" borderId="28">
      <alignment horizontal="right" vertical="center"/>
    </xf>
    <xf numFmtId="4" fontId="36" fillId="0" borderId="26">
      <alignment horizontal="right" vertical="center"/>
    </xf>
    <xf numFmtId="0" fontId="48" fillId="57" borderId="31"/>
    <xf numFmtId="0" fontId="45" fillId="57" borderId="30"/>
    <xf numFmtId="0" fontId="48" fillId="57" borderId="31"/>
    <xf numFmtId="0" fontId="51" fillId="0" borderId="32"/>
    <xf numFmtId="0" fontId="36" fillId="0" borderId="29">
      <alignment horizontal="left" vertical="center" wrapText="1" indent="2"/>
    </xf>
    <xf numFmtId="0" fontId="66" fillId="0" borderId="32"/>
    <xf numFmtId="0" fontId="34" fillId="35" borderId="26">
      <alignment horizontal="right" vertical="center"/>
    </xf>
    <xf numFmtId="49" fontId="36" fillId="0" borderId="27">
      <alignment horizontal="left" vertical="center" indent="5"/>
    </xf>
    <xf numFmtId="0" fontId="48" fillId="57" borderId="31"/>
    <xf numFmtId="0" fontId="63" fillId="57" borderId="30"/>
    <xf numFmtId="175" fontId="36" fillId="61" borderId="26">
      <alignment horizontal="right" vertical="center"/>
    </xf>
    <xf numFmtId="0" fontId="59" fillId="44" borderId="31"/>
    <xf numFmtId="4" fontId="34" fillId="33" borderId="26">
      <alignment horizontal="right" vertical="center"/>
    </xf>
    <xf numFmtId="49" fontId="36" fillId="0" borderId="26">
      <alignment horizontal="left" vertical="center" indent="2"/>
    </xf>
    <xf numFmtId="4" fontId="36" fillId="0" borderId="26">
      <alignment horizontal="right" vertical="center"/>
    </xf>
    <xf numFmtId="4" fontId="34" fillId="33" borderId="26">
      <alignment horizontal="right" vertical="center"/>
    </xf>
    <xf numFmtId="4" fontId="34" fillId="35" borderId="26">
      <alignment horizontal="right" vertical="center"/>
    </xf>
    <xf numFmtId="0" fontId="45" fillId="57" borderId="30"/>
    <xf numFmtId="4" fontId="36" fillId="0" borderId="26">
      <alignment horizontal="right" vertical="center"/>
    </xf>
    <xf numFmtId="4" fontId="36" fillId="34" borderId="26"/>
    <xf numFmtId="0" fontId="48" fillId="57" borderId="31"/>
    <xf numFmtId="0" fontId="66" fillId="0" borderId="32"/>
    <xf numFmtId="0" fontId="34" fillId="35" borderId="28">
      <alignment horizontal="right" vertical="center"/>
    </xf>
    <xf numFmtId="0" fontId="36" fillId="33" borderId="27">
      <alignment horizontal="left" vertical="center"/>
    </xf>
    <xf numFmtId="0" fontId="42" fillId="60" borderId="25"/>
    <xf numFmtId="0" fontId="59" fillId="44" borderId="31"/>
    <xf numFmtId="0" fontId="36" fillId="0" borderId="26">
      <alignment horizontal="right" vertical="center"/>
    </xf>
    <xf numFmtId="4" fontId="36" fillId="34" borderId="26"/>
    <xf numFmtId="0" fontId="42" fillId="60" borderId="25"/>
    <xf numFmtId="4" fontId="34" fillId="35" borderId="26">
      <alignment horizontal="right" vertical="center"/>
    </xf>
    <xf numFmtId="0" fontId="36" fillId="35" borderId="29">
      <alignment horizontal="left" vertical="center" wrapText="1" indent="2"/>
    </xf>
    <xf numFmtId="0" fontId="66" fillId="0" borderId="32"/>
    <xf numFmtId="0" fontId="63" fillId="57" borderId="30"/>
    <xf numFmtId="49" fontId="36" fillId="0" borderId="27">
      <alignment horizontal="left" vertical="center" indent="5"/>
    </xf>
    <xf numFmtId="0" fontId="42" fillId="60" borderId="25"/>
    <xf numFmtId="49" fontId="36" fillId="0" borderId="27">
      <alignment horizontal="left" vertical="center" indent="5"/>
    </xf>
    <xf numFmtId="4" fontId="36" fillId="0" borderId="26">
      <alignment horizontal="right" vertical="center"/>
    </xf>
    <xf numFmtId="49" fontId="35" fillId="0" borderId="26">
      <alignment horizontal="left" vertical="center"/>
    </xf>
    <xf numFmtId="0" fontId="34" fillId="33" borderId="26">
      <alignment horizontal="right" vertical="center"/>
    </xf>
    <xf numFmtId="0" fontId="48" fillId="57" borderId="31"/>
    <xf numFmtId="0" fontId="59" fillId="44" borderId="31"/>
    <xf numFmtId="0" fontId="48" fillId="57" borderId="31"/>
    <xf numFmtId="0" fontId="36" fillId="35" borderId="29">
      <alignment horizontal="left" vertical="center" wrapText="1" indent="2"/>
    </xf>
    <xf numFmtId="0" fontId="51" fillId="0" borderId="32"/>
    <xf numFmtId="0" fontId="36" fillId="34" borderId="26"/>
    <xf numFmtId="0" fontId="34" fillId="35" borderId="28">
      <alignment horizontal="right" vertical="center"/>
    </xf>
    <xf numFmtId="0" fontId="34" fillId="35" borderId="26">
      <alignment horizontal="right" vertical="center"/>
    </xf>
    <xf numFmtId="0" fontId="47" fillId="57" borderId="31"/>
    <xf numFmtId="4" fontId="34" fillId="35" borderId="27">
      <alignment horizontal="right" vertical="center"/>
    </xf>
    <xf numFmtId="0" fontId="38" fillId="33" borderId="26">
      <alignment horizontal="right" vertical="center"/>
    </xf>
    <xf numFmtId="49" fontId="36" fillId="0" borderId="27">
      <alignment horizontal="left" vertical="center" indent="5"/>
    </xf>
    <xf numFmtId="4" fontId="34" fillId="35" borderId="28">
      <alignment horizontal="right" vertical="center"/>
    </xf>
    <xf numFmtId="0" fontId="34" fillId="35" borderId="27">
      <alignment horizontal="right" vertical="center"/>
    </xf>
    <xf numFmtId="0" fontId="59" fillId="44" borderId="31"/>
    <xf numFmtId="0" fontId="34" fillId="35" borderId="27">
      <alignment horizontal="right" vertical="center"/>
    </xf>
    <xf numFmtId="0" fontId="34" fillId="33" borderId="26">
      <alignment horizontal="right" vertical="center"/>
    </xf>
    <xf numFmtId="0" fontId="36" fillId="34" borderId="26"/>
    <xf numFmtId="4" fontId="38" fillId="33" borderId="26">
      <alignment horizontal="right" vertical="center"/>
    </xf>
    <xf numFmtId="0" fontId="36" fillId="33" borderId="27">
      <alignment horizontal="left" vertical="center"/>
    </xf>
    <xf numFmtId="0" fontId="66" fillId="0" borderId="32"/>
    <xf numFmtId="49" fontId="35" fillId="0" borderId="26">
      <alignment horizontal="left" vertical="center"/>
    </xf>
    <xf numFmtId="0" fontId="36" fillId="0" borderId="29">
      <alignment horizontal="left" vertical="center" wrapText="1" indent="2"/>
    </xf>
    <xf numFmtId="4" fontId="36" fillId="34" borderId="26"/>
    <xf numFmtId="0" fontId="51" fillId="0" borderId="32"/>
    <xf numFmtId="0" fontId="66" fillId="0" borderId="32"/>
    <xf numFmtId="0" fontId="38" fillId="33" borderId="26">
      <alignment horizontal="right" vertical="center"/>
    </xf>
    <xf numFmtId="0" fontId="36" fillId="0" borderId="29">
      <alignment horizontal="left" vertical="center" wrapText="1" indent="2"/>
    </xf>
    <xf numFmtId="49" fontId="36" fillId="0" borderId="27">
      <alignment horizontal="left" vertical="center" indent="5"/>
    </xf>
    <xf numFmtId="4" fontId="34" fillId="35" borderId="28">
      <alignment horizontal="right" vertical="center"/>
    </xf>
    <xf numFmtId="0" fontId="51" fillId="0" borderId="32"/>
    <xf numFmtId="0" fontId="50" fillId="44" borderId="31"/>
    <xf numFmtId="0" fontId="63" fillId="57" borderId="30"/>
    <xf numFmtId="0" fontId="66" fillId="0" borderId="32"/>
    <xf numFmtId="0" fontId="34" fillId="35" borderId="26">
      <alignment horizontal="right" vertical="center"/>
    </xf>
    <xf numFmtId="0" fontId="59" fillId="44" borderId="31"/>
    <xf numFmtId="175" fontId="36" fillId="61" borderId="26">
      <alignment horizontal="right" vertical="center"/>
    </xf>
    <xf numFmtId="0" fontId="42" fillId="60" borderId="25"/>
    <xf numFmtId="0" fontId="59" fillId="44" borderId="31"/>
    <xf numFmtId="0" fontId="36" fillId="34" borderId="26"/>
    <xf numFmtId="0" fontId="48" fillId="57" borderId="31"/>
    <xf numFmtId="0" fontId="36" fillId="0" borderId="29">
      <alignment horizontal="left" vertical="center" wrapText="1" indent="2"/>
    </xf>
    <xf numFmtId="0" fontId="59" fillId="44" borderId="31"/>
    <xf numFmtId="0" fontId="45" fillId="57" borderId="30"/>
    <xf numFmtId="0" fontId="48" fillId="57" borderId="31"/>
    <xf numFmtId="0" fontId="36" fillId="35" borderId="29">
      <alignment horizontal="left" vertical="center" wrapText="1" indent="2"/>
    </xf>
    <xf numFmtId="0" fontId="48" fillId="57" borderId="31"/>
    <xf numFmtId="4" fontId="34" fillId="35" borderId="28">
      <alignment horizontal="right" vertical="center"/>
    </xf>
    <xf numFmtId="0" fontId="36" fillId="35" borderId="29">
      <alignment horizontal="left" vertical="center" wrapText="1" indent="2"/>
    </xf>
    <xf numFmtId="0" fontId="36" fillId="34" borderId="26"/>
    <xf numFmtId="0" fontId="36" fillId="0" borderId="29">
      <alignment horizontal="left" vertical="center" wrapText="1" indent="2"/>
    </xf>
    <xf numFmtId="4" fontId="34" fillId="33" borderId="26">
      <alignment horizontal="right" vertical="center"/>
    </xf>
    <xf numFmtId="4" fontId="38" fillId="33" borderId="26">
      <alignment horizontal="right" vertical="center"/>
    </xf>
    <xf numFmtId="0" fontId="34" fillId="35" borderId="27">
      <alignment horizontal="right" vertical="center"/>
    </xf>
    <xf numFmtId="4" fontId="34" fillId="35" borderId="26">
      <alignment horizontal="right" vertical="center"/>
    </xf>
    <xf numFmtId="0" fontId="5" fillId="60" borderId="25"/>
    <xf numFmtId="4" fontId="34" fillId="35" borderId="26">
      <alignment horizontal="right" vertical="center"/>
    </xf>
    <xf numFmtId="49" fontId="36" fillId="0" borderId="26">
      <alignment horizontal="left" vertical="center" indent="2"/>
    </xf>
    <xf numFmtId="0" fontId="66" fillId="0" borderId="32"/>
    <xf numFmtId="4" fontId="34" fillId="35" borderId="27">
      <alignment horizontal="right" vertical="center"/>
    </xf>
    <xf numFmtId="0" fontId="63" fillId="57" borderId="30"/>
    <xf numFmtId="0" fontId="59" fillId="44" borderId="31"/>
    <xf numFmtId="0" fontId="51" fillId="0" borderId="32"/>
    <xf numFmtId="0" fontId="59" fillId="44" borderId="31"/>
    <xf numFmtId="0" fontId="47" fillId="57" borderId="31"/>
    <xf numFmtId="0" fontId="48" fillId="57" borderId="31"/>
    <xf numFmtId="0" fontId="66" fillId="0" borderId="32"/>
    <xf numFmtId="0" fontId="36" fillId="0" borderId="29">
      <alignment horizontal="left" vertical="center" wrapText="1" indent="2"/>
    </xf>
    <xf numFmtId="0" fontId="36" fillId="0" borderId="29">
      <alignment horizontal="left" vertical="center" wrapText="1" indent="2"/>
    </xf>
    <xf numFmtId="4" fontId="36" fillId="0" borderId="26">
      <alignment horizontal="right" vertical="center"/>
    </xf>
    <xf numFmtId="0" fontId="34" fillId="35" borderId="27">
      <alignment horizontal="right" vertical="center"/>
    </xf>
    <xf numFmtId="0" fontId="50" fillId="44" borderId="31"/>
    <xf numFmtId="0" fontId="63" fillId="57" borderId="30"/>
    <xf numFmtId="0" fontId="42" fillId="60" borderId="25"/>
    <xf numFmtId="0" fontId="38" fillId="33" borderId="26">
      <alignment horizontal="right" vertical="center"/>
    </xf>
    <xf numFmtId="4" fontId="34" fillId="33" borderId="26">
      <alignment horizontal="right" vertical="center"/>
    </xf>
    <xf numFmtId="49" fontId="35" fillId="0" borderId="26">
      <alignment horizontal="left" vertical="center"/>
    </xf>
    <xf numFmtId="4" fontId="34" fillId="35" borderId="27">
      <alignment horizontal="right" vertical="center"/>
    </xf>
    <xf numFmtId="0" fontId="66" fillId="0" borderId="32"/>
    <xf numFmtId="0" fontId="5" fillId="60" borderId="25"/>
    <xf numFmtId="0" fontId="66" fillId="0" borderId="32"/>
    <xf numFmtId="0" fontId="59" fillId="44" borderId="31"/>
    <xf numFmtId="0" fontId="34" fillId="33" borderId="26">
      <alignment horizontal="right" vertical="center"/>
    </xf>
    <xf numFmtId="49" fontId="36" fillId="0" borderId="26">
      <alignment horizontal="left" vertical="center" indent="2"/>
    </xf>
    <xf numFmtId="0" fontId="45" fillId="57" borderId="30"/>
    <xf numFmtId="0" fontId="66" fillId="0" borderId="32"/>
    <xf numFmtId="4" fontId="36" fillId="34" borderId="26"/>
    <xf numFmtId="0" fontId="59" fillId="44" borderId="31"/>
    <xf numFmtId="0" fontId="66" fillId="0" borderId="32"/>
    <xf numFmtId="4" fontId="36" fillId="0" borderId="26">
      <alignment horizontal="right" vertical="center"/>
    </xf>
    <xf numFmtId="0" fontId="66" fillId="0" borderId="32"/>
    <xf numFmtId="0" fontId="66" fillId="0" borderId="32"/>
    <xf numFmtId="49" fontId="35" fillId="0" borderId="26">
      <alignment horizontal="left" vertical="center"/>
    </xf>
    <xf numFmtId="0" fontId="36" fillId="0" borderId="26"/>
    <xf numFmtId="0" fontId="59" fillId="44" borderId="31"/>
    <xf numFmtId="0" fontId="50" fillId="44" borderId="31"/>
    <xf numFmtId="0" fontId="50" fillId="44" borderId="31"/>
    <xf numFmtId="0" fontId="5" fillId="60" borderId="25"/>
    <xf numFmtId="0" fontId="59" fillId="44" borderId="31"/>
    <xf numFmtId="0" fontId="5" fillId="60" borderId="25"/>
    <xf numFmtId="4" fontId="34" fillId="33" borderId="26">
      <alignment horizontal="right" vertical="center"/>
    </xf>
    <xf numFmtId="0" fontId="36" fillId="0" borderId="26">
      <alignment horizontal="right" vertical="center"/>
    </xf>
    <xf numFmtId="0" fontId="59" fillId="44" borderId="31"/>
    <xf numFmtId="0" fontId="48" fillId="57" borderId="31"/>
    <xf numFmtId="0" fontId="48" fillId="57" borderId="31"/>
    <xf numFmtId="0" fontId="36" fillId="35" borderId="29">
      <alignment horizontal="left" vertical="center" wrapText="1" indent="2"/>
    </xf>
    <xf numFmtId="0" fontId="42" fillId="60" borderId="25"/>
    <xf numFmtId="0" fontId="45" fillId="57" borderId="30"/>
    <xf numFmtId="0" fontId="59" fillId="44" borderId="31"/>
    <xf numFmtId="0" fontId="50" fillId="44" borderId="31"/>
    <xf numFmtId="0" fontId="38" fillId="33" borderId="26">
      <alignment horizontal="right" vertical="center"/>
    </xf>
    <xf numFmtId="0" fontId="34" fillId="35" borderId="26">
      <alignment horizontal="right" vertical="center"/>
    </xf>
    <xf numFmtId="0" fontId="5" fillId="60" borderId="25"/>
    <xf numFmtId="175" fontId="36" fillId="61" borderId="26">
      <alignment horizontal="right" vertical="center"/>
    </xf>
    <xf numFmtId="0" fontId="47" fillId="57" borderId="31"/>
    <xf numFmtId="0" fontId="51" fillId="0" borderId="32"/>
    <xf numFmtId="0" fontId="50" fillId="44" borderId="31"/>
    <xf numFmtId="0" fontId="34" fillId="33" borderId="26">
      <alignment horizontal="right" vertical="center"/>
    </xf>
    <xf numFmtId="0" fontId="36" fillId="35" borderId="29">
      <alignment horizontal="left" vertical="center" wrapText="1" indent="2"/>
    </xf>
    <xf numFmtId="0" fontId="63" fillId="57" borderId="30"/>
    <xf numFmtId="0" fontId="34" fillId="35" borderId="26">
      <alignment horizontal="right" vertical="center"/>
    </xf>
    <xf numFmtId="0" fontId="5" fillId="60" borderId="25"/>
    <xf numFmtId="0" fontId="34" fillId="35" borderId="26">
      <alignment horizontal="right" vertical="center"/>
    </xf>
    <xf numFmtId="49" fontId="35" fillId="0" borderId="26">
      <alignment horizontal="left" vertical="center"/>
    </xf>
    <xf numFmtId="0" fontId="45" fillId="57" borderId="30"/>
    <xf numFmtId="4" fontId="38" fillId="33" borderId="26">
      <alignment horizontal="right" vertical="center"/>
    </xf>
    <xf numFmtId="0" fontId="36" fillId="34" borderId="26"/>
    <xf numFmtId="0" fontId="59" fillId="44" borderId="31"/>
    <xf numFmtId="0" fontId="34" fillId="35" borderId="28">
      <alignment horizontal="right" vertical="center"/>
    </xf>
    <xf numFmtId="0" fontId="66" fillId="0" borderId="32"/>
    <xf numFmtId="49" fontId="36" fillId="0" borderId="27">
      <alignment horizontal="left" vertical="center" indent="5"/>
    </xf>
    <xf numFmtId="49" fontId="35" fillId="0" borderId="26">
      <alignment horizontal="left" vertical="center"/>
    </xf>
    <xf numFmtId="0" fontId="48" fillId="57" borderId="31"/>
    <xf numFmtId="175" fontId="36" fillId="61" borderId="26">
      <alignment horizontal="right" vertical="center"/>
    </xf>
    <xf numFmtId="0" fontId="63" fillId="57" borderId="30"/>
    <xf numFmtId="0" fontId="34" fillId="35" borderId="26">
      <alignment horizontal="right" vertical="center"/>
    </xf>
    <xf numFmtId="175" fontId="36" fillId="61" borderId="26">
      <alignment horizontal="right" vertical="center"/>
    </xf>
    <xf numFmtId="4" fontId="38" fillId="33" borderId="26">
      <alignment horizontal="right" vertical="center"/>
    </xf>
    <xf numFmtId="4" fontId="36" fillId="0" borderId="26">
      <alignment horizontal="right" vertical="center"/>
    </xf>
    <xf numFmtId="0" fontId="48" fillId="57" borderId="31"/>
    <xf numFmtId="0" fontId="36" fillId="0" borderId="26"/>
    <xf numFmtId="0" fontId="36" fillId="0" borderId="26">
      <alignment horizontal="right" vertical="center"/>
    </xf>
    <xf numFmtId="0" fontId="34" fillId="35" borderId="26">
      <alignment horizontal="right" vertical="center"/>
    </xf>
    <xf numFmtId="4" fontId="34" fillId="35" borderId="28">
      <alignment horizontal="right" vertical="center"/>
    </xf>
    <xf numFmtId="4" fontId="36" fillId="0" borderId="26">
      <alignment horizontal="right" vertical="center"/>
    </xf>
    <xf numFmtId="0" fontId="36" fillId="34" borderId="26"/>
    <xf numFmtId="0" fontId="66" fillId="0" borderId="32"/>
    <xf numFmtId="4" fontId="34" fillId="35" borderId="26">
      <alignment horizontal="right" vertical="center"/>
    </xf>
    <xf numFmtId="4" fontId="38" fillId="33" borderId="26">
      <alignment horizontal="right" vertical="center"/>
    </xf>
    <xf numFmtId="0" fontId="36" fillId="0" borderId="29">
      <alignment horizontal="left" vertical="center" wrapText="1" indent="2"/>
    </xf>
    <xf numFmtId="0" fontId="47" fillId="57" borderId="31"/>
    <xf numFmtId="0" fontId="47" fillId="57" borderId="31"/>
    <xf numFmtId="0" fontId="34" fillId="33" borderId="26">
      <alignment horizontal="right" vertical="center"/>
    </xf>
    <xf numFmtId="0" fontId="48" fillId="57" borderId="31"/>
    <xf numFmtId="0" fontId="45" fillId="57" borderId="30"/>
    <xf numFmtId="0" fontId="66" fillId="0" borderId="32"/>
    <xf numFmtId="0" fontId="5" fillId="60" borderId="25"/>
    <xf numFmtId="0" fontId="34" fillId="35" borderId="27">
      <alignment horizontal="right" vertical="center"/>
    </xf>
    <xf numFmtId="0" fontId="59" fillId="44" borderId="31"/>
    <xf numFmtId="0" fontId="47" fillId="57" borderId="31"/>
    <xf numFmtId="0" fontId="47" fillId="57" borderId="31"/>
    <xf numFmtId="4" fontId="34" fillId="35" borderId="26">
      <alignment horizontal="right" vertical="center"/>
    </xf>
    <xf numFmtId="4" fontId="38" fillId="33" borderId="26">
      <alignment horizontal="right" vertical="center"/>
    </xf>
    <xf numFmtId="0" fontId="59" fillId="44" borderId="31"/>
    <xf numFmtId="0" fontId="38" fillId="33" borderId="26">
      <alignment horizontal="right" vertical="center"/>
    </xf>
    <xf numFmtId="0" fontId="36" fillId="33" borderId="27">
      <alignment horizontal="left" vertical="center"/>
    </xf>
    <xf numFmtId="49" fontId="36" fillId="0" borderId="26">
      <alignment horizontal="left" vertical="center" indent="2"/>
    </xf>
    <xf numFmtId="175" fontId="36" fillId="61" borderId="26">
      <alignment horizontal="right" vertical="center"/>
    </xf>
    <xf numFmtId="0" fontId="36" fillId="34" borderId="26"/>
    <xf numFmtId="0" fontId="34" fillId="35" borderId="28">
      <alignment horizontal="right" vertical="center"/>
    </xf>
    <xf numFmtId="0" fontId="50" fillId="44" borderId="31"/>
    <xf numFmtId="0" fontId="38" fillId="33" borderId="26">
      <alignment horizontal="right" vertical="center"/>
    </xf>
    <xf numFmtId="4" fontId="36" fillId="34" borderId="26"/>
    <xf numFmtId="49" fontId="36" fillId="0" borderId="26">
      <alignment horizontal="left" vertical="center" indent="2"/>
    </xf>
    <xf numFmtId="49" fontId="36" fillId="0" borderId="26">
      <alignment horizontal="left" vertical="center" indent="2"/>
    </xf>
    <xf numFmtId="0" fontId="47" fillId="57" borderId="31"/>
    <xf numFmtId="4" fontId="34" fillId="35" borderId="27">
      <alignment horizontal="right" vertical="center"/>
    </xf>
    <xf numFmtId="0" fontId="36" fillId="34" borderId="26"/>
    <xf numFmtId="0" fontId="36" fillId="0" borderId="26"/>
    <xf numFmtId="0" fontId="36" fillId="0" borderId="26">
      <alignment horizontal="right" vertical="center"/>
    </xf>
    <xf numFmtId="0" fontId="51" fillId="0" borderId="32"/>
    <xf numFmtId="49" fontId="36" fillId="0" borderId="27">
      <alignment horizontal="left" vertical="center" indent="5"/>
    </xf>
    <xf numFmtId="0" fontId="48" fillId="57" borderId="31"/>
    <xf numFmtId="4" fontId="34" fillId="33" borderId="26">
      <alignment horizontal="right" vertical="center"/>
    </xf>
    <xf numFmtId="4" fontId="34" fillId="35" borderId="27">
      <alignment horizontal="right" vertical="center"/>
    </xf>
    <xf numFmtId="0" fontId="36" fillId="35" borderId="29">
      <alignment horizontal="left" vertical="center" wrapText="1" indent="2"/>
    </xf>
    <xf numFmtId="49" fontId="35" fillId="0" borderId="26">
      <alignment horizontal="left" vertical="center"/>
    </xf>
    <xf numFmtId="4" fontId="34" fillId="35" borderId="27">
      <alignment horizontal="right" vertical="center"/>
    </xf>
    <xf numFmtId="0" fontId="66" fillId="0" borderId="32"/>
    <xf numFmtId="0" fontId="34" fillId="35" borderId="26">
      <alignment horizontal="right" vertical="center"/>
    </xf>
    <xf numFmtId="0" fontId="59" fillId="44" borderId="31"/>
    <xf numFmtId="0" fontId="47" fillId="57" borderId="31"/>
    <xf numFmtId="0" fontId="5" fillId="60" borderId="25"/>
    <xf numFmtId="0" fontId="48" fillId="57" borderId="31"/>
    <xf numFmtId="0" fontId="42" fillId="60" borderId="25"/>
    <xf numFmtId="0" fontId="34" fillId="35" borderId="27">
      <alignment horizontal="right" vertical="center"/>
    </xf>
    <xf numFmtId="0" fontId="34" fillId="35" borderId="26">
      <alignment horizontal="right" vertical="center"/>
    </xf>
    <xf numFmtId="4" fontId="34" fillId="35" borderId="26">
      <alignment horizontal="right" vertical="center"/>
    </xf>
    <xf numFmtId="0" fontId="36" fillId="33" borderId="27">
      <alignment horizontal="left" vertical="center"/>
    </xf>
    <xf numFmtId="0" fontId="63" fillId="57" borderId="30"/>
    <xf numFmtId="0" fontId="34" fillId="35" borderId="27">
      <alignment horizontal="right" vertical="center"/>
    </xf>
    <xf numFmtId="0" fontId="36" fillId="0" borderId="29">
      <alignment horizontal="left" vertical="center" wrapText="1" indent="2"/>
    </xf>
    <xf numFmtId="49" fontId="36" fillId="0" borderId="26">
      <alignment horizontal="left" vertical="center" indent="2"/>
    </xf>
    <xf numFmtId="0" fontId="36" fillId="33" borderId="27">
      <alignment horizontal="left" vertical="center"/>
    </xf>
    <xf numFmtId="0" fontId="34" fillId="33" borderId="26">
      <alignment horizontal="right" vertical="center"/>
    </xf>
    <xf numFmtId="0" fontId="36" fillId="0" borderId="26">
      <alignment horizontal="right" vertical="center"/>
    </xf>
    <xf numFmtId="4" fontId="34" fillId="35" borderId="28">
      <alignment horizontal="right" vertical="center"/>
    </xf>
    <xf numFmtId="49" fontId="35" fillId="0" borderId="26">
      <alignment horizontal="left" vertical="center"/>
    </xf>
    <xf numFmtId="0" fontId="36" fillId="0" borderId="29">
      <alignment horizontal="left" vertical="center" wrapText="1" indent="2"/>
    </xf>
    <xf numFmtId="49" fontId="35" fillId="0" borderId="26">
      <alignment horizontal="left" vertical="center"/>
    </xf>
    <xf numFmtId="0" fontId="36" fillId="33" borderId="27">
      <alignment horizontal="left" vertical="center"/>
    </xf>
    <xf numFmtId="0" fontId="42" fillId="60" borderId="25"/>
    <xf numFmtId="0" fontId="36" fillId="35" borderId="29">
      <alignment horizontal="left" vertical="center" wrapText="1" indent="2"/>
    </xf>
    <xf numFmtId="0" fontId="36" fillId="0" borderId="26"/>
    <xf numFmtId="0" fontId="51" fillId="0" borderId="32"/>
    <xf numFmtId="0" fontId="59" fillId="44" borderId="31"/>
    <xf numFmtId="4" fontId="36" fillId="0" borderId="26">
      <alignment horizontal="right" vertical="center"/>
    </xf>
    <xf numFmtId="4" fontId="36" fillId="0" borderId="26">
      <alignment horizontal="right" vertical="center"/>
    </xf>
    <xf numFmtId="0" fontId="34" fillId="35" borderId="26">
      <alignment horizontal="right" vertical="center"/>
    </xf>
    <xf numFmtId="0" fontId="36" fillId="0" borderId="26">
      <alignment horizontal="right" vertical="center"/>
    </xf>
    <xf numFmtId="0" fontId="34" fillId="35" borderId="28">
      <alignment horizontal="right" vertical="center"/>
    </xf>
    <xf numFmtId="0" fontId="36" fillId="0" borderId="29">
      <alignment horizontal="left" vertical="center" wrapText="1" indent="2"/>
    </xf>
    <xf numFmtId="49" fontId="36" fillId="0" borderId="27">
      <alignment horizontal="left" vertical="center" indent="5"/>
    </xf>
    <xf numFmtId="0" fontId="36" fillId="35" borderId="29">
      <alignment horizontal="left" vertical="center" wrapText="1" indent="2"/>
    </xf>
    <xf numFmtId="4" fontId="38" fillId="33" borderId="26">
      <alignment horizontal="right" vertical="center"/>
    </xf>
    <xf numFmtId="0" fontId="66" fillId="0" borderId="32"/>
    <xf numFmtId="0" fontId="36" fillId="33" borderId="27">
      <alignment horizontal="left" vertical="center"/>
    </xf>
    <xf numFmtId="0" fontId="36" fillId="0" borderId="29">
      <alignment horizontal="left" vertical="center" wrapText="1" indent="2"/>
    </xf>
    <xf numFmtId="0" fontId="59" fillId="44" borderId="31"/>
    <xf numFmtId="0" fontId="38" fillId="33" borderId="26">
      <alignment horizontal="right" vertical="center"/>
    </xf>
    <xf numFmtId="0" fontId="63" fillId="57" borderId="30"/>
    <xf numFmtId="0" fontId="48" fillId="57" borderId="31"/>
    <xf numFmtId="0" fontId="59" fillId="44" borderId="31"/>
    <xf numFmtId="0" fontId="34" fillId="33" borderId="26">
      <alignment horizontal="right" vertical="center"/>
    </xf>
    <xf numFmtId="0" fontId="51" fillId="0" borderId="32"/>
    <xf numFmtId="0" fontId="36" fillId="0" borderId="26"/>
    <xf numFmtId="0" fontId="51" fillId="0" borderId="32"/>
    <xf numFmtId="4" fontId="36" fillId="0" borderId="26">
      <alignment horizontal="right" vertical="center"/>
    </xf>
    <xf numFmtId="49" fontId="36" fillId="0" borderId="27">
      <alignment horizontal="left" vertical="center" indent="5"/>
    </xf>
    <xf numFmtId="0" fontId="36" fillId="0" borderId="26"/>
    <xf numFmtId="0" fontId="34" fillId="35" borderId="26">
      <alignment horizontal="right" vertical="center"/>
    </xf>
    <xf numFmtId="0" fontId="36" fillId="0" borderId="26"/>
    <xf numFmtId="0" fontId="36" fillId="34" borderId="26"/>
    <xf numFmtId="4" fontId="34" fillId="35" borderId="26">
      <alignment horizontal="right" vertical="center"/>
    </xf>
    <xf numFmtId="0" fontId="63" fillId="57" borderId="30"/>
    <xf numFmtId="0" fontId="48" fillId="57" borderId="31"/>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51" fillId="0" borderId="32"/>
    <xf numFmtId="0" fontId="36" fillId="0" borderId="26">
      <alignment horizontal="right" vertical="center"/>
    </xf>
    <xf numFmtId="0" fontId="36" fillId="0" borderId="29">
      <alignment horizontal="left" vertical="center" wrapText="1" indent="2"/>
    </xf>
    <xf numFmtId="0" fontId="36" fillId="35" borderId="29">
      <alignment horizontal="left" vertical="center" wrapText="1" indent="2"/>
    </xf>
    <xf numFmtId="0" fontId="63" fillId="57" borderId="30"/>
    <xf numFmtId="4" fontId="36" fillId="34" borderId="26"/>
    <xf numFmtId="0" fontId="66" fillId="0" borderId="32"/>
    <xf numFmtId="175" fontId="36" fillId="61" borderId="26">
      <alignment horizontal="right" vertical="center"/>
    </xf>
    <xf numFmtId="0" fontId="36" fillId="0" borderId="26">
      <alignment horizontal="right" vertical="center"/>
    </xf>
    <xf numFmtId="4" fontId="36" fillId="0" borderId="26">
      <alignment horizontal="right" vertical="center"/>
    </xf>
    <xf numFmtId="0" fontId="36" fillId="0" borderId="29">
      <alignment horizontal="left" vertical="center" wrapText="1" indent="2"/>
    </xf>
    <xf numFmtId="4" fontId="34" fillId="35" borderId="26">
      <alignment horizontal="right" vertical="center"/>
    </xf>
    <xf numFmtId="0" fontId="34" fillId="35" borderId="27">
      <alignment horizontal="right" vertical="center"/>
    </xf>
    <xf numFmtId="4" fontId="34" fillId="35" borderId="27">
      <alignment horizontal="right" vertical="center"/>
    </xf>
    <xf numFmtId="0" fontId="34" fillId="35" borderId="26">
      <alignment horizontal="right" vertical="center"/>
    </xf>
    <xf numFmtId="4" fontId="34" fillId="33" borderId="26">
      <alignment horizontal="right" vertical="center"/>
    </xf>
    <xf numFmtId="0" fontId="38" fillId="33" borderId="26">
      <alignment horizontal="right" vertical="center"/>
    </xf>
    <xf numFmtId="0" fontId="36" fillId="0" borderId="29">
      <alignment horizontal="left" vertical="center" wrapText="1" indent="2"/>
    </xf>
    <xf numFmtId="4" fontId="34" fillId="35" borderId="26">
      <alignment horizontal="right" vertical="center"/>
    </xf>
    <xf numFmtId="0" fontId="66" fillId="0" borderId="32"/>
    <xf numFmtId="0" fontId="63" fillId="57" borderId="30"/>
    <xf numFmtId="0" fontId="47" fillId="57" borderId="31"/>
    <xf numFmtId="0" fontId="36" fillId="33" borderId="27">
      <alignment horizontal="left" vertical="center"/>
    </xf>
    <xf numFmtId="0" fontId="66" fillId="0" borderId="32"/>
    <xf numFmtId="0" fontId="42" fillId="60" borderId="25"/>
    <xf numFmtId="0" fontId="36" fillId="0" borderId="29">
      <alignment horizontal="left" vertical="center" wrapText="1" indent="2"/>
    </xf>
    <xf numFmtId="4" fontId="36" fillId="34" borderId="26"/>
    <xf numFmtId="0" fontId="63" fillId="57" borderId="30"/>
    <xf numFmtId="49" fontId="36" fillId="0" borderId="27">
      <alignment horizontal="left" vertical="center" indent="5"/>
    </xf>
    <xf numFmtId="0" fontId="36" fillId="34" borderId="26"/>
    <xf numFmtId="4" fontId="34" fillId="33" borderId="26">
      <alignment horizontal="right" vertical="center"/>
    </xf>
    <xf numFmtId="0" fontId="45" fillId="57" borderId="30"/>
    <xf numFmtId="0" fontId="42" fillId="60" borderId="25"/>
    <xf numFmtId="0" fontId="66" fillId="0" borderId="32"/>
    <xf numFmtId="0" fontId="42" fillId="60" borderId="25"/>
    <xf numFmtId="0" fontId="34" fillId="35" borderId="26">
      <alignment horizontal="right" vertical="center"/>
    </xf>
    <xf numFmtId="0" fontId="5" fillId="60" borderId="25"/>
    <xf numFmtId="0" fontId="47" fillId="57" borderId="31"/>
    <xf numFmtId="4" fontId="34" fillId="35" borderId="27">
      <alignment horizontal="right" vertical="center"/>
    </xf>
    <xf numFmtId="0" fontId="51" fillId="0" borderId="32"/>
    <xf numFmtId="0" fontId="59" fillId="44" borderId="31"/>
    <xf numFmtId="0" fontId="36" fillId="35" borderId="29">
      <alignment horizontal="left" vertical="center" wrapText="1" indent="2"/>
    </xf>
    <xf numFmtId="4" fontId="38" fillId="33" borderId="26">
      <alignment horizontal="right" vertical="center"/>
    </xf>
    <xf numFmtId="0" fontId="66" fillId="0" borderId="32"/>
    <xf numFmtId="4" fontId="36" fillId="0" borderId="26">
      <alignment horizontal="right" vertical="center"/>
    </xf>
    <xf numFmtId="4" fontId="34" fillId="35" borderId="26">
      <alignment horizontal="right" vertical="center"/>
    </xf>
    <xf numFmtId="4" fontId="38" fillId="33" borderId="26">
      <alignment horizontal="right" vertical="center"/>
    </xf>
    <xf numFmtId="4" fontId="34" fillId="33" borderId="26">
      <alignment horizontal="right" vertical="center"/>
    </xf>
    <xf numFmtId="0" fontId="36" fillId="0" borderId="29">
      <alignment horizontal="left" vertical="center" wrapText="1" indent="2"/>
    </xf>
    <xf numFmtId="0" fontId="63" fillId="57" borderId="30"/>
    <xf numFmtId="0" fontId="36" fillId="0" borderId="26">
      <alignment horizontal="right" vertical="center"/>
    </xf>
    <xf numFmtId="0" fontId="66" fillId="0" borderId="32"/>
    <xf numFmtId="49" fontId="35" fillId="0" borderId="26">
      <alignment horizontal="left" vertical="center"/>
    </xf>
    <xf numFmtId="4" fontId="36" fillId="34" borderId="26"/>
    <xf numFmtId="0" fontId="59" fillId="44" borderId="31"/>
    <xf numFmtId="175" fontId="36" fillId="61" borderId="26">
      <alignment horizontal="right" vertical="center"/>
    </xf>
    <xf numFmtId="0" fontId="48" fillId="57" borderId="31"/>
    <xf numFmtId="0" fontId="34" fillId="35" borderId="28">
      <alignment horizontal="right" vertical="center"/>
    </xf>
    <xf numFmtId="0" fontId="59" fillId="44" borderId="31"/>
    <xf numFmtId="0" fontId="59" fillId="44" borderId="31"/>
    <xf numFmtId="0" fontId="45" fillId="57" borderId="30"/>
    <xf numFmtId="49" fontId="35" fillId="0" borderId="26">
      <alignment horizontal="left" vertical="center"/>
    </xf>
    <xf numFmtId="0" fontId="66" fillId="0" borderId="32"/>
    <xf numFmtId="0" fontId="36" fillId="0" borderId="26">
      <alignment horizontal="right" vertical="center"/>
    </xf>
    <xf numFmtId="0" fontId="34" fillId="35" borderId="27">
      <alignment horizontal="right" vertical="center"/>
    </xf>
    <xf numFmtId="0" fontId="66" fillId="0" borderId="32"/>
    <xf numFmtId="4" fontId="36" fillId="0" borderId="26">
      <alignment horizontal="right" vertical="center"/>
    </xf>
    <xf numFmtId="0" fontId="42" fillId="60" borderId="25"/>
    <xf numFmtId="175" fontId="36" fillId="61" borderId="26">
      <alignment horizontal="right" vertical="center"/>
    </xf>
    <xf numFmtId="4" fontId="36" fillId="0" borderId="26">
      <alignment horizontal="right" vertical="center"/>
    </xf>
    <xf numFmtId="0" fontId="66" fillId="0" borderId="32"/>
    <xf numFmtId="0" fontId="36" fillId="0" borderId="29">
      <alignment horizontal="left" vertical="center" wrapText="1" indent="2"/>
    </xf>
    <xf numFmtId="0" fontId="66" fillId="0" borderId="32"/>
    <xf numFmtId="0" fontId="45" fillId="57" borderId="30"/>
    <xf numFmtId="0" fontId="34" fillId="35" borderId="26">
      <alignment horizontal="right" vertical="center"/>
    </xf>
    <xf numFmtId="0" fontId="47" fillId="57" borderId="31"/>
    <xf numFmtId="4" fontId="34" fillId="35" borderId="28">
      <alignment horizontal="right" vertical="center"/>
    </xf>
    <xf numFmtId="0" fontId="38" fillId="33" borderId="26">
      <alignment horizontal="right" vertical="center"/>
    </xf>
    <xf numFmtId="0" fontId="36" fillId="33" borderId="27">
      <alignment horizontal="left" vertical="center"/>
    </xf>
    <xf numFmtId="0" fontId="36" fillId="0" borderId="26"/>
    <xf numFmtId="0" fontId="34" fillId="33" borderId="26">
      <alignment horizontal="right" vertical="center"/>
    </xf>
    <xf numFmtId="0" fontId="38" fillId="33" borderId="26">
      <alignment horizontal="right" vertical="center"/>
    </xf>
    <xf numFmtId="0" fontId="48" fillId="57" borderId="31"/>
    <xf numFmtId="0" fontId="51" fillId="0" borderId="32"/>
    <xf numFmtId="0" fontId="36" fillId="0" borderId="26">
      <alignment horizontal="right" vertical="center"/>
    </xf>
    <xf numFmtId="0" fontId="5" fillId="60" borderId="25"/>
    <xf numFmtId="0" fontId="36" fillId="0" borderId="26">
      <alignment horizontal="right" vertical="center"/>
    </xf>
    <xf numFmtId="0" fontId="59" fillId="44" borderId="31"/>
    <xf numFmtId="49" fontId="36" fillId="0" borderId="27">
      <alignment horizontal="left" vertical="center" indent="5"/>
    </xf>
    <xf numFmtId="0" fontId="50" fillId="44" borderId="31"/>
    <xf numFmtId="0" fontId="36" fillId="0" borderId="26"/>
    <xf numFmtId="0" fontId="51" fillId="0" borderId="32"/>
    <xf numFmtId="0" fontId="63" fillId="57" borderId="30"/>
    <xf numFmtId="4" fontId="34" fillId="35" borderId="26">
      <alignment horizontal="right" vertical="center"/>
    </xf>
    <xf numFmtId="4" fontId="36" fillId="34" borderId="26"/>
    <xf numFmtId="0" fontId="66" fillId="0" borderId="32"/>
    <xf numFmtId="0" fontId="34" fillId="35" borderId="26">
      <alignment horizontal="right" vertical="center"/>
    </xf>
    <xf numFmtId="0" fontId="45" fillId="57" borderId="30"/>
    <xf numFmtId="0" fontId="47" fillId="57" borderId="31"/>
    <xf numFmtId="0" fontId="48" fillId="57" borderId="31"/>
    <xf numFmtId="0" fontId="63" fillId="57" borderId="30"/>
    <xf numFmtId="0" fontId="34" fillId="35" borderId="28">
      <alignment horizontal="right" vertical="center"/>
    </xf>
    <xf numFmtId="0" fontId="36" fillId="0" borderId="26"/>
    <xf numFmtId="49" fontId="36" fillId="0" borderId="27">
      <alignment horizontal="left" vertical="center" indent="5"/>
    </xf>
    <xf numFmtId="0" fontId="66" fillId="0" borderId="32"/>
    <xf numFmtId="0" fontId="36" fillId="0" borderId="26"/>
    <xf numFmtId="0" fontId="34" fillId="33" borderId="26">
      <alignment horizontal="right" vertical="center"/>
    </xf>
    <xf numFmtId="4" fontId="34" fillId="35" borderId="27">
      <alignment horizontal="right" vertical="center"/>
    </xf>
    <xf numFmtId="4" fontId="36" fillId="34" borderId="26"/>
    <xf numFmtId="4" fontId="36" fillId="34" borderId="26"/>
    <xf numFmtId="0" fontId="42" fillId="60" borderId="25"/>
    <xf numFmtId="4" fontId="36" fillId="0" borderId="26">
      <alignment horizontal="right" vertical="center"/>
    </xf>
    <xf numFmtId="0" fontId="51" fillId="0" borderId="32"/>
    <xf numFmtId="0" fontId="36" fillId="35" borderId="29">
      <alignment horizontal="left" vertical="center" wrapText="1" indent="2"/>
    </xf>
    <xf numFmtId="0" fontId="51" fillId="0" borderId="32"/>
    <xf numFmtId="0" fontId="36" fillId="0" borderId="29">
      <alignment horizontal="left" vertical="center" wrapText="1" indent="2"/>
    </xf>
    <xf numFmtId="0" fontId="34" fillId="35" borderId="26">
      <alignment horizontal="right" vertical="center"/>
    </xf>
    <xf numFmtId="0" fontId="36" fillId="0" borderId="29">
      <alignment horizontal="left" vertical="center" wrapText="1" indent="2"/>
    </xf>
    <xf numFmtId="0" fontId="47" fillId="57" borderId="31"/>
    <xf numFmtId="4" fontId="34" fillId="33" borderId="26">
      <alignment horizontal="right" vertical="center"/>
    </xf>
    <xf numFmtId="4" fontId="34" fillId="35" borderId="28">
      <alignment horizontal="right" vertical="center"/>
    </xf>
    <xf numFmtId="0" fontId="63" fillId="57" borderId="30"/>
    <xf numFmtId="49" fontId="36" fillId="0" borderId="27">
      <alignment horizontal="left" vertical="center" indent="5"/>
    </xf>
    <xf numFmtId="4" fontId="36" fillId="0" borderId="26">
      <alignment horizontal="right" vertical="center"/>
    </xf>
    <xf numFmtId="4" fontId="34" fillId="35" borderId="26">
      <alignment horizontal="right" vertical="center"/>
    </xf>
    <xf numFmtId="0" fontId="51" fillId="0" borderId="32"/>
    <xf numFmtId="4" fontId="34" fillId="35" borderId="28">
      <alignment horizontal="right" vertical="center"/>
    </xf>
    <xf numFmtId="4" fontId="34" fillId="35" borderId="26">
      <alignment horizontal="right" vertical="center"/>
    </xf>
    <xf numFmtId="4" fontId="34" fillId="35" borderId="26">
      <alignment horizontal="right" vertical="center"/>
    </xf>
    <xf numFmtId="0" fontId="66" fillId="0" borderId="32"/>
    <xf numFmtId="0" fontId="48" fillId="57" borderId="31"/>
    <xf numFmtId="0" fontId="50" fillId="44" borderId="31"/>
    <xf numFmtId="49" fontId="35" fillId="0" borderId="26">
      <alignment horizontal="left" vertical="center"/>
    </xf>
    <xf numFmtId="0" fontId="5" fillId="60" borderId="25"/>
    <xf numFmtId="0" fontId="36" fillId="35" borderId="29">
      <alignment horizontal="left" vertical="center" wrapText="1" indent="2"/>
    </xf>
    <xf numFmtId="4" fontId="34" fillId="35" borderId="26">
      <alignment horizontal="right" vertical="center"/>
    </xf>
    <xf numFmtId="0" fontId="38" fillId="33" borderId="26">
      <alignment horizontal="right" vertical="center"/>
    </xf>
    <xf numFmtId="49" fontId="36" fillId="0" borderId="26">
      <alignment horizontal="left" vertical="center" indent="2"/>
    </xf>
    <xf numFmtId="0" fontId="66" fillId="0" borderId="32"/>
    <xf numFmtId="4" fontId="36" fillId="0" borderId="26">
      <alignment horizontal="right" vertical="center"/>
    </xf>
    <xf numFmtId="0" fontId="59" fillId="44" borderId="31"/>
    <xf numFmtId="49" fontId="35" fillId="0" borderId="26">
      <alignment horizontal="left" vertical="center"/>
    </xf>
    <xf numFmtId="49" fontId="36" fillId="0" borderId="26">
      <alignment horizontal="left" vertical="center" indent="2"/>
    </xf>
    <xf numFmtId="4" fontId="36" fillId="0" borderId="26">
      <alignment horizontal="right" vertical="center"/>
    </xf>
    <xf numFmtId="175" fontId="36" fillId="61" borderId="26">
      <alignment horizontal="right" vertical="center"/>
    </xf>
    <xf numFmtId="0" fontId="36" fillId="0" borderId="29">
      <alignment horizontal="left" vertical="center" wrapText="1" indent="2"/>
    </xf>
    <xf numFmtId="0" fontId="59" fillId="44" borderId="31"/>
    <xf numFmtId="0" fontId="38" fillId="33" borderId="26">
      <alignment horizontal="right" vertical="center"/>
    </xf>
    <xf numFmtId="0" fontId="50" fillId="44" borderId="31"/>
    <xf numFmtId="4" fontId="34" fillId="35" borderId="26">
      <alignment horizontal="right" vertical="center"/>
    </xf>
    <xf numFmtId="0" fontId="36" fillId="33" borderId="27">
      <alignment horizontal="left" vertical="center"/>
    </xf>
    <xf numFmtId="0" fontId="66" fillId="0" borderId="32"/>
    <xf numFmtId="0" fontId="42" fillId="60" borderId="25"/>
    <xf numFmtId="0" fontId="51" fillId="0" borderId="32"/>
    <xf numFmtId="0" fontId="59" fillId="44" borderId="31"/>
    <xf numFmtId="0" fontId="59" fillId="44" borderId="31"/>
    <xf numFmtId="4" fontId="34" fillId="33" borderId="26">
      <alignment horizontal="right" vertical="center"/>
    </xf>
    <xf numFmtId="175" fontId="36" fillId="61" borderId="26">
      <alignment horizontal="right" vertical="center"/>
    </xf>
    <xf numFmtId="0" fontId="47" fillId="57" borderId="31"/>
    <xf numFmtId="0" fontId="34" fillId="35" borderId="26">
      <alignment horizontal="right" vertical="center"/>
    </xf>
    <xf numFmtId="0" fontId="36" fillId="35" borderId="29">
      <alignment horizontal="left" vertical="center" wrapText="1" indent="2"/>
    </xf>
    <xf numFmtId="175" fontId="36" fillId="61" borderId="26">
      <alignment horizontal="right" vertical="center"/>
    </xf>
    <xf numFmtId="0" fontId="42" fillId="60" borderId="25"/>
    <xf numFmtId="49" fontId="36" fillId="0" borderId="26">
      <alignment horizontal="left" vertical="center" indent="2"/>
    </xf>
    <xf numFmtId="4" fontId="36" fillId="34" borderId="26"/>
    <xf numFmtId="49" fontId="35" fillId="0" borderId="26">
      <alignment horizontal="left" vertical="center"/>
    </xf>
    <xf numFmtId="175" fontId="36" fillId="61" borderId="26">
      <alignment horizontal="right" vertical="center"/>
    </xf>
    <xf numFmtId="0" fontId="63" fillId="57" borderId="30"/>
    <xf numFmtId="0" fontId="36" fillId="0" borderId="26">
      <alignment horizontal="right" vertical="center"/>
    </xf>
    <xf numFmtId="0" fontId="36" fillId="34" borderId="26"/>
    <xf numFmtId="4" fontId="34" fillId="35" borderId="26">
      <alignment horizontal="right" vertical="center"/>
    </xf>
    <xf numFmtId="0" fontId="36" fillId="34" borderId="26"/>
    <xf numFmtId="0" fontId="59" fillId="44" borderId="31"/>
    <xf numFmtId="0" fontId="36" fillId="35" borderId="29">
      <alignment horizontal="left" vertical="center" wrapText="1" indent="2"/>
    </xf>
    <xf numFmtId="0" fontId="38" fillId="33" borderId="26">
      <alignment horizontal="right" vertical="center"/>
    </xf>
    <xf numFmtId="0" fontId="36" fillId="0" borderId="29">
      <alignment horizontal="left" vertical="center" wrapText="1" indent="2"/>
    </xf>
    <xf numFmtId="0" fontId="34" fillId="33" borderId="26">
      <alignment horizontal="right" vertical="center"/>
    </xf>
    <xf numFmtId="0" fontId="50" fillId="44" borderId="31"/>
    <xf numFmtId="0" fontId="36" fillId="35" borderId="29">
      <alignment horizontal="left" vertical="center" wrapText="1" indent="2"/>
    </xf>
    <xf numFmtId="0" fontId="36" fillId="0" borderId="26"/>
    <xf numFmtId="4" fontId="36" fillId="0" borderId="26">
      <alignment horizontal="right" vertical="center"/>
    </xf>
    <xf numFmtId="0" fontId="34" fillId="35" borderId="26">
      <alignment horizontal="right" vertical="center"/>
    </xf>
    <xf numFmtId="175" fontId="36" fillId="61" borderId="26">
      <alignment horizontal="right" vertical="center"/>
    </xf>
    <xf numFmtId="0" fontId="34" fillId="33" borderId="26">
      <alignment horizontal="right" vertical="center"/>
    </xf>
    <xf numFmtId="0" fontId="66" fillId="0" borderId="32"/>
    <xf numFmtId="0" fontId="47" fillId="57" borderId="31"/>
    <xf numFmtId="0" fontId="38" fillId="33" borderId="26">
      <alignment horizontal="right" vertical="center"/>
    </xf>
    <xf numFmtId="0" fontId="50" fillId="44" borderId="31"/>
    <xf numFmtId="0" fontId="42" fillId="60" borderId="25"/>
    <xf numFmtId="0" fontId="34" fillId="35" borderId="26">
      <alignment horizontal="right" vertical="center"/>
    </xf>
    <xf numFmtId="4" fontId="36" fillId="0" borderId="26">
      <alignment horizontal="right" vertical="center"/>
    </xf>
    <xf numFmtId="0" fontId="36" fillId="35" borderId="29">
      <alignment horizontal="left" vertical="center" wrapText="1" indent="2"/>
    </xf>
    <xf numFmtId="0" fontId="42" fillId="60" borderId="25"/>
    <xf numFmtId="0" fontId="50" fillId="44" borderId="31"/>
    <xf numFmtId="4" fontId="36" fillId="34" borderId="26"/>
    <xf numFmtId="4" fontId="36" fillId="0" borderId="26">
      <alignment horizontal="right" vertical="center"/>
    </xf>
    <xf numFmtId="0" fontId="66" fillId="0" borderId="32"/>
    <xf numFmtId="0" fontId="36" fillId="33" borderId="27">
      <alignment horizontal="left" vertical="center"/>
    </xf>
    <xf numFmtId="0" fontId="36" fillId="0" borderId="29">
      <alignment horizontal="left" vertical="center" wrapText="1" indent="2"/>
    </xf>
    <xf numFmtId="0" fontId="59" fillId="44" borderId="31"/>
    <xf numFmtId="0" fontId="48" fillId="57" borderId="31"/>
    <xf numFmtId="0" fontId="36" fillId="35" borderId="29">
      <alignment horizontal="left" vertical="center" wrapText="1" indent="2"/>
    </xf>
    <xf numFmtId="0" fontId="51" fillId="0" borderId="32"/>
    <xf numFmtId="0" fontId="34" fillId="35" borderId="27">
      <alignment horizontal="right" vertical="center"/>
    </xf>
    <xf numFmtId="0" fontId="5" fillId="60" borderId="25"/>
    <xf numFmtId="0" fontId="42" fillId="60" borderId="25"/>
    <xf numFmtId="0" fontId="59" fillId="44" borderId="31"/>
    <xf numFmtId="49" fontId="36" fillId="0" borderId="26">
      <alignment horizontal="left" vertical="center" indent="2"/>
    </xf>
    <xf numFmtId="4" fontId="36" fillId="34" borderId="26"/>
    <xf numFmtId="0" fontId="48" fillId="57" borderId="31"/>
    <xf numFmtId="0" fontId="59" fillId="44" borderId="31"/>
    <xf numFmtId="4" fontId="34" fillId="35" borderId="26">
      <alignment horizontal="right" vertical="center"/>
    </xf>
    <xf numFmtId="0" fontId="51" fillId="0" borderId="32"/>
    <xf numFmtId="4" fontId="36" fillId="0" borderId="26">
      <alignment horizontal="right" vertical="center"/>
    </xf>
    <xf numFmtId="49" fontId="35" fillId="0" borderId="26">
      <alignment horizontal="left" vertical="center"/>
    </xf>
    <xf numFmtId="0" fontId="66" fillId="0" borderId="32"/>
    <xf numFmtId="4" fontId="34" fillId="35" borderId="28">
      <alignment horizontal="right" vertical="center"/>
    </xf>
    <xf numFmtId="4" fontId="34" fillId="35" borderId="26">
      <alignment horizontal="right" vertical="center"/>
    </xf>
    <xf numFmtId="0" fontId="48" fillId="57" borderId="31"/>
    <xf numFmtId="0" fontId="59" fillId="44" borderId="31"/>
    <xf numFmtId="0" fontId="50" fillId="44" borderId="31"/>
    <xf numFmtId="0" fontId="36" fillId="34" borderId="26"/>
    <xf numFmtId="175" fontId="36" fillId="61" borderId="26">
      <alignment horizontal="right" vertical="center"/>
    </xf>
    <xf numFmtId="0" fontId="36" fillId="35" borderId="29">
      <alignment horizontal="left" vertical="center" wrapText="1" indent="2"/>
    </xf>
    <xf numFmtId="0" fontId="63" fillId="57" borderId="30"/>
    <xf numFmtId="0" fontId="59" fillId="44" borderId="31"/>
    <xf numFmtId="4" fontId="34" fillId="35" borderId="26">
      <alignment horizontal="right" vertical="center"/>
    </xf>
    <xf numFmtId="0" fontId="36" fillId="34" borderId="26"/>
    <xf numFmtId="0" fontId="36" fillId="0" borderId="29">
      <alignment horizontal="left" vertical="center" wrapText="1" indent="2"/>
    </xf>
    <xf numFmtId="0" fontId="34" fillId="35" borderId="27">
      <alignment horizontal="right" vertical="center"/>
    </xf>
    <xf numFmtId="0" fontId="50" fillId="44" borderId="31"/>
    <xf numFmtId="0" fontId="63" fillId="57" borderId="30"/>
    <xf numFmtId="0" fontId="47" fillId="57" borderId="31"/>
    <xf numFmtId="0" fontId="34" fillId="35" borderId="26">
      <alignment horizontal="right" vertical="center"/>
    </xf>
    <xf numFmtId="0" fontId="36" fillId="35" borderId="29">
      <alignment horizontal="left" vertical="center" wrapText="1" indent="2"/>
    </xf>
    <xf numFmtId="4" fontId="34" fillId="33" borderId="26">
      <alignment horizontal="right" vertical="center"/>
    </xf>
    <xf numFmtId="0" fontId="34" fillId="33" borderId="26">
      <alignment horizontal="right" vertical="center"/>
    </xf>
    <xf numFmtId="0" fontId="34" fillId="35" borderId="26">
      <alignment horizontal="right" vertical="center"/>
    </xf>
    <xf numFmtId="4" fontId="38" fillId="33" borderId="26">
      <alignment horizontal="right" vertical="center"/>
    </xf>
    <xf numFmtId="0" fontId="48" fillId="57" borderId="31"/>
    <xf numFmtId="0" fontId="51" fillId="0" borderId="32"/>
    <xf numFmtId="0" fontId="63" fillId="57" borderId="30"/>
    <xf numFmtId="0" fontId="36" fillId="0" borderId="26">
      <alignment horizontal="right" vertical="center"/>
    </xf>
    <xf numFmtId="49" fontId="36" fillId="0" borderId="26">
      <alignment horizontal="left" vertical="center" indent="2"/>
    </xf>
    <xf numFmtId="49" fontId="36" fillId="0" borderId="26">
      <alignment horizontal="left" vertical="center" indent="2"/>
    </xf>
    <xf numFmtId="0" fontId="42" fillId="60" borderId="25"/>
    <xf numFmtId="175" fontId="36" fillId="61" borderId="26">
      <alignment horizontal="right" vertical="center"/>
    </xf>
    <xf numFmtId="0" fontId="59" fillId="44" borderId="31"/>
    <xf numFmtId="0" fontId="34" fillId="35" borderId="26">
      <alignment horizontal="right" vertical="center"/>
    </xf>
    <xf numFmtId="0" fontId="36" fillId="34" borderId="26"/>
    <xf numFmtId="0" fontId="63" fillId="57" borderId="30"/>
    <xf numFmtId="0" fontId="48" fillId="57" borderId="31"/>
    <xf numFmtId="0" fontId="47" fillId="57" borderId="31"/>
    <xf numFmtId="0" fontId="50" fillId="44" borderId="31"/>
    <xf numFmtId="0" fontId="50" fillId="44" borderId="31"/>
    <xf numFmtId="0" fontId="36" fillId="0" borderId="29">
      <alignment horizontal="left" vertical="center" wrapText="1" indent="2"/>
    </xf>
    <xf numFmtId="4" fontId="34" fillId="35" borderId="27">
      <alignment horizontal="right" vertical="center"/>
    </xf>
    <xf numFmtId="4" fontId="36" fillId="0" borderId="26">
      <alignment horizontal="right" vertical="center"/>
    </xf>
    <xf numFmtId="49" fontId="35" fillId="0" borderId="26">
      <alignment horizontal="left" vertical="center"/>
    </xf>
    <xf numFmtId="4" fontId="36" fillId="0" borderId="26">
      <alignment horizontal="right" vertical="center"/>
    </xf>
    <xf numFmtId="0" fontId="63" fillId="57" borderId="30"/>
    <xf numFmtId="0" fontId="47" fillId="57" borderId="31"/>
    <xf numFmtId="0" fontId="59" fillId="44" borderId="31"/>
    <xf numFmtId="0" fontId="66" fillId="0" borderId="32"/>
    <xf numFmtId="0" fontId="66" fillId="0" borderId="32"/>
    <xf numFmtId="0" fontId="36" fillId="0" borderId="29">
      <alignment horizontal="left" vertical="center" wrapText="1" indent="2"/>
    </xf>
    <xf numFmtId="0" fontId="36" fillId="0" borderId="29">
      <alignment horizontal="left" vertical="center" wrapText="1" indent="2"/>
    </xf>
    <xf numFmtId="49" fontId="35" fillId="0" borderId="26">
      <alignment horizontal="left" vertical="center"/>
    </xf>
    <xf numFmtId="0" fontId="34" fillId="35" borderId="26">
      <alignment horizontal="right" vertical="center"/>
    </xf>
    <xf numFmtId="0" fontId="63" fillId="57" borderId="30"/>
    <xf numFmtId="0" fontId="42" fillId="60" borderId="25"/>
    <xf numFmtId="0" fontId="48" fillId="57" borderId="31"/>
    <xf numFmtId="0" fontId="34" fillId="33" borderId="26">
      <alignment horizontal="right" vertical="center"/>
    </xf>
    <xf numFmtId="0" fontId="36" fillId="0" borderId="26"/>
    <xf numFmtId="49" fontId="35" fillId="0" borderId="26">
      <alignment horizontal="left" vertical="center"/>
    </xf>
    <xf numFmtId="0" fontId="36" fillId="0" borderId="26">
      <alignment horizontal="right" vertical="center"/>
    </xf>
    <xf numFmtId="0" fontId="34" fillId="35" borderId="28">
      <alignment horizontal="right" vertical="center"/>
    </xf>
    <xf numFmtId="0" fontId="66" fillId="0" borderId="32"/>
    <xf numFmtId="4" fontId="34" fillId="33" borderId="26">
      <alignment horizontal="right" vertical="center"/>
    </xf>
    <xf numFmtId="0" fontId="48" fillId="57" borderId="31"/>
    <xf numFmtId="0" fontId="34" fillId="35" borderId="28">
      <alignment horizontal="right" vertical="center"/>
    </xf>
    <xf numFmtId="4" fontId="34" fillId="33" borderId="26">
      <alignment horizontal="right" vertical="center"/>
    </xf>
    <xf numFmtId="0" fontId="34" fillId="35" borderId="26">
      <alignment horizontal="right" vertical="center"/>
    </xf>
    <xf numFmtId="0" fontId="48" fillId="57" borderId="31"/>
    <xf numFmtId="0" fontId="59" fillId="44" borderId="31"/>
    <xf numFmtId="4" fontId="36" fillId="0" borderId="26">
      <alignment horizontal="right" vertical="center"/>
    </xf>
    <xf numFmtId="0" fontId="42" fillId="60" borderId="25"/>
    <xf numFmtId="0" fontId="36" fillId="0" borderId="29">
      <alignment horizontal="left" vertical="center" wrapText="1" indent="2"/>
    </xf>
    <xf numFmtId="0" fontId="59" fillId="44" borderId="31"/>
    <xf numFmtId="0" fontId="34" fillId="33" borderId="26">
      <alignment horizontal="right" vertical="center"/>
    </xf>
    <xf numFmtId="0" fontId="51" fillId="0" borderId="32"/>
    <xf numFmtId="0" fontId="36" fillId="0" borderId="26"/>
    <xf numFmtId="0" fontId="51" fillId="0" borderId="32"/>
    <xf numFmtId="4" fontId="36" fillId="0" borderId="26">
      <alignment horizontal="right" vertical="center"/>
    </xf>
    <xf numFmtId="49" fontId="36" fillId="0" borderId="27">
      <alignment horizontal="left" vertical="center" indent="5"/>
    </xf>
    <xf numFmtId="0" fontId="36" fillId="0" borderId="26"/>
    <xf numFmtId="0" fontId="48" fillId="57" borderId="31"/>
    <xf numFmtId="0" fontId="36" fillId="0" borderId="26"/>
    <xf numFmtId="4" fontId="34" fillId="35" borderId="26">
      <alignment horizontal="right" vertical="center"/>
    </xf>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34" fillId="33" borderId="26">
      <alignment horizontal="right" vertical="center"/>
    </xf>
    <xf numFmtId="4" fontId="34" fillId="35" borderId="28">
      <alignment horizontal="right" vertical="center"/>
    </xf>
    <xf numFmtId="0" fontId="42" fillId="60" borderId="25"/>
    <xf numFmtId="0" fontId="34" fillId="35" borderId="26">
      <alignment horizontal="right" vertical="center"/>
    </xf>
    <xf numFmtId="4" fontId="34" fillId="35" borderId="28">
      <alignment horizontal="right" vertical="center"/>
    </xf>
    <xf numFmtId="0" fontId="5" fillId="60" borderId="25"/>
    <xf numFmtId="4" fontId="36" fillId="0" borderId="26">
      <alignment horizontal="right" vertical="center"/>
    </xf>
    <xf numFmtId="0" fontId="38" fillId="33" borderId="26">
      <alignment horizontal="right" vertical="center"/>
    </xf>
    <xf numFmtId="0" fontId="50" fillId="44" borderId="31"/>
    <xf numFmtId="4" fontId="34" fillId="35" borderId="28">
      <alignment horizontal="right" vertical="center"/>
    </xf>
    <xf numFmtId="0" fontId="36" fillId="35" borderId="29">
      <alignment horizontal="left" vertical="center" wrapText="1" indent="2"/>
    </xf>
    <xf numFmtId="0" fontId="48" fillId="57" borderId="31"/>
    <xf numFmtId="0" fontId="51" fillId="0" borderId="32"/>
    <xf numFmtId="0" fontId="36" fillId="0" borderId="29">
      <alignment horizontal="left" vertical="center" wrapText="1" indent="2"/>
    </xf>
    <xf numFmtId="0" fontId="42" fillId="60" borderId="25"/>
    <xf numFmtId="4" fontId="34" fillId="33" borderId="26">
      <alignment horizontal="right" vertical="center"/>
    </xf>
    <xf numFmtId="0" fontId="34" fillId="33" borderId="26">
      <alignment horizontal="right" vertical="center"/>
    </xf>
    <xf numFmtId="0" fontId="45" fillId="57" borderId="30"/>
    <xf numFmtId="0" fontId="50" fillId="44" borderId="31"/>
    <xf numFmtId="0" fontId="51" fillId="0" borderId="32"/>
    <xf numFmtId="4" fontId="34" fillId="35" borderId="26">
      <alignment horizontal="right" vertical="center"/>
    </xf>
    <xf numFmtId="4" fontId="34" fillId="35" borderId="26">
      <alignment horizontal="right" vertical="center"/>
    </xf>
    <xf numFmtId="0" fontId="36" fillId="34" borderId="26"/>
    <xf numFmtId="0" fontId="47" fillId="57" borderId="31"/>
    <xf numFmtId="0" fontId="34" fillId="33" borderId="26">
      <alignment horizontal="right" vertical="center"/>
    </xf>
    <xf numFmtId="0" fontId="36" fillId="0" borderId="26">
      <alignment horizontal="right" vertical="center"/>
    </xf>
    <xf numFmtId="0" fontId="66" fillId="0" borderId="32"/>
    <xf numFmtId="0" fontId="36" fillId="33" borderId="27">
      <alignment horizontal="left" vertical="center"/>
    </xf>
    <xf numFmtId="0" fontId="59" fillId="44" borderId="31"/>
    <xf numFmtId="175" fontId="36" fillId="61" borderId="26">
      <alignment horizontal="right" vertical="center"/>
    </xf>
    <xf numFmtId="0" fontId="42" fillId="60" borderId="25"/>
    <xf numFmtId="0" fontId="36" fillId="0" borderId="29">
      <alignment horizontal="left" vertical="center" wrapText="1" indent="2"/>
    </xf>
    <xf numFmtId="4" fontId="36" fillId="34" borderId="26"/>
    <xf numFmtId="49" fontId="35" fillId="0" borderId="26">
      <alignment horizontal="left" vertical="center"/>
    </xf>
    <xf numFmtId="0" fontId="36" fillId="0" borderId="26">
      <alignment horizontal="right" vertical="center"/>
    </xf>
    <xf numFmtId="4" fontId="34" fillId="35" borderId="28">
      <alignment horizontal="right" vertical="center"/>
    </xf>
    <xf numFmtId="4" fontId="34" fillId="35" borderId="26">
      <alignment horizontal="right" vertical="center"/>
    </xf>
    <xf numFmtId="4" fontId="34" fillId="35" borderId="26">
      <alignment horizontal="right" vertical="center"/>
    </xf>
    <xf numFmtId="0" fontId="38" fillId="33" borderId="26">
      <alignment horizontal="right" vertical="center"/>
    </xf>
    <xf numFmtId="0" fontId="34" fillId="33" borderId="26">
      <alignment horizontal="right" vertical="center"/>
    </xf>
    <xf numFmtId="49" fontId="36" fillId="0" borderId="26">
      <alignment horizontal="left" vertical="center" indent="2"/>
    </xf>
    <xf numFmtId="0" fontId="59" fillId="44" borderId="31"/>
    <xf numFmtId="0" fontId="45" fillId="57" borderId="30"/>
    <xf numFmtId="49" fontId="36" fillId="0" borderId="26">
      <alignment horizontal="left" vertical="center" indent="2"/>
    </xf>
    <xf numFmtId="0" fontId="50" fillId="44" borderId="31"/>
    <xf numFmtId="4" fontId="36" fillId="0" borderId="26">
      <alignment horizontal="right" vertical="center"/>
    </xf>
    <xf numFmtId="0" fontId="48" fillId="57" borderId="31"/>
    <xf numFmtId="0" fontId="66" fillId="0" borderId="32"/>
    <xf numFmtId="0" fontId="63" fillId="57" borderId="30"/>
    <xf numFmtId="0" fontId="36" fillId="0" borderId="26"/>
    <xf numFmtId="4" fontId="36" fillId="0" borderId="26">
      <alignment horizontal="right" vertical="center"/>
    </xf>
    <xf numFmtId="0" fontId="36" fillId="0" borderId="26">
      <alignment horizontal="right" vertical="center"/>
    </xf>
    <xf numFmtId="0" fontId="59" fillId="44" borderId="31"/>
    <xf numFmtId="0" fontId="45" fillId="57" borderId="30"/>
    <xf numFmtId="0" fontId="47" fillId="57" borderId="31"/>
    <xf numFmtId="0" fontId="36" fillId="35" borderId="29">
      <alignment horizontal="left" vertical="center" wrapText="1" indent="2"/>
    </xf>
    <xf numFmtId="0" fontId="48" fillId="57" borderId="31"/>
    <xf numFmtId="0" fontId="48" fillId="57" borderId="31"/>
    <xf numFmtId="4" fontId="34" fillId="35" borderId="27">
      <alignment horizontal="right" vertical="center"/>
    </xf>
    <xf numFmtId="0" fontId="34" fillId="35" borderId="27">
      <alignment horizontal="right" vertical="center"/>
    </xf>
    <xf numFmtId="0" fontId="34" fillId="35" borderId="26">
      <alignment horizontal="right" vertical="center"/>
    </xf>
    <xf numFmtId="4" fontId="38" fillId="33" borderId="26">
      <alignment horizontal="right" vertical="center"/>
    </xf>
    <xf numFmtId="0" fontId="50" fillId="44" borderId="31"/>
    <xf numFmtId="0" fontId="51" fillId="0" borderId="32"/>
    <xf numFmtId="0" fontId="66" fillId="0" borderId="32"/>
    <xf numFmtId="0" fontId="42" fillId="60" borderId="25"/>
    <xf numFmtId="0" fontId="59" fillId="44" borderId="31"/>
    <xf numFmtId="49" fontId="35" fillId="0" borderId="26">
      <alignment horizontal="left" vertical="center"/>
    </xf>
    <xf numFmtId="0" fontId="36" fillId="35" borderId="29">
      <alignment horizontal="left" vertical="center" wrapText="1" indent="2"/>
    </xf>
    <xf numFmtId="0" fontId="48" fillId="57" borderId="31"/>
    <xf numFmtId="0" fontId="36" fillId="0" borderId="29">
      <alignment horizontal="left" vertical="center" wrapText="1" indent="2"/>
    </xf>
    <xf numFmtId="0" fontId="42" fillId="60" borderId="25"/>
    <xf numFmtId="0" fontId="5" fillId="60" borderId="25"/>
    <xf numFmtId="0" fontId="63" fillId="57" borderId="30"/>
    <xf numFmtId="0" fontId="66" fillId="0" borderId="32"/>
    <xf numFmtId="4" fontId="36" fillId="34" borderId="26"/>
    <xf numFmtId="0" fontId="34" fillId="35" borderId="26">
      <alignment horizontal="right" vertical="center"/>
    </xf>
    <xf numFmtId="0" fontId="66" fillId="0" borderId="32"/>
    <xf numFmtId="4" fontId="34" fillId="35" borderId="28">
      <alignment horizontal="right" vertical="center"/>
    </xf>
    <xf numFmtId="0" fontId="47" fillId="57" borderId="31"/>
    <xf numFmtId="0" fontId="34" fillId="35" borderId="27">
      <alignment horizontal="right" vertical="center"/>
    </xf>
    <xf numFmtId="0" fontId="48" fillId="57" borderId="31"/>
    <xf numFmtId="0" fontId="51" fillId="0" borderId="32"/>
    <xf numFmtId="0" fontId="42" fillId="60" borderId="25"/>
    <xf numFmtId="4" fontId="34" fillId="35" borderId="27">
      <alignment horizontal="right" vertical="center"/>
    </xf>
    <xf numFmtId="0" fontId="36" fillId="35" borderId="29">
      <alignment horizontal="left" vertical="center" wrapText="1" indent="2"/>
    </xf>
    <xf numFmtId="0" fontId="36" fillId="34" borderId="26"/>
    <xf numFmtId="175" fontId="36" fillId="61" borderId="26">
      <alignment horizontal="right" vertical="center"/>
    </xf>
    <xf numFmtId="0" fontId="36" fillId="0" borderId="26"/>
    <xf numFmtId="4" fontId="36" fillId="0" borderId="26">
      <alignment horizontal="right" vertical="center"/>
    </xf>
    <xf numFmtId="4" fontId="34" fillId="33" borderId="26">
      <alignment horizontal="right" vertical="center"/>
    </xf>
    <xf numFmtId="0" fontId="51" fillId="0" borderId="32"/>
    <xf numFmtId="49" fontId="35" fillId="0" borderId="26">
      <alignment horizontal="left" vertical="center"/>
    </xf>
    <xf numFmtId="49" fontId="36" fillId="0" borderId="27">
      <alignment horizontal="left" vertical="center" indent="5"/>
    </xf>
    <xf numFmtId="0" fontId="36" fillId="33" borderId="27">
      <alignment horizontal="left" vertical="center"/>
    </xf>
    <xf numFmtId="0" fontId="48" fillId="57" borderId="31"/>
    <xf numFmtId="4" fontId="34" fillId="35" borderId="28">
      <alignment horizontal="right" vertical="center"/>
    </xf>
    <xf numFmtId="0" fontId="59" fillId="44" borderId="31"/>
    <xf numFmtId="0" fontId="59" fillId="44" borderId="31"/>
    <xf numFmtId="0" fontId="42" fillId="60" borderId="25"/>
    <xf numFmtId="0" fontId="63" fillId="57" borderId="30"/>
    <xf numFmtId="0" fontId="66" fillId="0" borderId="32"/>
    <xf numFmtId="0" fontId="34" fillId="35" borderId="26">
      <alignment horizontal="right" vertical="center"/>
    </xf>
    <xf numFmtId="0" fontId="5" fillId="60" borderId="25"/>
    <xf numFmtId="4" fontId="36" fillId="0" borderId="26">
      <alignment horizontal="right" vertical="center"/>
    </xf>
    <xf numFmtId="0" fontId="66" fillId="0" borderId="32"/>
    <xf numFmtId="0" fontId="34" fillId="35" borderId="26">
      <alignment horizontal="right" vertical="center"/>
    </xf>
    <xf numFmtId="0" fontId="34" fillId="35" borderId="26">
      <alignment horizontal="right" vertical="center"/>
    </xf>
    <xf numFmtId="4" fontId="38" fillId="33" borderId="26">
      <alignment horizontal="right" vertical="center"/>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34" fillId="35" borderId="27">
      <alignment horizontal="right" vertical="center"/>
    </xf>
    <xf numFmtId="4" fontId="34" fillId="35" borderId="27">
      <alignment horizontal="right" vertical="center"/>
    </xf>
    <xf numFmtId="0" fontId="34" fillId="35" borderId="28">
      <alignment horizontal="right" vertical="center"/>
    </xf>
    <xf numFmtId="4" fontId="34" fillId="35" borderId="28">
      <alignment horizontal="right" vertical="center"/>
    </xf>
    <xf numFmtId="0" fontId="48" fillId="57" borderId="31"/>
    <xf numFmtId="0" fontId="36" fillId="35" borderId="29">
      <alignment horizontal="left" vertical="center" wrapText="1" indent="2"/>
    </xf>
    <xf numFmtId="0" fontId="36" fillId="0" borderId="29">
      <alignment horizontal="left" vertical="center" wrapText="1" indent="2"/>
    </xf>
    <xf numFmtId="0" fontId="36" fillId="33" borderId="27">
      <alignment horizontal="left" vertical="center"/>
    </xf>
    <xf numFmtId="0" fontId="59" fillId="44" borderId="31"/>
    <xf numFmtId="0" fontId="36" fillId="0" borderId="26">
      <alignment horizontal="right" vertical="center"/>
    </xf>
    <xf numFmtId="4" fontId="36" fillId="0" borderId="26">
      <alignment horizontal="right" vertical="center"/>
    </xf>
    <xf numFmtId="0" fontId="36" fillId="0" borderId="26"/>
    <xf numFmtId="0" fontId="63" fillId="57" borderId="30"/>
    <xf numFmtId="175" fontId="36" fillId="61" borderId="26">
      <alignment horizontal="right" vertical="center"/>
    </xf>
    <xf numFmtId="0" fontId="36" fillId="34" borderId="26"/>
    <xf numFmtId="4" fontId="36" fillId="34" borderId="26"/>
    <xf numFmtId="0" fontId="66" fillId="0" borderId="32"/>
    <xf numFmtId="0" fontId="5" fillId="60" borderId="25"/>
    <xf numFmtId="0" fontId="42" fillId="60" borderId="25"/>
    <xf numFmtId="0" fontId="36" fillId="0" borderId="26"/>
    <xf numFmtId="0" fontId="51" fillId="0" borderId="32"/>
    <xf numFmtId="0" fontId="66" fillId="0" borderId="32"/>
    <xf numFmtId="0" fontId="50" fillId="44" borderId="31"/>
    <xf numFmtId="0" fontId="48" fillId="57" borderId="31"/>
    <xf numFmtId="4" fontId="38" fillId="33" borderId="26">
      <alignment horizontal="right" vertical="center"/>
    </xf>
    <xf numFmtId="0" fontId="34" fillId="33" borderId="26">
      <alignment horizontal="right" vertical="center"/>
    </xf>
    <xf numFmtId="175" fontId="36" fillId="61" borderId="26">
      <alignment horizontal="right" vertical="center"/>
    </xf>
    <xf numFmtId="0" fontId="51" fillId="0" borderId="32"/>
    <xf numFmtId="49" fontId="36" fillId="0" borderId="26">
      <alignment horizontal="left" vertical="center" indent="2"/>
    </xf>
    <xf numFmtId="49" fontId="36" fillId="0" borderId="27">
      <alignment horizontal="left" vertical="center" indent="5"/>
    </xf>
    <xf numFmtId="49" fontId="36" fillId="0" borderId="26">
      <alignment horizontal="left" vertical="center" indent="2"/>
    </xf>
    <xf numFmtId="4" fontId="36" fillId="0" borderId="26">
      <alignment horizontal="right" vertical="center"/>
    </xf>
    <xf numFmtId="49" fontId="35" fillId="0" borderId="26">
      <alignment horizontal="left" vertical="center"/>
    </xf>
    <xf numFmtId="0" fontId="36" fillId="0" borderId="29">
      <alignment horizontal="left" vertical="center" wrapText="1" indent="2"/>
    </xf>
    <xf numFmtId="0" fontId="63" fillId="57" borderId="30"/>
    <xf numFmtId="0" fontId="34" fillId="35" borderId="28">
      <alignment horizontal="right" vertical="center"/>
    </xf>
    <xf numFmtId="0" fontId="50" fillId="44" borderId="31"/>
    <xf numFmtId="0" fontId="34" fillId="35" borderId="28">
      <alignment horizontal="right" vertical="center"/>
    </xf>
    <xf numFmtId="4" fontId="34" fillId="35" borderId="26">
      <alignment horizontal="right" vertical="center"/>
    </xf>
    <xf numFmtId="0" fontId="34" fillId="35" borderId="26">
      <alignment horizontal="right" vertical="center"/>
    </xf>
    <xf numFmtId="0" fontId="45" fillId="57" borderId="30"/>
    <xf numFmtId="0" fontId="47" fillId="57" borderId="31"/>
    <xf numFmtId="0" fontId="51" fillId="0" borderId="32"/>
    <xf numFmtId="0" fontId="36" fillId="34" borderId="26"/>
    <xf numFmtId="4" fontId="36" fillId="34" borderId="26"/>
    <xf numFmtId="4" fontId="34" fillId="35" borderId="26">
      <alignment horizontal="right" vertical="center"/>
    </xf>
    <xf numFmtId="0" fontId="38" fillId="33" borderId="26">
      <alignment horizontal="right" vertical="center"/>
    </xf>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36" fillId="0" borderId="29">
      <alignment horizontal="left" vertical="center" wrapText="1" indent="2"/>
    </xf>
    <xf numFmtId="0" fontId="45" fillId="57" borderId="30"/>
    <xf numFmtId="0" fontId="47" fillId="57" borderId="31"/>
    <xf numFmtId="0" fontId="48" fillId="57" borderId="31"/>
    <xf numFmtId="0" fontId="50" fillId="44" borderId="31"/>
    <xf numFmtId="0" fontId="51" fillId="0" borderId="32"/>
    <xf numFmtId="0" fontId="59" fillId="44" borderId="31"/>
    <xf numFmtId="0" fontId="42" fillId="60" borderId="25"/>
    <xf numFmtId="0" fontId="5" fillId="60" borderId="25"/>
    <xf numFmtId="0" fontId="63" fillId="57" borderId="30"/>
    <xf numFmtId="0" fontId="66" fillId="0" borderId="32"/>
    <xf numFmtId="0" fontId="48" fillId="57" borderId="31"/>
    <xf numFmtId="0" fontId="59" fillId="44" borderId="31"/>
    <xf numFmtId="0" fontId="42" fillId="60" borderId="25"/>
    <xf numFmtId="0" fontId="63" fillId="57" borderId="30"/>
    <xf numFmtId="0" fontId="66" fillId="0" borderId="32"/>
    <xf numFmtId="4" fontId="34" fillId="33" borderId="26">
      <alignment horizontal="right" vertical="center"/>
    </xf>
    <xf numFmtId="0" fontId="42" fillId="60" borderId="25"/>
    <xf numFmtId="0" fontId="48" fillId="57" borderId="31"/>
    <xf numFmtId="0" fontId="34" fillId="35" borderId="26">
      <alignment horizontal="right" vertical="center"/>
    </xf>
    <xf numFmtId="0" fontId="48" fillId="57" borderId="31"/>
    <xf numFmtId="4" fontId="36" fillId="0" borderId="26">
      <alignment horizontal="right" vertical="center"/>
    </xf>
    <xf numFmtId="0" fontId="59" fillId="44" borderId="31"/>
    <xf numFmtId="0" fontId="63" fillId="57" borderId="30"/>
    <xf numFmtId="0" fontId="66" fillId="0" borderId="32"/>
    <xf numFmtId="49" fontId="35" fillId="0" borderId="26">
      <alignment horizontal="left" vertical="center"/>
    </xf>
    <xf numFmtId="0" fontId="45" fillId="57" borderId="30"/>
    <xf numFmtId="0" fontId="47" fillId="57" borderId="31"/>
    <xf numFmtId="0" fontId="51" fillId="0" borderId="32"/>
    <xf numFmtId="49" fontId="36" fillId="0" borderId="26">
      <alignment horizontal="left" vertical="center" indent="2"/>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50" fillId="44" borderId="31"/>
    <xf numFmtId="0" fontId="36" fillId="0" borderId="26">
      <alignment horizontal="right" vertical="center"/>
    </xf>
    <xf numFmtId="4" fontId="36" fillId="0" borderId="26">
      <alignment horizontal="right" vertical="center"/>
    </xf>
    <xf numFmtId="4" fontId="36" fillId="0" borderId="26">
      <alignment horizontal="right" vertical="center"/>
    </xf>
    <xf numFmtId="49" fontId="35" fillId="0" borderId="26">
      <alignment horizontal="left" vertical="center"/>
    </xf>
    <xf numFmtId="0" fontId="36" fillId="0" borderId="26"/>
    <xf numFmtId="175" fontId="36" fillId="61" borderId="26">
      <alignment horizontal="right" vertical="center"/>
    </xf>
    <xf numFmtId="0" fontId="36" fillId="34" borderId="26"/>
    <xf numFmtId="4" fontId="36" fillId="34" borderId="26"/>
    <xf numFmtId="4" fontId="34" fillId="35" borderId="26">
      <alignment horizontal="right" vertical="center"/>
    </xf>
    <xf numFmtId="0" fontId="36" fillId="34" borderId="26"/>
    <xf numFmtId="0" fontId="47" fillId="57" borderId="31"/>
    <xf numFmtId="0" fontId="34" fillId="33" borderId="26">
      <alignment horizontal="right" vertical="center"/>
    </xf>
    <xf numFmtId="0" fontId="36" fillId="0" borderId="26">
      <alignment horizontal="right" vertical="center"/>
    </xf>
    <xf numFmtId="0" fontId="66" fillId="0" borderId="32"/>
    <xf numFmtId="0" fontId="36" fillId="33" borderId="27">
      <alignment horizontal="left" vertical="center"/>
    </xf>
    <xf numFmtId="0" fontId="59" fillId="44" borderId="31"/>
    <xf numFmtId="175" fontId="36" fillId="61" borderId="26">
      <alignment horizontal="right" vertical="center"/>
    </xf>
    <xf numFmtId="0" fontId="42" fillId="60" borderId="25"/>
    <xf numFmtId="0" fontId="36" fillId="0" borderId="29">
      <alignment horizontal="left" vertical="center" wrapText="1" indent="2"/>
    </xf>
    <xf numFmtId="4" fontId="36" fillId="34" borderId="26"/>
    <xf numFmtId="49" fontId="35" fillId="0" borderId="26">
      <alignment horizontal="left" vertical="center"/>
    </xf>
    <xf numFmtId="0" fontId="36" fillId="0" borderId="26">
      <alignment horizontal="right" vertical="center"/>
    </xf>
    <xf numFmtId="4" fontId="34" fillId="35" borderId="28">
      <alignment horizontal="right" vertical="center"/>
    </xf>
    <xf numFmtId="4" fontId="34" fillId="35" borderId="26">
      <alignment horizontal="right" vertical="center"/>
    </xf>
    <xf numFmtId="4" fontId="34" fillId="35" borderId="26">
      <alignment horizontal="right" vertical="center"/>
    </xf>
    <xf numFmtId="0" fontId="38" fillId="33" borderId="26">
      <alignment horizontal="right" vertical="center"/>
    </xf>
    <xf numFmtId="0" fontId="34" fillId="33" borderId="26">
      <alignment horizontal="right" vertical="center"/>
    </xf>
    <xf numFmtId="49" fontId="36" fillId="0" borderId="26">
      <alignment horizontal="left" vertical="center" indent="2"/>
    </xf>
    <xf numFmtId="0" fontId="59" fillId="44" borderId="31"/>
    <xf numFmtId="0" fontId="45" fillId="57" borderId="30"/>
    <xf numFmtId="49" fontId="36" fillId="0" borderId="26">
      <alignment horizontal="left" vertical="center" indent="2"/>
    </xf>
    <xf numFmtId="0" fontId="50" fillId="44" borderId="31"/>
    <xf numFmtId="4" fontId="36" fillId="0" borderId="26">
      <alignment horizontal="right" vertical="center"/>
    </xf>
    <xf numFmtId="0" fontId="48" fillId="57" borderId="31"/>
    <xf numFmtId="0" fontId="66" fillId="0" borderId="32"/>
    <xf numFmtId="0" fontId="63" fillId="57" borderId="30"/>
    <xf numFmtId="0" fontId="36" fillId="0" borderId="26"/>
    <xf numFmtId="4" fontId="36" fillId="0" borderId="26">
      <alignment horizontal="right" vertical="center"/>
    </xf>
    <xf numFmtId="0" fontId="36" fillId="0" borderId="26">
      <alignment horizontal="right" vertical="center"/>
    </xf>
    <xf numFmtId="0" fontId="59" fillId="44" borderId="31"/>
    <xf numFmtId="0" fontId="45" fillId="57" borderId="30"/>
    <xf numFmtId="0" fontId="47" fillId="57" borderId="31"/>
    <xf numFmtId="0" fontId="36" fillId="35" borderId="29">
      <alignment horizontal="left" vertical="center" wrapText="1" indent="2"/>
    </xf>
    <xf numFmtId="0" fontId="48" fillId="57" borderId="31"/>
    <xf numFmtId="0" fontId="48" fillId="57" borderId="31"/>
    <xf numFmtId="4" fontId="34" fillId="35" borderId="27">
      <alignment horizontal="right" vertical="center"/>
    </xf>
    <xf numFmtId="0" fontId="34" fillId="35" borderId="27">
      <alignment horizontal="right" vertical="center"/>
    </xf>
    <xf numFmtId="0" fontId="34" fillId="35" borderId="26">
      <alignment horizontal="right" vertical="center"/>
    </xf>
    <xf numFmtId="4" fontId="38" fillId="33" borderId="26">
      <alignment horizontal="right" vertical="center"/>
    </xf>
    <xf numFmtId="0" fontId="50" fillId="44" borderId="31"/>
    <xf numFmtId="0" fontId="51" fillId="0" borderId="32"/>
    <xf numFmtId="0" fontId="66" fillId="0" borderId="32"/>
    <xf numFmtId="0" fontId="42" fillId="60" borderId="25"/>
    <xf numFmtId="0" fontId="59" fillId="44" borderId="31"/>
    <xf numFmtId="49" fontId="35" fillId="0" borderId="26">
      <alignment horizontal="left" vertical="center"/>
    </xf>
    <xf numFmtId="0" fontId="36" fillId="35" borderId="29">
      <alignment horizontal="left" vertical="center" wrapText="1" indent="2"/>
    </xf>
    <xf numFmtId="0" fontId="48" fillId="57" borderId="31"/>
    <xf numFmtId="0" fontId="36" fillId="0" borderId="29">
      <alignment horizontal="left" vertical="center" wrapText="1" indent="2"/>
    </xf>
    <xf numFmtId="0" fontId="42" fillId="60" borderId="25"/>
    <xf numFmtId="0" fontId="5" fillId="60" borderId="25"/>
    <xf numFmtId="0" fontId="63" fillId="57" borderId="30"/>
    <xf numFmtId="0" fontId="66" fillId="0" borderId="32"/>
    <xf numFmtId="4" fontId="36" fillId="34" borderId="26"/>
    <xf numFmtId="0" fontId="34" fillId="35" borderId="26">
      <alignment horizontal="right" vertical="center"/>
    </xf>
    <xf numFmtId="0" fontId="66" fillId="0" borderId="32"/>
    <xf numFmtId="4" fontId="34" fillId="35" borderId="28">
      <alignment horizontal="right" vertical="center"/>
    </xf>
    <xf numFmtId="0" fontId="47" fillId="57" borderId="31"/>
    <xf numFmtId="0" fontId="34" fillId="35" borderId="27">
      <alignment horizontal="right" vertical="center"/>
    </xf>
    <xf numFmtId="0" fontId="48" fillId="57" borderId="31"/>
    <xf numFmtId="0" fontId="51" fillId="0" borderId="32"/>
    <xf numFmtId="0" fontId="42" fillId="60" borderId="25"/>
    <xf numFmtId="4" fontId="34" fillId="35" borderId="27">
      <alignment horizontal="right" vertical="center"/>
    </xf>
    <xf numFmtId="0" fontId="36" fillId="35" borderId="29">
      <alignment horizontal="left" vertical="center" wrapText="1" indent="2"/>
    </xf>
    <xf numFmtId="0" fontId="36" fillId="34" borderId="26"/>
    <xf numFmtId="175" fontId="36" fillId="61" borderId="26">
      <alignment horizontal="right" vertical="center"/>
    </xf>
    <xf numFmtId="0" fontId="36" fillId="0" borderId="26"/>
    <xf numFmtId="4" fontId="36" fillId="0" borderId="26">
      <alignment horizontal="right" vertical="center"/>
    </xf>
    <xf numFmtId="4" fontId="34" fillId="33" borderId="26">
      <alignment horizontal="right" vertical="center"/>
    </xf>
    <xf numFmtId="0" fontId="51" fillId="0" borderId="32"/>
    <xf numFmtId="49" fontId="35" fillId="0" borderId="26">
      <alignment horizontal="left" vertical="center"/>
    </xf>
    <xf numFmtId="49" fontId="36" fillId="0" borderId="27">
      <alignment horizontal="left" vertical="center" indent="5"/>
    </xf>
    <xf numFmtId="0" fontId="36" fillId="33" borderId="27">
      <alignment horizontal="left" vertical="center"/>
    </xf>
    <xf numFmtId="0" fontId="48" fillId="57" borderId="31"/>
    <xf numFmtId="4" fontId="34" fillId="35" borderId="28">
      <alignment horizontal="right" vertical="center"/>
    </xf>
    <xf numFmtId="0" fontId="59" fillId="44" borderId="31"/>
    <xf numFmtId="0" fontId="59" fillId="44" borderId="31"/>
    <xf numFmtId="0" fontId="42" fillId="60" borderId="25"/>
    <xf numFmtId="0" fontId="63" fillId="57" borderId="30"/>
    <xf numFmtId="0" fontId="66" fillId="0" borderId="32"/>
    <xf numFmtId="0" fontId="34" fillId="35" borderId="26">
      <alignment horizontal="right" vertical="center"/>
    </xf>
    <xf numFmtId="0" fontId="5" fillId="60" borderId="25"/>
    <xf numFmtId="4" fontId="36" fillId="0" borderId="26">
      <alignment horizontal="right" vertical="center"/>
    </xf>
    <xf numFmtId="0" fontId="66" fillId="0" borderId="32"/>
    <xf numFmtId="0" fontId="34" fillId="35" borderId="26">
      <alignment horizontal="right" vertical="center"/>
    </xf>
    <xf numFmtId="0" fontId="34" fillId="35" borderId="26">
      <alignment horizontal="right" vertical="center"/>
    </xf>
    <xf numFmtId="4" fontId="38" fillId="33" borderId="26">
      <alignment horizontal="right" vertical="center"/>
    </xf>
    <xf numFmtId="0" fontId="34" fillId="33" borderId="26">
      <alignment horizontal="right" vertical="center"/>
    </xf>
    <xf numFmtId="4" fontId="34" fillId="33" borderId="26">
      <alignment horizontal="right" vertical="center"/>
    </xf>
    <xf numFmtId="0" fontId="38" fillId="33" borderId="26">
      <alignment horizontal="right" vertical="center"/>
    </xf>
    <xf numFmtId="4" fontId="38" fillId="33" borderId="26">
      <alignment horizontal="right" vertical="center"/>
    </xf>
    <xf numFmtId="0" fontId="34" fillId="35" borderId="26">
      <alignment horizontal="right" vertical="center"/>
    </xf>
    <xf numFmtId="4" fontId="34" fillId="35" borderId="26">
      <alignment horizontal="right" vertical="center"/>
    </xf>
    <xf numFmtId="0" fontId="34" fillId="35" borderId="26">
      <alignment horizontal="right" vertical="center"/>
    </xf>
    <xf numFmtId="4" fontId="34" fillId="35" borderId="26">
      <alignment horizontal="right" vertical="center"/>
    </xf>
    <xf numFmtId="0" fontId="34" fillId="35" borderId="27">
      <alignment horizontal="right" vertical="center"/>
    </xf>
    <xf numFmtId="4" fontId="34" fillId="35" borderId="27">
      <alignment horizontal="right" vertical="center"/>
    </xf>
    <xf numFmtId="0" fontId="34" fillId="35" borderId="28">
      <alignment horizontal="right" vertical="center"/>
    </xf>
    <xf numFmtId="4" fontId="34" fillId="35" borderId="28">
      <alignment horizontal="right" vertical="center"/>
    </xf>
    <xf numFmtId="0" fontId="48" fillId="57" borderId="31"/>
    <xf numFmtId="0" fontId="36" fillId="35" borderId="29">
      <alignment horizontal="left" vertical="center" wrapText="1" indent="2"/>
    </xf>
    <xf numFmtId="0" fontId="36" fillId="0" borderId="29">
      <alignment horizontal="left" vertical="center" wrapText="1" indent="2"/>
    </xf>
    <xf numFmtId="0" fontId="36" fillId="33" borderId="27">
      <alignment horizontal="left" vertical="center"/>
    </xf>
    <xf numFmtId="0" fontId="59" fillId="44" borderId="31"/>
    <xf numFmtId="0" fontId="36" fillId="0" borderId="26">
      <alignment horizontal="right" vertical="center"/>
    </xf>
    <xf numFmtId="4" fontId="36" fillId="0" borderId="26">
      <alignment horizontal="right" vertical="center"/>
    </xf>
    <xf numFmtId="0" fontId="36" fillId="0" borderId="26"/>
    <xf numFmtId="0" fontId="63" fillId="57" borderId="30"/>
    <xf numFmtId="175" fontId="36" fillId="61" borderId="26">
      <alignment horizontal="right" vertical="center"/>
    </xf>
    <xf numFmtId="0" fontId="36" fillId="34" borderId="26"/>
    <xf numFmtId="4" fontId="36" fillId="34" borderId="26"/>
    <xf numFmtId="0" fontId="66" fillId="0" borderId="32"/>
    <xf numFmtId="0" fontId="5" fillId="60" borderId="25"/>
    <xf numFmtId="0" fontId="42" fillId="60" borderId="25"/>
    <xf numFmtId="0" fontId="36" fillId="0" borderId="26"/>
    <xf numFmtId="0" fontId="51" fillId="0" borderId="32"/>
    <xf numFmtId="0" fontId="66" fillId="0" borderId="32"/>
    <xf numFmtId="0" fontId="50" fillId="44" borderId="31"/>
    <xf numFmtId="0" fontId="48" fillId="57" borderId="31"/>
    <xf numFmtId="4" fontId="38" fillId="33" borderId="26">
      <alignment horizontal="right" vertical="center"/>
    </xf>
    <xf numFmtId="0" fontId="34" fillId="33" borderId="26">
      <alignment horizontal="right" vertical="center"/>
    </xf>
    <xf numFmtId="175" fontId="36" fillId="61" borderId="26">
      <alignment horizontal="right" vertical="center"/>
    </xf>
    <xf numFmtId="0" fontId="51" fillId="0" borderId="32"/>
    <xf numFmtId="49" fontId="36" fillId="0" borderId="26">
      <alignment horizontal="left" vertical="center" indent="2"/>
    </xf>
    <xf numFmtId="49" fontId="36" fillId="0" borderId="27">
      <alignment horizontal="left" vertical="center" indent="5"/>
    </xf>
    <xf numFmtId="49" fontId="36" fillId="0" borderId="26">
      <alignment horizontal="left" vertical="center" indent="2"/>
    </xf>
    <xf numFmtId="4" fontId="36" fillId="0" borderId="26">
      <alignment horizontal="right" vertical="center"/>
    </xf>
    <xf numFmtId="49" fontId="35" fillId="0" borderId="26">
      <alignment horizontal="left" vertical="center"/>
    </xf>
    <xf numFmtId="0" fontId="36" fillId="0" borderId="29">
      <alignment horizontal="left" vertical="center" wrapText="1" indent="2"/>
    </xf>
    <xf numFmtId="0" fontId="63" fillId="57" borderId="30"/>
    <xf numFmtId="0" fontId="34" fillId="35" borderId="28">
      <alignment horizontal="right" vertical="center"/>
    </xf>
    <xf numFmtId="0" fontId="50" fillId="44" borderId="31"/>
    <xf numFmtId="0" fontId="34" fillId="35" borderId="28">
      <alignment horizontal="right" vertical="center"/>
    </xf>
    <xf numFmtId="4" fontId="34" fillId="35" borderId="26">
      <alignment horizontal="right" vertical="center"/>
    </xf>
    <xf numFmtId="0" fontId="34" fillId="35" borderId="26">
      <alignment horizontal="right" vertical="center"/>
    </xf>
    <xf numFmtId="0" fontId="45" fillId="57" borderId="30"/>
    <xf numFmtId="0" fontId="47" fillId="57" borderId="31"/>
    <xf numFmtId="0" fontId="51" fillId="0" borderId="32"/>
    <xf numFmtId="0" fontId="36" fillId="34" borderId="26"/>
    <xf numFmtId="4" fontId="36" fillId="34" borderId="26"/>
    <xf numFmtId="4" fontId="34" fillId="35" borderId="26">
      <alignment horizontal="right" vertical="center"/>
    </xf>
    <xf numFmtId="0" fontId="38" fillId="33" borderId="26">
      <alignment horizontal="right" vertical="center"/>
    </xf>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66" fillId="0" borderId="32"/>
    <xf numFmtId="0" fontId="38" fillId="33" borderId="26">
      <alignment horizontal="right" vertical="center"/>
    </xf>
    <xf numFmtId="0" fontId="36" fillId="34" borderId="26"/>
    <xf numFmtId="0" fontId="63" fillId="57" borderId="30"/>
    <xf numFmtId="49" fontId="35" fillId="0" borderId="26">
      <alignment horizontal="left" vertical="center"/>
    </xf>
    <xf numFmtId="0" fontId="48" fillId="57" borderId="31"/>
    <xf numFmtId="0" fontId="36" fillId="34" borderId="26"/>
    <xf numFmtId="0" fontId="48" fillId="57" borderId="31"/>
    <xf numFmtId="0" fontId="45" fillId="57" borderId="30"/>
    <xf numFmtId="0" fontId="34" fillId="33" borderId="26">
      <alignment horizontal="right" vertical="center"/>
    </xf>
    <xf numFmtId="0" fontId="34" fillId="35" borderId="28">
      <alignment horizontal="right" vertical="center"/>
    </xf>
    <xf numFmtId="0" fontId="34" fillId="35" borderId="28">
      <alignment horizontal="right" vertical="center"/>
    </xf>
    <xf numFmtId="0" fontId="36" fillId="0" borderId="29">
      <alignment horizontal="left" vertical="center" wrapText="1" indent="2"/>
    </xf>
    <xf numFmtId="4" fontId="34" fillId="35" borderId="26">
      <alignment horizontal="right" vertical="center"/>
    </xf>
    <xf numFmtId="4" fontId="36" fillId="34" borderId="26"/>
    <xf numFmtId="175" fontId="36" fillId="61" borderId="26">
      <alignment horizontal="right" vertical="center"/>
    </xf>
    <xf numFmtId="0" fontId="34" fillId="33" borderId="26">
      <alignment horizontal="right" vertical="center"/>
    </xf>
    <xf numFmtId="0" fontId="42" fillId="60" borderId="25"/>
    <xf numFmtId="49" fontId="35" fillId="0" borderId="26">
      <alignment horizontal="left" vertical="center"/>
    </xf>
    <xf numFmtId="0" fontId="50" fillId="44" borderId="31"/>
    <xf numFmtId="0" fontId="66" fillId="0" borderId="32"/>
    <xf numFmtId="4" fontId="34" fillId="35" borderId="27">
      <alignment horizontal="right" vertical="center"/>
    </xf>
    <xf numFmtId="0" fontId="36" fillId="33" borderId="27">
      <alignment horizontal="left" vertical="center"/>
    </xf>
    <xf numFmtId="0" fontId="47" fillId="57" borderId="31"/>
    <xf numFmtId="0" fontId="34" fillId="33" borderId="26">
      <alignment horizontal="right" vertical="center"/>
    </xf>
    <xf numFmtId="0" fontId="45" fillId="57" borderId="30"/>
    <xf numFmtId="0" fontId="36" fillId="35" borderId="29">
      <alignment horizontal="left" vertical="center" wrapText="1" indent="2"/>
    </xf>
    <xf numFmtId="0" fontId="63" fillId="57" borderId="30"/>
    <xf numFmtId="0" fontId="36" fillId="0" borderId="26"/>
    <xf numFmtId="0" fontId="42" fillId="60" borderId="25"/>
    <xf numFmtId="4" fontId="36" fillId="34" borderId="26"/>
    <xf numFmtId="0" fontId="36" fillId="34" borderId="26"/>
    <xf numFmtId="0" fontId="36" fillId="35" borderId="29">
      <alignment horizontal="left" vertical="center" wrapText="1" indent="2"/>
    </xf>
    <xf numFmtId="0" fontId="36" fillId="0" borderId="26"/>
    <xf numFmtId="0" fontId="5" fillId="60" borderId="25"/>
    <xf numFmtId="0" fontId="59" fillId="44" borderId="31"/>
    <xf numFmtId="0" fontId="42" fillId="60" borderId="25"/>
    <xf numFmtId="175" fontId="36" fillId="61" borderId="26">
      <alignment horizontal="right" vertical="center"/>
    </xf>
    <xf numFmtId="0" fontId="36" fillId="0" borderId="29">
      <alignment horizontal="left" vertical="center" wrapText="1" indent="2"/>
    </xf>
    <xf numFmtId="4" fontId="36" fillId="34" borderId="26"/>
    <xf numFmtId="4" fontId="36" fillId="0" borderId="26">
      <alignment horizontal="right" vertical="center"/>
    </xf>
    <xf numFmtId="4" fontId="34" fillId="35" borderId="28">
      <alignment horizontal="right" vertical="center"/>
    </xf>
    <xf numFmtId="4" fontId="34" fillId="35" borderId="26">
      <alignment horizontal="right" vertical="center"/>
    </xf>
    <xf numFmtId="0" fontId="36" fillId="0" borderId="26"/>
    <xf numFmtId="0" fontId="36" fillId="35" borderId="29">
      <alignment horizontal="left" vertical="center" wrapText="1" indent="2"/>
    </xf>
    <xf numFmtId="49" fontId="36" fillId="0" borderId="26">
      <alignment horizontal="left" vertical="center" indent="2"/>
    </xf>
    <xf numFmtId="4" fontId="38" fillId="33" borderId="26">
      <alignment horizontal="right" vertical="center"/>
    </xf>
    <xf numFmtId="0" fontId="66" fillId="0" borderId="32"/>
    <xf numFmtId="0" fontId="34" fillId="35" borderId="26">
      <alignment horizontal="right" vertical="center"/>
    </xf>
    <xf numFmtId="0" fontId="34" fillId="35" borderId="26">
      <alignment horizontal="right" vertical="center"/>
    </xf>
    <xf numFmtId="0" fontId="66" fillId="0" borderId="32"/>
    <xf numFmtId="4" fontId="36" fillId="34" borderId="26"/>
    <xf numFmtId="0" fontId="36" fillId="35" borderId="29">
      <alignment horizontal="left" vertical="center" wrapText="1" indent="2"/>
    </xf>
    <xf numFmtId="0" fontId="48" fillId="57" borderId="31"/>
    <xf numFmtId="0" fontId="36" fillId="34" borderId="26"/>
    <xf numFmtId="0" fontId="66" fillId="0" borderId="32"/>
    <xf numFmtId="0" fontId="36" fillId="0" borderId="26"/>
    <xf numFmtId="49" fontId="36" fillId="0" borderId="27">
      <alignment horizontal="left" vertical="center" indent="5"/>
    </xf>
    <xf numFmtId="0" fontId="66" fillId="0" borderId="32"/>
    <xf numFmtId="0" fontId="38" fillId="33" borderId="26">
      <alignment horizontal="right" vertical="center"/>
    </xf>
    <xf numFmtId="175" fontId="36" fillId="61" borderId="26">
      <alignment horizontal="right" vertical="center"/>
    </xf>
    <xf numFmtId="49" fontId="35" fillId="0" borderId="26">
      <alignment horizontal="left" vertical="center"/>
    </xf>
    <xf numFmtId="0" fontId="36" fillId="0" borderId="26"/>
    <xf numFmtId="0" fontId="47" fillId="57" borderId="31"/>
    <xf numFmtId="4" fontId="34" fillId="35" borderId="27">
      <alignment horizontal="right" vertical="center"/>
    </xf>
    <xf numFmtId="4" fontId="34" fillId="33" borderId="26">
      <alignment horizontal="right" vertical="center"/>
    </xf>
    <xf numFmtId="4" fontId="36" fillId="34" borderId="26"/>
    <xf numFmtId="0" fontId="47" fillId="57" borderId="31"/>
    <xf numFmtId="4" fontId="36" fillId="0" borderId="26">
      <alignment horizontal="right" vertical="center"/>
    </xf>
    <xf numFmtId="4" fontId="34" fillId="35" borderId="26">
      <alignment horizontal="right" vertical="center"/>
    </xf>
    <xf numFmtId="0" fontId="36" fillId="0" borderId="26">
      <alignment horizontal="right" vertical="center"/>
    </xf>
    <xf numFmtId="0" fontId="59" fillId="44" borderId="31"/>
    <xf numFmtId="4" fontId="34" fillId="35" borderId="26">
      <alignment horizontal="right" vertical="center"/>
    </xf>
    <xf numFmtId="49" fontId="36" fillId="0" borderId="26">
      <alignment horizontal="left" vertical="center" indent="2"/>
    </xf>
    <xf numFmtId="49" fontId="36" fillId="0" borderId="26">
      <alignment horizontal="left" vertical="center" indent="2"/>
    </xf>
    <xf numFmtId="4" fontId="38" fillId="33" borderId="26">
      <alignment horizontal="right" vertical="center"/>
    </xf>
    <xf numFmtId="0" fontId="51" fillId="0" borderId="32"/>
    <xf numFmtId="49" fontId="36" fillId="0" borderId="26">
      <alignment horizontal="left" vertical="center" indent="2"/>
    </xf>
    <xf numFmtId="0" fontId="45" fillId="57" borderId="30"/>
    <xf numFmtId="4" fontId="34" fillId="35" borderId="26">
      <alignment horizontal="right" vertical="center"/>
    </xf>
    <xf numFmtId="0" fontId="36" fillId="34" borderId="26"/>
    <xf numFmtId="4" fontId="36" fillId="0" borderId="26">
      <alignment horizontal="right" vertical="center"/>
    </xf>
    <xf numFmtId="4" fontId="34" fillId="35" borderId="26">
      <alignment horizontal="right" vertical="center"/>
    </xf>
    <xf numFmtId="0" fontId="36" fillId="0" borderId="26">
      <alignment horizontal="right" vertical="center"/>
    </xf>
    <xf numFmtId="0" fontId="34" fillId="35" borderId="26">
      <alignment horizontal="right" vertical="center"/>
    </xf>
    <xf numFmtId="4" fontId="38" fillId="33" borderId="26">
      <alignment horizontal="right" vertical="center"/>
    </xf>
    <xf numFmtId="0" fontId="34" fillId="35" borderId="28">
      <alignment horizontal="right" vertical="center"/>
    </xf>
    <xf numFmtId="0" fontId="34" fillId="35" borderId="27">
      <alignment horizontal="right" vertical="center"/>
    </xf>
    <xf numFmtId="4" fontId="34" fillId="35" borderId="28">
      <alignment horizontal="right" vertical="center"/>
    </xf>
    <xf numFmtId="0" fontId="66" fillId="0" borderId="32"/>
    <xf numFmtId="49" fontId="36" fillId="0" borderId="26">
      <alignment horizontal="left" vertical="center" indent="2"/>
    </xf>
    <xf numFmtId="0" fontId="51" fillId="0" borderId="32"/>
    <xf numFmtId="0" fontId="45" fillId="57" borderId="30"/>
    <xf numFmtId="0" fontId="36" fillId="0" borderId="26">
      <alignment horizontal="right" vertical="center"/>
    </xf>
    <xf numFmtId="0" fontId="36" fillId="33" borderId="27">
      <alignment horizontal="left" vertical="center"/>
    </xf>
    <xf numFmtId="0" fontId="36" fillId="0" borderId="26">
      <alignment horizontal="right" vertical="center"/>
    </xf>
    <xf numFmtId="0" fontId="38" fillId="33" borderId="26">
      <alignment horizontal="right" vertical="center"/>
    </xf>
    <xf numFmtId="0" fontId="48" fillId="57" borderId="31"/>
    <xf numFmtId="4" fontId="38" fillId="33" borderId="26">
      <alignment horizontal="right" vertical="center"/>
    </xf>
    <xf numFmtId="0" fontId="36" fillId="35" borderId="29">
      <alignment horizontal="left" vertical="center" wrapText="1" indent="2"/>
    </xf>
    <xf numFmtId="0" fontId="63" fillId="57" borderId="30"/>
    <xf numFmtId="0" fontId="34" fillId="35" borderId="26">
      <alignment horizontal="right" vertical="center"/>
    </xf>
    <xf numFmtId="4" fontId="36" fillId="0" borderId="26">
      <alignment horizontal="right" vertical="center"/>
    </xf>
    <xf numFmtId="0" fontId="34" fillId="33" borderId="26">
      <alignment horizontal="right" vertical="center"/>
    </xf>
    <xf numFmtId="0" fontId="45" fillId="57" borderId="30"/>
    <xf numFmtId="0" fontId="50" fillId="44" borderId="31"/>
    <xf numFmtId="0" fontId="59" fillId="44" borderId="31"/>
    <xf numFmtId="4" fontId="34" fillId="35" borderId="26">
      <alignment horizontal="right" vertical="center"/>
    </xf>
    <xf numFmtId="0" fontId="59" fillId="44" borderId="31"/>
    <xf numFmtId="49" fontId="36" fillId="0" borderId="27">
      <alignment horizontal="left" vertical="center" indent="5"/>
    </xf>
    <xf numFmtId="175" fontId="36" fillId="61" borderId="26">
      <alignment horizontal="right" vertical="center"/>
    </xf>
    <xf numFmtId="0" fontId="63" fillId="57" borderId="30"/>
    <xf numFmtId="0" fontId="51" fillId="0" borderId="32"/>
    <xf numFmtId="0" fontId="36" fillId="34" borderId="26"/>
    <xf numFmtId="0" fontId="5" fillId="60" borderId="25"/>
    <xf numFmtId="0" fontId="34" fillId="35" borderId="26">
      <alignment horizontal="right" vertical="center"/>
    </xf>
    <xf numFmtId="49" fontId="36" fillId="0" borderId="26">
      <alignment horizontal="left" vertical="center" indent="2"/>
    </xf>
    <xf numFmtId="0" fontId="36" fillId="33" borderId="27">
      <alignment horizontal="left" vertical="center"/>
    </xf>
    <xf numFmtId="4" fontId="36" fillId="0" borderId="26">
      <alignment horizontal="right" vertical="center"/>
    </xf>
    <xf numFmtId="4" fontId="34" fillId="33" borderId="26">
      <alignment horizontal="right" vertical="center"/>
    </xf>
    <xf numFmtId="0" fontId="66" fillId="0" borderId="32"/>
    <xf numFmtId="0" fontId="34" fillId="35" borderId="28">
      <alignment horizontal="right" vertical="center"/>
    </xf>
    <xf numFmtId="0" fontId="59" fillId="44" borderId="31"/>
    <xf numFmtId="0" fontId="38" fillId="33" borderId="26">
      <alignment horizontal="right" vertical="center"/>
    </xf>
    <xf numFmtId="0" fontId="48" fillId="57" borderId="31"/>
    <xf numFmtId="0" fontId="47" fillId="57" borderId="31"/>
    <xf numFmtId="175" fontId="36" fillId="61" borderId="26">
      <alignment horizontal="right" vertical="center"/>
    </xf>
    <xf numFmtId="0" fontId="36" fillId="0" borderId="29">
      <alignment horizontal="left" vertical="center" wrapText="1" indent="2"/>
    </xf>
    <xf numFmtId="0" fontId="48" fillId="57" borderId="31"/>
    <xf numFmtId="49" fontId="36" fillId="0" borderId="26">
      <alignment horizontal="left" vertical="center" indent="2"/>
    </xf>
    <xf numFmtId="0" fontId="34" fillId="35" borderId="26">
      <alignment horizontal="right" vertical="center"/>
    </xf>
    <xf numFmtId="0" fontId="48" fillId="57" borderId="31"/>
    <xf numFmtId="4" fontId="34" fillId="35" borderId="26">
      <alignment horizontal="right" vertical="center"/>
    </xf>
    <xf numFmtId="0" fontId="45" fillId="57" borderId="30"/>
    <xf numFmtId="0" fontId="48" fillId="57" borderId="31"/>
    <xf numFmtId="4" fontId="34" fillId="35" borderId="26">
      <alignment horizontal="right" vertical="center"/>
    </xf>
    <xf numFmtId="0" fontId="63" fillId="57" borderId="30"/>
    <xf numFmtId="0" fontId="66" fillId="0" borderId="32"/>
    <xf numFmtId="49" fontId="35" fillId="0" borderId="26">
      <alignment horizontal="left" vertical="center"/>
    </xf>
    <xf numFmtId="0" fontId="59" fillId="44" borderId="31"/>
    <xf numFmtId="4" fontId="34" fillId="35" borderId="26">
      <alignment horizontal="right" vertical="center"/>
    </xf>
    <xf numFmtId="0" fontId="36" fillId="0" borderId="26">
      <alignment horizontal="right" vertical="center"/>
    </xf>
    <xf numFmtId="49" fontId="35" fillId="0" borderId="26">
      <alignment horizontal="left" vertical="center"/>
    </xf>
    <xf numFmtId="0" fontId="5" fillId="60" borderId="25"/>
    <xf numFmtId="4" fontId="38" fillId="33" borderId="26">
      <alignment horizontal="right" vertical="center"/>
    </xf>
    <xf numFmtId="0" fontId="42" fillId="60" borderId="25"/>
    <xf numFmtId="0" fontId="66" fillId="0" borderId="32"/>
    <xf numFmtId="4" fontId="34" fillId="35" borderId="28">
      <alignment horizontal="right" vertical="center"/>
    </xf>
    <xf numFmtId="0" fontId="42" fillId="60" borderId="25"/>
    <xf numFmtId="0" fontId="42" fillId="60" borderId="25"/>
    <xf numFmtId="4" fontId="36" fillId="34" borderId="26"/>
    <xf numFmtId="0" fontId="34" fillId="33" borderId="26">
      <alignment horizontal="right" vertical="center"/>
    </xf>
    <xf numFmtId="0" fontId="59" fillId="44" borderId="31"/>
    <xf numFmtId="0" fontId="34" fillId="35" borderId="27">
      <alignment horizontal="right" vertical="center"/>
    </xf>
    <xf numFmtId="0" fontId="63" fillId="57" borderId="30"/>
    <xf numFmtId="0" fontId="50" fillId="44" borderId="31"/>
    <xf numFmtId="49" fontId="35" fillId="0" borderId="26">
      <alignment horizontal="left" vertical="center"/>
    </xf>
    <xf numFmtId="0" fontId="36" fillId="33" borderId="27">
      <alignment horizontal="left" vertical="center"/>
    </xf>
    <xf numFmtId="0" fontId="42" fillId="60" borderId="25"/>
    <xf numFmtId="0" fontId="38" fillId="33" borderId="26">
      <alignment horizontal="right" vertical="center"/>
    </xf>
    <xf numFmtId="0" fontId="34" fillId="35" borderId="27">
      <alignment horizontal="right" vertical="center"/>
    </xf>
    <xf numFmtId="0" fontId="48" fillId="57" borderId="31"/>
    <xf numFmtId="0" fontId="50" fillId="44" borderId="31"/>
    <xf numFmtId="4" fontId="34" fillId="35" borderId="26">
      <alignment horizontal="right" vertical="center"/>
    </xf>
    <xf numFmtId="0" fontId="36" fillId="0" borderId="26">
      <alignment horizontal="right" vertical="center"/>
    </xf>
    <xf numFmtId="4" fontId="36" fillId="0" borderId="26">
      <alignment horizontal="right" vertical="center"/>
    </xf>
    <xf numFmtId="0" fontId="63" fillId="57" borderId="30"/>
    <xf numFmtId="0" fontId="38" fillId="33" borderId="26">
      <alignment horizontal="right" vertical="center"/>
    </xf>
    <xf numFmtId="0" fontId="36" fillId="0" borderId="29">
      <alignment horizontal="left" vertical="center" wrapText="1" indent="2"/>
    </xf>
    <xf numFmtId="0" fontId="51" fillId="0" borderId="32"/>
    <xf numFmtId="0" fontId="63" fillId="57" borderId="30"/>
    <xf numFmtId="0" fontId="51" fillId="0" borderId="32"/>
    <xf numFmtId="4" fontId="34" fillId="35" borderId="26">
      <alignment horizontal="right" vertical="center"/>
    </xf>
    <xf numFmtId="0" fontId="34" fillId="35" borderId="26">
      <alignment horizontal="right" vertical="center"/>
    </xf>
    <xf numFmtId="0" fontId="36" fillId="35" borderId="29">
      <alignment horizontal="left" vertical="center" wrapText="1" indent="2"/>
    </xf>
    <xf numFmtId="0" fontId="36" fillId="33" borderId="27">
      <alignment horizontal="left" vertical="center"/>
    </xf>
    <xf numFmtId="0" fontId="34" fillId="35" borderId="26">
      <alignment horizontal="right" vertical="center"/>
    </xf>
    <xf numFmtId="4" fontId="38" fillId="33" borderId="26">
      <alignment horizontal="right" vertical="center"/>
    </xf>
    <xf numFmtId="0" fontId="50" fillId="44" borderId="31"/>
    <xf numFmtId="4" fontId="36" fillId="0" borderId="26">
      <alignment horizontal="right" vertical="center"/>
    </xf>
    <xf numFmtId="0" fontId="5" fillId="60" borderId="25"/>
    <xf numFmtId="0" fontId="63" fillId="57" borderId="30"/>
    <xf numFmtId="0" fontId="63" fillId="57" borderId="30"/>
    <xf numFmtId="4" fontId="34" fillId="33" borderId="26">
      <alignment horizontal="right" vertical="center"/>
    </xf>
    <xf numFmtId="0" fontId="42" fillId="60" borderId="25"/>
    <xf numFmtId="0" fontId="34" fillId="33" borderId="26">
      <alignment horizontal="right" vertical="center"/>
    </xf>
    <xf numFmtId="0" fontId="51" fillId="0" borderId="32"/>
    <xf numFmtId="0" fontId="36" fillId="0" borderId="26"/>
    <xf numFmtId="0" fontId="51" fillId="0" borderId="32"/>
    <xf numFmtId="4" fontId="36" fillId="0" borderId="26">
      <alignment horizontal="right" vertical="center"/>
    </xf>
    <xf numFmtId="49" fontId="36" fillId="0" borderId="27">
      <alignment horizontal="left" vertical="center" indent="5"/>
    </xf>
    <xf numFmtId="0" fontId="36" fillId="0" borderId="26"/>
    <xf numFmtId="0" fontId="36" fillId="0" borderId="26"/>
    <xf numFmtId="4" fontId="34" fillId="35" borderId="26">
      <alignment horizontal="right" vertical="center"/>
    </xf>
    <xf numFmtId="0" fontId="50" fillId="44" borderId="31"/>
    <xf numFmtId="0" fontId="48" fillId="57" borderId="31"/>
    <xf numFmtId="4" fontId="36" fillId="0" borderId="26">
      <alignment horizontal="right" vertical="center"/>
    </xf>
    <xf numFmtId="0" fontId="36" fillId="35" borderId="29">
      <alignment horizontal="left" vertical="center" wrapText="1" indent="2"/>
    </xf>
    <xf numFmtId="0" fontId="36" fillId="0" borderId="29">
      <alignment horizontal="left" vertical="center" wrapText="1" indent="2"/>
    </xf>
    <xf numFmtId="0" fontId="63" fillId="57" borderId="30"/>
    <xf numFmtId="0" fontId="59" fillId="44" borderId="31"/>
    <xf numFmtId="0" fontId="47" fillId="57" borderId="31"/>
    <xf numFmtId="0" fontId="45" fillId="57" borderId="30"/>
    <xf numFmtId="0" fontId="34" fillId="35" borderId="28">
      <alignment horizontal="right" vertical="center"/>
    </xf>
    <xf numFmtId="0" fontId="38" fillId="33" borderId="26">
      <alignment horizontal="right" vertical="center"/>
    </xf>
    <xf numFmtId="4" fontId="34" fillId="33" borderId="26">
      <alignment horizontal="right" vertical="center"/>
    </xf>
    <xf numFmtId="4" fontId="34" fillId="35" borderId="26">
      <alignment horizontal="right" vertical="center"/>
    </xf>
    <xf numFmtId="49" fontId="36" fillId="0" borderId="27">
      <alignment horizontal="left" vertical="center" indent="5"/>
    </xf>
    <xf numFmtId="4" fontId="36" fillId="0" borderId="26">
      <alignment horizontal="right" vertical="center"/>
    </xf>
    <xf numFmtId="4" fontId="34" fillId="33" borderId="26">
      <alignment horizontal="right" vertical="center"/>
    </xf>
    <xf numFmtId="0" fontId="59" fillId="44" borderId="31"/>
    <xf numFmtId="0" fontId="50" fillId="44" borderId="31"/>
    <xf numFmtId="0" fontId="47" fillId="57" borderId="31"/>
    <xf numFmtId="0" fontId="36" fillId="35" borderId="29">
      <alignment horizontal="left" vertical="center" wrapText="1" indent="2"/>
    </xf>
    <xf numFmtId="0" fontId="36" fillId="0" borderId="29">
      <alignment horizontal="left" vertical="center" wrapText="1" indent="2"/>
    </xf>
    <xf numFmtId="0" fontId="36" fillId="35" borderId="29">
      <alignment horizontal="left" vertical="center" wrapText="1" indent="2"/>
    </xf>
    <xf numFmtId="0" fontId="87" fillId="0" borderId="0"/>
  </cellStyleXfs>
  <cellXfs count="302">
    <xf numFmtId="0" fontId="0" fillId="0" borderId="0" xfId="0"/>
    <xf numFmtId="0" fontId="3" fillId="0" borderId="0" xfId="0" applyFont="1"/>
    <xf numFmtId="0" fontId="4" fillId="0" borderId="0" xfId="0" applyFont="1"/>
    <xf numFmtId="0" fontId="7" fillId="0" borderId="0" xfId="0" applyFont="1"/>
    <xf numFmtId="164" fontId="0" fillId="0" borderId="0" xfId="0" applyNumberFormat="1"/>
    <xf numFmtId="165" fontId="0" fillId="0" borderId="0" xfId="0" applyNumberFormat="1"/>
    <xf numFmtId="0" fontId="9" fillId="0" borderId="0" xfId="0" applyFont="1"/>
    <xf numFmtId="0" fontId="1" fillId="0" borderId="0" xfId="0" applyFont="1"/>
    <xf numFmtId="0" fontId="10"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4" fillId="0" borderId="0" xfId="0" applyFont="1"/>
    <xf numFmtId="165" fontId="14" fillId="0" borderId="0" xfId="0" applyNumberFormat="1" applyFont="1"/>
    <xf numFmtId="2" fontId="14" fillId="0" borderId="0" xfId="0" applyNumberFormat="1" applyFont="1"/>
    <xf numFmtId="0" fontId="8" fillId="0" borderId="0" xfId="0" applyFont="1"/>
    <xf numFmtId="3" fontId="0" fillId="0" borderId="0" xfId="0" applyNumberFormat="1"/>
    <xf numFmtId="2" fontId="8" fillId="0" borderId="0" xfId="0" applyNumberFormat="1" applyFont="1"/>
    <xf numFmtId="164" fontId="8" fillId="0" borderId="0" xfId="0" applyNumberFormat="1" applyFont="1"/>
    <xf numFmtId="2" fontId="16" fillId="0" borderId="0" xfId="0" applyNumberFormat="1" applyFont="1"/>
    <xf numFmtId="49" fontId="0" fillId="0" borderId="0" xfId="0" applyNumberFormat="1"/>
    <xf numFmtId="0" fontId="8" fillId="0" borderId="0" xfId="0" applyFont="1" applyAlignment="1">
      <alignment horizontal="left"/>
    </xf>
    <xf numFmtId="2" fontId="16" fillId="0" borderId="0" xfId="0" applyNumberFormat="1" applyFont="1" applyAlignment="1">
      <alignment horizontal="right"/>
    </xf>
    <xf numFmtId="3" fontId="2" fillId="5" borderId="2" xfId="0" applyNumberFormat="1" applyFont="1" applyFill="1" applyBorder="1"/>
    <xf numFmtId="0" fontId="8" fillId="5" borderId="2" xfId="0" applyFont="1" applyFill="1" applyBorder="1"/>
    <xf numFmtId="164" fontId="8" fillId="5" borderId="2" xfId="0" applyNumberFormat="1" applyFont="1" applyFill="1" applyBorder="1"/>
    <xf numFmtId="11" fontId="16" fillId="0" borderId="0" xfId="0" applyNumberFormat="1" applyFont="1"/>
    <xf numFmtId="11" fontId="8" fillId="0" borderId="0" xfId="0" applyNumberFormat="1" applyFont="1"/>
    <xf numFmtId="11" fontId="8" fillId="5" borderId="2" xfId="0" applyNumberFormat="1" applyFont="1" applyFill="1" applyBorder="1"/>
    <xf numFmtId="0" fontId="0" fillId="0" borderId="0" xfId="0" applyAlignment="1">
      <alignment horizontal="left"/>
    </xf>
    <xf numFmtId="2" fontId="0" fillId="0" borderId="0" xfId="0" applyNumberFormat="1" applyAlignment="1">
      <alignment vertical="center"/>
    </xf>
    <xf numFmtId="166" fontId="8" fillId="0" borderId="0" xfId="0" applyNumberFormat="1" applyFont="1"/>
    <xf numFmtId="166" fontId="0" fillId="0" borderId="0" xfId="0" applyNumberFormat="1"/>
    <xf numFmtId="11" fontId="8" fillId="0" borderId="0" xfId="0" applyNumberFormat="1" applyFont="1" applyAlignment="1">
      <alignment horizontal="left" vertical="top"/>
    </xf>
    <xf numFmtId="165" fontId="14" fillId="0" borderId="0" xfId="0" applyNumberFormat="1" applyFont="1" applyAlignment="1">
      <alignment vertical="center"/>
    </xf>
    <xf numFmtId="3" fontId="0" fillId="0" borderId="0" xfId="0" applyNumberFormat="1" applyAlignment="1">
      <alignment horizontal="left" vertical="top"/>
    </xf>
    <xf numFmtId="3" fontId="0" fillId="4" borderId="0" xfId="0" applyNumberFormat="1" applyFill="1"/>
    <xf numFmtId="164" fontId="16"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11" fontId="8" fillId="5" borderId="0" xfId="0" applyNumberFormat="1" applyFont="1" applyFill="1"/>
    <xf numFmtId="0" fontId="8" fillId="3" borderId="0" xfId="0" applyFont="1" applyFill="1"/>
    <xf numFmtId="11" fontId="0" fillId="0" borderId="0" xfId="0" applyNumberFormat="1"/>
    <xf numFmtId="0" fontId="13" fillId="7" borderId="0" xfId="0" applyFont="1" applyFill="1"/>
    <xf numFmtId="0" fontId="12" fillId="7" borderId="0" xfId="0" applyFont="1" applyFill="1"/>
    <xf numFmtId="166" fontId="12" fillId="7" borderId="0" xfId="0" applyNumberFormat="1" applyFont="1" applyFill="1"/>
    <xf numFmtId="166"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6" fontId="2" fillId="3" borderId="0" xfId="0" applyNumberFormat="1" applyFont="1" applyFill="1" applyAlignment="1">
      <alignment horizontal="left" vertical="center"/>
    </xf>
    <xf numFmtId="166" fontId="0" fillId="3" borderId="0" xfId="0" applyNumberFormat="1" applyFill="1" applyAlignment="1">
      <alignment horizontal="center" vertical="center" wrapText="1"/>
    </xf>
    <xf numFmtId="166" fontId="0" fillId="3" borderId="0" xfId="0" applyNumberFormat="1" applyFill="1"/>
    <xf numFmtId="166" fontId="2" fillId="3" borderId="0" xfId="0" applyNumberFormat="1" applyFont="1" applyFill="1"/>
    <xf numFmtId="0" fontId="13" fillId="3" borderId="0" xfId="0" applyFont="1" applyFill="1"/>
    <xf numFmtId="166" fontId="13" fillId="3" borderId="0" xfId="0" applyNumberFormat="1" applyFont="1" applyFill="1"/>
    <xf numFmtId="0" fontId="11" fillId="7" borderId="0" xfId="0" applyFont="1" applyFill="1"/>
    <xf numFmtId="0" fontId="10" fillId="3" borderId="0" xfId="0" applyFont="1" applyFill="1"/>
    <xf numFmtId="11" fontId="10" fillId="0" borderId="0" xfId="0" applyNumberFormat="1" applyFont="1"/>
    <xf numFmtId="0" fontId="4" fillId="0" borderId="0" xfId="0" applyFont="1" applyAlignment="1">
      <alignment horizontal="left"/>
    </xf>
    <xf numFmtId="0" fontId="13"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8" fillId="4" borderId="0" xfId="0" applyFont="1" applyFill="1"/>
    <xf numFmtId="166" fontId="0" fillId="2" borderId="0" xfId="0" applyNumberFormat="1" applyFill="1" applyAlignment="1">
      <alignment vertical="center" wrapText="1"/>
    </xf>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7"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1" xfId="0" applyNumberFormat="1" applyBorder="1"/>
    <xf numFmtId="164" fontId="14"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10" fillId="7" borderId="0" xfId="0" applyFont="1" applyFill="1"/>
    <xf numFmtId="0" fontId="18" fillId="0" borderId="0" xfId="0" applyFont="1"/>
    <xf numFmtId="3" fontId="7" fillId="0" borderId="0" xfId="0" applyNumberFormat="1" applyFont="1"/>
    <xf numFmtId="168" fontId="7" fillId="0" borderId="0" xfId="0" applyNumberFormat="1" applyFont="1"/>
    <xf numFmtId="0" fontId="7" fillId="0" borderId="0" xfId="0" applyFont="1" applyAlignment="1">
      <alignment vertical="center"/>
    </xf>
    <xf numFmtId="0" fontId="15" fillId="0" borderId="0" xfId="0" applyFont="1"/>
    <xf numFmtId="0" fontId="19" fillId="0" borderId="0" xfId="0" applyFont="1"/>
    <xf numFmtId="0" fontId="0" fillId="8" borderId="0" xfId="0" applyFill="1" applyAlignment="1">
      <alignment horizontal="left" vertical="center"/>
    </xf>
    <xf numFmtId="166" fontId="0" fillId="8" borderId="0" xfId="0" applyNumberFormat="1" applyFill="1" applyAlignment="1">
      <alignment horizontal="center" vertical="center" wrapText="1"/>
    </xf>
    <xf numFmtId="166" fontId="14" fillId="0" borderId="0" xfId="0" applyNumberFormat="1" applyFont="1"/>
    <xf numFmtId="169" fontId="14" fillId="0" borderId="0" xfId="0" applyNumberFormat="1" applyFont="1"/>
    <xf numFmtId="11" fontId="14" fillId="0" borderId="0" xfId="0" applyNumberFormat="1" applyFont="1"/>
    <xf numFmtId="0" fontId="8" fillId="5" borderId="2" xfId="0" applyFont="1" applyFill="1" applyBorder="1" applyAlignment="1">
      <alignment horizontal="left"/>
    </xf>
    <xf numFmtId="166" fontId="0" fillId="6" borderId="0" xfId="0" applyNumberFormat="1" applyFill="1" applyAlignment="1">
      <alignment horizontal="center" vertical="center"/>
    </xf>
    <xf numFmtId="166" fontId="2" fillId="6" borderId="0" xfId="0" applyNumberFormat="1" applyFont="1" applyFill="1" applyAlignment="1">
      <alignment horizontal="center" vertical="center" wrapText="1"/>
    </xf>
    <xf numFmtId="164" fontId="1" fillId="0" borderId="0" xfId="0" applyNumberFormat="1" applyFont="1"/>
    <xf numFmtId="164" fontId="8" fillId="0" borderId="0" xfId="0" applyNumberFormat="1" applyFont="1" applyAlignment="1">
      <alignment horizontal="right" vertical="center"/>
    </xf>
    <xf numFmtId="170" fontId="0" fillId="0" borderId="0" xfId="0" applyNumberFormat="1"/>
    <xf numFmtId="0" fontId="0" fillId="6" borderId="0" xfId="0" applyFill="1" applyAlignment="1">
      <alignment horizontal="left"/>
    </xf>
    <xf numFmtId="0" fontId="0" fillId="4" borderId="0" xfId="0" applyFill="1" applyAlignment="1">
      <alignment horizontal="left"/>
    </xf>
    <xf numFmtId="0" fontId="2" fillId="0" borderId="0" xfId="0" applyFont="1" applyAlignment="1">
      <alignment horizontal="left"/>
    </xf>
    <xf numFmtId="2" fontId="8" fillId="4" borderId="0" xfId="0" applyNumberFormat="1" applyFont="1" applyFill="1"/>
    <xf numFmtId="2" fontId="14" fillId="0" borderId="0" xfId="0" applyNumberFormat="1" applyFont="1" applyAlignment="1">
      <alignment vertical="center"/>
    </xf>
    <xf numFmtId="0" fontId="0" fillId="4" borderId="0" xfId="0" applyFill="1"/>
    <xf numFmtId="2" fontId="8" fillId="0" borderId="0" xfId="0" applyNumberFormat="1" applyFont="1" applyAlignment="1">
      <alignment horizontal="right"/>
    </xf>
    <xf numFmtId="166"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5" fontId="8" fillId="0" borderId="0" xfId="0" applyNumberFormat="1" applyFont="1" applyAlignment="1">
      <alignment vertical="center"/>
    </xf>
    <xf numFmtId="165" fontId="8" fillId="0" borderId="0" xfId="0" applyNumberFormat="1" applyFont="1"/>
    <xf numFmtId="0" fontId="19" fillId="0" borderId="0" xfId="0" applyFont="1" applyAlignment="1">
      <alignment horizontal="left" vertical="center"/>
    </xf>
    <xf numFmtId="0" fontId="19" fillId="0" borderId="0" xfId="0" applyFont="1" applyAlignment="1">
      <alignment vertical="center"/>
    </xf>
    <xf numFmtId="0" fontId="0" fillId="9" borderId="0" xfId="0" applyFill="1"/>
    <xf numFmtId="11" fontId="8" fillId="0" borderId="0" xfId="0" applyNumberFormat="1" applyFont="1" applyAlignment="1">
      <alignment horizontal="right"/>
    </xf>
    <xf numFmtId="1" fontId="8" fillId="0" borderId="0" xfId="0" applyNumberFormat="1" applyFont="1"/>
    <xf numFmtId="0" fontId="20" fillId="0" borderId="0" xfId="0" applyFont="1" applyAlignment="1">
      <alignment horizontal="left" vertical="center" wrapText="1"/>
    </xf>
    <xf numFmtId="0" fontId="0" fillId="8" borderId="0" xfId="0" applyFill="1"/>
    <xf numFmtId="4" fontId="0" fillId="4" borderId="0" xfId="0" applyNumberFormat="1" applyFill="1"/>
    <xf numFmtId="0" fontId="0" fillId="4" borderId="2" xfId="0" applyFill="1" applyBorder="1" applyAlignment="1">
      <alignment horizontal="left" vertical="top"/>
    </xf>
    <xf numFmtId="0" fontId="8" fillId="4" borderId="2" xfId="0" applyFont="1" applyFill="1" applyBorder="1"/>
    <xf numFmtId="3" fontId="0" fillId="4" borderId="2" xfId="0" applyNumberFormat="1" applyFill="1" applyBorder="1"/>
    <xf numFmtId="11" fontId="8" fillId="4" borderId="2" xfId="0" applyNumberFormat="1" applyFont="1" applyFill="1" applyBorder="1" applyAlignment="1">
      <alignment horizontal="left" vertical="top"/>
    </xf>
    <xf numFmtId="164" fontId="8" fillId="4" borderId="2" xfId="0" applyNumberFormat="1" applyFont="1" applyFill="1" applyBorder="1"/>
    <xf numFmtId="164" fontId="10" fillId="4" borderId="2" xfId="0" applyNumberFormat="1" applyFont="1" applyFill="1" applyBorder="1"/>
    <xf numFmtId="11" fontId="8" fillId="4" borderId="3" xfId="0" applyNumberFormat="1" applyFont="1" applyFill="1" applyBorder="1" applyAlignment="1">
      <alignment horizontal="left" vertical="top"/>
    </xf>
    <xf numFmtId="2" fontId="8" fillId="4" borderId="4" xfId="0" applyNumberFormat="1" applyFont="1" applyFill="1" applyBorder="1"/>
    <xf numFmtId="171" fontId="14" fillId="0" borderId="0" xfId="0" applyNumberFormat="1" applyFont="1"/>
    <xf numFmtId="170" fontId="14" fillId="0" borderId="0" xfId="0" applyNumberFormat="1" applyFont="1"/>
    <xf numFmtId="0" fontId="0" fillId="6" borderId="0" xfId="0" applyFill="1" applyAlignment="1">
      <alignment horizontal="center" vertical="center"/>
    </xf>
    <xf numFmtId="166" fontId="2" fillId="6" borderId="0" xfId="0" applyNumberFormat="1" applyFont="1" applyFill="1" applyAlignment="1">
      <alignment horizontal="center" vertical="center"/>
    </xf>
    <xf numFmtId="166"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2" fillId="8" borderId="0" xfId="0" applyFont="1" applyFill="1" applyAlignment="1">
      <alignment horizontal="left" vertical="center" wrapText="1"/>
    </xf>
    <xf numFmtId="0" fontId="0" fillId="8" borderId="0" xfId="0" applyFill="1" applyAlignment="1">
      <alignment horizontal="center" vertical="center" wrapText="1"/>
    </xf>
    <xf numFmtId="2" fontId="14" fillId="0" borderId="0" xfId="0" applyNumberFormat="1" applyFont="1" applyAlignment="1">
      <alignment horizontal="right"/>
    </xf>
    <xf numFmtId="0" fontId="0" fillId="5" borderId="2" xfId="0" applyFill="1" applyBorder="1"/>
    <xf numFmtId="2" fontId="18" fillId="0" borderId="0" xfId="0" applyNumberFormat="1" applyFont="1"/>
    <xf numFmtId="0" fontId="21" fillId="5" borderId="2" xfId="0" applyFont="1" applyFill="1" applyBorder="1"/>
    <xf numFmtId="0" fontId="2" fillId="6" borderId="0" xfId="0" applyFont="1" applyFill="1" applyAlignment="1">
      <alignment vertical="center"/>
    </xf>
    <xf numFmtId="2" fontId="0" fillId="11" borderId="0" xfId="0" applyNumberFormat="1" applyFill="1"/>
    <xf numFmtId="0" fontId="0" fillId="4" borderId="2" xfId="0" applyFill="1" applyBorder="1"/>
    <xf numFmtId="2" fontId="8" fillId="4" borderId="5" xfId="0" applyNumberFormat="1" applyFont="1"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166" fontId="2" fillId="6" borderId="0" xfId="0" applyNumberFormat="1" applyFont="1" applyFill="1"/>
    <xf numFmtId="0" fontId="0" fillId="8" borderId="0" xfId="0" applyFill="1" applyAlignment="1">
      <alignment horizontal="center" vertical="center"/>
    </xf>
    <xf numFmtId="0" fontId="7" fillId="4" borderId="0" xfId="0" applyFont="1" applyFill="1"/>
    <xf numFmtId="2" fontId="0" fillId="0" borderId="0" xfId="0" applyNumberFormat="1" applyAlignment="1">
      <alignment horizontal="right"/>
    </xf>
    <xf numFmtId="11" fontId="14" fillId="0" borderId="0" xfId="0" applyNumberFormat="1" applyFont="1" applyAlignment="1">
      <alignment horizontal="right"/>
    </xf>
    <xf numFmtId="11" fontId="0" fillId="0" borderId="0" xfId="0" applyNumberFormat="1" applyAlignment="1">
      <alignment horizontal="right"/>
    </xf>
    <xf numFmtId="0" fontId="19" fillId="0" borderId="0" xfId="0" applyFont="1" applyAlignment="1">
      <alignment horizontal="left"/>
    </xf>
    <xf numFmtId="164" fontId="8" fillId="4" borderId="6" xfId="0" applyNumberFormat="1" applyFont="1" applyFill="1" applyBorder="1"/>
    <xf numFmtId="167"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7"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4" fontId="8" fillId="0" borderId="0" xfId="0" applyNumberFormat="1" applyFont="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3" fillId="0" borderId="0" xfId="0" applyFont="1"/>
    <xf numFmtId="3" fontId="23" fillId="0" borderId="0" xfId="0" applyNumberFormat="1" applyFont="1"/>
    <xf numFmtId="0" fontId="19" fillId="8" borderId="0" xfId="0" applyFont="1" applyFill="1"/>
    <xf numFmtId="0" fontId="24" fillId="0" borderId="0" xfId="0" applyFont="1"/>
    <xf numFmtId="0" fontId="23" fillId="8" borderId="0" xfId="0" applyFont="1" applyFill="1"/>
    <xf numFmtId="0" fontId="7" fillId="0" borderId="0" xfId="0" applyFont="1" applyAlignment="1">
      <alignment horizontal="left" vertical="center"/>
    </xf>
    <xf numFmtId="0" fontId="25" fillId="0" borderId="0" xfId="0" applyFont="1"/>
    <xf numFmtId="0" fontId="18" fillId="0" borderId="0" xfId="1" applyFont="1" applyAlignment="1">
      <alignment horizontal="left" vertical="center"/>
    </xf>
    <xf numFmtId="3" fontId="8" fillId="0" borderId="0" xfId="0" applyNumberFormat="1" applyFont="1"/>
    <xf numFmtId="4" fontId="8" fillId="4" borderId="0" xfId="0" applyNumberFormat="1" applyFont="1" applyFill="1"/>
    <xf numFmtId="3" fontId="17" fillId="0" borderId="0" xfId="0" applyNumberFormat="1" applyFont="1"/>
    <xf numFmtId="3" fontId="8" fillId="4" borderId="0" xfId="0" applyNumberFormat="1" applyFont="1" applyFill="1"/>
    <xf numFmtId="170" fontId="10" fillId="0" borderId="0" xfId="0" applyNumberFormat="1" applyFont="1"/>
    <xf numFmtId="168" fontId="8" fillId="0" borderId="0" xfId="0" applyNumberFormat="1" applyFont="1"/>
    <xf numFmtId="172" fontId="17" fillId="0" borderId="0" xfId="0" applyNumberFormat="1" applyFont="1"/>
    <xf numFmtId="166" fontId="10" fillId="0" borderId="0" xfId="0" applyNumberFormat="1" applyFont="1"/>
    <xf numFmtId="0" fontId="22" fillId="0" borderId="0" xfId="0" applyFont="1"/>
    <xf numFmtId="0" fontId="8" fillId="9" borderId="0" xfId="0" applyFont="1" applyFill="1"/>
    <xf numFmtId="0" fontId="14" fillId="8" borderId="0" xfId="0" applyFont="1" applyFill="1"/>
    <xf numFmtId="2" fontId="14" fillId="0" borderId="0" xfId="1" applyNumberFormat="1" applyFont="1" applyAlignment="1">
      <alignment horizontal="right" vertical="center"/>
    </xf>
    <xf numFmtId="0" fontId="23" fillId="4" borderId="0" xfId="0" applyFont="1" applyFill="1"/>
    <xf numFmtId="1" fontId="8" fillId="4" borderId="0" xfId="0" applyNumberFormat="1" applyFont="1" applyFill="1"/>
    <xf numFmtId="165" fontId="14" fillId="0" borderId="0" xfId="1" applyNumberFormat="1" applyFont="1" applyAlignment="1">
      <alignment horizontal="right" vertical="center"/>
    </xf>
    <xf numFmtId="1" fontId="14" fillId="0" borderId="0" xfId="0" applyNumberFormat="1" applyFont="1"/>
    <xf numFmtId="165" fontId="0" fillId="4" borderId="0" xfId="0" applyNumberFormat="1" applyFill="1"/>
    <xf numFmtId="2" fontId="7" fillId="0" borderId="0" xfId="0" applyNumberFormat="1" applyFont="1"/>
    <xf numFmtId="0" fontId="20" fillId="0" borderId="0" xfId="0" applyFont="1" applyAlignment="1">
      <alignment horizontal="left" vertical="center"/>
    </xf>
    <xf numFmtId="0" fontId="15" fillId="12" borderId="0" xfId="0" applyFont="1" applyFill="1"/>
    <xf numFmtId="0" fontId="8" fillId="6" borderId="0" xfId="1" applyFont="1" applyFill="1" applyAlignment="1">
      <alignment horizontal="left" vertical="center"/>
    </xf>
    <xf numFmtId="0" fontId="18" fillId="4" borderId="0" xfId="1" applyFont="1" applyFill="1" applyAlignment="1">
      <alignment horizontal="left" vertical="center"/>
    </xf>
    <xf numFmtId="0" fontId="26" fillId="0" borderId="0" xfId="1" applyFont="1" applyAlignment="1">
      <alignment horizontal="left" vertical="center"/>
    </xf>
    <xf numFmtId="0" fontId="27" fillId="0" borderId="0" xfId="0" applyFont="1"/>
    <xf numFmtId="2" fontId="0" fillId="4" borderId="0" xfId="0" applyNumberFormat="1" applyFill="1"/>
    <xf numFmtId="171" fontId="0" fillId="0" borderId="0" xfId="0" applyNumberFormat="1"/>
    <xf numFmtId="0" fontId="10" fillId="2" borderId="0" xfId="0" applyFont="1" applyFill="1" applyAlignment="1">
      <alignment horizontal="center" vertical="center" wrapText="1"/>
    </xf>
    <xf numFmtId="49" fontId="0" fillId="0" borderId="0" xfId="0" applyNumberFormat="1" applyAlignment="1">
      <alignment horizontal="left" vertical="top"/>
    </xf>
    <xf numFmtId="2" fontId="80" fillId="0" borderId="0" xfId="0" applyNumberFormat="1" applyFont="1"/>
    <xf numFmtId="2" fontId="80" fillId="0" borderId="0" xfId="0" applyNumberFormat="1" applyFont="1" applyAlignment="1">
      <alignment horizontal="right"/>
    </xf>
    <xf numFmtId="11" fontId="22" fillId="0" borderId="0" xfId="0" applyNumberFormat="1" applyFont="1" applyAlignment="1">
      <alignment horizontal="right" vertical="center"/>
    </xf>
    <xf numFmtId="172" fontId="0" fillId="0" borderId="0" xfId="0" applyNumberFormat="1"/>
    <xf numFmtId="166" fontId="8" fillId="0" borderId="0" xfId="0" applyNumberFormat="1" applyFont="1" applyAlignment="1">
      <alignment horizontal="left" vertical="center" wrapText="1"/>
    </xf>
    <xf numFmtId="0" fontId="8" fillId="0" borderId="0" xfId="0" applyFont="1" applyAlignment="1">
      <alignment horizontal="left" vertical="center" wrapText="1"/>
    </xf>
    <xf numFmtId="0" fontId="3" fillId="4" borderId="0" xfId="0" applyFont="1" applyFill="1"/>
    <xf numFmtId="0" fontId="2" fillId="62" borderId="0" xfId="0" applyFont="1" applyFill="1"/>
    <xf numFmtId="0" fontId="0" fillId="62" borderId="0" xfId="0" applyFill="1"/>
    <xf numFmtId="166" fontId="2" fillId="62" borderId="0" xfId="0" applyNumberFormat="1" applyFont="1" applyFill="1" applyAlignment="1">
      <alignment horizontal="left" vertical="center"/>
    </xf>
    <xf numFmtId="166" fontId="0" fillId="62" borderId="0" xfId="0" applyNumberFormat="1" applyFill="1" applyAlignment="1">
      <alignment horizontal="center" vertical="center" wrapText="1"/>
    </xf>
    <xf numFmtId="166" fontId="0" fillId="62" borderId="0" xfId="0" applyNumberFormat="1" applyFill="1"/>
    <xf numFmtId="166" fontId="2" fillId="62" borderId="0" xfId="0" applyNumberFormat="1" applyFont="1" applyFill="1"/>
    <xf numFmtId="0" fontId="0" fillId="2" borderId="0" xfId="0" applyFill="1" applyAlignment="1">
      <alignment horizontal="left" vertical="center"/>
    </xf>
    <xf numFmtId="0" fontId="0" fillId="2" borderId="0" xfId="0" applyFill="1" applyAlignment="1">
      <alignment horizontal="left" vertical="top" wrapText="1"/>
    </xf>
    <xf numFmtId="0" fontId="2" fillId="2" borderId="0" xfId="0" applyFont="1" applyFill="1" applyAlignment="1">
      <alignment horizontal="left" vertical="center" wrapText="1"/>
    </xf>
    <xf numFmtId="166" fontId="0" fillId="0" borderId="0" xfId="0" applyNumberFormat="1" applyAlignment="1">
      <alignment horizontal="left" vertical="center" wrapText="1"/>
    </xf>
    <xf numFmtId="0" fontId="0" fillId="0" borderId="1" xfId="0" applyBorder="1"/>
    <xf numFmtId="164" fontId="0" fillId="0" borderId="33" xfId="0" applyNumberFormat="1" applyBorder="1"/>
    <xf numFmtId="0" fontId="0" fillId="0" borderId="34" xfId="0" applyBorder="1"/>
    <xf numFmtId="0" fontId="0" fillId="0" borderId="2" xfId="0" applyBorder="1"/>
    <xf numFmtId="164" fontId="0" fillId="0" borderId="2" xfId="0" applyNumberFormat="1" applyBorder="1"/>
    <xf numFmtId="171" fontId="0" fillId="0" borderId="2" xfId="0" applyNumberFormat="1" applyBorder="1"/>
    <xf numFmtId="164" fontId="0" fillId="0" borderId="35" xfId="0" applyNumberFormat="1" applyBorder="1"/>
    <xf numFmtId="166" fontId="2" fillId="0" borderId="0" xfId="0" applyNumberFormat="1" applyFont="1"/>
    <xf numFmtId="166" fontId="0" fillId="0" borderId="0" xfId="0" applyNumberFormat="1" applyAlignment="1">
      <alignment horizontal="center" vertical="center" wrapText="1"/>
    </xf>
    <xf numFmtId="0" fontId="0" fillId="0" borderId="0" xfId="0" applyAlignment="1">
      <alignment horizontal="center" vertical="center" wrapText="1"/>
    </xf>
    <xf numFmtId="167" fontId="0" fillId="0" borderId="0" xfId="0" applyNumberFormat="1"/>
    <xf numFmtId="170" fontId="0" fillId="0" borderId="2" xfId="0" applyNumberFormat="1" applyBorder="1"/>
    <xf numFmtId="164" fontId="2" fillId="0" borderId="0" xfId="0" applyNumberFormat="1" applyFont="1"/>
    <xf numFmtId="170" fontId="8" fillId="0" borderId="0" xfId="0" applyNumberFormat="1" applyFont="1"/>
    <xf numFmtId="2" fontId="14" fillId="10" borderId="0" xfId="1" applyNumberFormat="1" applyFont="1" applyFill="1" applyAlignment="1">
      <alignment horizontal="right" vertical="center"/>
    </xf>
    <xf numFmtId="0" fontId="0" fillId="63" borderId="0" xfId="0" applyFill="1" applyAlignment="1">
      <alignment horizontal="left"/>
    </xf>
    <xf numFmtId="0" fontId="81" fillId="0" borderId="0" xfId="0" applyFont="1" applyAlignment="1">
      <alignment horizontal="left" vertical="center"/>
    </xf>
    <xf numFmtId="0" fontId="82" fillId="0" borderId="0" xfId="0" applyFont="1" applyAlignment="1">
      <alignment horizontal="left" vertical="center"/>
    </xf>
    <xf numFmtId="0" fontId="83" fillId="64" borderId="36" xfId="0" applyFont="1" applyFill="1" applyBorder="1" applyAlignment="1">
      <alignment horizontal="right" vertical="center"/>
    </xf>
    <xf numFmtId="0" fontId="82" fillId="65" borderId="36" xfId="0" applyFont="1" applyFill="1" applyBorder="1" applyAlignment="1">
      <alignment horizontal="left" vertical="center"/>
    </xf>
    <xf numFmtId="0" fontId="0" fillId="66" borderId="0" xfId="0" applyFill="1"/>
    <xf numFmtId="0" fontId="82" fillId="67" borderId="36" xfId="0" applyFont="1" applyFill="1" applyBorder="1" applyAlignment="1">
      <alignment horizontal="left" vertical="center"/>
    </xf>
    <xf numFmtId="173" fontId="81" fillId="68" borderId="0" xfId="0" applyNumberFormat="1" applyFont="1" applyFill="1" applyAlignment="1">
      <alignment horizontal="right" vertical="center" shrinkToFit="1"/>
    </xf>
    <xf numFmtId="3" fontId="81" fillId="68" borderId="0" xfId="0" applyNumberFormat="1" applyFont="1" applyFill="1" applyAlignment="1">
      <alignment horizontal="right" vertical="center" shrinkToFit="1"/>
    </xf>
    <xf numFmtId="3" fontId="81" fillId="0" borderId="0" xfId="0" applyNumberFormat="1" applyFont="1" applyAlignment="1">
      <alignment horizontal="right" vertical="center" shrinkToFit="1"/>
    </xf>
    <xf numFmtId="173" fontId="81" fillId="0" borderId="0" xfId="0" applyNumberFormat="1" applyFont="1" applyAlignment="1">
      <alignment horizontal="right" vertical="center" shrinkToFit="1"/>
    </xf>
    <xf numFmtId="0" fontId="83" fillId="64" borderId="36" xfId="0" applyFont="1" applyFill="1" applyBorder="1" applyAlignment="1">
      <alignment horizontal="left" vertical="center"/>
    </xf>
    <xf numFmtId="1" fontId="0" fillId="0" borderId="0" xfId="0" applyNumberFormat="1"/>
    <xf numFmtId="0" fontId="0" fillId="8" borderId="1" xfId="0" applyFill="1" applyBorder="1"/>
    <xf numFmtId="0" fontId="0" fillId="8" borderId="33" xfId="0" applyFill="1" applyBorder="1"/>
    <xf numFmtId="3" fontId="0" fillId="0" borderId="1" xfId="0" applyNumberFormat="1" applyBorder="1"/>
    <xf numFmtId="1" fontId="0" fillId="0" borderId="33" xfId="0" applyNumberFormat="1" applyBorder="1"/>
    <xf numFmtId="3" fontId="0" fillId="0" borderId="34" xfId="0" applyNumberFormat="1" applyBorder="1"/>
    <xf numFmtId="3" fontId="0" fillId="0" borderId="2" xfId="0" applyNumberFormat="1" applyBorder="1"/>
    <xf numFmtId="1" fontId="0" fillId="0" borderId="2" xfId="0" applyNumberFormat="1" applyBorder="1"/>
    <xf numFmtId="1" fontId="0" fillId="0" borderId="35" xfId="0" applyNumberFormat="1" applyBorder="1"/>
    <xf numFmtId="0" fontId="0" fillId="0" borderId="37" xfId="0" applyBorder="1" applyAlignment="1">
      <alignment horizontal="left" vertical="top"/>
    </xf>
    <xf numFmtId="0" fontId="8" fillId="0" borderId="37" xfId="0" applyFont="1" applyBorder="1"/>
    <xf numFmtId="3" fontId="0" fillId="0" borderId="37" xfId="0" applyNumberFormat="1" applyBorder="1"/>
    <xf numFmtId="3" fontId="0" fillId="0" borderId="37" xfId="0" applyNumberFormat="1" applyBorder="1" applyAlignment="1">
      <alignment horizontal="left" vertical="top"/>
    </xf>
    <xf numFmtId="164" fontId="8" fillId="0" borderId="37" xfId="0" applyNumberFormat="1" applyFont="1" applyBorder="1"/>
    <xf numFmtId="164" fontId="0" fillId="0" borderId="37" xfId="0" applyNumberFormat="1" applyBorder="1"/>
    <xf numFmtId="0" fontId="0" fillId="0" borderId="37" xfId="0" applyBorder="1"/>
    <xf numFmtId="0" fontId="10" fillId="0" borderId="37" xfId="0" applyFont="1" applyBorder="1"/>
    <xf numFmtId="0" fontId="0" fillId="8" borderId="38" xfId="0" applyFill="1" applyBorder="1"/>
    <xf numFmtId="0" fontId="0" fillId="8" borderId="37" xfId="0" applyFill="1" applyBorder="1"/>
    <xf numFmtId="0" fontId="0" fillId="8" borderId="39" xfId="0" applyFill="1" applyBorder="1"/>
    <xf numFmtId="11" fontId="14" fillId="0" borderId="37" xfId="0" applyNumberFormat="1" applyFont="1" applyBorder="1" applyAlignment="1">
      <alignment horizontal="right"/>
    </xf>
    <xf numFmtId="166" fontId="14" fillId="0" borderId="37" xfId="0" applyNumberFormat="1" applyFont="1" applyBorder="1"/>
    <xf numFmtId="169" fontId="14" fillId="0" borderId="37" xfId="0" applyNumberFormat="1" applyFont="1" applyBorder="1"/>
    <xf numFmtId="2" fontId="14" fillId="0" borderId="37" xfId="0" applyNumberFormat="1" applyFont="1" applyBorder="1"/>
    <xf numFmtId="0" fontId="14" fillId="0" borderId="37" xfId="0" applyFont="1" applyBorder="1"/>
    <xf numFmtId="11" fontId="14" fillId="0" borderId="37" xfId="0" applyNumberFormat="1" applyFont="1" applyBorder="1"/>
    <xf numFmtId="49" fontId="0" fillId="0" borderId="37" xfId="0" applyNumberFormat="1" applyBorder="1"/>
    <xf numFmtId="0" fontId="8" fillId="0" borderId="37" xfId="0" applyFont="1" applyBorder="1" applyAlignment="1">
      <alignment horizontal="left"/>
    </xf>
    <xf numFmtId="0" fontId="0" fillId="0" borderId="38" xfId="0" applyBorder="1"/>
    <xf numFmtId="164" fontId="0" fillId="0" borderId="39" xfId="0" applyNumberFormat="1" applyBorder="1"/>
    <xf numFmtId="49" fontId="0" fillId="0" borderId="40" xfId="0" applyNumberFormat="1" applyBorder="1"/>
    <xf numFmtId="0" fontId="0" fillId="0" borderId="41" xfId="0" applyBorder="1"/>
    <xf numFmtId="2" fontId="0" fillId="0" borderId="41" xfId="0" applyNumberFormat="1" applyBorder="1"/>
    <xf numFmtId="170" fontId="0" fillId="0" borderId="41" xfId="0" applyNumberFormat="1" applyBorder="1"/>
    <xf numFmtId="11" fontId="0" fillId="0" borderId="41" xfId="0" applyNumberFormat="1" applyBorder="1"/>
    <xf numFmtId="0" fontId="0" fillId="0" borderId="40" xfId="0" applyBorder="1"/>
    <xf numFmtId="11" fontId="16" fillId="0" borderId="0" xfId="0" applyNumberFormat="1" applyFont="1" applyAlignment="1">
      <alignment horizontal="right" vertical="center"/>
    </xf>
    <xf numFmtId="0" fontId="16" fillId="0" borderId="0" xfId="0" applyFont="1"/>
    <xf numFmtId="2" fontId="16" fillId="0" borderId="0" xfId="0" applyNumberFormat="1" applyFont="1" applyAlignment="1">
      <alignment horizontal="right" vertical="center"/>
    </xf>
    <xf numFmtId="0" fontId="84" fillId="0" borderId="0" xfId="0" applyFont="1"/>
    <xf numFmtId="1" fontId="85" fillId="0" borderId="0" xfId="0" applyNumberFormat="1" applyFont="1"/>
    <xf numFmtId="165" fontId="85" fillId="0" borderId="0" xfId="0" applyNumberFormat="1" applyFont="1"/>
    <xf numFmtId="165" fontId="86" fillId="0" borderId="0" xfId="0" applyNumberFormat="1" applyFont="1"/>
    <xf numFmtId="165" fontId="86" fillId="0" borderId="0" xfId="0" applyNumberFormat="1" applyFont="1" applyAlignment="1">
      <alignment horizontal="right" vertical="center"/>
    </xf>
    <xf numFmtId="171" fontId="86" fillId="0" borderId="0" xfId="0" applyNumberFormat="1" applyFont="1"/>
    <xf numFmtId="2" fontId="86" fillId="0" borderId="0" xfId="0" applyNumberFormat="1" applyFont="1"/>
    <xf numFmtId="2" fontId="86" fillId="0" borderId="0" xfId="0" applyNumberFormat="1" applyFont="1" applyAlignment="1">
      <alignment horizontal="right" vertical="center"/>
    </xf>
    <xf numFmtId="2" fontId="85" fillId="0" borderId="0" xfId="0" applyNumberFormat="1" applyFont="1"/>
    <xf numFmtId="164" fontId="88" fillId="0" borderId="0" xfId="0" applyNumberFormat="1" applyFont="1" applyAlignment="1">
      <alignment vertical="center"/>
    </xf>
    <xf numFmtId="0" fontId="89" fillId="0" borderId="0" xfId="0" applyFont="1"/>
    <xf numFmtId="0" fontId="80" fillId="0" borderId="0" xfId="0" applyFont="1"/>
  </cellXfs>
  <cellStyles count="3793">
    <cellStyle name="???????????" xfId="40" xr:uid="{00000000-0005-0000-0000-000028000000}"/>
    <cellStyle name="20 % - Akzent1" xfId="63" hidden="1" xr:uid="{00000000-0005-0000-0000-00003F000000}"/>
    <cellStyle name="20 % - Akzent1 2" xfId="388" xr:uid="{00000000-0005-0000-0000-000084010000}"/>
    <cellStyle name="20 % - Akzent1 3" xfId="257" xr:uid="{00000000-0005-0000-0000-000001010000}"/>
    <cellStyle name="20 % - Akzent2" xfId="67" hidden="1" xr:uid="{00000000-0005-0000-0000-000043000000}"/>
    <cellStyle name="20 % - Akzent2 2" xfId="389" xr:uid="{00000000-0005-0000-0000-000085010000}"/>
    <cellStyle name="20 % - Akzent2 3" xfId="258" xr:uid="{00000000-0005-0000-0000-000002010000}"/>
    <cellStyle name="20 % - Akzent3" xfId="71" hidden="1" xr:uid="{00000000-0005-0000-0000-000047000000}"/>
    <cellStyle name="20 % - Akzent3 2" xfId="390" xr:uid="{00000000-0005-0000-0000-000086010000}"/>
    <cellStyle name="20 % - Akzent3 3" xfId="259" xr:uid="{00000000-0005-0000-0000-000003010000}"/>
    <cellStyle name="20 % - Akzent4" xfId="74" hidden="1" xr:uid="{00000000-0005-0000-0000-00004A000000}"/>
    <cellStyle name="20 % - Akzent4 2" xfId="391" xr:uid="{00000000-0005-0000-0000-000087010000}"/>
    <cellStyle name="20 % - Akzent4 3" xfId="260" xr:uid="{00000000-0005-0000-0000-000004010000}"/>
    <cellStyle name="20 % - Akzent5" xfId="76" hidden="1" xr:uid="{00000000-0005-0000-0000-00004C000000}"/>
    <cellStyle name="20 % - Akzent5 2" xfId="392" xr:uid="{00000000-0005-0000-0000-000088010000}"/>
    <cellStyle name="20 % - Akzent5 3" xfId="261" xr:uid="{00000000-0005-0000-0000-000005010000}"/>
    <cellStyle name="20 % - Akzent6" xfId="80" hidden="1" xr:uid="{00000000-0005-0000-0000-000050000000}"/>
    <cellStyle name="20 % - Akzent6 2" xfId="393" xr:uid="{00000000-0005-0000-0000-000089010000}"/>
    <cellStyle name="20 % - Akzent6 3" xfId="262" xr:uid="{00000000-0005-0000-0000-000006010000}"/>
    <cellStyle name="20% - Accent1 2" xfId="94" xr:uid="{00000000-0005-0000-0000-00005E000000}"/>
    <cellStyle name="20% - Accent1 3" xfId="214" xr:uid="{00000000-0005-0000-0000-0000D6000000}"/>
    <cellStyle name="20% - Accent2 2" xfId="95" xr:uid="{00000000-0005-0000-0000-00005F000000}"/>
    <cellStyle name="20% - Accent2 3" xfId="215" xr:uid="{00000000-0005-0000-0000-0000D7000000}"/>
    <cellStyle name="20% - Accent3 2" xfId="96" xr:uid="{00000000-0005-0000-0000-000060000000}"/>
    <cellStyle name="20% - Accent3 3" xfId="216" xr:uid="{00000000-0005-0000-0000-0000D8000000}"/>
    <cellStyle name="20% - Accent4 2" xfId="97" xr:uid="{00000000-0005-0000-0000-000061000000}"/>
    <cellStyle name="20% - Accent4 3" xfId="217" xr:uid="{00000000-0005-0000-0000-0000D9000000}"/>
    <cellStyle name="20% - Accent5 2" xfId="98" xr:uid="{00000000-0005-0000-0000-000062000000}"/>
    <cellStyle name="20% - Accent5 3" xfId="218" xr:uid="{00000000-0005-0000-0000-0000DA000000}"/>
    <cellStyle name="20% - Accent6 2" xfId="99" xr:uid="{00000000-0005-0000-0000-000063000000}"/>
    <cellStyle name="20% - Accent6 3" xfId="219" xr:uid="{00000000-0005-0000-0000-0000DB000000}"/>
    <cellStyle name="2x indented GHG Textfiels" xfId="10" xr:uid="{00000000-0005-0000-0000-00000A000000}"/>
    <cellStyle name="2x indented GHG Textfiels 2" xfId="100" xr:uid="{00000000-0005-0000-0000-000064000000}"/>
    <cellStyle name="2x indented GHG Textfiels 2 2" xfId="101" xr:uid="{00000000-0005-0000-0000-000065000000}"/>
    <cellStyle name="2x indented GHG Textfiels 3" xfId="102" xr:uid="{00000000-0005-0000-0000-000066000000}"/>
    <cellStyle name="2x indented GHG Textfiels 3 2" xfId="415" xr:uid="{00000000-0005-0000-0000-00009F010000}"/>
    <cellStyle name="2x indented GHG Textfiels 3 2 2" xfId="545" xr:uid="{00000000-0005-0000-0000-000021020000}"/>
    <cellStyle name="2x indented GHG Textfiels 3 2 2 2" xfId="760" xr:uid="{00000000-0005-0000-0000-0000F8020000}"/>
    <cellStyle name="2x indented GHG Textfiels 3 2 2 2 2" xfId="943" xr:uid="{00000000-0005-0000-0000-0000AF030000}"/>
    <cellStyle name="2x indented GHG Textfiels 3 2 2 2 3" xfId="1942" xr:uid="{00000000-0005-0000-0000-000096070000}"/>
    <cellStyle name="2x indented GHG Textfiels 3 2 2 2 4" xfId="2353" xr:uid="{00000000-0005-0000-0000-000031090000}"/>
    <cellStyle name="2x indented GHG Textfiels 3 2 2 2 5" xfId="1610" xr:uid="{00000000-0005-0000-0000-00004A060000}"/>
    <cellStyle name="2x indented GHG Textfiels 3 2 2 2 6" xfId="2500" xr:uid="{00000000-0005-0000-0000-0000C4090000}"/>
    <cellStyle name="2x indented GHG Textfiels 3 2 2 2 7" xfId="3430" xr:uid="{00000000-0005-0000-0000-0000660D0000}"/>
    <cellStyle name="2x indented GHG Textfiels 3 2 2 2 8" xfId="1692" xr:uid="{00000000-0005-0000-0000-00009C060000}"/>
    <cellStyle name="2x indented GHG Textfiels 3 2 2 3" xfId="1634" xr:uid="{00000000-0005-0000-0000-000062060000}"/>
    <cellStyle name="2x indented GHG Textfiels 3 2 2 4" xfId="1727" xr:uid="{00000000-0005-0000-0000-0000BF060000}"/>
    <cellStyle name="2x indented GHG Textfiels 3 2 2 5" xfId="2139" xr:uid="{00000000-0005-0000-0000-00005B080000}"/>
    <cellStyle name="2x indented GHG Textfiels 3 2 2 6" xfId="2763" xr:uid="{00000000-0005-0000-0000-0000CB0A0000}"/>
    <cellStyle name="2x indented GHG Textfiels 3 2 2 7" xfId="2994" xr:uid="{00000000-0005-0000-0000-0000B20B0000}"/>
    <cellStyle name="2x indented GHG Textfiels 3 2 2 8" xfId="3218" xr:uid="{00000000-0005-0000-0000-0000920C0000}"/>
    <cellStyle name="2x indented GHG Textfiels 3 2 2 9" xfId="3621" xr:uid="{00000000-0005-0000-0000-0000250E0000}"/>
    <cellStyle name="2x indented GHG Textfiels 3 2 3" xfId="723" xr:uid="{00000000-0005-0000-0000-0000D3020000}"/>
    <cellStyle name="2x indented GHG Textfiels 3 2 3 2" xfId="915" xr:uid="{00000000-0005-0000-0000-000093030000}"/>
    <cellStyle name="2x indented GHG Textfiels 3 2 3 3" xfId="1905" xr:uid="{00000000-0005-0000-0000-000071070000}"/>
    <cellStyle name="2x indented GHG Textfiels 3 2 3 4" xfId="2316" xr:uid="{00000000-0005-0000-0000-00000C090000}"/>
    <cellStyle name="2x indented GHG Textfiels 3 2 3 5" xfId="2755" xr:uid="{00000000-0005-0000-0000-0000C30A0000}"/>
    <cellStyle name="2x indented GHG Textfiels 3 2 3 6" xfId="2791" xr:uid="{00000000-0005-0000-0000-0000E70A0000}"/>
    <cellStyle name="2x indented GHG Textfiels 3 2 3 7" xfId="3393" xr:uid="{00000000-0005-0000-0000-0000410D0000}"/>
    <cellStyle name="2x indented GHG Textfiels 3 2 3 8" xfId="3692" xr:uid="{00000000-0005-0000-0000-00006C0E0000}"/>
    <cellStyle name="2x indented GHG Textfiels 3 3" xfId="363" xr:uid="{00000000-0005-0000-0000-00006B010000}"/>
    <cellStyle name="2x indented GHG Textfiels 3 3 10" xfId="1511" xr:uid="{00000000-0005-0000-0000-0000E7050000}"/>
    <cellStyle name="2x indented GHG Textfiels 3 3 11" xfId="3650" xr:uid="{00000000-0005-0000-0000-0000420E0000}"/>
    <cellStyle name="2x indented GHG Textfiels 3 3 2" xfId="650" xr:uid="{00000000-0005-0000-0000-00008A020000}"/>
    <cellStyle name="2x indented GHG Textfiels 3 3 2 2" xfId="865" xr:uid="{00000000-0005-0000-0000-000061030000}"/>
    <cellStyle name="2x indented GHG Textfiels 3 3 2 2 2" xfId="987" xr:uid="{00000000-0005-0000-0000-0000DB030000}"/>
    <cellStyle name="2x indented GHG Textfiels 3 3 2 2 3" xfId="2047" xr:uid="{00000000-0005-0000-0000-0000FF070000}"/>
    <cellStyle name="2x indented GHG Textfiels 3 3 2 2 4" xfId="2458" xr:uid="{00000000-0005-0000-0000-00009A090000}"/>
    <cellStyle name="2x indented GHG Textfiels 3 3 2 2 5" xfId="1563" xr:uid="{00000000-0005-0000-0000-00001B060000}"/>
    <cellStyle name="2x indented GHG Textfiels 3 3 2 2 6" xfId="961" xr:uid="{00000000-0005-0000-0000-0000C1030000}"/>
    <cellStyle name="2x indented GHG Textfiels 3 3 2 2 7" xfId="3535" xr:uid="{00000000-0005-0000-0000-0000CF0D0000}"/>
    <cellStyle name="2x indented GHG Textfiels 3 3 2 2 8" xfId="3666" xr:uid="{00000000-0005-0000-0000-0000520E0000}"/>
    <cellStyle name="2x indented GHG Textfiels 3 3 2 3" xfId="1407" xr:uid="{00000000-0005-0000-0000-00007F050000}"/>
    <cellStyle name="2x indented GHG Textfiels 3 3 2 4" xfId="1832" xr:uid="{00000000-0005-0000-0000-000028070000}"/>
    <cellStyle name="2x indented GHG Textfiels 3 3 2 5" xfId="2244" xr:uid="{00000000-0005-0000-0000-0000C4080000}"/>
    <cellStyle name="2x indented GHG Textfiels 3 3 2 6" xfId="2563" xr:uid="{00000000-0005-0000-0000-0000030A0000}"/>
    <cellStyle name="2x indented GHG Textfiels 3 3 2 7" xfId="1195" xr:uid="{00000000-0005-0000-0000-0000AB040000}"/>
    <cellStyle name="2x indented GHG Textfiels 3 3 2 8" xfId="3323" xr:uid="{00000000-0005-0000-0000-0000FB0C0000}"/>
    <cellStyle name="2x indented GHG Textfiels 3 3 2 9" xfId="3101" xr:uid="{00000000-0005-0000-0000-00001D0C0000}"/>
    <cellStyle name="2x indented GHG Textfiels 3 3 3" xfId="652" xr:uid="{00000000-0005-0000-0000-00008C020000}"/>
    <cellStyle name="2x indented GHG Textfiels 3 3 3 2" xfId="867" xr:uid="{00000000-0005-0000-0000-000063030000}"/>
    <cellStyle name="2x indented GHG Textfiels 3 3 3 2 2" xfId="986" xr:uid="{00000000-0005-0000-0000-0000DA030000}"/>
    <cellStyle name="2x indented GHG Textfiels 3 3 3 2 3" xfId="2049" xr:uid="{00000000-0005-0000-0000-000001080000}"/>
    <cellStyle name="2x indented GHG Textfiels 3 3 3 2 4" xfId="2460" xr:uid="{00000000-0005-0000-0000-00009C090000}"/>
    <cellStyle name="2x indented GHG Textfiels 3 3 3 2 5" xfId="2532" xr:uid="{00000000-0005-0000-0000-0000E4090000}"/>
    <cellStyle name="2x indented GHG Textfiels 3 3 3 2 6" xfId="1514" xr:uid="{00000000-0005-0000-0000-0000EA050000}"/>
    <cellStyle name="2x indented GHG Textfiels 3 3 3 2 7" xfId="3537" xr:uid="{00000000-0005-0000-0000-0000D10D0000}"/>
    <cellStyle name="2x indented GHG Textfiels 3 3 3 2 8" xfId="3653" xr:uid="{00000000-0005-0000-0000-0000450E0000}"/>
    <cellStyle name="2x indented GHG Textfiels 3 3 3 3" xfId="1639" xr:uid="{00000000-0005-0000-0000-000067060000}"/>
    <cellStyle name="2x indented GHG Textfiels 3 3 3 4" xfId="1834" xr:uid="{00000000-0005-0000-0000-00002A070000}"/>
    <cellStyle name="2x indented GHG Textfiels 3 3 3 5" xfId="2246" xr:uid="{00000000-0005-0000-0000-0000C6080000}"/>
    <cellStyle name="2x indented GHG Textfiels 3 3 3 6" xfId="2646" xr:uid="{00000000-0005-0000-0000-0000560A0000}"/>
    <cellStyle name="2x indented GHG Textfiels 3 3 3 7" xfId="2999" xr:uid="{00000000-0005-0000-0000-0000B70B0000}"/>
    <cellStyle name="2x indented GHG Textfiels 3 3 3 8" xfId="3325" xr:uid="{00000000-0005-0000-0000-0000FD0C0000}"/>
    <cellStyle name="2x indented GHG Textfiels 3 3 3 9" xfId="3649" xr:uid="{00000000-0005-0000-0000-0000410E0000}"/>
    <cellStyle name="2x indented GHG Textfiels 3 3 4" xfId="548" xr:uid="{00000000-0005-0000-0000-000024020000}"/>
    <cellStyle name="2x indented GHG Textfiels 3 3 4 2" xfId="763" xr:uid="{00000000-0005-0000-0000-0000FB020000}"/>
    <cellStyle name="2x indented GHG Textfiels 3 3 4 2 2" xfId="1015" xr:uid="{00000000-0005-0000-0000-0000F7030000}"/>
    <cellStyle name="2x indented GHG Textfiels 3 3 4 2 3" xfId="1945" xr:uid="{00000000-0005-0000-0000-000099070000}"/>
    <cellStyle name="2x indented GHG Textfiels 3 3 4 2 4" xfId="2356" xr:uid="{00000000-0005-0000-0000-000034090000}"/>
    <cellStyle name="2x indented GHG Textfiels 3 3 4 2 5" xfId="1689" xr:uid="{00000000-0005-0000-0000-000099060000}"/>
    <cellStyle name="2x indented GHG Textfiels 3 3 4 2 6" xfId="2672" xr:uid="{00000000-0005-0000-0000-0000700A0000}"/>
    <cellStyle name="2x indented GHG Textfiels 3 3 4 2 7" xfId="3433" xr:uid="{00000000-0005-0000-0000-0000690D0000}"/>
    <cellStyle name="2x indented GHG Textfiels 3 3 4 2 8" xfId="3064" xr:uid="{00000000-0005-0000-0000-0000F80B0000}"/>
    <cellStyle name="2x indented GHG Textfiels 3 3 4 3" xfId="1364" xr:uid="{00000000-0005-0000-0000-000054050000}"/>
    <cellStyle name="2x indented GHG Textfiels 3 3 4 4" xfId="1730" xr:uid="{00000000-0005-0000-0000-0000C2060000}"/>
    <cellStyle name="2x indented GHG Textfiels 3 3 4 5" xfId="2142" xr:uid="{00000000-0005-0000-0000-00005E080000}"/>
    <cellStyle name="2x indented GHG Textfiels 3 3 4 6" xfId="2762" xr:uid="{00000000-0005-0000-0000-0000CA0A0000}"/>
    <cellStyle name="2x indented GHG Textfiels 3 3 4 7" xfId="3020" xr:uid="{00000000-0005-0000-0000-0000CC0B0000}"/>
    <cellStyle name="2x indented GHG Textfiels 3 3 4 8" xfId="3221" xr:uid="{00000000-0005-0000-0000-0000950C0000}"/>
    <cellStyle name="2x indented GHG Textfiels 3 3 4 9" xfId="3705" xr:uid="{00000000-0005-0000-0000-0000790E0000}"/>
    <cellStyle name="2x indented GHG Textfiels 3 3 5" xfId="1404" xr:uid="{00000000-0005-0000-0000-00007C050000}"/>
    <cellStyle name="2x indented GHG Textfiels 3 3 6" xfId="1056" xr:uid="{00000000-0005-0000-0000-000020040000}"/>
    <cellStyle name="2x indented GHG Textfiels 3 3 7" xfId="1456" xr:uid="{00000000-0005-0000-0000-0000B0050000}"/>
    <cellStyle name="2x indented GHG Textfiels 3 3 8" xfId="1071" xr:uid="{00000000-0005-0000-0000-00002F040000}"/>
    <cellStyle name="2x indented GHG Textfiels 3 3 9" xfId="3100" xr:uid="{00000000-0005-0000-0000-00001C0C0000}"/>
    <cellStyle name="40 % - Akzent1" xfId="64" hidden="1" xr:uid="{00000000-0005-0000-0000-000040000000}"/>
    <cellStyle name="40 % - Akzent1 2" xfId="394" xr:uid="{00000000-0005-0000-0000-00008A010000}"/>
    <cellStyle name="40 % - Akzent1 3" xfId="263" xr:uid="{00000000-0005-0000-0000-000007010000}"/>
    <cellStyle name="40 % - Akzent2" xfId="68" hidden="1" xr:uid="{00000000-0005-0000-0000-000044000000}"/>
    <cellStyle name="40 % - Akzent2 2" xfId="395" xr:uid="{00000000-0005-0000-0000-00008B010000}"/>
    <cellStyle name="40 % - Akzent2 3" xfId="264" xr:uid="{00000000-0005-0000-0000-000008010000}"/>
    <cellStyle name="40 % - Akzent3" xfId="70" hidden="1" xr:uid="{00000000-0005-0000-0000-000046000000}"/>
    <cellStyle name="40 % - Akzent3 2" xfId="396" xr:uid="{00000000-0005-0000-0000-00008C010000}"/>
    <cellStyle name="40 % - Akzent3 3" xfId="265" xr:uid="{00000000-0005-0000-0000-000009010000}"/>
    <cellStyle name="40 % - Akzent4" xfId="75" hidden="1" xr:uid="{00000000-0005-0000-0000-00004B000000}"/>
    <cellStyle name="40 % - Akzent4 2" xfId="397" xr:uid="{00000000-0005-0000-0000-00008D010000}"/>
    <cellStyle name="40 % - Akzent4 3" xfId="266" xr:uid="{00000000-0005-0000-0000-00000A010000}"/>
    <cellStyle name="40 % - Akzent5" xfId="77" hidden="1" xr:uid="{00000000-0005-0000-0000-00004D000000}"/>
    <cellStyle name="40 % - Akzent5 2" xfId="398" xr:uid="{00000000-0005-0000-0000-00008E010000}"/>
    <cellStyle name="40 % - Akzent5 3" xfId="267" xr:uid="{00000000-0005-0000-0000-00000B010000}"/>
    <cellStyle name="40 % - Akzent6" xfId="81" hidden="1" xr:uid="{00000000-0005-0000-0000-000051000000}"/>
    <cellStyle name="40 % - Akzent6 2" xfId="399" xr:uid="{00000000-0005-0000-0000-00008F010000}"/>
    <cellStyle name="40 % - Akzent6 3" xfId="268" xr:uid="{00000000-0005-0000-0000-00000C010000}"/>
    <cellStyle name="40% - Accent1 2" xfId="103" xr:uid="{00000000-0005-0000-0000-000067000000}"/>
    <cellStyle name="40% - Accent1 3" xfId="220" xr:uid="{00000000-0005-0000-0000-0000DC000000}"/>
    <cellStyle name="40% - Accent2 2" xfId="104" xr:uid="{00000000-0005-0000-0000-000068000000}"/>
    <cellStyle name="40% - Accent2 3" xfId="221" xr:uid="{00000000-0005-0000-0000-0000DD000000}"/>
    <cellStyle name="40% - Accent3 2" xfId="105" xr:uid="{00000000-0005-0000-0000-000069000000}"/>
    <cellStyle name="40% - Accent3 3" xfId="222" xr:uid="{00000000-0005-0000-0000-0000DE000000}"/>
    <cellStyle name="40% - Accent4 2" xfId="106" xr:uid="{00000000-0005-0000-0000-00006A000000}"/>
    <cellStyle name="40% - Accent4 3" xfId="223" xr:uid="{00000000-0005-0000-0000-0000DF000000}"/>
    <cellStyle name="40% - Accent5 2" xfId="107" xr:uid="{00000000-0005-0000-0000-00006B000000}"/>
    <cellStyle name="40% - Accent5 3" xfId="224" xr:uid="{00000000-0005-0000-0000-0000E0000000}"/>
    <cellStyle name="40% - Accent6 2" xfId="108" xr:uid="{00000000-0005-0000-0000-00006C000000}"/>
    <cellStyle name="40% - Accent6 3" xfId="225" xr:uid="{00000000-0005-0000-0000-0000E1000000}"/>
    <cellStyle name="5x indented GHG Textfiels" xfId="14" xr:uid="{00000000-0005-0000-0000-00000E000000}"/>
    <cellStyle name="5x indented GHG Textfiels 2" xfId="109" xr:uid="{00000000-0005-0000-0000-00006D000000}"/>
    <cellStyle name="5x indented GHG Textfiels 2 2" xfId="110" xr:uid="{00000000-0005-0000-0000-00006E000000}"/>
    <cellStyle name="5x indented GHG Textfiels 3" xfId="111" xr:uid="{00000000-0005-0000-0000-00006F000000}"/>
    <cellStyle name="5x indented GHG Textfiels 3 2" xfId="416" xr:uid="{00000000-0005-0000-0000-0000A0010000}"/>
    <cellStyle name="5x indented GHG Textfiels 3 3" xfId="364" xr:uid="{00000000-0005-0000-0000-00006C010000}"/>
    <cellStyle name="5x indented GHG Textfiels 3 3 10" xfId="2945" xr:uid="{00000000-0005-0000-0000-0000810B0000}"/>
    <cellStyle name="5x indented GHG Textfiels 3 3 11" xfId="964" xr:uid="{00000000-0005-0000-0000-0000C4030000}"/>
    <cellStyle name="5x indented GHG Textfiels 3 3 12" xfId="3633" xr:uid="{00000000-0005-0000-0000-0000310E0000}"/>
    <cellStyle name="5x indented GHG Textfiels 3 3 2" xfId="651" xr:uid="{00000000-0005-0000-0000-00008B020000}"/>
    <cellStyle name="5x indented GHG Textfiels 3 3 2 2" xfId="866" xr:uid="{00000000-0005-0000-0000-000062030000}"/>
    <cellStyle name="5x indented GHG Textfiels 3 3 2 2 2" xfId="1084" xr:uid="{00000000-0005-0000-0000-00003C040000}"/>
    <cellStyle name="5x indented GHG Textfiels 3 3 2 2 3" xfId="2048" xr:uid="{00000000-0005-0000-0000-000000080000}"/>
    <cellStyle name="5x indented GHG Textfiels 3 3 2 2 4" xfId="2459" xr:uid="{00000000-0005-0000-0000-00009B090000}"/>
    <cellStyle name="5x indented GHG Textfiels 3 3 2 2 5" xfId="2583" xr:uid="{00000000-0005-0000-0000-0000170A0000}"/>
    <cellStyle name="5x indented GHG Textfiels 3 3 2 2 6" xfId="2600" xr:uid="{00000000-0005-0000-0000-0000280A0000}"/>
    <cellStyle name="5x indented GHG Textfiels 3 3 2 2 7" xfId="3536" xr:uid="{00000000-0005-0000-0000-0000D00D0000}"/>
    <cellStyle name="5x indented GHG Textfiels 3 3 2 2 8" xfId="2510" xr:uid="{00000000-0005-0000-0000-0000CE090000}"/>
    <cellStyle name="5x indented GHG Textfiels 3 3 2 3" xfId="1256" xr:uid="{00000000-0005-0000-0000-0000E8040000}"/>
    <cellStyle name="5x indented GHG Textfiels 3 3 2 4" xfId="1833" xr:uid="{00000000-0005-0000-0000-000029070000}"/>
    <cellStyle name="5x indented GHG Textfiels 3 3 2 5" xfId="2245" xr:uid="{00000000-0005-0000-0000-0000C5080000}"/>
    <cellStyle name="5x indented GHG Textfiels 3 3 2 6" xfId="2827" xr:uid="{00000000-0005-0000-0000-00000B0B0000}"/>
    <cellStyle name="5x indented GHG Textfiels 3 3 2 7" xfId="3151" xr:uid="{00000000-0005-0000-0000-00004F0C0000}"/>
    <cellStyle name="5x indented GHG Textfiels 3 3 2 8" xfId="3324" xr:uid="{00000000-0005-0000-0000-0000FC0C0000}"/>
    <cellStyle name="5x indented GHG Textfiels 3 3 2 9" xfId="3766" xr:uid="{00000000-0005-0000-0000-0000B60E0000}"/>
    <cellStyle name="5x indented GHG Textfiels 3 3 3" xfId="598" xr:uid="{00000000-0005-0000-0000-000056020000}"/>
    <cellStyle name="5x indented GHG Textfiels 3 3 3 2" xfId="813" xr:uid="{00000000-0005-0000-0000-00002D030000}"/>
    <cellStyle name="5x indented GHG Textfiels 3 3 3 2 2" xfId="1569" xr:uid="{00000000-0005-0000-0000-000021060000}"/>
    <cellStyle name="5x indented GHG Textfiels 3 3 3 2 3" xfId="1995" xr:uid="{00000000-0005-0000-0000-0000CB070000}"/>
    <cellStyle name="5x indented GHG Textfiels 3 3 3 2 4" xfId="2406" xr:uid="{00000000-0005-0000-0000-000066090000}"/>
    <cellStyle name="5x indented GHG Textfiels 3 3 3 2 5" xfId="2811" xr:uid="{00000000-0005-0000-0000-0000FB0A0000}"/>
    <cellStyle name="5x indented GHG Textfiels 3 3 3 2 6" xfId="2979" xr:uid="{00000000-0005-0000-0000-0000A30B0000}"/>
    <cellStyle name="5x indented GHG Textfiels 3 3 3 2 7" xfId="3483" xr:uid="{00000000-0005-0000-0000-00009B0D0000}"/>
    <cellStyle name="5x indented GHG Textfiels 3 3 3 2 8" xfId="3685" xr:uid="{00000000-0005-0000-0000-0000650E0000}"/>
    <cellStyle name="5x indented GHG Textfiels 3 3 3 3" xfId="1590" xr:uid="{00000000-0005-0000-0000-000036060000}"/>
    <cellStyle name="5x indented GHG Textfiels 3 3 3 4" xfId="1780" xr:uid="{00000000-0005-0000-0000-0000F4060000}"/>
    <cellStyle name="5x indented GHG Textfiels 3 3 3 5" xfId="2192" xr:uid="{00000000-0005-0000-0000-000090080000}"/>
    <cellStyle name="5x indented GHG Textfiels 3 3 3 6" xfId="2617" xr:uid="{00000000-0005-0000-0000-0000390A0000}"/>
    <cellStyle name="5x indented GHG Textfiels 3 3 3 7" xfId="2960" xr:uid="{00000000-0005-0000-0000-0000900B0000}"/>
    <cellStyle name="5x indented GHG Textfiels 3 3 3 8" xfId="3271" xr:uid="{00000000-0005-0000-0000-0000C70C0000}"/>
    <cellStyle name="5x indented GHG Textfiels 3 3 3 9" xfId="2557" xr:uid="{00000000-0005-0000-0000-0000FD090000}"/>
    <cellStyle name="5x indented GHG Textfiels 3 3 4" xfId="682" xr:uid="{00000000-0005-0000-0000-0000AA020000}"/>
    <cellStyle name="5x indented GHG Textfiels 3 3 4 2" xfId="897" xr:uid="{00000000-0005-0000-0000-000081030000}"/>
    <cellStyle name="5x indented GHG Textfiels 3 3 4 2 2" xfId="1656" xr:uid="{00000000-0005-0000-0000-000078060000}"/>
    <cellStyle name="5x indented GHG Textfiels 3 3 4 2 3" xfId="2079" xr:uid="{00000000-0005-0000-0000-00001F080000}"/>
    <cellStyle name="5x indented GHG Textfiels 3 3 4 2 4" xfId="2490" xr:uid="{00000000-0005-0000-0000-0000BA090000}"/>
    <cellStyle name="5x indented GHG Textfiels 3 3 4 2 5" xfId="2848" xr:uid="{00000000-0005-0000-0000-0000200B0000}"/>
    <cellStyle name="5x indented GHG Textfiels 3 3 4 2 6" xfId="3169" xr:uid="{00000000-0005-0000-0000-0000610C0000}"/>
    <cellStyle name="5x indented GHG Textfiels 3 3 4 2 7" xfId="3567" xr:uid="{00000000-0005-0000-0000-0000EF0D0000}"/>
    <cellStyle name="5x indented GHG Textfiels 3 3 4 2 8" xfId="3783" xr:uid="{00000000-0005-0000-0000-0000C70E0000}"/>
    <cellStyle name="5x indented GHG Textfiels 3 3 4 3" xfId="1498" xr:uid="{00000000-0005-0000-0000-0000DA050000}"/>
    <cellStyle name="5x indented GHG Textfiels 3 3 4 4" xfId="1864" xr:uid="{00000000-0005-0000-0000-000048070000}"/>
    <cellStyle name="5x indented GHG Textfiels 3 3 4 5" xfId="2276" xr:uid="{00000000-0005-0000-0000-0000E4080000}"/>
    <cellStyle name="5x indented GHG Textfiels 3 3 4 6" xfId="2585" xr:uid="{00000000-0005-0000-0000-0000190A0000}"/>
    <cellStyle name="5x indented GHG Textfiels 3 3 4 7" xfId="2719" xr:uid="{00000000-0005-0000-0000-00009F0A0000}"/>
    <cellStyle name="5x indented GHG Textfiels 3 3 4 8" xfId="3355" xr:uid="{00000000-0005-0000-0000-00001B0D0000}"/>
    <cellStyle name="5x indented GHG Textfiels 3 3 4 9" xfId="2885" xr:uid="{00000000-0005-0000-0000-0000450B0000}"/>
    <cellStyle name="5x indented GHG Textfiels 3 3 5" xfId="719" xr:uid="{00000000-0005-0000-0000-0000CF020000}"/>
    <cellStyle name="5x indented GHG Textfiels 3 3 6" xfId="1266" xr:uid="{00000000-0005-0000-0000-0000F2040000}"/>
    <cellStyle name="5x indented GHG Textfiels 3 3 7" xfId="1201" xr:uid="{00000000-0005-0000-0000-0000B1040000}"/>
    <cellStyle name="5x indented GHG Textfiels 3 3 8" xfId="1278" xr:uid="{00000000-0005-0000-0000-0000FE040000}"/>
    <cellStyle name="5x indented GHG Textfiels 3 3 9" xfId="2770" xr:uid="{00000000-0005-0000-0000-0000D20A0000}"/>
    <cellStyle name="5x indented GHG Textfiels_Table 4(II)" xfId="206" xr:uid="{00000000-0005-0000-0000-0000CE000000}"/>
    <cellStyle name="60 % - Akzent1" xfId="65" hidden="1" xr:uid="{00000000-0005-0000-0000-000041000000}"/>
    <cellStyle name="60 % - Akzent1 2" xfId="400" xr:uid="{00000000-0005-0000-0000-000090010000}"/>
    <cellStyle name="60 % - Akzent1 3" xfId="269" xr:uid="{00000000-0005-0000-0000-00000D010000}"/>
    <cellStyle name="60 % - Akzent2" xfId="69" hidden="1" xr:uid="{00000000-0005-0000-0000-000045000000}"/>
    <cellStyle name="60 % - Akzent2 2" xfId="401" xr:uid="{00000000-0005-0000-0000-000091010000}"/>
    <cellStyle name="60 % - Akzent2 3" xfId="270" xr:uid="{00000000-0005-0000-0000-00000E010000}"/>
    <cellStyle name="60 % - Akzent3" xfId="72" hidden="1" xr:uid="{00000000-0005-0000-0000-000048000000}"/>
    <cellStyle name="60 % - Akzent3 2" xfId="402" xr:uid="{00000000-0005-0000-0000-000092010000}"/>
    <cellStyle name="60 % - Akzent3 3" xfId="271" xr:uid="{00000000-0005-0000-0000-00000F010000}"/>
    <cellStyle name="60 % - Akzent4" xfId="48" hidden="1" xr:uid="{00000000-0005-0000-0000-000030000000}"/>
    <cellStyle name="60 % - Akzent4 2" xfId="403" xr:uid="{00000000-0005-0000-0000-000093010000}"/>
    <cellStyle name="60 % - Akzent4 3" xfId="272" xr:uid="{00000000-0005-0000-0000-000010010000}"/>
    <cellStyle name="60 % - Akzent5" xfId="78" hidden="1" xr:uid="{00000000-0005-0000-0000-00004E000000}"/>
    <cellStyle name="60 % - Akzent5 2" xfId="404" xr:uid="{00000000-0005-0000-0000-000094010000}"/>
    <cellStyle name="60 % - Akzent5 3" xfId="273" xr:uid="{00000000-0005-0000-0000-000011010000}"/>
    <cellStyle name="60 % - Akzent6" xfId="82" hidden="1" xr:uid="{00000000-0005-0000-0000-000052000000}"/>
    <cellStyle name="60 % - Akzent6 2" xfId="405" xr:uid="{00000000-0005-0000-0000-000095010000}"/>
    <cellStyle name="60 % - Akzent6 3" xfId="274" xr:uid="{00000000-0005-0000-0000-000012010000}"/>
    <cellStyle name="60% - Accent1 2" xfId="112" xr:uid="{00000000-0005-0000-0000-000070000000}"/>
    <cellStyle name="60% - Accent1 3" xfId="226" xr:uid="{00000000-0005-0000-0000-0000E2000000}"/>
    <cellStyle name="60% - Accent2 2" xfId="113" xr:uid="{00000000-0005-0000-0000-000071000000}"/>
    <cellStyle name="60% - Accent2 3" xfId="227" xr:uid="{00000000-0005-0000-0000-0000E3000000}"/>
    <cellStyle name="60% - Accent3 2" xfId="114" xr:uid="{00000000-0005-0000-0000-000072000000}"/>
    <cellStyle name="60% - Accent3 3" xfId="228" xr:uid="{00000000-0005-0000-0000-0000E4000000}"/>
    <cellStyle name="60% - Accent4 2" xfId="115" xr:uid="{00000000-0005-0000-0000-000073000000}"/>
    <cellStyle name="60% - Accent4 3" xfId="229" xr:uid="{00000000-0005-0000-0000-0000E5000000}"/>
    <cellStyle name="60% - Accent5 2" xfId="116" xr:uid="{00000000-0005-0000-0000-000074000000}"/>
    <cellStyle name="60% - Accent5 3" xfId="230" xr:uid="{00000000-0005-0000-0000-0000E6000000}"/>
    <cellStyle name="60% - Accent6 2" xfId="117" xr:uid="{00000000-0005-0000-0000-000075000000}"/>
    <cellStyle name="60% - Accent6 3" xfId="231" xr:uid="{00000000-0005-0000-0000-0000E7000000}"/>
    <cellStyle name="Accent1 2" xfId="118" xr:uid="{00000000-0005-0000-0000-000076000000}"/>
    <cellStyle name="Accent1 3" xfId="232" xr:uid="{00000000-0005-0000-0000-0000E8000000}"/>
    <cellStyle name="Accent1 4" xfId="365" xr:uid="{00000000-0005-0000-0000-00006D010000}"/>
    <cellStyle name="Accent2 2" xfId="119" xr:uid="{00000000-0005-0000-0000-000077000000}"/>
    <cellStyle name="Accent2 3" xfId="233" xr:uid="{00000000-0005-0000-0000-0000E9000000}"/>
    <cellStyle name="Accent2 4" xfId="366" xr:uid="{00000000-0005-0000-0000-00006E010000}"/>
    <cellStyle name="Accent3 2" xfId="120" xr:uid="{00000000-0005-0000-0000-000078000000}"/>
    <cellStyle name="Accent3 3" xfId="234" xr:uid="{00000000-0005-0000-0000-0000EA000000}"/>
    <cellStyle name="Accent3 4" xfId="367" xr:uid="{00000000-0005-0000-0000-00006F010000}"/>
    <cellStyle name="Accent4 2" xfId="121" xr:uid="{00000000-0005-0000-0000-000079000000}"/>
    <cellStyle name="Accent4 3" xfId="235" xr:uid="{00000000-0005-0000-0000-0000EB000000}"/>
    <cellStyle name="Accent4 4" xfId="368" xr:uid="{00000000-0005-0000-0000-000070010000}"/>
    <cellStyle name="Accent5 2" xfId="122" xr:uid="{00000000-0005-0000-0000-00007A000000}"/>
    <cellStyle name="Accent5 3" xfId="236" xr:uid="{00000000-0005-0000-0000-0000EC000000}"/>
    <cellStyle name="Accent5 4" xfId="369" xr:uid="{00000000-0005-0000-0000-000071010000}"/>
    <cellStyle name="Accent6 2" xfId="123" xr:uid="{00000000-0005-0000-0000-00007B000000}"/>
    <cellStyle name="Accent6 3" xfId="237" xr:uid="{00000000-0005-0000-0000-0000ED000000}"/>
    <cellStyle name="Accent6 4" xfId="370" xr:uid="{00000000-0005-0000-0000-000072010000}"/>
    <cellStyle name="AggblueBoldCels" xfId="124" xr:uid="{00000000-0005-0000-0000-00007C000000}"/>
    <cellStyle name="AggblueBoldCels 2" xfId="125" xr:uid="{00000000-0005-0000-0000-00007D000000}"/>
    <cellStyle name="AggblueCels" xfId="35" xr:uid="{00000000-0005-0000-0000-000023000000}"/>
    <cellStyle name="AggblueCels 2" xfId="126" xr:uid="{00000000-0005-0000-0000-00007E000000}"/>
    <cellStyle name="AggblueCels_1x" xfId="34" xr:uid="{00000000-0005-0000-0000-000022000000}"/>
    <cellStyle name="AggBoldCells" xfId="8" xr:uid="{00000000-0005-0000-0000-000008000000}"/>
    <cellStyle name="AggBoldCells 2" xfId="127" xr:uid="{00000000-0005-0000-0000-00007F000000}"/>
    <cellStyle name="AggBoldCells 3" xfId="207" xr:uid="{00000000-0005-0000-0000-0000CF000000}"/>
    <cellStyle name="AggBoldCells 4" xfId="359" xr:uid="{00000000-0005-0000-0000-000067010000}"/>
    <cellStyle name="AggCels" xfId="11" xr:uid="{00000000-0005-0000-0000-00000B000000}"/>
    <cellStyle name="AggCels 2" xfId="128" xr:uid="{00000000-0005-0000-0000-000080000000}"/>
    <cellStyle name="AggCels 3" xfId="208" xr:uid="{00000000-0005-0000-0000-0000D0000000}"/>
    <cellStyle name="AggCels 4" xfId="360" xr:uid="{00000000-0005-0000-0000-000068010000}"/>
    <cellStyle name="AggCels_T(2)" xfId="9" xr:uid="{00000000-0005-0000-0000-000009000000}"/>
    <cellStyle name="AggGreen" xfId="25" xr:uid="{00000000-0005-0000-0000-000019000000}"/>
    <cellStyle name="AggGreen 2" xfId="129" xr:uid="{00000000-0005-0000-0000-000081000000}"/>
    <cellStyle name="AggGreen 2 2" xfId="418" xr:uid="{00000000-0005-0000-0000-0000A2010000}"/>
    <cellStyle name="AggGreen 2 2 2" xfId="595" xr:uid="{00000000-0005-0000-0000-000053020000}"/>
    <cellStyle name="AggGreen 2 2 2 2" xfId="810" xr:uid="{00000000-0005-0000-0000-00002A030000}"/>
    <cellStyle name="AggGreen 2 2 2 2 2" xfId="1489" xr:uid="{00000000-0005-0000-0000-0000D1050000}"/>
    <cellStyle name="AggGreen 2 2 2 2 3" xfId="1992" xr:uid="{00000000-0005-0000-0000-0000C8070000}"/>
    <cellStyle name="AggGreen 2 2 2 2 4" xfId="2403" xr:uid="{00000000-0005-0000-0000-000063090000}"/>
    <cellStyle name="AggGreen 2 2 2 2 5" xfId="2640" xr:uid="{00000000-0005-0000-0000-0000500A0000}"/>
    <cellStyle name="AggGreen 2 2 2 2 6" xfId="3092" xr:uid="{00000000-0005-0000-0000-0000140C0000}"/>
    <cellStyle name="AggGreen 2 2 2 2 7" xfId="3480" xr:uid="{00000000-0005-0000-0000-0000980D0000}"/>
    <cellStyle name="AggGreen 2 2 2 2 8" xfId="953" xr:uid="{00000000-0005-0000-0000-0000B9030000}"/>
    <cellStyle name="AggGreen 2 2 2 3" xfId="1460" xr:uid="{00000000-0005-0000-0000-0000B4050000}"/>
    <cellStyle name="AggGreen 2 2 2 4" xfId="1777" xr:uid="{00000000-0005-0000-0000-0000F1060000}"/>
    <cellStyle name="AggGreen 2 2 2 5" xfId="2189" xr:uid="{00000000-0005-0000-0000-00008D080000}"/>
    <cellStyle name="AggGreen 2 2 2 6" xfId="1154" xr:uid="{00000000-0005-0000-0000-000082040000}"/>
    <cellStyle name="AggGreen 2 2 2 7" xfId="3135" xr:uid="{00000000-0005-0000-0000-00003F0C0000}"/>
    <cellStyle name="AggGreen 2 2 2 8" xfId="3268" xr:uid="{00000000-0005-0000-0000-0000C40C0000}"/>
    <cellStyle name="AggGreen 2 2 2 9" xfId="3380" xr:uid="{00000000-0005-0000-0000-0000340D0000}"/>
    <cellStyle name="AggGreen 2 2 3" xfId="725" xr:uid="{00000000-0005-0000-0000-0000D5020000}"/>
    <cellStyle name="AggGreen 2 2 3 2" xfId="921" xr:uid="{00000000-0005-0000-0000-000099030000}"/>
    <cellStyle name="AggGreen 2 2 3 3" xfId="1907" xr:uid="{00000000-0005-0000-0000-000073070000}"/>
    <cellStyle name="AggGreen 2 2 3 4" xfId="2318" xr:uid="{00000000-0005-0000-0000-00000E090000}"/>
    <cellStyle name="AggGreen 2 2 3 5" xfId="2689" xr:uid="{00000000-0005-0000-0000-0000810A0000}"/>
    <cellStyle name="AggGreen 2 2 3 6" xfId="2976" xr:uid="{00000000-0005-0000-0000-0000A00B0000}"/>
    <cellStyle name="AggGreen 2 2 3 7" xfId="3395" xr:uid="{00000000-0005-0000-0000-0000430D0000}"/>
    <cellStyle name="AggGreen 2 2 3 8" xfId="3193" xr:uid="{00000000-0005-0000-0000-0000790C0000}"/>
    <cellStyle name="AggGreen 2 3" xfId="276" xr:uid="{00000000-0005-0000-0000-000014010000}"/>
    <cellStyle name="AggGreen 2 3 10" xfId="3013" xr:uid="{00000000-0005-0000-0000-0000C50B0000}"/>
    <cellStyle name="AggGreen 2 3 11" xfId="2772" xr:uid="{00000000-0005-0000-0000-0000D40A0000}"/>
    <cellStyle name="AggGreen 2 3 2" xfId="615" xr:uid="{00000000-0005-0000-0000-000067020000}"/>
    <cellStyle name="AggGreen 2 3 2 2" xfId="830" xr:uid="{00000000-0005-0000-0000-00003E030000}"/>
    <cellStyle name="AggGreen 2 3 2 2 2" xfId="994" xr:uid="{00000000-0005-0000-0000-0000E2030000}"/>
    <cellStyle name="AggGreen 2 3 2 2 3" xfId="2012" xr:uid="{00000000-0005-0000-0000-0000DC070000}"/>
    <cellStyle name="AggGreen 2 3 2 2 4" xfId="2423" xr:uid="{00000000-0005-0000-0000-000077090000}"/>
    <cellStyle name="AggGreen 2 3 2 2 5" xfId="924" xr:uid="{00000000-0005-0000-0000-00009C030000}"/>
    <cellStyle name="AggGreen 2 3 2 2 6" xfId="1079" xr:uid="{00000000-0005-0000-0000-000037040000}"/>
    <cellStyle name="AggGreen 2 3 2 2 7" xfId="3500" xr:uid="{00000000-0005-0000-0000-0000AC0D0000}"/>
    <cellStyle name="AggGreen 2 3 2 2 8" xfId="3641" xr:uid="{00000000-0005-0000-0000-0000390E0000}"/>
    <cellStyle name="AggGreen 2 3 2 27" xfId="3792" xr:uid="{00000000-0005-0000-0000-0000D00E0000}"/>
    <cellStyle name="AggGreen 2 3 2 3" xfId="1261" xr:uid="{00000000-0005-0000-0000-0000ED040000}"/>
    <cellStyle name="AggGreen 2 3 2 4" xfId="1797" xr:uid="{00000000-0005-0000-0000-000005070000}"/>
    <cellStyle name="AggGreen 2 3 2 5" xfId="2209" xr:uid="{00000000-0005-0000-0000-0000A1080000}"/>
    <cellStyle name="AggGreen 2 3 2 6" xfId="2565" xr:uid="{00000000-0005-0000-0000-0000050A0000}"/>
    <cellStyle name="AggGreen 2 3 2 7" xfId="2562" xr:uid="{00000000-0005-0000-0000-0000020A0000}"/>
    <cellStyle name="AggGreen 2 3 2 8" xfId="3288" xr:uid="{00000000-0005-0000-0000-0000D80C0000}"/>
    <cellStyle name="AggGreen 2 3 2 9" xfId="3695" xr:uid="{00000000-0005-0000-0000-00006F0E0000}"/>
    <cellStyle name="AggGreen 2 3 3" xfId="684" xr:uid="{00000000-0005-0000-0000-0000AC020000}"/>
    <cellStyle name="AggGreen 2 3 3 2" xfId="899" xr:uid="{00000000-0005-0000-0000-000083030000}"/>
    <cellStyle name="AggGreen 2 3 3 2 2" xfId="1658" xr:uid="{00000000-0005-0000-0000-00007A060000}"/>
    <cellStyle name="AggGreen 2 3 3 2 3" xfId="2081" xr:uid="{00000000-0005-0000-0000-000021080000}"/>
    <cellStyle name="AggGreen 2 3 3 2 4" xfId="2492" xr:uid="{00000000-0005-0000-0000-0000BC090000}"/>
    <cellStyle name="AggGreen 2 3 3 2 5" xfId="2850" xr:uid="{00000000-0005-0000-0000-0000220B0000}"/>
    <cellStyle name="AggGreen 2 3 3 2 6" xfId="3171" xr:uid="{00000000-0005-0000-0000-0000630C0000}"/>
    <cellStyle name="AggGreen 2 3 3 2 7" xfId="3569" xr:uid="{00000000-0005-0000-0000-0000F10D0000}"/>
    <cellStyle name="AggGreen 2 3 3 2 8" xfId="3785" xr:uid="{00000000-0005-0000-0000-0000C90E0000}"/>
    <cellStyle name="AggGreen 2 3 3 3" xfId="1446" xr:uid="{00000000-0005-0000-0000-0000A6050000}"/>
    <cellStyle name="AggGreen 2 3 3 4" xfId="1866" xr:uid="{00000000-0005-0000-0000-00004A070000}"/>
    <cellStyle name="AggGreen 2 3 3 5" xfId="2278" xr:uid="{00000000-0005-0000-0000-0000E6080000}"/>
    <cellStyle name="AggGreen 2 3 3 6" xfId="2664" xr:uid="{00000000-0005-0000-0000-0000680A0000}"/>
    <cellStyle name="AggGreen 2 3 3 7" xfId="2904" xr:uid="{00000000-0005-0000-0000-0000580B0000}"/>
    <cellStyle name="AggGreen 2 3 3 8" xfId="3357" xr:uid="{00000000-0005-0000-0000-00001D0D0000}"/>
    <cellStyle name="AggGreen 2 3 3 9" xfId="3759" xr:uid="{00000000-0005-0000-0000-0000AF0E0000}"/>
    <cellStyle name="AggGreen 2 3 4" xfId="680" xr:uid="{00000000-0005-0000-0000-0000A8020000}"/>
    <cellStyle name="AggGreen 2 3 4 2" xfId="895" xr:uid="{00000000-0005-0000-0000-00007F030000}"/>
    <cellStyle name="AggGreen 2 3 4 2 2" xfId="1654" xr:uid="{00000000-0005-0000-0000-000076060000}"/>
    <cellStyle name="AggGreen 2 3 4 2 3" xfId="2077" xr:uid="{00000000-0005-0000-0000-00001D080000}"/>
    <cellStyle name="AggGreen 2 3 4 2 4" xfId="2488" xr:uid="{00000000-0005-0000-0000-0000B8090000}"/>
    <cellStyle name="AggGreen 2 3 4 2 5" xfId="2846" xr:uid="{00000000-0005-0000-0000-00001E0B0000}"/>
    <cellStyle name="AggGreen 2 3 4 2 6" xfId="3167" xr:uid="{00000000-0005-0000-0000-00005F0C0000}"/>
    <cellStyle name="AggGreen 2 3 4 2 7" xfId="3565" xr:uid="{00000000-0005-0000-0000-0000ED0D0000}"/>
    <cellStyle name="AggGreen 2 3 4 2 8" xfId="3781" xr:uid="{00000000-0005-0000-0000-0000C50E0000}"/>
    <cellStyle name="AggGreen 2 3 4 3" xfId="1413" xr:uid="{00000000-0005-0000-0000-000085050000}"/>
    <cellStyle name="AggGreen 2 3 4 4" xfId="1862" xr:uid="{00000000-0005-0000-0000-000046070000}"/>
    <cellStyle name="AggGreen 2 3 4 5" xfId="2274" xr:uid="{00000000-0005-0000-0000-0000E2080000}"/>
    <cellStyle name="AggGreen 2 3 4 6" xfId="1173" xr:uid="{00000000-0005-0000-0000-000095040000}"/>
    <cellStyle name="AggGreen 2 3 4 7" xfId="3138" xr:uid="{00000000-0005-0000-0000-0000420C0000}"/>
    <cellStyle name="AggGreen 2 3 4 8" xfId="3353" xr:uid="{00000000-0005-0000-0000-0000190D0000}"/>
    <cellStyle name="AggGreen 2 3 4 9" xfId="2887" xr:uid="{00000000-0005-0000-0000-0000470B0000}"/>
    <cellStyle name="AggGreen 2 3 5" xfId="1185" xr:uid="{00000000-0005-0000-0000-0000A1040000}"/>
    <cellStyle name="AggGreen 2 3 6" xfId="1033" xr:uid="{00000000-0005-0000-0000-000009040000}"/>
    <cellStyle name="AggGreen 2 3 7" xfId="1322" xr:uid="{00000000-0005-0000-0000-00002A050000}"/>
    <cellStyle name="AggGreen 2 3 8" xfId="1350" xr:uid="{00000000-0005-0000-0000-000046050000}"/>
    <cellStyle name="AggGreen 2 3 9" xfId="2872" xr:uid="{00000000-0005-0000-0000-0000380B0000}"/>
    <cellStyle name="AggGreen 3" xfId="417" xr:uid="{00000000-0005-0000-0000-0000A1010000}"/>
    <cellStyle name="AggGreen 3 2" xfId="544" xr:uid="{00000000-0005-0000-0000-000020020000}"/>
    <cellStyle name="AggGreen 3 2 2" xfId="759" xr:uid="{00000000-0005-0000-0000-0000F7020000}"/>
    <cellStyle name="AggGreen 3 2 2 2" xfId="59" xr:uid="{00000000-0005-0000-0000-00003B000000}"/>
    <cellStyle name="AggGreen 3 2 2 3" xfId="1941" xr:uid="{00000000-0005-0000-0000-000095070000}"/>
    <cellStyle name="AggGreen 3 2 2 4" xfId="2352" xr:uid="{00000000-0005-0000-0000-000030090000}"/>
    <cellStyle name="AggGreen 3 2 2 5" xfId="2588" xr:uid="{00000000-0005-0000-0000-00001C0A0000}"/>
    <cellStyle name="AggGreen 3 2 2 6" xfId="2090" xr:uid="{00000000-0005-0000-0000-00002A080000}"/>
    <cellStyle name="AggGreen 3 2 2 7" xfId="3429" xr:uid="{00000000-0005-0000-0000-0000650D0000}"/>
    <cellStyle name="AggGreen 3 2 2 8" xfId="3600" xr:uid="{00000000-0005-0000-0000-0000100E0000}"/>
    <cellStyle name="AggGreen 3 2 3" xfId="1468" xr:uid="{00000000-0005-0000-0000-0000BC050000}"/>
    <cellStyle name="AggGreen 3 2 4" xfId="1726" xr:uid="{00000000-0005-0000-0000-0000BE060000}"/>
    <cellStyle name="AggGreen 3 2 5" xfId="2138" xr:uid="{00000000-0005-0000-0000-00005A080000}"/>
    <cellStyle name="AggGreen 3 2 6" xfId="2822" xr:uid="{00000000-0005-0000-0000-0000060B0000}"/>
    <cellStyle name="AggGreen 3 2 7" xfId="3146" xr:uid="{00000000-0005-0000-0000-00004A0C0000}"/>
    <cellStyle name="AggGreen 3 2 8" xfId="3217" xr:uid="{00000000-0005-0000-0000-0000910C0000}"/>
    <cellStyle name="AggGreen 3 2 9" xfId="3761" xr:uid="{00000000-0005-0000-0000-0000B10E0000}"/>
    <cellStyle name="AggGreen 3 3" xfId="724" xr:uid="{00000000-0005-0000-0000-0000D4020000}"/>
    <cellStyle name="AggGreen 3 3 2" xfId="919" xr:uid="{00000000-0005-0000-0000-000097030000}"/>
    <cellStyle name="AggGreen 3 3 3" xfId="1906" xr:uid="{00000000-0005-0000-0000-000072070000}"/>
    <cellStyle name="AggGreen 3 3 4" xfId="2317" xr:uid="{00000000-0005-0000-0000-00000D090000}"/>
    <cellStyle name="AggGreen 3 3 5" xfId="1268" xr:uid="{00000000-0005-0000-0000-0000F4040000}"/>
    <cellStyle name="AggGreen 3 3 6" xfId="3129" xr:uid="{00000000-0005-0000-0000-0000390C0000}"/>
    <cellStyle name="AggGreen 3 3 7" xfId="3394" xr:uid="{00000000-0005-0000-0000-0000420D0000}"/>
    <cellStyle name="AggGreen 3 3 8" xfId="3592" xr:uid="{00000000-0005-0000-0000-0000080E0000}"/>
    <cellStyle name="AggGreen 4" xfId="275" xr:uid="{00000000-0005-0000-0000-000013010000}"/>
    <cellStyle name="AggGreen 4 10" xfId="3178" xr:uid="{00000000-0005-0000-0000-00006A0C0000}"/>
    <cellStyle name="AggGreen 4 11" xfId="3040" xr:uid="{00000000-0005-0000-0000-0000E00B0000}"/>
    <cellStyle name="AggGreen 4 2" xfId="614" xr:uid="{00000000-0005-0000-0000-000066020000}"/>
    <cellStyle name="AggGreen 4 2 2" xfId="829" xr:uid="{00000000-0005-0000-0000-00003D030000}"/>
    <cellStyle name="AggGreen 4 2 2 2" xfId="1089" xr:uid="{00000000-0005-0000-0000-000041040000}"/>
    <cellStyle name="AggGreen 4 2 2 3" xfId="2011" xr:uid="{00000000-0005-0000-0000-0000DB070000}"/>
    <cellStyle name="AggGreen 4 2 2 4" xfId="2422" xr:uid="{00000000-0005-0000-0000-000076090000}"/>
    <cellStyle name="AggGreen 4 2 2 5" xfId="2605" xr:uid="{00000000-0005-0000-0000-00002D0A0000}"/>
    <cellStyle name="AggGreen 4 2 2 6" xfId="2095" xr:uid="{00000000-0005-0000-0000-00002F080000}"/>
    <cellStyle name="AggGreen 4 2 2 7" xfId="3499" xr:uid="{00000000-0005-0000-0000-0000AB0D0000}"/>
    <cellStyle name="AggGreen 4 2 2 8" xfId="3585" xr:uid="{00000000-0005-0000-0000-0000010E0000}"/>
    <cellStyle name="AggGreen 4 2 3" xfId="1347" xr:uid="{00000000-0005-0000-0000-000043050000}"/>
    <cellStyle name="AggGreen 4 2 4" xfId="1796" xr:uid="{00000000-0005-0000-0000-000004070000}"/>
    <cellStyle name="AggGreen 4 2 5" xfId="2208" xr:uid="{00000000-0005-0000-0000-0000A0080000}"/>
    <cellStyle name="AggGreen 4 2 6" xfId="2741" xr:uid="{00000000-0005-0000-0000-0000B50A0000}"/>
    <cellStyle name="AggGreen 4 2 7" xfId="2706" xr:uid="{00000000-0005-0000-0000-0000920A0000}"/>
    <cellStyle name="AggGreen 4 2 8" xfId="3287" xr:uid="{00000000-0005-0000-0000-0000D70C0000}"/>
    <cellStyle name="AggGreen 4 2 9" xfId="3194" xr:uid="{00000000-0005-0000-0000-00007A0C0000}"/>
    <cellStyle name="AggGreen 4 3" xfId="529" xr:uid="{00000000-0005-0000-0000-000011020000}"/>
    <cellStyle name="AggGreen 4 3 2" xfId="744" xr:uid="{00000000-0005-0000-0000-0000E8020000}"/>
    <cellStyle name="AggGreen 4 3 2 2" xfId="1138" xr:uid="{00000000-0005-0000-0000-000072040000}"/>
    <cellStyle name="AggGreen 4 3 2 3" xfId="1926" xr:uid="{00000000-0005-0000-0000-000086070000}"/>
    <cellStyle name="AggGreen 4 3 2 4" xfId="2337" xr:uid="{00000000-0005-0000-0000-000021090000}"/>
    <cellStyle name="AggGreen 4 3 2 5" xfId="2793" xr:uid="{00000000-0005-0000-0000-0000E90A0000}"/>
    <cellStyle name="AggGreen 4 3 2 6" xfId="2937" xr:uid="{00000000-0005-0000-0000-0000790B0000}"/>
    <cellStyle name="AggGreen 4 3 2 7" xfId="3414" xr:uid="{00000000-0005-0000-0000-0000560D0000}"/>
    <cellStyle name="AggGreen 4 3 2 8" xfId="2963" xr:uid="{00000000-0005-0000-0000-0000930B0000}"/>
    <cellStyle name="AggGreen 4 3 3" xfId="1387" xr:uid="{00000000-0005-0000-0000-00006B050000}"/>
    <cellStyle name="AggGreen 4 3 4" xfId="1711" xr:uid="{00000000-0005-0000-0000-0000AF060000}"/>
    <cellStyle name="AggGreen 4 3 5" xfId="2123" xr:uid="{00000000-0005-0000-0000-00004B080000}"/>
    <cellStyle name="AggGreen 4 3 6" xfId="1188" xr:uid="{00000000-0005-0000-0000-0000A4040000}"/>
    <cellStyle name="AggGreen 4 3 7" xfId="3093" xr:uid="{00000000-0005-0000-0000-0000150C0000}"/>
    <cellStyle name="AggGreen 4 3 8" xfId="3202" xr:uid="{00000000-0005-0000-0000-0000820C0000}"/>
    <cellStyle name="AggGreen 4 3 9" xfId="1701" xr:uid="{00000000-0005-0000-0000-0000A5060000}"/>
    <cellStyle name="AggGreen 4 4" xfId="647" xr:uid="{00000000-0005-0000-0000-000087020000}"/>
    <cellStyle name="AggGreen 4 4 2" xfId="862" xr:uid="{00000000-0005-0000-0000-00005E030000}"/>
    <cellStyle name="AggGreen 4 4 2 2" xfId="1086" xr:uid="{00000000-0005-0000-0000-00003E040000}"/>
    <cellStyle name="AggGreen 4 4 2 3" xfId="2044" xr:uid="{00000000-0005-0000-0000-0000FC070000}"/>
    <cellStyle name="AggGreen 4 4 2 4" xfId="2455" xr:uid="{00000000-0005-0000-0000-000097090000}"/>
    <cellStyle name="AggGreen 4 4 2 5" xfId="2671" xr:uid="{00000000-0005-0000-0000-00006F0A0000}"/>
    <cellStyle name="AggGreen 4 4 2 6" xfId="1356" xr:uid="{00000000-0005-0000-0000-00004C050000}"/>
    <cellStyle name="AggGreen 4 4 2 7" xfId="3532" xr:uid="{00000000-0005-0000-0000-0000CC0D0000}"/>
    <cellStyle name="AggGreen 4 4 2 8" xfId="3679" xr:uid="{00000000-0005-0000-0000-00005F0E0000}"/>
    <cellStyle name="AggGreen 4 4 3" xfId="1143" xr:uid="{00000000-0005-0000-0000-000077040000}"/>
    <cellStyle name="AggGreen 4 4 4" xfId="1829" xr:uid="{00000000-0005-0000-0000-000025070000}"/>
    <cellStyle name="AggGreen 4 4 5" xfId="2241" xr:uid="{00000000-0005-0000-0000-0000C1080000}"/>
    <cellStyle name="AggGreen 4 4 6" xfId="2118" xr:uid="{00000000-0005-0000-0000-000046080000}"/>
    <cellStyle name="AggGreen 4 4 7" xfId="3033" xr:uid="{00000000-0005-0000-0000-0000D90B0000}"/>
    <cellStyle name="AggGreen 4 4 8" xfId="3320" xr:uid="{00000000-0005-0000-0000-0000F80C0000}"/>
    <cellStyle name="AggGreen 4 4 9" xfId="3727" xr:uid="{00000000-0005-0000-0000-00008F0E0000}"/>
    <cellStyle name="AggGreen 4 5" xfId="1296" xr:uid="{00000000-0005-0000-0000-000010050000}"/>
    <cellStyle name="AggGreen 4 6" xfId="1665" xr:uid="{00000000-0005-0000-0000-000081060000}"/>
    <cellStyle name="AggGreen 4 7" xfId="1379" xr:uid="{00000000-0005-0000-0000-000063050000}"/>
    <cellStyle name="AggGreen 4 8" xfId="1313" xr:uid="{00000000-0005-0000-0000-000021050000}"/>
    <cellStyle name="AggGreen 4 9" xfId="947" xr:uid="{00000000-0005-0000-0000-0000B3030000}"/>
    <cellStyle name="AggGreen 5" xfId="91" xr:uid="{00000000-0005-0000-0000-00005B000000}"/>
    <cellStyle name="AggGreen_Bbdr" xfId="26" xr:uid="{00000000-0005-0000-0000-00001A000000}"/>
    <cellStyle name="AggGreen12" xfId="23" xr:uid="{00000000-0005-0000-0000-000017000000}"/>
    <cellStyle name="AggGreen12 2" xfId="130" xr:uid="{00000000-0005-0000-0000-000082000000}"/>
    <cellStyle name="AggGreen12 2 2" xfId="420" xr:uid="{00000000-0005-0000-0000-0000A4010000}"/>
    <cellStyle name="AggGreen12 2 2 2" xfId="613" xr:uid="{00000000-0005-0000-0000-000065020000}"/>
    <cellStyle name="AggGreen12 2 2 2 2" xfId="828" xr:uid="{00000000-0005-0000-0000-00003C030000}"/>
    <cellStyle name="AggGreen12 2 2 2 2 2" xfId="995" xr:uid="{00000000-0005-0000-0000-0000E3030000}"/>
    <cellStyle name="AggGreen12 2 2 2 2 3" xfId="2010" xr:uid="{00000000-0005-0000-0000-0000DA070000}"/>
    <cellStyle name="AggGreen12 2 2 2 2 4" xfId="2421" xr:uid="{00000000-0005-0000-0000-000075090000}"/>
    <cellStyle name="AggGreen12 2 2 2 2 5" xfId="2528" xr:uid="{00000000-0005-0000-0000-0000E0090000}"/>
    <cellStyle name="AggGreen12 2 2 2 2 6" xfId="956" xr:uid="{00000000-0005-0000-0000-0000BC030000}"/>
    <cellStyle name="AggGreen12 2 2 2 2 7" xfId="3498" xr:uid="{00000000-0005-0000-0000-0000AA0D0000}"/>
    <cellStyle name="AggGreen12 2 2 2 2 8" xfId="1042" xr:uid="{00000000-0005-0000-0000-000012040000}"/>
    <cellStyle name="AggGreen12 2 2 2 3" xfId="1521" xr:uid="{00000000-0005-0000-0000-0000F1050000}"/>
    <cellStyle name="AggGreen12 2 2 2 4" xfId="1795" xr:uid="{00000000-0005-0000-0000-000003070000}"/>
    <cellStyle name="AggGreen12 2 2 2 5" xfId="2207" xr:uid="{00000000-0005-0000-0000-00009F080000}"/>
    <cellStyle name="AggGreen12 2 2 2 6" xfId="2091" xr:uid="{00000000-0005-0000-0000-00002B080000}"/>
    <cellStyle name="AggGreen12 2 2 2 7" xfId="2903" xr:uid="{00000000-0005-0000-0000-0000570B0000}"/>
    <cellStyle name="AggGreen12 2 2 2 8" xfId="3286" xr:uid="{00000000-0005-0000-0000-0000D60C0000}"/>
    <cellStyle name="AggGreen12 2 2 2 9" xfId="3661" xr:uid="{00000000-0005-0000-0000-00004D0E0000}"/>
    <cellStyle name="AggGreen12 2 2 3" xfId="727" xr:uid="{00000000-0005-0000-0000-0000D7020000}"/>
    <cellStyle name="AggGreen12 2 2 3 2" xfId="1609" xr:uid="{00000000-0005-0000-0000-000049060000}"/>
    <cellStyle name="AggGreen12 2 2 3 3" xfId="1909" xr:uid="{00000000-0005-0000-0000-000075070000}"/>
    <cellStyle name="AggGreen12 2 2 3 4" xfId="2320" xr:uid="{00000000-0005-0000-0000-000010090000}"/>
    <cellStyle name="AggGreen12 2 2 3 5" xfId="2751" xr:uid="{00000000-0005-0000-0000-0000BF0A0000}"/>
    <cellStyle name="AggGreen12 2 2 3 6" xfId="2899" xr:uid="{00000000-0005-0000-0000-0000530B0000}"/>
    <cellStyle name="AggGreen12 2 2 3 7" xfId="3397" xr:uid="{00000000-0005-0000-0000-0000450D0000}"/>
    <cellStyle name="AggGreen12 2 2 3 8" xfId="3674" xr:uid="{00000000-0005-0000-0000-00005A0E0000}"/>
    <cellStyle name="AggGreen12 2 3" xfId="278" xr:uid="{00000000-0005-0000-0000-000016010000}"/>
    <cellStyle name="AggGreen12 2 3 10" xfId="950" xr:uid="{00000000-0005-0000-0000-0000B6030000}"/>
    <cellStyle name="AggGreen12 2 3 11" xfId="3720" xr:uid="{00000000-0005-0000-0000-0000880E0000}"/>
    <cellStyle name="AggGreen12 2 3 2" xfId="617" xr:uid="{00000000-0005-0000-0000-000069020000}"/>
    <cellStyle name="AggGreen12 2 3 2 2" xfId="832" xr:uid="{00000000-0005-0000-0000-000040030000}"/>
    <cellStyle name="AggGreen12 2 3 2 2 2" xfId="993" xr:uid="{00000000-0005-0000-0000-0000E1030000}"/>
    <cellStyle name="AggGreen12 2 3 2 2 3" xfId="2014" xr:uid="{00000000-0005-0000-0000-0000DE070000}"/>
    <cellStyle name="AggGreen12 2 3 2 2 4" xfId="2425" xr:uid="{00000000-0005-0000-0000-000079090000}"/>
    <cellStyle name="AggGreen12 2 3 2 2 5" xfId="2509" xr:uid="{00000000-0005-0000-0000-0000CD090000}"/>
    <cellStyle name="AggGreen12 2 3 2 2 6" xfId="1393" xr:uid="{00000000-0005-0000-0000-000071050000}"/>
    <cellStyle name="AggGreen12 2 3 2 2 7" xfId="3502" xr:uid="{00000000-0005-0000-0000-0000AE0D0000}"/>
    <cellStyle name="AggGreen12 2 3 2 2 8" xfId="3622" xr:uid="{00000000-0005-0000-0000-0000260E0000}"/>
    <cellStyle name="AggGreen12 2 3 2 3" xfId="910" xr:uid="{00000000-0005-0000-0000-00008E030000}"/>
    <cellStyle name="AggGreen12 2 3 2 4" xfId="1799" xr:uid="{00000000-0005-0000-0000-000007070000}"/>
    <cellStyle name="AggGreen12 2 3 2 5" xfId="2211" xr:uid="{00000000-0005-0000-0000-0000A3080000}"/>
    <cellStyle name="AggGreen12 2 3 2 6" xfId="2607" xr:uid="{00000000-0005-0000-0000-00002F0A0000}"/>
    <cellStyle name="AggGreen12 2 3 2 7" xfId="2714" xr:uid="{00000000-0005-0000-0000-00009A0A0000}"/>
    <cellStyle name="AggGreen12 2 3 2 8" xfId="3290" xr:uid="{00000000-0005-0000-0000-0000DA0C0000}"/>
    <cellStyle name="AggGreen12 2 3 2 9" xfId="2737" xr:uid="{00000000-0005-0000-0000-0000B10A0000}"/>
    <cellStyle name="AggGreen12 2 3 3" xfId="566" xr:uid="{00000000-0005-0000-0000-000036020000}"/>
    <cellStyle name="AggGreen12 2 3 3 2" xfId="781" xr:uid="{00000000-0005-0000-0000-00000D030000}"/>
    <cellStyle name="AggGreen12 2 3 3 2 2" xfId="1008" xr:uid="{00000000-0005-0000-0000-0000F0030000}"/>
    <cellStyle name="AggGreen12 2 3 3 2 3" xfId="1963" xr:uid="{00000000-0005-0000-0000-0000AB070000}"/>
    <cellStyle name="AggGreen12 2 3 3 2 4" xfId="2374" xr:uid="{00000000-0005-0000-0000-000046090000}"/>
    <cellStyle name="AggGreen12 2 3 3 2 5" xfId="1405" xr:uid="{00000000-0005-0000-0000-00007D050000}"/>
    <cellStyle name="AggGreen12 2 3 3 2 6" xfId="2303" xr:uid="{00000000-0005-0000-0000-0000FF080000}"/>
    <cellStyle name="AggGreen12 2 3 3 2 7" xfId="3451" xr:uid="{00000000-0005-0000-0000-00007B0D0000}"/>
    <cellStyle name="AggGreen12 2 3 3 2 8" xfId="3651" xr:uid="{00000000-0005-0000-0000-0000430E0000}"/>
    <cellStyle name="AggGreen12 2 3 3 3" xfId="1105" xr:uid="{00000000-0005-0000-0000-000051040000}"/>
    <cellStyle name="AggGreen12 2 3 3 4" xfId="1748" xr:uid="{00000000-0005-0000-0000-0000D4060000}"/>
    <cellStyle name="AggGreen12 2 3 3 5" xfId="2160" xr:uid="{00000000-0005-0000-0000-000070080000}"/>
    <cellStyle name="AggGreen12 2 3 3 6" xfId="1112" xr:uid="{00000000-0005-0000-0000-000058040000}"/>
    <cellStyle name="AggGreen12 2 3 3 7" xfId="2726" xr:uid="{00000000-0005-0000-0000-0000A60A0000}"/>
    <cellStyle name="AggGreen12 2 3 3 8" xfId="3239" xr:uid="{00000000-0005-0000-0000-0000A70C0000}"/>
    <cellStyle name="AggGreen12 2 3 3 9" xfId="2542" xr:uid="{00000000-0005-0000-0000-0000EE090000}"/>
    <cellStyle name="AggGreen12 2 3 4" xfId="646" xr:uid="{00000000-0005-0000-0000-000086020000}"/>
    <cellStyle name="AggGreen12 2 3 4 2" xfId="861" xr:uid="{00000000-0005-0000-0000-00005D030000}"/>
    <cellStyle name="AggGreen12 2 3 4 2 2" xfId="53" xr:uid="{00000000-0005-0000-0000-000035000000}"/>
    <cellStyle name="AggGreen12 2 3 4 2 3" xfId="2043" xr:uid="{00000000-0005-0000-0000-0000FB070000}"/>
    <cellStyle name="AggGreen12 2 3 4 2 4" xfId="2454" xr:uid="{00000000-0005-0000-0000-000096090000}"/>
    <cellStyle name="AggGreen12 2 3 4 2 5" xfId="966" xr:uid="{00000000-0005-0000-0000-0000C6030000}"/>
    <cellStyle name="AggGreen12 2 3 4 2 6" xfId="2533" xr:uid="{00000000-0005-0000-0000-0000E5090000}"/>
    <cellStyle name="AggGreen12 2 3 4 2 7" xfId="3531" xr:uid="{00000000-0005-0000-0000-0000CB0D0000}"/>
    <cellStyle name="AggGreen12 2 3 4 2 8" xfId="3753" xr:uid="{00000000-0005-0000-0000-0000A90E0000}"/>
    <cellStyle name="AggGreen12 2 3 4 3" xfId="1415" xr:uid="{00000000-0005-0000-0000-000087050000}"/>
    <cellStyle name="AggGreen12 2 3 4 4" xfId="1828" xr:uid="{00000000-0005-0000-0000-000024070000}"/>
    <cellStyle name="AggGreen12 2 3 4 5" xfId="2240" xr:uid="{00000000-0005-0000-0000-0000C0080000}"/>
    <cellStyle name="AggGreen12 2 3 4 6" xfId="2504" xr:uid="{00000000-0005-0000-0000-0000C8090000}"/>
    <cellStyle name="AggGreen12 2 3 4 7" xfId="2813" xr:uid="{00000000-0005-0000-0000-0000FD0A0000}"/>
    <cellStyle name="AggGreen12 2 3 4 8" xfId="3319" xr:uid="{00000000-0005-0000-0000-0000F70C0000}"/>
    <cellStyle name="AggGreen12 2 3 4 9" xfId="3095" xr:uid="{00000000-0005-0000-0000-0000170C0000}"/>
    <cellStyle name="AggGreen12 2 3 5" xfId="1291" xr:uid="{00000000-0005-0000-0000-00000B050000}"/>
    <cellStyle name="AggGreen12 2 3 6" xfId="1080" xr:uid="{00000000-0005-0000-0000-000038040000}"/>
    <cellStyle name="AggGreen12 2 3 7" xfId="1518" xr:uid="{00000000-0005-0000-0000-0000EE050000}"/>
    <cellStyle name="AggGreen12 2 3 8" xfId="1319" xr:uid="{00000000-0005-0000-0000-000027050000}"/>
    <cellStyle name="AggGreen12 2 3 9" xfId="2641" xr:uid="{00000000-0005-0000-0000-0000510A0000}"/>
    <cellStyle name="AggGreen12 3" xfId="419" xr:uid="{00000000-0005-0000-0000-0000A3010000}"/>
    <cellStyle name="AggGreen12 3 2" xfId="543" xr:uid="{00000000-0005-0000-0000-00001F020000}"/>
    <cellStyle name="AggGreen12 3 2 2" xfId="758" xr:uid="{00000000-0005-0000-0000-0000F6020000}"/>
    <cellStyle name="AggGreen12 3 2 2 2" xfId="1016" xr:uid="{00000000-0005-0000-0000-0000F8030000}"/>
    <cellStyle name="AggGreen12 3 2 2 3" xfId="1940" xr:uid="{00000000-0005-0000-0000-000094070000}"/>
    <cellStyle name="AggGreen12 3 2 2 4" xfId="2351" xr:uid="{00000000-0005-0000-0000-00002F090000}"/>
    <cellStyle name="AggGreen12 3 2 2 5" xfId="1668" xr:uid="{00000000-0005-0000-0000-000084060000}"/>
    <cellStyle name="AggGreen12 3 2 2 6" xfId="1373" xr:uid="{00000000-0005-0000-0000-00005D050000}"/>
    <cellStyle name="AggGreen12 3 2 2 7" xfId="3428" xr:uid="{00000000-0005-0000-0000-0000640D0000}"/>
    <cellStyle name="AggGreen12 3 2 2 8" xfId="3743" xr:uid="{00000000-0005-0000-0000-00009F0E0000}"/>
    <cellStyle name="AggGreen12 3 2 3" xfId="1644" xr:uid="{00000000-0005-0000-0000-00006C060000}"/>
    <cellStyle name="AggGreen12 3 2 4" xfId="1725" xr:uid="{00000000-0005-0000-0000-0000BD060000}"/>
    <cellStyle name="AggGreen12 3 2 5" xfId="2137" xr:uid="{00000000-0005-0000-0000-000059080000}"/>
    <cellStyle name="AggGreen12 3 2 6" xfId="2615" xr:uid="{00000000-0005-0000-0000-0000370A0000}"/>
    <cellStyle name="AggGreen12 3 2 7" xfId="3004" xr:uid="{00000000-0005-0000-0000-0000BC0B0000}"/>
    <cellStyle name="AggGreen12 3 2 8" xfId="3216" xr:uid="{00000000-0005-0000-0000-0000900C0000}"/>
    <cellStyle name="AggGreen12 3 2 9" xfId="3577" xr:uid="{00000000-0005-0000-0000-0000F90D0000}"/>
    <cellStyle name="AggGreen12 3 3" xfId="726" xr:uid="{00000000-0005-0000-0000-0000D6020000}"/>
    <cellStyle name="AggGreen12 3 3 2" xfId="980" xr:uid="{00000000-0005-0000-0000-0000D4030000}"/>
    <cellStyle name="AggGreen12 3 3 3" xfId="1908" xr:uid="{00000000-0005-0000-0000-000074070000}"/>
    <cellStyle name="AggGreen12 3 3 4" xfId="2319" xr:uid="{00000000-0005-0000-0000-00000F090000}"/>
    <cellStyle name="AggGreen12 3 3 5" xfId="2599" xr:uid="{00000000-0005-0000-0000-0000270A0000}"/>
    <cellStyle name="AggGreen12 3 3 6" xfId="3043" xr:uid="{00000000-0005-0000-0000-0000E30B0000}"/>
    <cellStyle name="AggGreen12 3 3 7" xfId="3396" xr:uid="{00000000-0005-0000-0000-0000440D0000}"/>
    <cellStyle name="AggGreen12 3 3 8" xfId="3699" xr:uid="{00000000-0005-0000-0000-0000730E0000}"/>
    <cellStyle name="AggGreen12 4" xfId="277" xr:uid="{00000000-0005-0000-0000-000015010000}"/>
    <cellStyle name="AggGreen12 4 10" xfId="2938" xr:uid="{00000000-0005-0000-0000-00007A0B0000}"/>
    <cellStyle name="AggGreen12 4 11" xfId="2993" xr:uid="{00000000-0005-0000-0000-0000B10B0000}"/>
    <cellStyle name="AggGreen12 4 2" xfId="616" xr:uid="{00000000-0005-0000-0000-000068020000}"/>
    <cellStyle name="AggGreen12 4 2 2" xfId="831" xr:uid="{00000000-0005-0000-0000-00003F030000}"/>
    <cellStyle name="AggGreen12 4 2 2 2" xfId="1088" xr:uid="{00000000-0005-0000-0000-000040040000}"/>
    <cellStyle name="AggGreen12 4 2 2 3" xfId="2013" xr:uid="{00000000-0005-0000-0000-0000DD070000}"/>
    <cellStyle name="AggGreen12 4 2 2 4" xfId="2424" xr:uid="{00000000-0005-0000-0000-000078090000}"/>
    <cellStyle name="AggGreen12 4 2 2 5" xfId="2753" xr:uid="{00000000-0005-0000-0000-0000C10A0000}"/>
    <cellStyle name="AggGreen12 4 2 2 6" xfId="1552" xr:uid="{00000000-0005-0000-0000-000010060000}"/>
    <cellStyle name="AggGreen12 4 2 2 7" xfId="3501" xr:uid="{00000000-0005-0000-0000-0000AD0D0000}"/>
    <cellStyle name="AggGreen12 4 2 2 8" xfId="3635" xr:uid="{00000000-0005-0000-0000-0000330E0000}"/>
    <cellStyle name="AggGreen12 4 2 3" xfId="1023" xr:uid="{00000000-0005-0000-0000-0000FF030000}"/>
    <cellStyle name="AggGreen12 4 2 4" xfId="1798" xr:uid="{00000000-0005-0000-0000-000006070000}"/>
    <cellStyle name="AggGreen12 4 2 5" xfId="2210" xr:uid="{00000000-0005-0000-0000-0000A2080000}"/>
    <cellStyle name="AggGreen12 4 2 6" xfId="1303" xr:uid="{00000000-0005-0000-0000-000017050000}"/>
    <cellStyle name="AggGreen12 4 2 7" xfId="2663" xr:uid="{00000000-0005-0000-0000-0000670A0000}"/>
    <cellStyle name="AggGreen12 4 2 8" xfId="3289" xr:uid="{00000000-0005-0000-0000-0000D90C0000}"/>
    <cellStyle name="AggGreen12 4 2 9" xfId="2934" xr:uid="{00000000-0005-0000-0000-0000760B0000}"/>
    <cellStyle name="AggGreen12 4 3" xfId="668" xr:uid="{00000000-0005-0000-0000-00009C020000}"/>
    <cellStyle name="AggGreen12 4 3 2" xfId="883" xr:uid="{00000000-0005-0000-0000-000073030000}"/>
    <cellStyle name="AggGreen12 4 3 2 2" xfId="1226" xr:uid="{00000000-0005-0000-0000-0000CA040000}"/>
    <cellStyle name="AggGreen12 4 3 2 3" xfId="2065" xr:uid="{00000000-0005-0000-0000-000011080000}"/>
    <cellStyle name="AggGreen12 4 3 2 4" xfId="2476" xr:uid="{00000000-0005-0000-0000-0000AC090000}"/>
    <cellStyle name="AggGreen12 4 3 2 5" xfId="1891" xr:uid="{00000000-0005-0000-0000-000063070000}"/>
    <cellStyle name="AggGreen12 4 3 2 6" xfId="2818" xr:uid="{00000000-0005-0000-0000-0000020B0000}"/>
    <cellStyle name="AggGreen12 4 3 2 7" xfId="3553" xr:uid="{00000000-0005-0000-0000-0000E10D0000}"/>
    <cellStyle name="AggGreen12 4 3 2 8" xfId="3185" xr:uid="{00000000-0005-0000-0000-0000710C0000}"/>
    <cellStyle name="AggGreen12 4 3 3" xfId="928" xr:uid="{00000000-0005-0000-0000-0000A0030000}"/>
    <cellStyle name="AggGreen12 4 3 4" xfId="1850" xr:uid="{00000000-0005-0000-0000-00003A070000}"/>
    <cellStyle name="AggGreen12 4 3 5" xfId="2262" xr:uid="{00000000-0005-0000-0000-0000D6080000}"/>
    <cellStyle name="AggGreen12 4 3 6" xfId="2699" xr:uid="{00000000-0005-0000-0000-00008B0A0000}"/>
    <cellStyle name="AggGreen12 4 3 7" xfId="2547" xr:uid="{00000000-0005-0000-0000-0000F3090000}"/>
    <cellStyle name="AggGreen12 4 3 8" xfId="3341" xr:uid="{00000000-0005-0000-0000-00000D0D0000}"/>
    <cellStyle name="AggGreen12 4 3 9" xfId="3735" xr:uid="{00000000-0005-0000-0000-0000970E0000}"/>
    <cellStyle name="AggGreen12 4 4" xfId="679" xr:uid="{00000000-0005-0000-0000-0000A7020000}"/>
    <cellStyle name="AggGreen12 4 4 2" xfId="894" xr:uid="{00000000-0005-0000-0000-00007E030000}"/>
    <cellStyle name="AggGreen12 4 4 2 2" xfId="1653" xr:uid="{00000000-0005-0000-0000-000075060000}"/>
    <cellStyle name="AggGreen12 4 4 2 3" xfId="2076" xr:uid="{00000000-0005-0000-0000-00001C080000}"/>
    <cellStyle name="AggGreen12 4 4 2 4" xfId="2487" xr:uid="{00000000-0005-0000-0000-0000B7090000}"/>
    <cellStyle name="AggGreen12 4 4 2 5" xfId="2845" xr:uid="{00000000-0005-0000-0000-00001D0B0000}"/>
    <cellStyle name="AggGreen12 4 4 2 6" xfId="3166" xr:uid="{00000000-0005-0000-0000-00005E0C0000}"/>
    <cellStyle name="AggGreen12 4 4 2 7" xfId="3564" xr:uid="{00000000-0005-0000-0000-0000EC0D0000}"/>
    <cellStyle name="AggGreen12 4 4 2 8" xfId="3780" xr:uid="{00000000-0005-0000-0000-0000C40E0000}"/>
    <cellStyle name="AggGreen12 4 4 3" xfId="1584" xr:uid="{00000000-0005-0000-0000-000030060000}"/>
    <cellStyle name="AggGreen12 4 4 4" xfId="1861" xr:uid="{00000000-0005-0000-0000-000045070000}"/>
    <cellStyle name="AggGreen12 4 4 5" xfId="2273" xr:uid="{00000000-0005-0000-0000-0000E1080000}"/>
    <cellStyle name="AggGreen12 4 4 6" xfId="2760" xr:uid="{00000000-0005-0000-0000-0000C80A0000}"/>
    <cellStyle name="AggGreen12 4 4 7" xfId="3031" xr:uid="{00000000-0005-0000-0000-0000D70B0000}"/>
    <cellStyle name="AggGreen12 4 4 8" xfId="3352" xr:uid="{00000000-0005-0000-0000-0000180D0000}"/>
    <cellStyle name="AggGreen12 4 4 9" xfId="3672" xr:uid="{00000000-0005-0000-0000-0000580E0000}"/>
    <cellStyle name="AggGreen12 4 5" xfId="1165" xr:uid="{00000000-0005-0000-0000-00008D040000}"/>
    <cellStyle name="AggGreen12 4 6" xfId="1567" xr:uid="{00000000-0005-0000-0000-00001F060000}"/>
    <cellStyle name="AggGreen12 4 7" xfId="936" xr:uid="{00000000-0005-0000-0000-0000A8030000}"/>
    <cellStyle name="AggGreen12 4 8" xfId="970" xr:uid="{00000000-0005-0000-0000-0000CA030000}"/>
    <cellStyle name="AggGreen12 4 9" xfId="2873" xr:uid="{00000000-0005-0000-0000-0000390B0000}"/>
    <cellStyle name="AggGreen12 5" xfId="89" xr:uid="{00000000-0005-0000-0000-000059000000}"/>
    <cellStyle name="AggOrange" xfId="18" xr:uid="{00000000-0005-0000-0000-000012000000}"/>
    <cellStyle name="AggOrange 2" xfId="131" xr:uid="{00000000-0005-0000-0000-000083000000}"/>
    <cellStyle name="AggOrange 2 2" xfId="422" xr:uid="{00000000-0005-0000-0000-0000A6010000}"/>
    <cellStyle name="AggOrange 2 2 2" xfId="542" xr:uid="{00000000-0005-0000-0000-00001E020000}"/>
    <cellStyle name="AggOrange 2 2 2 2" xfId="757" xr:uid="{00000000-0005-0000-0000-0000F5020000}"/>
    <cellStyle name="AggOrange 2 2 2 2 2" xfId="1074" xr:uid="{00000000-0005-0000-0000-000032040000}"/>
    <cellStyle name="AggOrange 2 2 2 2 3" xfId="1939" xr:uid="{00000000-0005-0000-0000-000093070000}"/>
    <cellStyle name="AggOrange 2 2 2 2 4" xfId="2350" xr:uid="{00000000-0005-0000-0000-00002E090000}"/>
    <cellStyle name="AggOrange 2 2 2 2 5" xfId="2544" xr:uid="{00000000-0005-0000-0000-0000F0090000}"/>
    <cellStyle name="AggOrange 2 2 2 2 6" xfId="2516" xr:uid="{00000000-0005-0000-0000-0000D4090000}"/>
    <cellStyle name="AggOrange 2 2 2 2 7" xfId="3427" xr:uid="{00000000-0005-0000-0000-0000630D0000}"/>
    <cellStyle name="AggOrange 2 2 2 2 8" xfId="3658" xr:uid="{00000000-0005-0000-0000-00004A0E0000}"/>
    <cellStyle name="AggOrange 2 2 2 3" xfId="1473" xr:uid="{00000000-0005-0000-0000-0000C1050000}"/>
    <cellStyle name="AggOrange 2 2 2 4" xfId="1724" xr:uid="{00000000-0005-0000-0000-0000BC060000}"/>
    <cellStyle name="AggOrange 2 2 2 5" xfId="2136" xr:uid="{00000000-0005-0000-0000-000058080000}"/>
    <cellStyle name="AggOrange 2 2 2 6" xfId="2832" xr:uid="{00000000-0005-0000-0000-0000100B0000}"/>
    <cellStyle name="AggOrange 2 2 2 7" xfId="3155" xr:uid="{00000000-0005-0000-0000-0000530C0000}"/>
    <cellStyle name="AggOrange 2 2 2 8" xfId="3215" xr:uid="{00000000-0005-0000-0000-00008F0C0000}"/>
    <cellStyle name="AggOrange 2 2 2 9" xfId="3769" xr:uid="{00000000-0005-0000-0000-0000B90E0000}"/>
    <cellStyle name="AggOrange 2 2 3" xfId="729" xr:uid="{00000000-0005-0000-0000-0000D9020000}"/>
    <cellStyle name="AggOrange 2 2 3 2" xfId="1513" xr:uid="{00000000-0005-0000-0000-0000E9050000}"/>
    <cellStyle name="AggOrange 2 2 3 3" xfId="1911" xr:uid="{00000000-0005-0000-0000-000077070000}"/>
    <cellStyle name="AggOrange 2 2 3 4" xfId="2322" xr:uid="{00000000-0005-0000-0000-000012090000}"/>
    <cellStyle name="AggOrange 2 2 3 5" xfId="1077" xr:uid="{00000000-0005-0000-0000-000035040000}"/>
    <cellStyle name="AggOrange 2 2 3 6" xfId="2950" xr:uid="{00000000-0005-0000-0000-0000860B0000}"/>
    <cellStyle name="AggOrange 2 2 3 7" xfId="3399" xr:uid="{00000000-0005-0000-0000-0000470D0000}"/>
    <cellStyle name="AggOrange 2 2 3 8" xfId="3683" xr:uid="{00000000-0005-0000-0000-0000630E0000}"/>
    <cellStyle name="AggOrange 2 3" xfId="280" xr:uid="{00000000-0005-0000-0000-000018010000}"/>
    <cellStyle name="AggOrange 2 3 10" xfId="2566" xr:uid="{00000000-0005-0000-0000-0000060A0000}"/>
    <cellStyle name="AggOrange 2 3 11" xfId="3074" xr:uid="{00000000-0005-0000-0000-0000020C0000}"/>
    <cellStyle name="AggOrange 2 3 2" xfId="619" xr:uid="{00000000-0005-0000-0000-00006B020000}"/>
    <cellStyle name="AggOrange 2 3 2 2" xfId="834" xr:uid="{00000000-0005-0000-0000-000042030000}"/>
    <cellStyle name="AggOrange 2 3 2 2 2" xfId="992" xr:uid="{00000000-0005-0000-0000-0000E0030000}"/>
    <cellStyle name="AggOrange 2 3 2 2 3" xfId="2016" xr:uid="{00000000-0005-0000-0000-0000E0070000}"/>
    <cellStyle name="AggOrange 2 3 2 2 4" xfId="2427" xr:uid="{00000000-0005-0000-0000-00007B090000}"/>
    <cellStyle name="AggOrange 2 3 2 2 5" xfId="2508" xr:uid="{00000000-0005-0000-0000-0000CC090000}"/>
    <cellStyle name="AggOrange 2 3 2 2 6" xfId="2736" xr:uid="{00000000-0005-0000-0000-0000B00A0000}"/>
    <cellStyle name="AggOrange 2 3 2 2 7" xfId="3504" xr:uid="{00000000-0005-0000-0000-0000B00D0000}"/>
    <cellStyle name="AggOrange 2 3 2 2 8" xfId="3655" xr:uid="{00000000-0005-0000-0000-0000470E0000}"/>
    <cellStyle name="AggOrange 2 3 2 3" xfId="1480" xr:uid="{00000000-0005-0000-0000-0000C8050000}"/>
    <cellStyle name="AggOrange 2 3 2 4" xfId="1801" xr:uid="{00000000-0005-0000-0000-000009070000}"/>
    <cellStyle name="AggOrange 2 3 2 5" xfId="2213" xr:uid="{00000000-0005-0000-0000-0000A5080000}"/>
    <cellStyle name="AggOrange 2 3 2 6" xfId="1198" xr:uid="{00000000-0005-0000-0000-0000AE040000}"/>
    <cellStyle name="AggOrange 2 3 2 7" xfId="3083" xr:uid="{00000000-0005-0000-0000-00000B0C0000}"/>
    <cellStyle name="AggOrange 2 3 2 8" xfId="3292" xr:uid="{00000000-0005-0000-0000-0000DC0C0000}"/>
    <cellStyle name="AggOrange 2 3 2 9" xfId="2119" xr:uid="{00000000-0005-0000-0000-000047080000}"/>
    <cellStyle name="AggOrange 2 3 3" xfId="526" xr:uid="{00000000-0005-0000-0000-00000E020000}"/>
    <cellStyle name="AggOrange 2 3 3 2" xfId="741" xr:uid="{00000000-0005-0000-0000-0000E5020000}"/>
    <cellStyle name="AggOrange 2 3 3 2 2" xfId="1466" xr:uid="{00000000-0005-0000-0000-0000BA050000}"/>
    <cellStyle name="AggOrange 2 3 3 2 3" xfId="1923" xr:uid="{00000000-0005-0000-0000-000083070000}"/>
    <cellStyle name="AggOrange 2 3 3 2 4" xfId="2334" xr:uid="{00000000-0005-0000-0000-00001E090000}"/>
    <cellStyle name="AggOrange 2 3 3 2 5" xfId="2505" xr:uid="{00000000-0005-0000-0000-0000C9090000}"/>
    <cellStyle name="AggOrange 2 3 3 2 6" xfId="1504" xr:uid="{00000000-0005-0000-0000-0000E0050000}"/>
    <cellStyle name="AggOrange 2 3 3 2 7" xfId="3411" xr:uid="{00000000-0005-0000-0000-0000530D0000}"/>
    <cellStyle name="AggOrange 2 3 3 2 8" xfId="3711" xr:uid="{00000000-0005-0000-0000-00007F0E0000}"/>
    <cellStyle name="AggOrange 2 3 3 3" xfId="1629" xr:uid="{00000000-0005-0000-0000-00005D060000}"/>
    <cellStyle name="AggOrange 2 3 3 4" xfId="1708" xr:uid="{00000000-0005-0000-0000-0000AC060000}"/>
    <cellStyle name="AggOrange 2 3 3 5" xfId="2120" xr:uid="{00000000-0005-0000-0000-000048080000}"/>
    <cellStyle name="AggOrange 2 3 3 6" xfId="2116" xr:uid="{00000000-0005-0000-0000-000044080000}"/>
    <cellStyle name="AggOrange 2 3 3 7" xfId="2992" xr:uid="{00000000-0005-0000-0000-0000B00B0000}"/>
    <cellStyle name="AggOrange 2 3 3 8" xfId="3199" xr:uid="{00000000-0005-0000-0000-00007F0C0000}"/>
    <cellStyle name="AggOrange 2 3 3 9" xfId="2875" xr:uid="{00000000-0005-0000-0000-00003B0B0000}"/>
    <cellStyle name="AggOrange 2 3 4" xfId="541" xr:uid="{00000000-0005-0000-0000-00001D020000}"/>
    <cellStyle name="AggOrange 2 3 4 2" xfId="756" xr:uid="{00000000-0005-0000-0000-0000F4020000}"/>
    <cellStyle name="AggOrange 2 3 4 2 2" xfId="1199" xr:uid="{00000000-0005-0000-0000-0000AF040000}"/>
    <cellStyle name="AggOrange 2 3 4 2 3" xfId="1938" xr:uid="{00000000-0005-0000-0000-000092070000}"/>
    <cellStyle name="AggOrange 2 3 4 2 4" xfId="2349" xr:uid="{00000000-0005-0000-0000-00002D090000}"/>
    <cellStyle name="AggOrange 2 3 4 2 5" xfId="1631" xr:uid="{00000000-0005-0000-0000-00005F060000}"/>
    <cellStyle name="AggOrange 2 3 4 2 6" xfId="1335" xr:uid="{00000000-0005-0000-0000-000037050000}"/>
    <cellStyle name="AggOrange 2 3 4 2 7" xfId="3426" xr:uid="{00000000-0005-0000-0000-0000620D0000}"/>
    <cellStyle name="AggOrange 2 3 4 2 8" xfId="3648" xr:uid="{00000000-0005-0000-0000-0000400E0000}"/>
    <cellStyle name="AggOrange 2 3 4 3" xfId="1031" xr:uid="{00000000-0005-0000-0000-000007040000}"/>
    <cellStyle name="AggOrange 2 3 4 4" xfId="1723" xr:uid="{00000000-0005-0000-0000-0000BB060000}"/>
    <cellStyle name="AggOrange 2 3 4 5" xfId="2135" xr:uid="{00000000-0005-0000-0000-000057080000}"/>
    <cellStyle name="AggOrange 2 3 4 6" xfId="2096" xr:uid="{00000000-0005-0000-0000-000030080000}"/>
    <cellStyle name="AggOrange 2 3 4 7" xfId="3006" xr:uid="{00000000-0005-0000-0000-0000BE0B0000}"/>
    <cellStyle name="AggOrange 2 3 4 8" xfId="3214" xr:uid="{00000000-0005-0000-0000-00008E0C0000}"/>
    <cellStyle name="AggOrange 2 3 4 9" xfId="3198" xr:uid="{00000000-0005-0000-0000-00007E0C0000}"/>
    <cellStyle name="AggOrange 2 3 5" xfId="1183" xr:uid="{00000000-0005-0000-0000-00009F040000}"/>
    <cellStyle name="AggOrange 2 3 6" xfId="1107" xr:uid="{00000000-0005-0000-0000-000053040000}"/>
    <cellStyle name="AggOrange 2 3 7" xfId="1897" xr:uid="{00000000-0005-0000-0000-000069070000}"/>
    <cellStyle name="AggOrange 2 3 8" xfId="2750" xr:uid="{00000000-0005-0000-0000-0000BE0A0000}"/>
    <cellStyle name="AggOrange 2 3 9" xfId="2868" xr:uid="{00000000-0005-0000-0000-0000340B0000}"/>
    <cellStyle name="AggOrange 3" xfId="421" xr:uid="{00000000-0005-0000-0000-0000A5010000}"/>
    <cellStyle name="AggOrange 3 2" xfId="661" xr:uid="{00000000-0005-0000-0000-000095020000}"/>
    <cellStyle name="AggOrange 3 2 2" xfId="876" xr:uid="{00000000-0005-0000-0000-00006C030000}"/>
    <cellStyle name="AggOrange 3 2 2 2" xfId="1123" xr:uid="{00000000-0005-0000-0000-000063040000}"/>
    <cellStyle name="AggOrange 3 2 2 3" xfId="2058" xr:uid="{00000000-0005-0000-0000-00000A080000}"/>
    <cellStyle name="AggOrange 3 2 2 4" xfId="2469" xr:uid="{00000000-0005-0000-0000-0000A5090000}"/>
    <cellStyle name="AggOrange 3 2 2 5" xfId="1628" xr:uid="{00000000-0005-0000-0000-00005C060000}"/>
    <cellStyle name="AggOrange 3 2 2 6" xfId="2724" xr:uid="{00000000-0005-0000-0000-0000A40A0000}"/>
    <cellStyle name="AggOrange 3 2 2 7" xfId="3546" xr:uid="{00000000-0005-0000-0000-0000DA0D0000}"/>
    <cellStyle name="AggOrange 3 2 2 8" xfId="3660" xr:uid="{00000000-0005-0000-0000-00004C0E0000}"/>
    <cellStyle name="AggOrange 3 2 3" xfId="1445" xr:uid="{00000000-0005-0000-0000-0000A5050000}"/>
    <cellStyle name="AggOrange 3 2 4" xfId="1843" xr:uid="{00000000-0005-0000-0000-000033070000}"/>
    <cellStyle name="AggOrange 3 2 5" xfId="2255" xr:uid="{00000000-0005-0000-0000-0000CF080000}"/>
    <cellStyle name="AggOrange 3 2 6" xfId="2778" xr:uid="{00000000-0005-0000-0000-0000DA0A0000}"/>
    <cellStyle name="AggOrange 3 2 7" xfId="2596" xr:uid="{00000000-0005-0000-0000-0000240A0000}"/>
    <cellStyle name="AggOrange 3 2 8" xfId="3334" xr:uid="{00000000-0005-0000-0000-0000060D0000}"/>
    <cellStyle name="AggOrange 3 2 9" xfId="3706" xr:uid="{00000000-0005-0000-0000-00007A0E0000}"/>
    <cellStyle name="AggOrange 3 3" xfId="728" xr:uid="{00000000-0005-0000-0000-0000D8020000}"/>
    <cellStyle name="AggOrange 3 3 2" xfId="1436" xr:uid="{00000000-0005-0000-0000-00009C050000}"/>
    <cellStyle name="AggOrange 3 3 3" xfId="1910" xr:uid="{00000000-0005-0000-0000-000076070000}"/>
    <cellStyle name="AggOrange 3 3 4" xfId="2321" xr:uid="{00000000-0005-0000-0000-000011090000}"/>
    <cellStyle name="AggOrange 3 3 5" xfId="1519" xr:uid="{00000000-0005-0000-0000-0000EF050000}"/>
    <cellStyle name="AggOrange 3 3 6" xfId="3105" xr:uid="{00000000-0005-0000-0000-0000210C0000}"/>
    <cellStyle name="AggOrange 3 3 7" xfId="3398" xr:uid="{00000000-0005-0000-0000-0000460D0000}"/>
    <cellStyle name="AggOrange 3 3 8" xfId="2973" xr:uid="{00000000-0005-0000-0000-00009D0B0000}"/>
    <cellStyle name="AggOrange 4" xfId="279" xr:uid="{00000000-0005-0000-0000-000017010000}"/>
    <cellStyle name="AggOrange 4 10" xfId="2953" xr:uid="{00000000-0005-0000-0000-0000890B0000}"/>
    <cellStyle name="AggOrange 4 11" xfId="2892" xr:uid="{00000000-0005-0000-0000-00004C0B0000}"/>
    <cellStyle name="AggOrange 4 2" xfId="618" xr:uid="{00000000-0005-0000-0000-00006A020000}"/>
    <cellStyle name="AggOrange 4 2 2" xfId="833" xr:uid="{00000000-0005-0000-0000-000041030000}"/>
    <cellStyle name="AggOrange 4 2 2 2" xfId="1087" xr:uid="{00000000-0005-0000-0000-00003F040000}"/>
    <cellStyle name="AggOrange 4 2 2 3" xfId="2015" xr:uid="{00000000-0005-0000-0000-0000DF070000}"/>
    <cellStyle name="AggOrange 4 2 2 4" xfId="2426" xr:uid="{00000000-0005-0000-0000-00007A090000}"/>
    <cellStyle name="AggOrange 4 2 2 5" xfId="1192" xr:uid="{00000000-0005-0000-0000-0000A8040000}"/>
    <cellStyle name="AggOrange 4 2 2 6" xfId="1548" xr:uid="{00000000-0005-0000-0000-00000C060000}"/>
    <cellStyle name="AggOrange 4 2 2 7" xfId="3503" xr:uid="{00000000-0005-0000-0000-0000AF0D0000}"/>
    <cellStyle name="AggOrange 4 2 2 8" xfId="3749" xr:uid="{00000000-0005-0000-0000-0000A50E0000}"/>
    <cellStyle name="AggOrange 4 2 3" xfId="981" xr:uid="{00000000-0005-0000-0000-0000D5030000}"/>
    <cellStyle name="AggOrange 4 2 4" xfId="1800" xr:uid="{00000000-0005-0000-0000-000008070000}"/>
    <cellStyle name="AggOrange 4 2 5" xfId="2212" xr:uid="{00000000-0005-0000-0000-0000A4080000}"/>
    <cellStyle name="AggOrange 4 2 6" xfId="2785" xr:uid="{00000000-0005-0000-0000-0000E10A0000}"/>
    <cellStyle name="AggOrange 4 2 7" xfId="3016" xr:uid="{00000000-0005-0000-0000-0000C80B0000}"/>
    <cellStyle name="AggOrange 4 2 8" xfId="3291" xr:uid="{00000000-0005-0000-0000-0000DB0C0000}"/>
    <cellStyle name="AggOrange 4 2 9" xfId="2731" xr:uid="{00000000-0005-0000-0000-0000AB0A0000}"/>
    <cellStyle name="AggOrange 4 3" xfId="607" xr:uid="{00000000-0005-0000-0000-00005F020000}"/>
    <cellStyle name="AggOrange 4 3 2" xfId="822" xr:uid="{00000000-0005-0000-0000-000036030000}"/>
    <cellStyle name="AggOrange 4 3 2 2" xfId="46" xr:uid="{00000000-0005-0000-0000-00002E000000}"/>
    <cellStyle name="AggOrange 4 3 2 3" xfId="2004" xr:uid="{00000000-0005-0000-0000-0000D4070000}"/>
    <cellStyle name="AggOrange 4 3 2 4" xfId="2415" xr:uid="{00000000-0005-0000-0000-00006F090000}"/>
    <cellStyle name="AggOrange 4 3 2 5" xfId="1375" xr:uid="{00000000-0005-0000-0000-00005F050000}"/>
    <cellStyle name="AggOrange 4 3 2 6" xfId="1608" xr:uid="{00000000-0005-0000-0000-000048060000}"/>
    <cellStyle name="AggOrange 4 3 2 7" xfId="3492" xr:uid="{00000000-0005-0000-0000-0000A40D0000}"/>
    <cellStyle name="AggOrange 4 3 2 8" xfId="3624" xr:uid="{00000000-0005-0000-0000-0000280E0000}"/>
    <cellStyle name="AggOrange 4 3 3" xfId="1384" xr:uid="{00000000-0005-0000-0000-000068050000}"/>
    <cellStyle name="AggOrange 4 3 4" xfId="1789" xr:uid="{00000000-0005-0000-0000-0000FD060000}"/>
    <cellStyle name="AggOrange 4 3 5" xfId="2201" xr:uid="{00000000-0005-0000-0000-000099080000}"/>
    <cellStyle name="AggOrange 4 3 6" xfId="1280" xr:uid="{00000000-0005-0000-0000-000000050000}"/>
    <cellStyle name="AggOrange 4 3 7" xfId="3094" xr:uid="{00000000-0005-0000-0000-0000160C0000}"/>
    <cellStyle name="AggOrange 4 3 8" xfId="3280" xr:uid="{00000000-0005-0000-0000-0000D00C0000}"/>
    <cellStyle name="AggOrange 4 3 9" xfId="1281" xr:uid="{00000000-0005-0000-0000-000001050000}"/>
    <cellStyle name="AggOrange 4 4" xfId="581" xr:uid="{00000000-0005-0000-0000-000045020000}"/>
    <cellStyle name="AggOrange 4 4 2" xfId="796" xr:uid="{00000000-0005-0000-0000-00001C030000}"/>
    <cellStyle name="AggOrange 4 4 2 2" xfId="1001" xr:uid="{00000000-0005-0000-0000-0000E9030000}"/>
    <cellStyle name="AggOrange 4 4 2 3" xfId="1978" xr:uid="{00000000-0005-0000-0000-0000BA070000}"/>
    <cellStyle name="AggOrange 4 4 2 4" xfId="2389" xr:uid="{00000000-0005-0000-0000-000055090000}"/>
    <cellStyle name="AggOrange 4 4 2 5" xfId="1047" xr:uid="{00000000-0005-0000-0000-000017040000}"/>
    <cellStyle name="AggOrange 4 4 2 6" xfId="2556" xr:uid="{00000000-0005-0000-0000-0000FC090000}"/>
    <cellStyle name="AggOrange 4 4 2 7" xfId="3466" xr:uid="{00000000-0005-0000-0000-00008A0D0000}"/>
    <cellStyle name="AggOrange 4 4 2 8" xfId="3625" xr:uid="{00000000-0005-0000-0000-0000290E0000}"/>
    <cellStyle name="AggOrange 4 4 3" xfId="1354" xr:uid="{00000000-0005-0000-0000-00004A050000}"/>
    <cellStyle name="AggOrange 4 4 4" xfId="1763" xr:uid="{00000000-0005-0000-0000-0000E3060000}"/>
    <cellStyle name="AggOrange 4 4 5" xfId="2175" xr:uid="{00000000-0005-0000-0000-00007F080000}"/>
    <cellStyle name="AggOrange 4 4 6" xfId="1677" xr:uid="{00000000-0005-0000-0000-00008D060000}"/>
    <cellStyle name="AggOrange 4 4 7" xfId="3139" xr:uid="{00000000-0005-0000-0000-0000430C0000}"/>
    <cellStyle name="AggOrange 4 4 8" xfId="3254" xr:uid="{00000000-0005-0000-0000-0000B60C0000}"/>
    <cellStyle name="AggOrange 4 4 9" xfId="3181" xr:uid="{00000000-0005-0000-0000-00006D0C0000}"/>
    <cellStyle name="AggOrange 4 5" xfId="1294" xr:uid="{00000000-0005-0000-0000-00000E050000}"/>
    <cellStyle name="AggOrange 4 6" xfId="1544" xr:uid="{00000000-0005-0000-0000-000008060000}"/>
    <cellStyle name="AggOrange 4 7" xfId="1334" xr:uid="{00000000-0005-0000-0000-000036050000}"/>
    <cellStyle name="AggOrange 4 8" xfId="1295" xr:uid="{00000000-0005-0000-0000-00000F050000}"/>
    <cellStyle name="AggOrange 4 9" xfId="2709" xr:uid="{00000000-0005-0000-0000-0000950A0000}"/>
    <cellStyle name="AggOrange 5" xfId="85" xr:uid="{00000000-0005-0000-0000-000055000000}"/>
    <cellStyle name="AggOrange_B_border" xfId="30" xr:uid="{00000000-0005-0000-0000-00001E000000}"/>
    <cellStyle name="AggOrange9" xfId="17" xr:uid="{00000000-0005-0000-0000-000011000000}"/>
    <cellStyle name="AggOrange9 2" xfId="132" xr:uid="{00000000-0005-0000-0000-000084000000}"/>
    <cellStyle name="AggOrange9 2 2" xfId="424" xr:uid="{00000000-0005-0000-0000-0000A8010000}"/>
    <cellStyle name="AggOrange9 2 2 2" xfId="660" xr:uid="{00000000-0005-0000-0000-000094020000}"/>
    <cellStyle name="AggOrange9 2 2 2 2" xfId="875" xr:uid="{00000000-0005-0000-0000-00006B030000}"/>
    <cellStyle name="AggOrange9 2 2 2 2 2" xfId="1230" xr:uid="{00000000-0005-0000-0000-0000CE040000}"/>
    <cellStyle name="AggOrange9 2 2 2 2 3" xfId="2057" xr:uid="{00000000-0005-0000-0000-000009080000}"/>
    <cellStyle name="AggOrange9 2 2 2 2 4" xfId="2468" xr:uid="{00000000-0005-0000-0000-0000A4090000}"/>
    <cellStyle name="AggOrange9 2 2 2 2 5" xfId="1052" xr:uid="{00000000-0005-0000-0000-00001C040000}"/>
    <cellStyle name="AggOrange9 2 2 2 2 6" xfId="2643" xr:uid="{00000000-0005-0000-0000-0000530A0000}"/>
    <cellStyle name="AggOrange9 2 2 2 2 7" xfId="3545" xr:uid="{00000000-0005-0000-0000-0000D90D0000}"/>
    <cellStyle name="AggOrange9 2 2 2 2 8" xfId="1400" xr:uid="{00000000-0005-0000-0000-000078050000}"/>
    <cellStyle name="AggOrange9 2 2 2 3" xfId="1619" xr:uid="{00000000-0005-0000-0000-000053060000}"/>
    <cellStyle name="AggOrange9 2 2 2 4" xfId="1842" xr:uid="{00000000-0005-0000-0000-000032070000}"/>
    <cellStyle name="AggOrange9 2 2 2 5" xfId="2254" xr:uid="{00000000-0005-0000-0000-0000CE080000}"/>
    <cellStyle name="AggOrange9 2 2 2 6" xfId="2645" xr:uid="{00000000-0005-0000-0000-0000550A0000}"/>
    <cellStyle name="AggOrange9 2 2 2 7" xfId="2984" xr:uid="{00000000-0005-0000-0000-0000A80B0000}"/>
    <cellStyle name="AggOrange9 2 2 2 8" xfId="3333" xr:uid="{00000000-0005-0000-0000-0000050D0000}"/>
    <cellStyle name="AggOrange9 2 2 2 9" xfId="3716" xr:uid="{00000000-0005-0000-0000-0000840E0000}"/>
    <cellStyle name="AggOrange9 2 2 3" xfId="731" xr:uid="{00000000-0005-0000-0000-0000DB020000}"/>
    <cellStyle name="AggOrange9 2 2 3 2" xfId="1580" xr:uid="{00000000-0005-0000-0000-00002C060000}"/>
    <cellStyle name="AggOrange9 2 2 3 3" xfId="1913" xr:uid="{00000000-0005-0000-0000-000079070000}"/>
    <cellStyle name="AggOrange9 2 2 3 4" xfId="2324" xr:uid="{00000000-0005-0000-0000-000014090000}"/>
    <cellStyle name="AggOrange9 2 2 3 5" xfId="2786" xr:uid="{00000000-0005-0000-0000-0000E20A0000}"/>
    <cellStyle name="AggOrange9 2 2 3 6" xfId="3027" xr:uid="{00000000-0005-0000-0000-0000D30B0000}"/>
    <cellStyle name="AggOrange9 2 2 3 7" xfId="3401" xr:uid="{00000000-0005-0000-0000-0000490D0000}"/>
    <cellStyle name="AggOrange9 2 2 3 8" xfId="3748" xr:uid="{00000000-0005-0000-0000-0000A40E0000}"/>
    <cellStyle name="AggOrange9 2 3" xfId="282" xr:uid="{00000000-0005-0000-0000-00001A010000}"/>
    <cellStyle name="AggOrange9 2 3 10" xfId="2981" xr:uid="{00000000-0005-0000-0000-0000A50B0000}"/>
    <cellStyle name="AggOrange9 2 3 11" xfId="3708" xr:uid="{00000000-0005-0000-0000-00007C0E0000}"/>
    <cellStyle name="AggOrange9 2 3 2" xfId="621" xr:uid="{00000000-0005-0000-0000-00006D020000}"/>
    <cellStyle name="AggOrange9 2 3 2 2" xfId="836" xr:uid="{00000000-0005-0000-0000-000044030000}"/>
    <cellStyle name="AggOrange9 2 3 2 2 2" xfId="1236" xr:uid="{00000000-0005-0000-0000-0000D4040000}"/>
    <cellStyle name="AggOrange9 2 3 2 2 3" xfId="2018" xr:uid="{00000000-0005-0000-0000-0000E2070000}"/>
    <cellStyle name="AggOrange9 2 3 2 2 4" xfId="2429" xr:uid="{00000000-0005-0000-0000-00007D090000}"/>
    <cellStyle name="AggOrange9 2 3 2 2 5" xfId="1215" xr:uid="{00000000-0005-0000-0000-0000BF040000}"/>
    <cellStyle name="AggOrange9 2 3 2 2 6" xfId="1254" xr:uid="{00000000-0005-0000-0000-0000E6040000}"/>
    <cellStyle name="AggOrange9 2 3 2 2 7" xfId="3506" xr:uid="{00000000-0005-0000-0000-0000B20D0000}"/>
    <cellStyle name="AggOrange9 2 3 2 2 8" xfId="3739" xr:uid="{00000000-0005-0000-0000-00009B0E0000}"/>
    <cellStyle name="AggOrange9 2 3 2 3" xfId="1386" xr:uid="{00000000-0005-0000-0000-00006A050000}"/>
    <cellStyle name="AggOrange9 2 3 2 4" xfId="1803" xr:uid="{00000000-0005-0000-0000-00000B070000}"/>
    <cellStyle name="AggOrange9 2 3 2 5" xfId="2215" xr:uid="{00000000-0005-0000-0000-0000A7080000}"/>
    <cellStyle name="AggOrange9 2 3 2 6" xfId="1687" xr:uid="{00000000-0005-0000-0000-000097060000}"/>
    <cellStyle name="AggOrange9 2 3 2 7" xfId="3068" xr:uid="{00000000-0005-0000-0000-0000FC0B0000}"/>
    <cellStyle name="AggOrange9 2 3 2 8" xfId="3294" xr:uid="{00000000-0005-0000-0000-0000DE0C0000}"/>
    <cellStyle name="AggOrange9 2 3 2 9" xfId="3589" xr:uid="{00000000-0005-0000-0000-0000050E0000}"/>
    <cellStyle name="AggOrange9 2 3 3" xfId="667" xr:uid="{00000000-0005-0000-0000-00009B020000}"/>
    <cellStyle name="AggOrange9 2 3 3 2" xfId="882" xr:uid="{00000000-0005-0000-0000-000072030000}"/>
    <cellStyle name="AggOrange9 2 3 3 2 2" xfId="1120" xr:uid="{00000000-0005-0000-0000-000060040000}"/>
    <cellStyle name="AggOrange9 2 3 3 2 3" xfId="2064" xr:uid="{00000000-0005-0000-0000-000010080000}"/>
    <cellStyle name="AggOrange9 2 3 3 2 4" xfId="2475" xr:uid="{00000000-0005-0000-0000-0000AB090000}"/>
    <cellStyle name="AggOrange9 2 3 3 2 5" xfId="2579" xr:uid="{00000000-0005-0000-0000-0000130A0000}"/>
    <cellStyle name="AggOrange9 2 3 3 2 6" xfId="1391" xr:uid="{00000000-0005-0000-0000-00006F050000}"/>
    <cellStyle name="AggOrange9 2 3 3 2 7" xfId="3552" xr:uid="{00000000-0005-0000-0000-0000E00D0000}"/>
    <cellStyle name="AggOrange9 2 3 3 2 8" xfId="3618" xr:uid="{00000000-0005-0000-0000-0000220E0000}"/>
    <cellStyle name="AggOrange9 2 3 3 3" xfId="932" xr:uid="{00000000-0005-0000-0000-0000A4030000}"/>
    <cellStyle name="AggOrange9 2 3 3 4" xfId="1849" xr:uid="{00000000-0005-0000-0000-000039070000}"/>
    <cellStyle name="AggOrange9 2 3 3 5" xfId="2261" xr:uid="{00000000-0005-0000-0000-0000D5080000}"/>
    <cellStyle name="AggOrange9 2 3 3 6" xfId="916" xr:uid="{00000000-0005-0000-0000-000094030000}"/>
    <cellStyle name="AggOrange9 2 3 3 7" xfId="1176" xr:uid="{00000000-0005-0000-0000-000098040000}"/>
    <cellStyle name="AggOrange9 2 3 3 8" xfId="3340" xr:uid="{00000000-0005-0000-0000-00000C0D0000}"/>
    <cellStyle name="AggOrange9 2 3 3 9" xfId="2902" xr:uid="{00000000-0005-0000-0000-0000560B0000}"/>
    <cellStyle name="AggOrange9 2 3 4" xfId="681" xr:uid="{00000000-0005-0000-0000-0000A9020000}"/>
    <cellStyle name="AggOrange9 2 3 4 2" xfId="896" xr:uid="{00000000-0005-0000-0000-000080030000}"/>
    <cellStyle name="AggOrange9 2 3 4 2 2" xfId="1655" xr:uid="{00000000-0005-0000-0000-000077060000}"/>
    <cellStyle name="AggOrange9 2 3 4 2 3" xfId="2078" xr:uid="{00000000-0005-0000-0000-00001E080000}"/>
    <cellStyle name="AggOrange9 2 3 4 2 4" xfId="2489" xr:uid="{00000000-0005-0000-0000-0000B9090000}"/>
    <cellStyle name="AggOrange9 2 3 4 2 5" xfId="2847" xr:uid="{00000000-0005-0000-0000-00001F0B0000}"/>
    <cellStyle name="AggOrange9 2 3 4 2 6" xfId="3168" xr:uid="{00000000-0005-0000-0000-0000600C0000}"/>
    <cellStyle name="AggOrange9 2 3 4 2 7" xfId="3566" xr:uid="{00000000-0005-0000-0000-0000EE0D0000}"/>
    <cellStyle name="AggOrange9 2 3 4 2 8" xfId="3782" xr:uid="{00000000-0005-0000-0000-0000C60E0000}"/>
    <cellStyle name="AggOrange9 2 3 4 3" xfId="1141" xr:uid="{00000000-0005-0000-0000-000075040000}"/>
    <cellStyle name="AggOrange9 2 3 4 4" xfId="1863" xr:uid="{00000000-0005-0000-0000-000047070000}"/>
    <cellStyle name="AggOrange9 2 3 4 5" xfId="2275" xr:uid="{00000000-0005-0000-0000-0000E3080000}"/>
    <cellStyle name="AggOrange9 2 3 4 6" xfId="1555" xr:uid="{00000000-0005-0000-0000-000013060000}"/>
    <cellStyle name="AggOrange9 2 3 4 7" xfId="2985" xr:uid="{00000000-0005-0000-0000-0000A90B0000}"/>
    <cellStyle name="AggOrange9 2 3 4 8" xfId="3354" xr:uid="{00000000-0005-0000-0000-00001A0D0000}"/>
    <cellStyle name="AggOrange9 2 3 4 9" xfId="3645" xr:uid="{00000000-0005-0000-0000-00003D0E0000}"/>
    <cellStyle name="AggOrange9 2 3 5" xfId="1293" xr:uid="{00000000-0005-0000-0000-00000D050000}"/>
    <cellStyle name="AggOrange9 2 3 6" xfId="1506" xr:uid="{00000000-0005-0000-0000-0000E2050000}"/>
    <cellStyle name="AggOrange9 2 3 7" xfId="1615" xr:uid="{00000000-0005-0000-0000-00004F060000}"/>
    <cellStyle name="AggOrange9 2 3 8" xfId="1245" xr:uid="{00000000-0005-0000-0000-0000DD040000}"/>
    <cellStyle name="AggOrange9 2 3 9" xfId="2543" xr:uid="{00000000-0005-0000-0000-0000EF090000}"/>
    <cellStyle name="AggOrange9 3" xfId="423" xr:uid="{00000000-0005-0000-0000-0000A7010000}"/>
    <cellStyle name="AggOrange9 3 2" xfId="612" xr:uid="{00000000-0005-0000-0000-000064020000}"/>
    <cellStyle name="AggOrange9 3 2 2" xfId="827" xr:uid="{00000000-0005-0000-0000-00003B030000}"/>
    <cellStyle name="AggOrange9 3 2 2 2" xfId="1090" xr:uid="{00000000-0005-0000-0000-000042040000}"/>
    <cellStyle name="AggOrange9 3 2 2 3" xfId="2009" xr:uid="{00000000-0005-0000-0000-0000D9070000}"/>
    <cellStyle name="AggOrange9 3 2 2 4" xfId="2420" xr:uid="{00000000-0005-0000-0000-000074090000}"/>
    <cellStyle name="AggOrange9 3 2 2 5" xfId="51" xr:uid="{00000000-0005-0000-0000-000033000000}"/>
    <cellStyle name="AggOrange9 3 2 2 6" xfId="2711" xr:uid="{00000000-0005-0000-0000-0000970A0000}"/>
    <cellStyle name="AggOrange9 3 2 2 7" xfId="3497" xr:uid="{00000000-0005-0000-0000-0000A90D0000}"/>
    <cellStyle name="AggOrange9 3 2 2 8" xfId="2807" xr:uid="{00000000-0005-0000-0000-0000F70A0000}"/>
    <cellStyle name="AggOrange9 3 2 3" xfId="1148" xr:uid="{00000000-0005-0000-0000-00007C040000}"/>
    <cellStyle name="AggOrange9 3 2 4" xfId="1794" xr:uid="{00000000-0005-0000-0000-000002070000}"/>
    <cellStyle name="AggOrange9 3 2 5" xfId="2206" xr:uid="{00000000-0005-0000-0000-00009E080000}"/>
    <cellStyle name="AggOrange9 3 2 6" xfId="1117" xr:uid="{00000000-0005-0000-0000-00005D040000}"/>
    <cellStyle name="AggOrange9 3 2 7" xfId="3046" xr:uid="{00000000-0005-0000-0000-0000E60B0000}"/>
    <cellStyle name="AggOrange9 3 2 8" xfId="3285" xr:uid="{00000000-0005-0000-0000-0000D50C0000}"/>
    <cellStyle name="AggOrange9 3 2 9" xfId="2517" xr:uid="{00000000-0005-0000-0000-0000D5090000}"/>
    <cellStyle name="AggOrange9 3 3" xfId="730" xr:uid="{00000000-0005-0000-0000-0000DA020000}"/>
    <cellStyle name="AggOrange9 3 3 2" xfId="1339" xr:uid="{00000000-0005-0000-0000-00003B050000}"/>
    <cellStyle name="AggOrange9 3 3 3" xfId="1912" xr:uid="{00000000-0005-0000-0000-000078070000}"/>
    <cellStyle name="AggOrange9 3 3 4" xfId="2323" xr:uid="{00000000-0005-0000-0000-000013090000}"/>
    <cellStyle name="AggOrange9 3 3 5" xfId="1704" xr:uid="{00000000-0005-0000-0000-0000A8060000}"/>
    <cellStyle name="AggOrange9 3 3 6" xfId="79" xr:uid="{00000000-0005-0000-0000-00004F000000}"/>
    <cellStyle name="AggOrange9 3 3 7" xfId="3400" xr:uid="{00000000-0005-0000-0000-0000480D0000}"/>
    <cellStyle name="AggOrange9 3 3 8" xfId="3677" xr:uid="{00000000-0005-0000-0000-00005D0E0000}"/>
    <cellStyle name="AggOrange9 4" xfId="281" xr:uid="{00000000-0005-0000-0000-000019010000}"/>
    <cellStyle name="AggOrange9 4 10" xfId="3090" xr:uid="{00000000-0005-0000-0000-0000120C0000}"/>
    <cellStyle name="AggOrange9 4 11" xfId="2305" xr:uid="{00000000-0005-0000-0000-000001090000}"/>
    <cellStyle name="AggOrange9 4 2" xfId="620" xr:uid="{00000000-0005-0000-0000-00006C020000}"/>
    <cellStyle name="AggOrange9 4 2 2" xfId="835" xr:uid="{00000000-0005-0000-0000-000043030000}"/>
    <cellStyle name="AggOrange9 4 2 2 2" xfId="1130" xr:uid="{00000000-0005-0000-0000-00006A040000}"/>
    <cellStyle name="AggOrange9 4 2 2 3" xfId="2017" xr:uid="{00000000-0005-0000-0000-0000E1070000}"/>
    <cellStyle name="AggOrange9 4 2 2 4" xfId="2428" xr:uid="{00000000-0005-0000-0000-00007C090000}"/>
    <cellStyle name="AggOrange9 4 2 2 5" xfId="1688" xr:uid="{00000000-0005-0000-0000-000098060000}"/>
    <cellStyle name="AggOrange9 4 2 2 6" xfId="1219" xr:uid="{00000000-0005-0000-0000-0000C3040000}"/>
    <cellStyle name="AggOrange9 4 2 2 7" xfId="3505" xr:uid="{00000000-0005-0000-0000-0000B10D0000}"/>
    <cellStyle name="AggOrange9 4 2 2 8" xfId="3383" xr:uid="{00000000-0005-0000-0000-0000370D0000}"/>
    <cellStyle name="AggOrange9 4 2 3" xfId="1559" xr:uid="{00000000-0005-0000-0000-000017060000}"/>
    <cellStyle name="AggOrange9 4 2 4" xfId="1802" xr:uid="{00000000-0005-0000-0000-00000A070000}"/>
    <cellStyle name="AggOrange9 4 2 5" xfId="2214" xr:uid="{00000000-0005-0000-0000-0000A6080000}"/>
    <cellStyle name="AggOrange9 4 2 6" xfId="1070" xr:uid="{00000000-0005-0000-0000-00002E040000}"/>
    <cellStyle name="AggOrange9 4 2 7" xfId="2931" xr:uid="{00000000-0005-0000-0000-0000730B0000}"/>
    <cellStyle name="AggOrange9 4 2 8" xfId="3293" xr:uid="{00000000-0005-0000-0000-0000DD0C0000}"/>
    <cellStyle name="AggOrange9 4 2 9" xfId="47" xr:uid="{00000000-0005-0000-0000-00002F000000}"/>
    <cellStyle name="AggOrange9 4 3" xfId="565" xr:uid="{00000000-0005-0000-0000-000035020000}"/>
    <cellStyle name="AggOrange9 4 3 2" xfId="780" xr:uid="{00000000-0005-0000-0000-00000C030000}"/>
    <cellStyle name="AggOrange9 4 3 2 2" xfId="1100" xr:uid="{00000000-0005-0000-0000-00004C040000}"/>
    <cellStyle name="AggOrange9 4 3 2 3" xfId="1962" xr:uid="{00000000-0005-0000-0000-0000AA070000}"/>
    <cellStyle name="AggOrange9 4 3 2 4" xfId="2373" xr:uid="{00000000-0005-0000-0000-000045090000}"/>
    <cellStyle name="AggOrange9 4 3 2 5" xfId="1162" xr:uid="{00000000-0005-0000-0000-00008A040000}"/>
    <cellStyle name="AggOrange9 4 3 2 6" xfId="2534" xr:uid="{00000000-0005-0000-0000-0000E6090000}"/>
    <cellStyle name="AggOrange9 4 3 2 7" xfId="3450" xr:uid="{00000000-0005-0000-0000-00007A0D0000}"/>
    <cellStyle name="AggOrange9 4 3 2 8" xfId="3752" xr:uid="{00000000-0005-0000-0000-0000A80E0000}"/>
    <cellStyle name="AggOrange9 4 3 3" xfId="1218" xr:uid="{00000000-0005-0000-0000-0000C2040000}"/>
    <cellStyle name="AggOrange9 4 3 4" xfId="1747" xr:uid="{00000000-0005-0000-0000-0000D3060000}"/>
    <cellStyle name="AggOrange9 4 3 5" xfId="2159" xr:uid="{00000000-0005-0000-0000-00006F080000}"/>
    <cellStyle name="AggOrange9 4 3 6" xfId="1427" xr:uid="{00000000-0005-0000-0000-000093050000}"/>
    <cellStyle name="AggOrange9 4 3 7" xfId="2700" xr:uid="{00000000-0005-0000-0000-00008C0A0000}"/>
    <cellStyle name="AggOrange9 4 3 8" xfId="3238" xr:uid="{00000000-0005-0000-0000-0000A60C0000}"/>
    <cellStyle name="AggOrange9 4 3 9" xfId="3038" xr:uid="{00000000-0005-0000-0000-0000DE0B0000}"/>
    <cellStyle name="AggOrange9 4 4" xfId="611" xr:uid="{00000000-0005-0000-0000-000063020000}"/>
    <cellStyle name="AggOrange9 4 4 2" xfId="826" xr:uid="{00000000-0005-0000-0000-00003A030000}"/>
    <cellStyle name="AggOrange9 4 4 2 2" xfId="996" xr:uid="{00000000-0005-0000-0000-0000E4030000}"/>
    <cellStyle name="AggOrange9 4 4 2 3" xfId="2008" xr:uid="{00000000-0005-0000-0000-0000D8070000}"/>
    <cellStyle name="AggOrange9 4 4 2 4" xfId="2419" xr:uid="{00000000-0005-0000-0000-000073090000}"/>
    <cellStyle name="AggOrange9 4 4 2 5" xfId="2529" xr:uid="{00000000-0005-0000-0000-0000E1090000}"/>
    <cellStyle name="AggOrange9 4 4 2 6" xfId="2829" xr:uid="{00000000-0005-0000-0000-00000D0B0000}"/>
    <cellStyle name="AggOrange9 4 4 2 7" xfId="3496" xr:uid="{00000000-0005-0000-0000-0000A80D0000}"/>
    <cellStyle name="AggOrange9 4 4 2 8" xfId="3691" xr:uid="{00000000-0005-0000-0000-00006B0E0000}"/>
    <cellStyle name="AggOrange9 4 4 3" xfId="1420" xr:uid="{00000000-0005-0000-0000-00008C050000}"/>
    <cellStyle name="AggOrange9 4 4 4" xfId="1793" xr:uid="{00000000-0005-0000-0000-000001070000}"/>
    <cellStyle name="AggOrange9 4 4 5" xfId="2205" xr:uid="{00000000-0005-0000-0000-00009D080000}"/>
    <cellStyle name="AggOrange9 4 4 6" xfId="1702" xr:uid="{00000000-0005-0000-0000-0000A6060000}"/>
    <cellStyle name="AggOrange9 4 4 7" xfId="1893" xr:uid="{00000000-0005-0000-0000-000065070000}"/>
    <cellStyle name="AggOrange9 4 4 8" xfId="3284" xr:uid="{00000000-0005-0000-0000-0000D40C0000}"/>
    <cellStyle name="AggOrange9 4 4 9" xfId="3125" xr:uid="{00000000-0005-0000-0000-0000350C0000}"/>
    <cellStyle name="AggOrange9 4 5" xfId="1292" xr:uid="{00000000-0005-0000-0000-00000C050000}"/>
    <cellStyle name="AggOrange9 4 6" xfId="1388" xr:uid="{00000000-0005-0000-0000-00006C050000}"/>
    <cellStyle name="AggOrange9 4 7" xfId="1221" xr:uid="{00000000-0005-0000-0000-0000C5040000}"/>
    <cellStyle name="AggOrange9 4 8" xfId="2623" xr:uid="{00000000-0005-0000-0000-00003F0A0000}"/>
    <cellStyle name="AggOrange9 4 9" xfId="2871" xr:uid="{00000000-0005-0000-0000-0000370B0000}"/>
    <cellStyle name="AggOrange9 5" xfId="84" xr:uid="{00000000-0005-0000-0000-000054000000}"/>
    <cellStyle name="AggOrangeLB_2x" xfId="29" xr:uid="{00000000-0005-0000-0000-00001D000000}"/>
    <cellStyle name="AggOrangeLBorder" xfId="31" xr:uid="{00000000-0005-0000-0000-00001F000000}"/>
    <cellStyle name="AggOrangeLBorder 2" xfId="133" xr:uid="{00000000-0005-0000-0000-000085000000}"/>
    <cellStyle name="AggOrangeLBorder 2 2" xfId="426" xr:uid="{00000000-0005-0000-0000-0000AA010000}"/>
    <cellStyle name="AggOrangeLBorder 2 3" xfId="284" xr:uid="{00000000-0005-0000-0000-00001C010000}"/>
    <cellStyle name="AggOrangeLBorder 2 3 10" xfId="2870" xr:uid="{00000000-0005-0000-0000-0000360B0000}"/>
    <cellStyle name="AggOrangeLBorder 2 3 11" xfId="2765" xr:uid="{00000000-0005-0000-0000-0000CD0A0000}"/>
    <cellStyle name="AggOrangeLBorder 2 3 12" xfId="3640" xr:uid="{00000000-0005-0000-0000-0000380E0000}"/>
    <cellStyle name="AggOrangeLBorder 2 3 2" xfId="623" xr:uid="{00000000-0005-0000-0000-00006F020000}"/>
    <cellStyle name="AggOrangeLBorder 2 3 2 2" xfId="838" xr:uid="{00000000-0005-0000-0000-000046030000}"/>
    <cellStyle name="AggOrangeLBorder 2 3 2 2 2" xfId="1235" xr:uid="{00000000-0005-0000-0000-0000D3040000}"/>
    <cellStyle name="AggOrangeLBorder 2 3 2 2 3" xfId="2020" xr:uid="{00000000-0005-0000-0000-0000E4070000}"/>
    <cellStyle name="AggOrangeLBorder 2 3 2 2 4" xfId="2431" xr:uid="{00000000-0005-0000-0000-00007F090000}"/>
    <cellStyle name="AggOrangeLBorder 2 3 2 2 5" xfId="1601" xr:uid="{00000000-0005-0000-0000-000041060000}"/>
    <cellStyle name="AggOrangeLBorder 2 3 2 2 6" xfId="2648" xr:uid="{00000000-0005-0000-0000-0000580A0000}"/>
    <cellStyle name="AggOrangeLBorder 2 3 2 2 7" xfId="3508" xr:uid="{00000000-0005-0000-0000-0000B40D0000}"/>
    <cellStyle name="AggOrangeLBorder 2 3 2 2 8" xfId="1066" xr:uid="{00000000-0005-0000-0000-00002A040000}"/>
    <cellStyle name="AggOrangeLBorder 2 3 2 3" xfId="1369" xr:uid="{00000000-0005-0000-0000-000059050000}"/>
    <cellStyle name="AggOrangeLBorder 2 3 2 4" xfId="1805" xr:uid="{00000000-0005-0000-0000-00000D070000}"/>
    <cellStyle name="AggOrangeLBorder 2 3 2 5" xfId="2217" xr:uid="{00000000-0005-0000-0000-0000A9080000}"/>
    <cellStyle name="AggOrangeLBorder 2 3 2 6" xfId="1395" xr:uid="{00000000-0005-0000-0000-000073050000}"/>
    <cellStyle name="AggOrangeLBorder 2 3 2 7" xfId="3113" xr:uid="{00000000-0005-0000-0000-0000290C0000}"/>
    <cellStyle name="AggOrangeLBorder 2 3 2 8" xfId="3296" xr:uid="{00000000-0005-0000-0000-0000E00C0000}"/>
    <cellStyle name="AggOrangeLBorder 2 3 2 9" xfId="2895" xr:uid="{00000000-0005-0000-0000-00004F0B0000}"/>
    <cellStyle name="AggOrangeLBorder 2 3 3" xfId="563" xr:uid="{00000000-0005-0000-0000-000033020000}"/>
    <cellStyle name="AggOrangeLBorder 2 3 3 2" xfId="778" xr:uid="{00000000-0005-0000-0000-00000A030000}"/>
    <cellStyle name="AggOrangeLBorder 2 3 3 2 2" xfId="1009" xr:uid="{00000000-0005-0000-0000-0000F1030000}"/>
    <cellStyle name="AggOrangeLBorder 2 3 3 2 3" xfId="1960" xr:uid="{00000000-0005-0000-0000-0000A8070000}"/>
    <cellStyle name="AggOrangeLBorder 2 3 3 2 4" xfId="2371" xr:uid="{00000000-0005-0000-0000-000043090000}"/>
    <cellStyle name="AggOrangeLBorder 2 3 3 2 5" xfId="1383" xr:uid="{00000000-0005-0000-0000-000067050000}"/>
    <cellStyle name="AggOrangeLBorder 2 3 3 2 6" xfId="2666" xr:uid="{00000000-0005-0000-0000-00006A0A0000}"/>
    <cellStyle name="AggOrangeLBorder 2 3 3 2 7" xfId="3448" xr:uid="{00000000-0005-0000-0000-0000780D0000}"/>
    <cellStyle name="AggOrangeLBorder 2 3 3 2 8" xfId="2964" xr:uid="{00000000-0005-0000-0000-0000940B0000}"/>
    <cellStyle name="AggOrangeLBorder 2 3 3 3" xfId="1448" xr:uid="{00000000-0005-0000-0000-0000A8050000}"/>
    <cellStyle name="AggOrangeLBorder 2 3 3 4" xfId="1745" xr:uid="{00000000-0005-0000-0000-0000D1060000}"/>
    <cellStyle name="AggOrangeLBorder 2 3 3 5" xfId="2157" xr:uid="{00000000-0005-0000-0000-00006D080000}"/>
    <cellStyle name="AggOrangeLBorder 2 3 3 6" xfId="1596" xr:uid="{00000000-0005-0000-0000-00003C060000}"/>
    <cellStyle name="AggOrangeLBorder 2 3 3 7" xfId="952" xr:uid="{00000000-0005-0000-0000-0000B8030000}"/>
    <cellStyle name="AggOrangeLBorder 2 3 3 8" xfId="3236" xr:uid="{00000000-0005-0000-0000-0000A40C0000}"/>
    <cellStyle name="AggOrangeLBorder 2 3 3 9" xfId="2546" xr:uid="{00000000-0005-0000-0000-0000F2090000}"/>
    <cellStyle name="AggOrangeLBorder 2 3 4" xfId="589" xr:uid="{00000000-0005-0000-0000-00004D020000}"/>
    <cellStyle name="AggOrangeLBorder 2 3 4 2" xfId="804" xr:uid="{00000000-0005-0000-0000-000024030000}"/>
    <cellStyle name="AggOrangeLBorder 2 3 4 2 2" xfId="1239" xr:uid="{00000000-0005-0000-0000-0000D7040000}"/>
    <cellStyle name="AggOrangeLBorder 2 3 4 2 3" xfId="1986" xr:uid="{00000000-0005-0000-0000-0000C2070000}"/>
    <cellStyle name="AggOrangeLBorder 2 3 4 2 4" xfId="2397" xr:uid="{00000000-0005-0000-0000-00005D090000}"/>
    <cellStyle name="AggOrangeLBorder 2 3 4 2 5" xfId="1202" xr:uid="{00000000-0005-0000-0000-0000B2040000}"/>
    <cellStyle name="AggOrangeLBorder 2 3 4 2 6" xfId="1076" xr:uid="{00000000-0005-0000-0000-000034040000}"/>
    <cellStyle name="AggOrangeLBorder 2 3 4 2 7" xfId="3474" xr:uid="{00000000-0005-0000-0000-0000920D0000}"/>
    <cellStyle name="AggOrangeLBorder 2 3 4 2 8" xfId="3597" xr:uid="{00000000-0005-0000-0000-00000D0E0000}"/>
    <cellStyle name="AggOrangeLBorder 2 3 4 3" xfId="1025" xr:uid="{00000000-0005-0000-0000-000001040000}"/>
    <cellStyle name="AggOrangeLBorder 2 3 4 4" xfId="1771" xr:uid="{00000000-0005-0000-0000-0000EB060000}"/>
    <cellStyle name="AggOrangeLBorder 2 3 4 5" xfId="2183" xr:uid="{00000000-0005-0000-0000-000087080000}"/>
    <cellStyle name="AggOrangeLBorder 2 3 4 6" xfId="2776" xr:uid="{00000000-0005-0000-0000-0000D80A0000}"/>
    <cellStyle name="AggOrangeLBorder 2 3 4 7" xfId="2598" xr:uid="{00000000-0005-0000-0000-0000260A0000}"/>
    <cellStyle name="AggOrangeLBorder 2 3 4 8" xfId="3262" xr:uid="{00000000-0005-0000-0000-0000BE0C0000}"/>
    <cellStyle name="AggOrangeLBorder 2 3 4 9" xfId="1036" xr:uid="{00000000-0005-0000-0000-00000C040000}"/>
    <cellStyle name="AggOrangeLBorder 2 3 5" xfId="709" xr:uid="{00000000-0005-0000-0000-0000C5020000}"/>
    <cellStyle name="AggOrangeLBorder 2 3 6" xfId="1168" xr:uid="{00000000-0005-0000-0000-000090040000}"/>
    <cellStyle name="AggOrangeLBorder 2 3 7" xfId="969" xr:uid="{00000000-0005-0000-0000-0000C9030000}"/>
    <cellStyle name="AggOrangeLBorder 2 3 8" xfId="1896" xr:uid="{00000000-0005-0000-0000-000068070000}"/>
    <cellStyle name="AggOrangeLBorder 2 3 9" xfId="2773" xr:uid="{00000000-0005-0000-0000-0000D50A0000}"/>
    <cellStyle name="AggOrangeLBorder 3" xfId="425" xr:uid="{00000000-0005-0000-0000-0000A9010000}"/>
    <cellStyle name="AggOrangeLBorder 4" xfId="283" xr:uid="{00000000-0005-0000-0000-00001B010000}"/>
    <cellStyle name="AggOrangeLBorder 4 10" xfId="2869" xr:uid="{00000000-0005-0000-0000-0000350B0000}"/>
    <cellStyle name="AggOrangeLBorder 4 11" xfId="2535" xr:uid="{00000000-0005-0000-0000-0000E7090000}"/>
    <cellStyle name="AggOrangeLBorder 4 12" xfId="3736" xr:uid="{00000000-0005-0000-0000-0000980E0000}"/>
    <cellStyle name="AggOrangeLBorder 4 2" xfId="622" xr:uid="{00000000-0005-0000-0000-00006E020000}"/>
    <cellStyle name="AggOrangeLBorder 4 2 2" xfId="837" xr:uid="{00000000-0005-0000-0000-000045030000}"/>
    <cellStyle name="AggOrangeLBorder 4 2 2 2" xfId="1129" xr:uid="{00000000-0005-0000-0000-000069040000}"/>
    <cellStyle name="AggOrangeLBorder 4 2 2 3" xfId="2019" xr:uid="{00000000-0005-0000-0000-0000E3070000}"/>
    <cellStyle name="AggOrangeLBorder 4 2 2 4" xfId="2430" xr:uid="{00000000-0005-0000-0000-00007E090000}"/>
    <cellStyle name="AggOrangeLBorder 4 2 2 5" xfId="1311" xr:uid="{00000000-0005-0000-0000-00001F050000}"/>
    <cellStyle name="AggOrangeLBorder 4 2 2 6" xfId="2784" xr:uid="{00000000-0005-0000-0000-0000E00A0000}"/>
    <cellStyle name="AggOrangeLBorder 4 2 2 7" xfId="3507" xr:uid="{00000000-0005-0000-0000-0000B30D0000}"/>
    <cellStyle name="AggOrangeLBorder 4 2 2 8" xfId="3663" xr:uid="{00000000-0005-0000-0000-00004F0E0000}"/>
    <cellStyle name="AggOrangeLBorder 4 2 3" xfId="1542" xr:uid="{00000000-0005-0000-0000-000006060000}"/>
    <cellStyle name="AggOrangeLBorder 4 2 4" xfId="1804" xr:uid="{00000000-0005-0000-0000-00000C070000}"/>
    <cellStyle name="AggOrangeLBorder 4 2 5" xfId="2216" xr:uid="{00000000-0005-0000-0000-0000A8080000}"/>
    <cellStyle name="AggOrangeLBorder 4 2 6" xfId="1063" xr:uid="{00000000-0005-0000-0000-000027040000}"/>
    <cellStyle name="AggOrangeLBorder 4 2 7" xfId="2921" xr:uid="{00000000-0005-0000-0000-0000690B0000}"/>
    <cellStyle name="AggOrangeLBorder 4 2 8" xfId="3295" xr:uid="{00000000-0005-0000-0000-0000DF0C0000}"/>
    <cellStyle name="AggOrangeLBorder 4 2 9" xfId="3086" xr:uid="{00000000-0005-0000-0000-00000E0C0000}"/>
    <cellStyle name="AggOrangeLBorder 4 3" xfId="564" xr:uid="{00000000-0005-0000-0000-000034020000}"/>
    <cellStyle name="AggOrangeLBorder 4 3 2" xfId="779" xr:uid="{00000000-0005-0000-0000-00000B030000}"/>
    <cellStyle name="AggOrangeLBorder 4 3 2 2" xfId="1206" xr:uid="{00000000-0005-0000-0000-0000B6040000}"/>
    <cellStyle name="AggOrangeLBorder 4 3 2 3" xfId="1961" xr:uid="{00000000-0005-0000-0000-0000A9070000}"/>
    <cellStyle name="AggOrangeLBorder 4 3 2 4" xfId="2372" xr:uid="{00000000-0005-0000-0000-000044090000}"/>
    <cellStyle name="AggOrangeLBorder 4 3 2 5" xfId="1060" xr:uid="{00000000-0005-0000-0000-000024040000}"/>
    <cellStyle name="AggOrangeLBorder 4 3 2 6" xfId="2659" xr:uid="{00000000-0005-0000-0000-0000630A0000}"/>
    <cellStyle name="AggOrangeLBorder 4 3 2 7" xfId="3449" xr:uid="{00000000-0005-0000-0000-0000790D0000}"/>
    <cellStyle name="AggOrangeLBorder 4 3 2 8" xfId="2642" xr:uid="{00000000-0005-0000-0000-0000520A0000}"/>
    <cellStyle name="AggOrangeLBorder 4 3 3" xfId="1244" xr:uid="{00000000-0005-0000-0000-0000DC040000}"/>
    <cellStyle name="AggOrangeLBorder 4 3 4" xfId="1746" xr:uid="{00000000-0005-0000-0000-0000D2060000}"/>
    <cellStyle name="AggOrangeLBorder 4 3 5" xfId="2158" xr:uid="{00000000-0005-0000-0000-00006E080000}"/>
    <cellStyle name="AggOrangeLBorder 4 3 6" xfId="2604" xr:uid="{00000000-0005-0000-0000-00002C0A0000}"/>
    <cellStyle name="AggOrangeLBorder 4 3 7" xfId="1669" xr:uid="{00000000-0005-0000-0000-000085060000}"/>
    <cellStyle name="AggOrangeLBorder 4 3 8" xfId="3237" xr:uid="{00000000-0005-0000-0000-0000A50C0000}"/>
    <cellStyle name="AggOrangeLBorder 4 3 9" xfId="2540" xr:uid="{00000000-0005-0000-0000-0000EC090000}"/>
    <cellStyle name="AggOrangeLBorder 4 4" xfId="585" xr:uid="{00000000-0005-0000-0000-000049020000}"/>
    <cellStyle name="AggOrangeLBorder 4 4 2" xfId="800" xr:uid="{00000000-0005-0000-0000-000020030000}"/>
    <cellStyle name="AggOrangeLBorder 4 4 2 2" xfId="1241" xr:uid="{00000000-0005-0000-0000-0000D9040000}"/>
    <cellStyle name="AggOrangeLBorder 4 4 2 3" xfId="1982" xr:uid="{00000000-0005-0000-0000-0000BE070000}"/>
    <cellStyle name="AggOrangeLBorder 4 4 2 4" xfId="2393" xr:uid="{00000000-0005-0000-0000-000059090000}"/>
    <cellStyle name="AggOrangeLBorder 4 4 2 5" xfId="1680" xr:uid="{00000000-0005-0000-0000-000090060000}"/>
    <cellStyle name="AggOrangeLBorder 4 4 2 6" xfId="2789" xr:uid="{00000000-0005-0000-0000-0000E50A0000}"/>
    <cellStyle name="AggOrangeLBorder 4 4 2 7" xfId="3470" xr:uid="{00000000-0005-0000-0000-00008E0D0000}"/>
    <cellStyle name="AggOrangeLBorder 4 4 2 8" xfId="3060" xr:uid="{00000000-0005-0000-0000-0000F40B0000}"/>
    <cellStyle name="AggOrangeLBorder 4 4 3" xfId="1029" xr:uid="{00000000-0005-0000-0000-000005040000}"/>
    <cellStyle name="AggOrangeLBorder 4 4 4" xfId="1767" xr:uid="{00000000-0005-0000-0000-0000E7060000}"/>
    <cellStyle name="AggOrangeLBorder 4 4 5" xfId="2179" xr:uid="{00000000-0005-0000-0000-000083080000}"/>
    <cellStyle name="AggOrangeLBorder 4 4 6" xfId="2746" xr:uid="{00000000-0005-0000-0000-0000BA0A0000}"/>
    <cellStyle name="AggOrangeLBorder 4 4 7" xfId="2307" xr:uid="{00000000-0005-0000-0000-000003090000}"/>
    <cellStyle name="AggOrangeLBorder 4 4 8" xfId="3258" xr:uid="{00000000-0005-0000-0000-0000BA0C0000}"/>
    <cellStyle name="AggOrangeLBorder 4 4 9" xfId="3729" xr:uid="{00000000-0005-0000-0000-0000910E0000}"/>
    <cellStyle name="AggOrangeLBorder 4 5" xfId="708" xr:uid="{00000000-0005-0000-0000-0000C4020000}"/>
    <cellStyle name="AggOrangeLBorder 4 6" xfId="1184" xr:uid="{00000000-0005-0000-0000-0000A0040000}"/>
    <cellStyle name="AggOrangeLBorder 4 7" xfId="1301" xr:uid="{00000000-0005-0000-0000-000015050000}"/>
    <cellStyle name="AggOrangeLBorder 4 8" xfId="1455" xr:uid="{00000000-0005-0000-0000-0000AF050000}"/>
    <cellStyle name="AggOrangeLBorder 4 9" xfId="2602" xr:uid="{00000000-0005-0000-0000-00002A0A0000}"/>
    <cellStyle name="AggOrangeLBorder 5" xfId="92" xr:uid="{00000000-0005-0000-0000-00005C000000}"/>
    <cellStyle name="AggOrangeRBorder" xfId="20" xr:uid="{00000000-0005-0000-0000-000014000000}"/>
    <cellStyle name="AggOrangeRBorder 2" xfId="134" xr:uid="{00000000-0005-0000-0000-000086000000}"/>
    <cellStyle name="AggOrangeRBorder 2 2" xfId="428" xr:uid="{00000000-0005-0000-0000-0000AC010000}"/>
    <cellStyle name="AggOrangeRBorder 2 2 2" xfId="540" xr:uid="{00000000-0005-0000-0000-00001C020000}"/>
    <cellStyle name="AggOrangeRBorder 2 2 2 2" xfId="755" xr:uid="{00000000-0005-0000-0000-0000F3020000}"/>
    <cellStyle name="AggOrangeRBorder 2 2 2 2 2" xfId="52" xr:uid="{00000000-0005-0000-0000-000034000000}"/>
    <cellStyle name="AggOrangeRBorder 2 2 2 2 3" xfId="1937" xr:uid="{00000000-0005-0000-0000-000091070000}"/>
    <cellStyle name="AggOrangeRBorder 2 2 2 2 4" xfId="2348" xr:uid="{00000000-0005-0000-0000-00002C090000}"/>
    <cellStyle name="AggOrangeRBorder 2 2 2 2 5" xfId="1346" xr:uid="{00000000-0005-0000-0000-000042050000}"/>
    <cellStyle name="AggOrangeRBorder 2 2 2 2 6" xfId="1342" xr:uid="{00000000-0005-0000-0000-00003E050000}"/>
    <cellStyle name="AggOrangeRBorder 2 2 2 2 7" xfId="3425" xr:uid="{00000000-0005-0000-0000-0000610D0000}"/>
    <cellStyle name="AggOrangeRBorder 2 2 2 2 8" xfId="2977" xr:uid="{00000000-0005-0000-0000-0000A10B0000}"/>
    <cellStyle name="AggOrangeRBorder 2 2 2 3" xfId="1032" xr:uid="{00000000-0005-0000-0000-000008040000}"/>
    <cellStyle name="AggOrangeRBorder 2 2 2 4" xfId="1722" xr:uid="{00000000-0005-0000-0000-0000BA060000}"/>
    <cellStyle name="AggOrangeRBorder 2 2 2 5" xfId="2134" xr:uid="{00000000-0005-0000-0000-000056080000}"/>
    <cellStyle name="AggOrangeRBorder 2 2 2 6" xfId="907" xr:uid="{00000000-0005-0000-0000-00008B030000}"/>
    <cellStyle name="AggOrangeRBorder 2 2 2 7" xfId="1674" xr:uid="{00000000-0005-0000-0000-00008A060000}"/>
    <cellStyle name="AggOrangeRBorder 2 2 2 8" xfId="3213" xr:uid="{00000000-0005-0000-0000-00008D0C0000}"/>
    <cellStyle name="AggOrangeRBorder 2 2 2 9" xfId="3187" xr:uid="{00000000-0005-0000-0000-0000730C0000}"/>
    <cellStyle name="AggOrangeRBorder 2 3" xfId="286" xr:uid="{00000000-0005-0000-0000-00001E010000}"/>
    <cellStyle name="AggOrangeRBorder 2 3 10" xfId="1057" xr:uid="{00000000-0005-0000-0000-000021040000}"/>
    <cellStyle name="AggOrangeRBorder 2 3 11" xfId="2933" xr:uid="{00000000-0005-0000-0000-0000750B0000}"/>
    <cellStyle name="AggOrangeRBorder 2 3 12" xfId="3664" xr:uid="{00000000-0005-0000-0000-0000500E0000}"/>
    <cellStyle name="AggOrangeRBorder 2 3 2" xfId="625" xr:uid="{00000000-0005-0000-0000-000071020000}"/>
    <cellStyle name="AggOrangeRBorder 2 3 2 2" xfId="840" xr:uid="{00000000-0005-0000-0000-000048030000}"/>
    <cellStyle name="AggOrangeRBorder 2 3 2 2 2" xfId="1234" xr:uid="{00000000-0005-0000-0000-0000D2040000}"/>
    <cellStyle name="AggOrangeRBorder 2 3 2 2 3" xfId="2022" xr:uid="{00000000-0005-0000-0000-0000E6070000}"/>
    <cellStyle name="AggOrangeRBorder 2 3 2 2 4" xfId="2433" xr:uid="{00000000-0005-0000-0000-000081090000}"/>
    <cellStyle name="AggOrangeRBorder 2 3 2 2 5" xfId="1065" xr:uid="{00000000-0005-0000-0000-000029040000}"/>
    <cellStyle name="AggOrangeRBorder 2 3 2 2 6" xfId="2601" xr:uid="{00000000-0005-0000-0000-0000290A0000}"/>
    <cellStyle name="AggOrangeRBorder 2 3 2 2 7" xfId="3510" xr:uid="{00000000-0005-0000-0000-0000B60D0000}"/>
    <cellStyle name="AggOrangeRBorder 2 3 2 2 8" xfId="3179" xr:uid="{00000000-0005-0000-0000-00006B0C0000}"/>
    <cellStyle name="AggOrangeRBorder 2 3 2 3" xfId="1417" xr:uid="{00000000-0005-0000-0000-000089050000}"/>
    <cellStyle name="AggOrangeRBorder 2 3 2 4" xfId="1807" xr:uid="{00000000-0005-0000-0000-00000F070000}"/>
    <cellStyle name="AggOrangeRBorder 2 3 2 5" xfId="2219" xr:uid="{00000000-0005-0000-0000-0000AB080000}"/>
    <cellStyle name="AggOrangeRBorder 2 3 2 6" xfId="2502" xr:uid="{00000000-0005-0000-0000-0000C6090000}"/>
    <cellStyle name="AggOrangeRBorder 2 3 2 7" xfId="2618" xr:uid="{00000000-0005-0000-0000-00003A0A0000}"/>
    <cellStyle name="AggOrangeRBorder 2 3 2 8" xfId="3298" xr:uid="{00000000-0005-0000-0000-0000E20C0000}"/>
    <cellStyle name="AggOrangeRBorder 2 3 2 9" xfId="3182" xr:uid="{00000000-0005-0000-0000-00006E0C0000}"/>
    <cellStyle name="AggOrangeRBorder 2 3 3" xfId="601" xr:uid="{00000000-0005-0000-0000-000059020000}"/>
    <cellStyle name="AggOrangeRBorder 2 3 3 2" xfId="816" xr:uid="{00000000-0005-0000-0000-000030030000}"/>
    <cellStyle name="AggOrangeRBorder 2 3 3 2 2" xfId="1438" xr:uid="{00000000-0005-0000-0000-00009E050000}"/>
    <cellStyle name="AggOrangeRBorder 2 3 3 2 3" xfId="1998" xr:uid="{00000000-0005-0000-0000-0000CE070000}"/>
    <cellStyle name="AggOrangeRBorder 2 3 3 2 4" xfId="2409" xr:uid="{00000000-0005-0000-0000-000069090000}"/>
    <cellStyle name="AggOrangeRBorder 2 3 3 2 5" xfId="2732" xr:uid="{00000000-0005-0000-0000-0000AC0A0000}"/>
    <cellStyle name="AggOrangeRBorder 2 3 3 2 6" xfId="2636" xr:uid="{00000000-0005-0000-0000-00004C0A0000}"/>
    <cellStyle name="AggOrangeRBorder 2 3 3 2 7" xfId="3486" xr:uid="{00000000-0005-0000-0000-00009E0D0000}"/>
    <cellStyle name="AggOrangeRBorder 2 3 3 2 8" xfId="3617" xr:uid="{00000000-0005-0000-0000-0000210E0000}"/>
    <cellStyle name="AggOrangeRBorder 2 3 3 3" xfId="1618" xr:uid="{00000000-0005-0000-0000-000052060000}"/>
    <cellStyle name="AggOrangeRBorder 2 3 3 4" xfId="1783" xr:uid="{00000000-0005-0000-0000-0000F7060000}"/>
    <cellStyle name="AggOrangeRBorder 2 3 3 5" xfId="2195" xr:uid="{00000000-0005-0000-0000-000093080000}"/>
    <cellStyle name="AggOrangeRBorder 2 3 3 6" xfId="2795" xr:uid="{00000000-0005-0000-0000-0000EB0A0000}"/>
    <cellStyle name="AggOrangeRBorder 2 3 3 7" xfId="2983" xr:uid="{00000000-0005-0000-0000-0000A70B0000}"/>
    <cellStyle name="AggOrangeRBorder 2 3 3 8" xfId="3274" xr:uid="{00000000-0005-0000-0000-0000CA0C0000}"/>
    <cellStyle name="AggOrangeRBorder 2 3 3 9" xfId="1457" xr:uid="{00000000-0005-0000-0000-0000B1050000}"/>
    <cellStyle name="AggOrangeRBorder 2 3 4" xfId="583" xr:uid="{00000000-0005-0000-0000-000047020000}"/>
    <cellStyle name="AggOrangeRBorder 2 3 4 2" xfId="798" xr:uid="{00000000-0005-0000-0000-00001E030000}"/>
    <cellStyle name="AggOrangeRBorder 2 3 4 2 2" xfId="1242" xr:uid="{00000000-0005-0000-0000-0000DA040000}"/>
    <cellStyle name="AggOrangeRBorder 2 3 4 2 3" xfId="1980" xr:uid="{00000000-0005-0000-0000-0000BC070000}"/>
    <cellStyle name="AggOrangeRBorder 2 3 4 2 4" xfId="2391" xr:uid="{00000000-0005-0000-0000-000057090000}"/>
    <cellStyle name="AggOrangeRBorder 2 3 4 2 5" xfId="1314" xr:uid="{00000000-0005-0000-0000-000022050000}"/>
    <cellStyle name="AggOrangeRBorder 2 3 4 2 6" xfId="2548" xr:uid="{00000000-0005-0000-0000-0000F4090000}"/>
    <cellStyle name="AggOrangeRBorder 2 3 4 2 7" xfId="3468" xr:uid="{00000000-0005-0000-0000-00008C0D0000}"/>
    <cellStyle name="AggOrangeRBorder 2 3 4 2 8" xfId="3723" xr:uid="{00000000-0005-0000-0000-00008B0E0000}"/>
    <cellStyle name="AggOrangeRBorder 2 3 4 3" xfId="1447" xr:uid="{00000000-0005-0000-0000-0000A7050000}"/>
    <cellStyle name="AggOrangeRBorder 2 3 4 4" xfId="1765" xr:uid="{00000000-0005-0000-0000-0000E5060000}"/>
    <cellStyle name="AggOrangeRBorder 2 3 4 5" xfId="2177" xr:uid="{00000000-0005-0000-0000-000081080000}"/>
    <cellStyle name="AggOrangeRBorder 2 3 4 6" xfId="1331" xr:uid="{00000000-0005-0000-0000-000033050000}"/>
    <cellStyle name="AggOrangeRBorder 2 3 4 7" xfId="1316" xr:uid="{00000000-0005-0000-0000-000024050000}"/>
    <cellStyle name="AggOrangeRBorder 2 3 4 8" xfId="3256" xr:uid="{00000000-0005-0000-0000-0000B80C0000}"/>
    <cellStyle name="AggOrangeRBorder 2 3 4 9" xfId="3073" xr:uid="{00000000-0005-0000-0000-0000010C0000}"/>
    <cellStyle name="AggOrangeRBorder 2 3 5" xfId="711" xr:uid="{00000000-0005-0000-0000-0000C7020000}"/>
    <cellStyle name="AggOrangeRBorder 2 3 6" xfId="1283" xr:uid="{00000000-0005-0000-0000-000003050000}"/>
    <cellStyle name="AggOrangeRBorder 2 3 7" xfId="1561" xr:uid="{00000000-0005-0000-0000-000019060000}"/>
    <cellStyle name="AggOrangeRBorder 2 3 8" xfId="1706" xr:uid="{00000000-0005-0000-0000-0000AA060000}"/>
    <cellStyle name="AggOrangeRBorder 2 3 9" xfId="1353" xr:uid="{00000000-0005-0000-0000-000049050000}"/>
    <cellStyle name="AggOrangeRBorder 3" xfId="427" xr:uid="{00000000-0005-0000-0000-0000AB010000}"/>
    <cellStyle name="AggOrangeRBorder 3 2" xfId="45" xr:uid="{00000000-0005-0000-0000-00002D000000}"/>
    <cellStyle name="AggOrangeRBorder 3 2 2" xfId="659" xr:uid="{00000000-0005-0000-0000-000093020000}"/>
    <cellStyle name="AggOrangeRBorder 3 2 2 2" xfId="1501" xr:uid="{00000000-0005-0000-0000-0000DD050000}"/>
    <cellStyle name="AggOrangeRBorder 3 2 2 3" xfId="1841" xr:uid="{00000000-0005-0000-0000-000031070000}"/>
    <cellStyle name="AggOrangeRBorder 3 2 2 4" xfId="2253" xr:uid="{00000000-0005-0000-0000-0000CD080000}"/>
    <cellStyle name="AggOrangeRBorder 3 2 2 5" xfId="1265" xr:uid="{00000000-0005-0000-0000-0000F1040000}"/>
    <cellStyle name="AggOrangeRBorder 3 2 2 6" xfId="3137" xr:uid="{00000000-0005-0000-0000-0000410C0000}"/>
    <cellStyle name="AggOrangeRBorder 3 2 2 7" xfId="3332" xr:uid="{00000000-0005-0000-0000-0000040D0000}"/>
    <cellStyle name="AggOrangeRBorder 3 2 2 8" xfId="2914" xr:uid="{00000000-0005-0000-0000-0000620B0000}"/>
    <cellStyle name="AggOrangeRBorder 3 2 3" xfId="874" xr:uid="{00000000-0005-0000-0000-00006A030000}"/>
    <cellStyle name="AggOrangeRBorder 3 2 3 2" xfId="1124" xr:uid="{00000000-0005-0000-0000-000064040000}"/>
    <cellStyle name="AggOrangeRBorder 3 2 3 3" xfId="2056" xr:uid="{00000000-0005-0000-0000-000008080000}"/>
    <cellStyle name="AggOrangeRBorder 3 2 3 4" xfId="2467" xr:uid="{00000000-0005-0000-0000-0000A3090000}"/>
    <cellStyle name="AggOrangeRBorder 3 2 3 5" xfId="1372" xr:uid="{00000000-0005-0000-0000-00005C050000}"/>
    <cellStyle name="AggOrangeRBorder 3 2 3 6" xfId="2101" xr:uid="{00000000-0005-0000-0000-000035080000}"/>
    <cellStyle name="AggOrangeRBorder 3 2 3 7" xfId="3544" xr:uid="{00000000-0005-0000-0000-0000D80D0000}"/>
    <cellStyle name="AggOrangeRBorder 3 2 3 8" xfId="3587" xr:uid="{00000000-0005-0000-0000-0000030E0000}"/>
    <cellStyle name="AggOrangeRBorder 4" xfId="285" xr:uid="{00000000-0005-0000-0000-00001D010000}"/>
    <cellStyle name="AggOrangeRBorder 4 10" xfId="2595" xr:uid="{00000000-0005-0000-0000-0000230A0000}"/>
    <cellStyle name="AggOrangeRBorder 4 11" xfId="3133" xr:uid="{00000000-0005-0000-0000-00003D0C0000}"/>
    <cellStyle name="AggOrangeRBorder 4 12" xfId="3586" xr:uid="{00000000-0005-0000-0000-0000020E0000}"/>
    <cellStyle name="AggOrangeRBorder 4 2" xfId="624" xr:uid="{00000000-0005-0000-0000-000070020000}"/>
    <cellStyle name="AggOrangeRBorder 4 2 2" xfId="839" xr:uid="{00000000-0005-0000-0000-000047030000}"/>
    <cellStyle name="AggOrangeRBorder 4 2 2 2" xfId="1128" xr:uid="{00000000-0005-0000-0000-000068040000}"/>
    <cellStyle name="AggOrangeRBorder 4 2 2 3" xfId="2021" xr:uid="{00000000-0005-0000-0000-0000E5070000}"/>
    <cellStyle name="AggOrangeRBorder 4 2 2 4" xfId="2432" xr:uid="{00000000-0005-0000-0000-000080090000}"/>
    <cellStyle name="AggOrangeRBorder 4 2 2 5" xfId="1617" xr:uid="{00000000-0005-0000-0000-000051060000}"/>
    <cellStyle name="AggOrangeRBorder 4 2 2 6" xfId="1479" xr:uid="{00000000-0005-0000-0000-0000C7050000}"/>
    <cellStyle name="AggOrangeRBorder 4 2 2 7" xfId="3509" xr:uid="{00000000-0005-0000-0000-0000B50D0000}"/>
    <cellStyle name="AggOrangeRBorder 4 2 2 8" xfId="3662" xr:uid="{00000000-0005-0000-0000-00004E0E0000}"/>
    <cellStyle name="AggOrangeRBorder 4 2 3" xfId="1588" xr:uid="{00000000-0005-0000-0000-000034060000}"/>
    <cellStyle name="AggOrangeRBorder 4 2 4" xfId="1806" xr:uid="{00000000-0005-0000-0000-00000E070000}"/>
    <cellStyle name="AggOrangeRBorder 4 2 5" xfId="2218" xr:uid="{00000000-0005-0000-0000-0000AA080000}"/>
    <cellStyle name="AggOrangeRBorder 4 2 6" xfId="2572" xr:uid="{00000000-0005-0000-0000-00000C0A0000}"/>
    <cellStyle name="AggOrangeRBorder 4 2 7" xfId="2958" xr:uid="{00000000-0005-0000-0000-00008E0B0000}"/>
    <cellStyle name="AggOrangeRBorder 4 2 8" xfId="3297" xr:uid="{00000000-0005-0000-0000-0000E10C0000}"/>
    <cellStyle name="AggOrangeRBorder 4 2 9" xfId="1307" xr:uid="{00000000-0005-0000-0000-00001B050000}"/>
    <cellStyle name="AggOrangeRBorder 4 3" xfId="657" xr:uid="{00000000-0005-0000-0000-000091020000}"/>
    <cellStyle name="AggOrangeRBorder 4 3 2" xfId="872" xr:uid="{00000000-0005-0000-0000-000068030000}"/>
    <cellStyle name="AggOrangeRBorder 4 3 2 2" xfId="1081" xr:uid="{00000000-0005-0000-0000-000039040000}"/>
    <cellStyle name="AggOrangeRBorder 4 3 2 3" xfId="2054" xr:uid="{00000000-0005-0000-0000-000006080000}"/>
    <cellStyle name="AggOrangeRBorder 4 3 2 4" xfId="2465" xr:uid="{00000000-0005-0000-0000-0000A1090000}"/>
    <cellStyle name="AggOrangeRBorder 4 3 2 5" xfId="1676" xr:uid="{00000000-0005-0000-0000-00008C060000}"/>
    <cellStyle name="AggOrangeRBorder 4 3 2 6" xfId="2758" xr:uid="{00000000-0005-0000-0000-0000C60A0000}"/>
    <cellStyle name="AggOrangeRBorder 4 3 2 7" xfId="3542" xr:uid="{00000000-0005-0000-0000-0000D60D0000}"/>
    <cellStyle name="AggOrangeRBorder 4 3 2 8" xfId="3697" xr:uid="{00000000-0005-0000-0000-0000710E0000}"/>
    <cellStyle name="AggOrangeRBorder 4 3 3" xfId="1416" xr:uid="{00000000-0005-0000-0000-000088050000}"/>
    <cellStyle name="AggOrangeRBorder 4 3 4" xfId="1839" xr:uid="{00000000-0005-0000-0000-00002F070000}"/>
    <cellStyle name="AggOrangeRBorder 4 3 5" xfId="2251" xr:uid="{00000000-0005-0000-0000-0000CB080000}"/>
    <cellStyle name="AggOrangeRBorder 4 3 6" xfId="1324" xr:uid="{00000000-0005-0000-0000-00002C050000}"/>
    <cellStyle name="AggOrangeRBorder 4 3 7" xfId="917" xr:uid="{00000000-0005-0000-0000-000095030000}"/>
    <cellStyle name="AggOrangeRBorder 4 3 8" xfId="3330" xr:uid="{00000000-0005-0000-0000-0000020D0000}"/>
    <cellStyle name="AggOrangeRBorder 4 3 9" xfId="2717" xr:uid="{00000000-0005-0000-0000-00009D0A0000}"/>
    <cellStyle name="AggOrangeRBorder 4 4" xfId="678" xr:uid="{00000000-0005-0000-0000-0000A6020000}"/>
    <cellStyle name="AggOrangeRBorder 4 4 2" xfId="893" xr:uid="{00000000-0005-0000-0000-00007D030000}"/>
    <cellStyle name="AggOrangeRBorder 4 4 2 2" xfId="1652" xr:uid="{00000000-0005-0000-0000-000074060000}"/>
    <cellStyle name="AggOrangeRBorder 4 4 2 3" xfId="2075" xr:uid="{00000000-0005-0000-0000-00001B080000}"/>
    <cellStyle name="AggOrangeRBorder 4 4 2 4" xfId="2486" xr:uid="{00000000-0005-0000-0000-0000B6090000}"/>
    <cellStyle name="AggOrangeRBorder 4 4 2 5" xfId="2844" xr:uid="{00000000-0005-0000-0000-00001C0B0000}"/>
    <cellStyle name="AggOrangeRBorder 4 4 2 6" xfId="3165" xr:uid="{00000000-0005-0000-0000-00005D0C0000}"/>
    <cellStyle name="AggOrangeRBorder 4 4 2 7" xfId="3563" xr:uid="{00000000-0005-0000-0000-0000EB0D0000}"/>
    <cellStyle name="AggOrangeRBorder 4 4 2 8" xfId="3779" xr:uid="{00000000-0005-0000-0000-0000C30E0000}"/>
    <cellStyle name="AggOrangeRBorder 4 4 3" xfId="1402" xr:uid="{00000000-0005-0000-0000-00007A050000}"/>
    <cellStyle name="AggOrangeRBorder 4 4 4" xfId="1860" xr:uid="{00000000-0005-0000-0000-000044070000}"/>
    <cellStyle name="AggOrangeRBorder 4 4 5" xfId="2272" xr:uid="{00000000-0005-0000-0000-0000E0080000}"/>
    <cellStyle name="AggOrangeRBorder 4 4 6" xfId="1682" xr:uid="{00000000-0005-0000-0000-000092060000}"/>
    <cellStyle name="AggOrangeRBorder 4 4 7" xfId="2809" xr:uid="{00000000-0005-0000-0000-0000F90A0000}"/>
    <cellStyle name="AggOrangeRBorder 4 4 8" xfId="3351" xr:uid="{00000000-0005-0000-0000-0000170D0000}"/>
    <cellStyle name="AggOrangeRBorder 4 4 9" xfId="1538" xr:uid="{00000000-0005-0000-0000-000002060000}"/>
    <cellStyle name="AggOrangeRBorder 4 5" xfId="710" xr:uid="{00000000-0005-0000-0000-0000C6020000}"/>
    <cellStyle name="AggOrangeRBorder 4 6" xfId="1160" xr:uid="{00000000-0005-0000-0000-000088040000}"/>
    <cellStyle name="AggOrangeRBorder 4 7" xfId="1216" xr:uid="{00000000-0005-0000-0000-0000C0040000}"/>
    <cellStyle name="AggOrangeRBorder 4 8" xfId="2088" xr:uid="{00000000-0005-0000-0000-000028080000}"/>
    <cellStyle name="AggOrangeRBorder 4 9" xfId="1053" xr:uid="{00000000-0005-0000-0000-00001D040000}"/>
    <cellStyle name="AggOrangeRBorder 5" xfId="87" xr:uid="{00000000-0005-0000-0000-000057000000}"/>
    <cellStyle name="AggOrangeRBorder_CRFReport-template" xfId="32" xr:uid="{00000000-0005-0000-0000-000020000000}"/>
    <cellStyle name="Akzent1" xfId="135" xr:uid="{00000000-0005-0000-0000-000087000000}"/>
    <cellStyle name="Akzent2" xfId="136" xr:uid="{00000000-0005-0000-0000-000088000000}"/>
    <cellStyle name="Akzent3" xfId="137" xr:uid="{00000000-0005-0000-0000-000089000000}"/>
    <cellStyle name="Akzent4" xfId="138" xr:uid="{00000000-0005-0000-0000-00008A000000}"/>
    <cellStyle name="Akzent5" xfId="139" xr:uid="{00000000-0005-0000-0000-00008B000000}"/>
    <cellStyle name="Akzent6" xfId="140" xr:uid="{00000000-0005-0000-0000-00008C000000}"/>
    <cellStyle name="Ausgabe" xfId="54" hidden="1" xr:uid="{00000000-0005-0000-0000-000036000000}"/>
    <cellStyle name="Ausgabe 2" xfId="406" xr:uid="{00000000-0005-0000-0000-000096010000}"/>
    <cellStyle name="Ausgabe 2 2" xfId="662" xr:uid="{00000000-0005-0000-0000-000096020000}"/>
    <cellStyle name="Ausgabe 2 2 2" xfId="877" xr:uid="{00000000-0005-0000-0000-00006D030000}"/>
    <cellStyle name="Ausgabe 2 2 2 2" xfId="1229" xr:uid="{00000000-0005-0000-0000-0000CD040000}"/>
    <cellStyle name="Ausgabe 2 2 2 3" xfId="2059" xr:uid="{00000000-0005-0000-0000-00000B080000}"/>
    <cellStyle name="Ausgabe 2 2 2 4" xfId="2470" xr:uid="{00000000-0005-0000-0000-0000A6090000}"/>
    <cellStyle name="Ausgabe 2 2 2 5" xfId="2514" xr:uid="{00000000-0005-0000-0000-0000D2090000}"/>
    <cellStyle name="Ausgabe 2 2 2 6" xfId="1156" xr:uid="{00000000-0005-0000-0000-000084040000}"/>
    <cellStyle name="Ausgabe 2 2 2 7" xfId="3547" xr:uid="{00000000-0005-0000-0000-0000DB0D0000}"/>
    <cellStyle name="Ausgabe 2 2 2 8" xfId="3195" xr:uid="{00000000-0005-0000-0000-00007B0C0000}"/>
    <cellStyle name="Ausgabe 2 2 3" xfId="1257" xr:uid="{00000000-0005-0000-0000-0000E9040000}"/>
    <cellStyle name="Ausgabe 2 2 4" xfId="1844" xr:uid="{00000000-0005-0000-0000-000034070000}"/>
    <cellStyle name="Ausgabe 2 2 5" xfId="2256" xr:uid="{00000000-0005-0000-0000-0000D0080000}"/>
    <cellStyle name="Ausgabe 2 2 6" xfId="2632" xr:uid="{00000000-0005-0000-0000-0000480A0000}"/>
    <cellStyle name="Ausgabe 2 2 7" xfId="2109" xr:uid="{00000000-0005-0000-0000-00003D080000}"/>
    <cellStyle name="Ausgabe 2 2 8" xfId="3335" xr:uid="{00000000-0005-0000-0000-0000070D0000}"/>
    <cellStyle name="Ausgabe 2 2 9" xfId="1178" xr:uid="{00000000-0005-0000-0000-00009A040000}"/>
    <cellStyle name="Ausgabe 2 3" xfId="547" xr:uid="{00000000-0005-0000-0000-000023020000}"/>
    <cellStyle name="Ausgabe 2 3 2" xfId="762" xr:uid="{00000000-0005-0000-0000-0000FA020000}"/>
    <cellStyle name="Ausgabe 2 3 2 2" xfId="939" xr:uid="{00000000-0005-0000-0000-0000AB030000}"/>
    <cellStyle name="Ausgabe 2 3 2 3" xfId="1944" xr:uid="{00000000-0005-0000-0000-000098070000}"/>
    <cellStyle name="Ausgabe 2 3 2 4" xfId="2355" xr:uid="{00000000-0005-0000-0000-000033090000}"/>
    <cellStyle name="Ausgabe 2 3 2 5" xfId="2279" xr:uid="{00000000-0005-0000-0000-0000E7080000}"/>
    <cellStyle name="Ausgabe 2 3 2 6" xfId="2743" xr:uid="{00000000-0005-0000-0000-0000B70A0000}"/>
    <cellStyle name="Ausgabe 2 3 2 7" xfId="3432" xr:uid="{00000000-0005-0000-0000-0000680D0000}"/>
    <cellStyle name="Ausgabe 2 3 2 8" xfId="3601" xr:uid="{00000000-0005-0000-0000-0000110E0000}"/>
    <cellStyle name="Ausgabe 2 3 3" xfId="1537" xr:uid="{00000000-0005-0000-0000-000001060000}"/>
    <cellStyle name="Ausgabe 2 3 4" xfId="1729" xr:uid="{00000000-0005-0000-0000-0000C1060000}"/>
    <cellStyle name="Ausgabe 2 3 5" xfId="2141" xr:uid="{00000000-0005-0000-0000-00005D080000}"/>
    <cellStyle name="Ausgabe 2 3 6" xfId="2696" xr:uid="{00000000-0005-0000-0000-0000880A0000}"/>
    <cellStyle name="Ausgabe 2 3 7" xfId="2917" xr:uid="{00000000-0005-0000-0000-0000650B0000}"/>
    <cellStyle name="Ausgabe 2 3 8" xfId="3220" xr:uid="{00000000-0005-0000-0000-0000940C0000}"/>
    <cellStyle name="Ausgabe 2 3 9" xfId="3668" xr:uid="{00000000-0005-0000-0000-0000540E0000}"/>
    <cellStyle name="Ausgabe 2 4" xfId="720" xr:uid="{00000000-0005-0000-0000-0000D0020000}"/>
    <cellStyle name="Ausgabe 2 4 2" xfId="1408" xr:uid="{00000000-0005-0000-0000-000080050000}"/>
    <cellStyle name="Ausgabe 2 4 3" xfId="1902" xr:uid="{00000000-0005-0000-0000-00006E070000}"/>
    <cellStyle name="Ausgabe 2 4 4" xfId="2313" xr:uid="{00000000-0005-0000-0000-000009090000}"/>
    <cellStyle name="Ausgabe 2 4 5" xfId="1193" xr:uid="{00000000-0005-0000-0000-0000A9040000}"/>
    <cellStyle name="Ausgabe 2 4 6" xfId="1315" xr:uid="{00000000-0005-0000-0000-000023050000}"/>
    <cellStyle name="Ausgabe 2 4 7" xfId="3390" xr:uid="{00000000-0005-0000-0000-00003E0D0000}"/>
    <cellStyle name="Ausgabe 2 4 8" xfId="3584" xr:uid="{00000000-0005-0000-0000-0000000E0000}"/>
    <cellStyle name="Ausgabe 2 5" xfId="1211" xr:uid="{00000000-0005-0000-0000-0000BB040000}"/>
    <cellStyle name="Ausgabe 2 6" xfId="1371" xr:uid="{00000000-0005-0000-0000-00005B050000}"/>
    <cellStyle name="Ausgabe 2 7" xfId="1213" xr:uid="{00000000-0005-0000-0000-0000BD040000}"/>
    <cellStyle name="Ausgabe 2 8" xfId="1686" xr:uid="{00000000-0005-0000-0000-000096060000}"/>
    <cellStyle name="Ausgabe 2 9" xfId="2888" xr:uid="{00000000-0005-0000-0000-0000480B0000}"/>
    <cellStyle name="Ausgabe 3" xfId="297" xr:uid="{00000000-0005-0000-0000-000029010000}"/>
    <cellStyle name="Ausgabe 3 2" xfId="634" xr:uid="{00000000-0005-0000-0000-00007A020000}"/>
    <cellStyle name="Ausgabe 3 2 2" xfId="849" xr:uid="{00000000-0005-0000-0000-000051030000}"/>
    <cellStyle name="Ausgabe 3 2 2 2" xfId="1613" xr:uid="{00000000-0005-0000-0000-00004D060000}"/>
    <cellStyle name="Ausgabe 3 2 2 3" xfId="2031" xr:uid="{00000000-0005-0000-0000-0000EF070000}"/>
    <cellStyle name="Ausgabe 3 2 2 4" xfId="2442" xr:uid="{00000000-0005-0000-0000-00008A090000}"/>
    <cellStyle name="Ausgabe 3 2 2 5" xfId="1695" xr:uid="{00000000-0005-0000-0000-00009F060000}"/>
    <cellStyle name="Ausgabe 3 2 2 6" xfId="2978" xr:uid="{00000000-0005-0000-0000-0000A20B0000}"/>
    <cellStyle name="Ausgabe 3 2 2 7" xfId="3519" xr:uid="{00000000-0005-0000-0000-0000BF0D0000}"/>
    <cellStyle name="Ausgabe 3 2 2 8" xfId="3758" xr:uid="{00000000-0005-0000-0000-0000AE0E0000}"/>
    <cellStyle name="Ausgabe 3 2 3" xfId="1418" xr:uid="{00000000-0005-0000-0000-00008A050000}"/>
    <cellStyle name="Ausgabe 3 2 4" xfId="1816" xr:uid="{00000000-0005-0000-0000-000018070000}"/>
    <cellStyle name="Ausgabe 3 2 5" xfId="2228" xr:uid="{00000000-0005-0000-0000-0000B4080000}"/>
    <cellStyle name="Ausgabe 3 2 6" xfId="2503" xr:uid="{00000000-0005-0000-0000-0000C7090000}"/>
    <cellStyle name="Ausgabe 3 2 7" xfId="2788" xr:uid="{00000000-0005-0000-0000-0000E40A0000}"/>
    <cellStyle name="Ausgabe 3 2 8" xfId="3307" xr:uid="{00000000-0005-0000-0000-0000EB0C0000}"/>
    <cellStyle name="Ausgabe 3 2 9" xfId="1699" xr:uid="{00000000-0005-0000-0000-0000A3060000}"/>
    <cellStyle name="Ausgabe 3 3" xfId="553" xr:uid="{00000000-0005-0000-0000-000029020000}"/>
    <cellStyle name="Ausgabe 3 3 2" xfId="768" xr:uid="{00000000-0005-0000-0000-000000030000}"/>
    <cellStyle name="Ausgabe 3 3 2 2" xfId="1104" xr:uid="{00000000-0005-0000-0000-000050040000}"/>
    <cellStyle name="Ausgabe 3 3 2 3" xfId="1950" xr:uid="{00000000-0005-0000-0000-00009E070000}"/>
    <cellStyle name="Ausgabe 3 3 2 4" xfId="2361" xr:uid="{00000000-0005-0000-0000-000039090000}"/>
    <cellStyle name="Ausgabe 3 3 2 5" xfId="2521" xr:uid="{00000000-0005-0000-0000-0000D9090000}"/>
    <cellStyle name="Ausgabe 3 3 2 6" xfId="2104" xr:uid="{00000000-0005-0000-0000-000038080000}"/>
    <cellStyle name="Ausgabe 3 3 2 7" xfId="3438" xr:uid="{00000000-0005-0000-0000-00006E0D0000}"/>
    <cellStyle name="Ausgabe 3 3 2 8" xfId="3676" xr:uid="{00000000-0005-0000-0000-00005C0E0000}"/>
    <cellStyle name="Ausgabe 3 3 3" xfId="1367" xr:uid="{00000000-0005-0000-0000-000057050000}"/>
    <cellStyle name="Ausgabe 3 3 4" xfId="1735" xr:uid="{00000000-0005-0000-0000-0000C7060000}"/>
    <cellStyle name="Ausgabe 3 3 5" xfId="2147" xr:uid="{00000000-0005-0000-0000-000063080000}"/>
    <cellStyle name="Ausgabe 3 3 6" xfId="955" xr:uid="{00000000-0005-0000-0000-0000BB030000}"/>
    <cellStyle name="Ausgabe 3 3 7" xfId="3117" xr:uid="{00000000-0005-0000-0000-00002D0C0000}"/>
    <cellStyle name="Ausgabe 3 3 8" xfId="3226" xr:uid="{00000000-0005-0000-0000-00009A0C0000}"/>
    <cellStyle name="Ausgabe 3 3 9" xfId="3579" xr:uid="{00000000-0005-0000-0000-0000FB0D0000}"/>
    <cellStyle name="Ausgabe 3 4" xfId="717" xr:uid="{00000000-0005-0000-0000-0000CD020000}"/>
    <cellStyle name="Ausgabe 3 4 2" xfId="1140" xr:uid="{00000000-0005-0000-0000-000074040000}"/>
    <cellStyle name="Ausgabe 3 4 3" xfId="1899" xr:uid="{00000000-0005-0000-0000-00006B070000}"/>
    <cellStyle name="Ausgabe 3 4 4" xfId="2310" xr:uid="{00000000-0005-0000-0000-000006090000}"/>
    <cellStyle name="Ausgabe 3 4 5" xfId="2559" xr:uid="{00000000-0005-0000-0000-0000FF090000}"/>
    <cellStyle name="Ausgabe 3 4 6" xfId="2949" xr:uid="{00000000-0005-0000-0000-0000850B0000}"/>
    <cellStyle name="Ausgabe 3 4 7" xfId="3387" xr:uid="{00000000-0005-0000-0000-00003B0D0000}"/>
    <cellStyle name="Ausgabe 3 4 8" xfId="3742" xr:uid="{00000000-0005-0000-0000-00009E0E0000}"/>
    <cellStyle name="Ausgabe 3 5" xfId="1180" xr:uid="{00000000-0005-0000-0000-00009C040000}"/>
    <cellStyle name="Ausgabe 3 6" xfId="1441" xr:uid="{00000000-0005-0000-0000-0000A1050000}"/>
    <cellStyle name="Ausgabe 3 7" xfId="2649" xr:uid="{00000000-0005-0000-0000-0000590A0000}"/>
    <cellStyle name="Ausgabe 3 8" xfId="2861" xr:uid="{00000000-0005-0000-0000-00002D0B0000}"/>
    <cellStyle name="Ausgabe 3 9" xfId="3088" xr:uid="{00000000-0005-0000-0000-0000100C0000}"/>
    <cellStyle name="Ausgabe 4" xfId="558" xr:uid="{00000000-0005-0000-0000-00002E020000}"/>
    <cellStyle name="Ausgabe 4 2" xfId="773" xr:uid="{00000000-0005-0000-0000-000005030000}"/>
    <cellStyle name="Ausgabe 4 2 2" xfId="1208" xr:uid="{00000000-0005-0000-0000-0000B8040000}"/>
    <cellStyle name="Ausgabe 4 2 3" xfId="1955" xr:uid="{00000000-0005-0000-0000-0000A3070000}"/>
    <cellStyle name="Ausgabe 4 2 4" xfId="2366" xr:uid="{00000000-0005-0000-0000-00003E090000}"/>
    <cellStyle name="Ausgabe 4 2 5" xfId="1114" xr:uid="{00000000-0005-0000-0000-00005A040000}"/>
    <cellStyle name="Ausgabe 4 2 6" xfId="2567" xr:uid="{00000000-0005-0000-0000-0000070A0000}"/>
    <cellStyle name="Ausgabe 4 2 7" xfId="3443" xr:uid="{00000000-0005-0000-0000-0000730D0000}"/>
    <cellStyle name="Ausgabe 4 2 8" xfId="3654" xr:uid="{00000000-0005-0000-0000-0000460E0000}"/>
    <cellStyle name="Ausgabe 4 3" xfId="1558" xr:uid="{00000000-0005-0000-0000-000016060000}"/>
    <cellStyle name="Ausgabe 4 4" xfId="1740" xr:uid="{00000000-0005-0000-0000-0000CC060000}"/>
    <cellStyle name="Ausgabe 4 5" xfId="2152" xr:uid="{00000000-0005-0000-0000-000068080000}"/>
    <cellStyle name="Ausgabe 4 6" xfId="2092" xr:uid="{00000000-0005-0000-0000-00002C080000}"/>
    <cellStyle name="Ausgabe 4 7" xfId="2930" xr:uid="{00000000-0005-0000-0000-0000720B0000}"/>
    <cellStyle name="Ausgabe 4 8" xfId="3231" xr:uid="{00000000-0005-0000-0000-00009F0C0000}"/>
    <cellStyle name="Ausgabe 4 9" xfId="3709" xr:uid="{00000000-0005-0000-0000-00007D0E0000}"/>
    <cellStyle name="Ausgabe 5" xfId="677" xr:uid="{00000000-0005-0000-0000-0000A5020000}"/>
    <cellStyle name="Ausgabe 5 2" xfId="892" xr:uid="{00000000-0005-0000-0000-00007C030000}"/>
    <cellStyle name="Ausgabe 5 2 2" xfId="1651" xr:uid="{00000000-0005-0000-0000-000073060000}"/>
    <cellStyle name="Ausgabe 5 2 3" xfId="2074" xr:uid="{00000000-0005-0000-0000-00001A080000}"/>
    <cellStyle name="Ausgabe 5 2 4" xfId="2485" xr:uid="{00000000-0005-0000-0000-0000B5090000}"/>
    <cellStyle name="Ausgabe 5 2 5" xfId="2843" xr:uid="{00000000-0005-0000-0000-00001B0B0000}"/>
    <cellStyle name="Ausgabe 5 2 6" xfId="3164" xr:uid="{00000000-0005-0000-0000-00005C0C0000}"/>
    <cellStyle name="Ausgabe 5 2 7" xfId="3562" xr:uid="{00000000-0005-0000-0000-0000EA0D0000}"/>
    <cellStyle name="Ausgabe 5 2 8" xfId="3778" xr:uid="{00000000-0005-0000-0000-0000C20E0000}"/>
    <cellStyle name="Ausgabe 5 3" xfId="1576" xr:uid="{00000000-0005-0000-0000-000028060000}"/>
    <cellStyle name="Ausgabe 5 4" xfId="1859" xr:uid="{00000000-0005-0000-0000-000043070000}"/>
    <cellStyle name="Ausgabe 5 5" xfId="2271" xr:uid="{00000000-0005-0000-0000-0000DF080000}"/>
    <cellStyle name="Ausgabe 5 6" xfId="2673" xr:uid="{00000000-0005-0000-0000-0000710A0000}"/>
    <cellStyle name="Ausgabe 5 7" xfId="2954" xr:uid="{00000000-0005-0000-0000-00008A0B0000}"/>
    <cellStyle name="Ausgabe 5 8" xfId="3350" xr:uid="{00000000-0005-0000-0000-0000160D0000}"/>
    <cellStyle name="Ausgabe 5 9" xfId="2551" xr:uid="{00000000-0005-0000-0000-0000F7090000}"/>
    <cellStyle name="Ausgabe 6" xfId="693" xr:uid="{00000000-0005-0000-0000-0000B5020000}"/>
    <cellStyle name="Ausgabe 6 2" xfId="1499" xr:uid="{00000000-0005-0000-0000-0000DB050000}"/>
    <cellStyle name="Ausgabe 6 3" xfId="1875" xr:uid="{00000000-0005-0000-0000-000053070000}"/>
    <cellStyle name="Ausgabe 6 4" xfId="2287" xr:uid="{00000000-0005-0000-0000-0000EF080000}"/>
    <cellStyle name="Ausgabe 6 5" xfId="2713" xr:uid="{00000000-0005-0000-0000-0000990A0000}"/>
    <cellStyle name="Ausgabe 6 6" xfId="2102" xr:uid="{00000000-0005-0000-0000-000036080000}"/>
    <cellStyle name="Ausgabe 6 7" xfId="3365" xr:uid="{00000000-0005-0000-0000-0000250D0000}"/>
    <cellStyle name="Ausgabe 6 8" xfId="3680" xr:uid="{00000000-0005-0000-0000-0000600E0000}"/>
    <cellStyle name="Bad 2" xfId="141" xr:uid="{00000000-0005-0000-0000-00008D000000}"/>
    <cellStyle name="Bad 3" xfId="238" xr:uid="{00000000-0005-0000-0000-0000EE000000}"/>
    <cellStyle name="Bad 4" xfId="378" xr:uid="{00000000-0005-0000-0000-00007A010000}"/>
    <cellStyle name="Berechnung" xfId="55" hidden="1" xr:uid="{00000000-0005-0000-0000-000037000000}"/>
    <cellStyle name="Berechnung 2" xfId="407" xr:uid="{00000000-0005-0000-0000-000097010000}"/>
    <cellStyle name="Berechnung 2 10" xfId="1449" xr:uid="{00000000-0005-0000-0000-0000A9050000}"/>
    <cellStyle name="Berechnung 2 11" xfId="1279" xr:uid="{00000000-0005-0000-0000-0000FF040000}"/>
    <cellStyle name="Berechnung 2 2" xfId="663" xr:uid="{00000000-0005-0000-0000-000097020000}"/>
    <cellStyle name="Berechnung 2 2 2" xfId="878" xr:uid="{00000000-0005-0000-0000-00006E030000}"/>
    <cellStyle name="Berechnung 2 2 2 2" xfId="1122" xr:uid="{00000000-0005-0000-0000-000062040000}"/>
    <cellStyle name="Berechnung 2 2 2 3" xfId="2060" xr:uid="{00000000-0005-0000-0000-00000C080000}"/>
    <cellStyle name="Berechnung 2 2 2 4" xfId="2471" xr:uid="{00000000-0005-0000-0000-0000A7090000}"/>
    <cellStyle name="Berechnung 2 2 2 5" xfId="1492" xr:uid="{00000000-0005-0000-0000-0000D4050000}"/>
    <cellStyle name="Berechnung 2 2 2 6" xfId="2113" xr:uid="{00000000-0005-0000-0000-000041080000}"/>
    <cellStyle name="Berechnung 2 2 2 7" xfId="3548" xr:uid="{00000000-0005-0000-0000-0000DC0D0000}"/>
    <cellStyle name="Berechnung 2 2 2 8" xfId="3015" xr:uid="{00000000-0005-0000-0000-0000C70B0000}"/>
    <cellStyle name="Berechnung 2 2 3" xfId="1021" xr:uid="{00000000-0005-0000-0000-0000FD030000}"/>
    <cellStyle name="Berechnung 2 2 4" xfId="1845" xr:uid="{00000000-0005-0000-0000-000035070000}"/>
    <cellStyle name="Berechnung 2 2 5" xfId="2257" xr:uid="{00000000-0005-0000-0000-0000D1080000}"/>
    <cellStyle name="Berechnung 2 2 6" xfId="1423" xr:uid="{00000000-0005-0000-0000-00008F050000}"/>
    <cellStyle name="Berechnung 2 2 7" xfId="2545" xr:uid="{00000000-0005-0000-0000-0000F1090000}"/>
    <cellStyle name="Berechnung 2 2 8" xfId="3336" xr:uid="{00000000-0005-0000-0000-0000080D0000}"/>
    <cellStyle name="Berechnung 2 2 9" xfId="2114" xr:uid="{00000000-0005-0000-0000-000042080000}"/>
    <cellStyle name="Berechnung 2 3" xfId="528" xr:uid="{00000000-0005-0000-0000-000010020000}"/>
    <cellStyle name="Berechnung 2 3 2" xfId="743" xr:uid="{00000000-0005-0000-0000-0000E7020000}"/>
    <cellStyle name="Berechnung 2 3 2 2" xfId="1410" xr:uid="{00000000-0005-0000-0000-000082050000}"/>
    <cellStyle name="Berechnung 2 3 2 3" xfId="1925" xr:uid="{00000000-0005-0000-0000-000085070000}"/>
    <cellStyle name="Berechnung 2 3 2 4" xfId="2336" xr:uid="{00000000-0005-0000-0000-000020090000}"/>
    <cellStyle name="Berechnung 2 3 2 5" xfId="2749" xr:uid="{00000000-0005-0000-0000-0000BD0A0000}"/>
    <cellStyle name="Berechnung 2 3 2 6" xfId="3089" xr:uid="{00000000-0005-0000-0000-0000110C0000}"/>
    <cellStyle name="Berechnung 2 3 2 7" xfId="3413" xr:uid="{00000000-0005-0000-0000-0000550D0000}"/>
    <cellStyle name="Berechnung 2 3 2 8" xfId="2878" xr:uid="{00000000-0005-0000-0000-00003E0B0000}"/>
    <cellStyle name="Berechnung 2 3 3" xfId="1560" xr:uid="{00000000-0005-0000-0000-000018060000}"/>
    <cellStyle name="Berechnung 2 3 4" xfId="1710" xr:uid="{00000000-0005-0000-0000-0000AE060000}"/>
    <cellStyle name="Berechnung 2 3 5" xfId="2122" xr:uid="{00000000-0005-0000-0000-00004A080000}"/>
    <cellStyle name="Berechnung 2 3 6" xfId="2093" xr:uid="{00000000-0005-0000-0000-00002D080000}"/>
    <cellStyle name="Berechnung 2 3 7" xfId="2932" xr:uid="{00000000-0005-0000-0000-0000740B0000}"/>
    <cellStyle name="Berechnung 2 3 8" xfId="3201" xr:uid="{00000000-0005-0000-0000-0000810C0000}"/>
    <cellStyle name="Berechnung 2 3 9" xfId="1340" xr:uid="{00000000-0005-0000-0000-00003C050000}"/>
    <cellStyle name="Berechnung 2 4" xfId="584" xr:uid="{00000000-0005-0000-0000-000048020000}"/>
    <cellStyle name="Berechnung 2 4 2" xfId="799" xr:uid="{00000000-0005-0000-0000-00001F030000}"/>
    <cellStyle name="Berechnung 2 4 2 2" xfId="1135" xr:uid="{00000000-0005-0000-0000-00006F040000}"/>
    <cellStyle name="Berechnung 2 4 2 3" xfId="1981" xr:uid="{00000000-0005-0000-0000-0000BD070000}"/>
    <cellStyle name="Berechnung 2 4 2 4" xfId="2392" xr:uid="{00000000-0005-0000-0000-000058090000}"/>
    <cellStyle name="Berechnung 2 4 2 5" xfId="1486" xr:uid="{00000000-0005-0000-0000-0000CE050000}"/>
    <cellStyle name="Berechnung 2 4 2 6" xfId="946" xr:uid="{00000000-0005-0000-0000-0000B2030000}"/>
    <cellStyle name="Berechnung 2 4 2 7" xfId="3469" xr:uid="{00000000-0005-0000-0000-00008D0D0000}"/>
    <cellStyle name="Berechnung 2 4 2 8" xfId="2894" xr:uid="{00000000-0005-0000-0000-00004E0B0000}"/>
    <cellStyle name="Berechnung 2 4 3" xfId="1243" xr:uid="{00000000-0005-0000-0000-0000DB040000}"/>
    <cellStyle name="Berechnung 2 4 4" xfId="1766" xr:uid="{00000000-0005-0000-0000-0000E6060000}"/>
    <cellStyle name="Berechnung 2 4 5" xfId="2178" xr:uid="{00000000-0005-0000-0000-000082080000}"/>
    <cellStyle name="Berechnung 2 4 6" xfId="2597" xr:uid="{00000000-0005-0000-0000-0000250A0000}"/>
    <cellStyle name="Berechnung 2 4 7" xfId="2764" xr:uid="{00000000-0005-0000-0000-0000CC0A0000}"/>
    <cellStyle name="Berechnung 2 4 8" xfId="3257" xr:uid="{00000000-0005-0000-0000-0000B90C0000}"/>
    <cellStyle name="Berechnung 2 4 9" xfId="3643" xr:uid="{00000000-0005-0000-0000-00003B0E0000}"/>
    <cellStyle name="Berechnung 2 5" xfId="721" xr:uid="{00000000-0005-0000-0000-0000D1020000}"/>
    <cellStyle name="Berechnung 2 5 2" xfId="1253" xr:uid="{00000000-0005-0000-0000-0000E5040000}"/>
    <cellStyle name="Berechnung 2 5 3" xfId="1903" xr:uid="{00000000-0005-0000-0000-00006F070000}"/>
    <cellStyle name="Berechnung 2 5 4" xfId="2314" xr:uid="{00000000-0005-0000-0000-00000A090000}"/>
    <cellStyle name="Berechnung 2 5 5" xfId="1467" xr:uid="{00000000-0005-0000-0000-0000BB050000}"/>
    <cellStyle name="Berechnung 2 5 6" xfId="1113" xr:uid="{00000000-0005-0000-0000-000059040000}"/>
    <cellStyle name="Berechnung 2 5 7" xfId="3391" xr:uid="{00000000-0005-0000-0000-00003F0D0000}"/>
    <cellStyle name="Berechnung 2 5 8" xfId="3599" xr:uid="{00000000-0005-0000-0000-00000F0E0000}"/>
    <cellStyle name="Berechnung 2 6" xfId="1109" xr:uid="{00000000-0005-0000-0000-000055040000}"/>
    <cellStyle name="Berechnung 2 7" xfId="1579" xr:uid="{00000000-0005-0000-0000-00002B060000}"/>
    <cellStyle name="Berechnung 2 8" xfId="1111" xr:uid="{00000000-0005-0000-0000-000057040000}"/>
    <cellStyle name="Berechnung 2 9" xfId="2703" xr:uid="{00000000-0005-0000-0000-00008F0A0000}"/>
    <cellStyle name="Berechnung 3" xfId="287" xr:uid="{00000000-0005-0000-0000-00001F010000}"/>
    <cellStyle name="Berechnung 3 10" xfId="2589" xr:uid="{00000000-0005-0000-0000-00001D0A0000}"/>
    <cellStyle name="Berechnung 3 11" xfId="2939" xr:uid="{00000000-0005-0000-0000-00007B0B0000}"/>
    <cellStyle name="Berechnung 3 2" xfId="626" xr:uid="{00000000-0005-0000-0000-000072020000}"/>
    <cellStyle name="Berechnung 3 2 2" xfId="841" xr:uid="{00000000-0005-0000-0000-000049030000}"/>
    <cellStyle name="Berechnung 3 2 2 2" xfId="1127" xr:uid="{00000000-0005-0000-0000-000067040000}"/>
    <cellStyle name="Berechnung 3 2 2 3" xfId="2023" xr:uid="{00000000-0005-0000-0000-0000E7070000}"/>
    <cellStyle name="Berechnung 3 2 2 4" xfId="2434" xr:uid="{00000000-0005-0000-0000-000082090000}"/>
    <cellStyle name="Berechnung 3 2 2 5" xfId="1424" xr:uid="{00000000-0005-0000-0000-000090050000}"/>
    <cellStyle name="Berechnung 3 2 2 6" xfId="1360" xr:uid="{00000000-0005-0000-0000-000050050000}"/>
    <cellStyle name="Berechnung 3 2 2 7" xfId="3511" xr:uid="{00000000-0005-0000-0000-0000B70D0000}"/>
    <cellStyle name="Berechnung 3 2 2 8" xfId="3581" xr:uid="{00000000-0005-0000-0000-0000FD0D0000}"/>
    <cellStyle name="Berechnung 3 2 3" xfId="1145" xr:uid="{00000000-0005-0000-0000-000079040000}"/>
    <cellStyle name="Berechnung 3 2 4" xfId="1808" xr:uid="{00000000-0005-0000-0000-000010070000}"/>
    <cellStyle name="Berechnung 3 2 5" xfId="2220" xr:uid="{00000000-0005-0000-0000-0000AC080000}"/>
    <cellStyle name="Berechnung 3 2 6" xfId="2629" xr:uid="{00000000-0005-0000-0000-0000450A0000}"/>
    <cellStyle name="Berechnung 3 2 7" xfId="2570" xr:uid="{00000000-0005-0000-0000-00000A0A0000}"/>
    <cellStyle name="Berechnung 3 2 8" xfId="3299" xr:uid="{00000000-0005-0000-0000-0000E30C0000}"/>
    <cellStyle name="Berechnung 3 2 9" xfId="3382" xr:uid="{00000000-0005-0000-0000-0000360D0000}"/>
    <cellStyle name="Berechnung 3 3" xfId="562" xr:uid="{00000000-0005-0000-0000-000032020000}"/>
    <cellStyle name="Berechnung 3 3 2" xfId="777" xr:uid="{00000000-0005-0000-0000-000009030000}"/>
    <cellStyle name="Berechnung 3 3 2 2" xfId="1101" xr:uid="{00000000-0005-0000-0000-00004D040000}"/>
    <cellStyle name="Berechnung 3 3 2 3" xfId="1959" xr:uid="{00000000-0005-0000-0000-0000A7070000}"/>
    <cellStyle name="Berechnung 3 3 2 4" xfId="2370" xr:uid="{00000000-0005-0000-0000-000042090000}"/>
    <cellStyle name="Berechnung 3 3 2 5" xfId="2518" xr:uid="{00000000-0005-0000-0000-0000D6090000}"/>
    <cellStyle name="Berechnung 3 3 2 6" xfId="1118" xr:uid="{00000000-0005-0000-0000-00005E040000}"/>
    <cellStyle name="Berechnung 3 3 2 7" xfId="3447" xr:uid="{00000000-0005-0000-0000-0000770D0000}"/>
    <cellStyle name="Berechnung 3 3 2 8" xfId="3710" xr:uid="{00000000-0005-0000-0000-00007E0E0000}"/>
    <cellStyle name="Berechnung 3 3 3" xfId="1622" xr:uid="{00000000-0005-0000-0000-000056060000}"/>
    <cellStyle name="Berechnung 3 3 4" xfId="1744" xr:uid="{00000000-0005-0000-0000-0000D0060000}"/>
    <cellStyle name="Berechnung 3 3 5" xfId="2156" xr:uid="{00000000-0005-0000-0000-00006C080000}"/>
    <cellStyle name="Berechnung 3 3 6" xfId="1064" xr:uid="{00000000-0005-0000-0000-000028040000}"/>
    <cellStyle name="Berechnung 3 3 7" xfId="2987" xr:uid="{00000000-0005-0000-0000-0000AB0B0000}"/>
    <cellStyle name="Berechnung 3 3 8" xfId="3235" xr:uid="{00000000-0005-0000-0000-0000A30C0000}"/>
    <cellStyle name="Berechnung 3 3 9" xfId="3629" xr:uid="{00000000-0005-0000-0000-00002D0E0000}"/>
    <cellStyle name="Berechnung 3 4" xfId="574" xr:uid="{00000000-0005-0000-0000-00003E020000}"/>
    <cellStyle name="Berechnung 3 4 2" xfId="789" xr:uid="{00000000-0005-0000-0000-000015030000}"/>
    <cellStyle name="Berechnung 3 4 2 2" xfId="1096" xr:uid="{00000000-0005-0000-0000-000048040000}"/>
    <cellStyle name="Berechnung 3 4 2 3" xfId="1971" xr:uid="{00000000-0005-0000-0000-0000B3070000}"/>
    <cellStyle name="Berechnung 3 4 2 4" xfId="2382" xr:uid="{00000000-0005-0000-0000-00004E090000}"/>
    <cellStyle name="Berechnung 3 4 2 5" xfId="957" xr:uid="{00000000-0005-0000-0000-0000BD030000}"/>
    <cellStyle name="Berechnung 3 4 2 6" xfId="2820" xr:uid="{00000000-0005-0000-0000-0000040B0000}"/>
    <cellStyle name="Berechnung 3 4 2 7" xfId="3459" xr:uid="{00000000-0005-0000-0000-0000830D0000}"/>
    <cellStyle name="Berechnung 3 4 2 8" xfId="3707" xr:uid="{00000000-0005-0000-0000-00007B0E0000}"/>
    <cellStyle name="Berechnung 3 4 3" xfId="1533" xr:uid="{00000000-0005-0000-0000-0000FD050000}"/>
    <cellStyle name="Berechnung 3 4 4" xfId="1756" xr:uid="{00000000-0005-0000-0000-0000DC060000}"/>
    <cellStyle name="Berechnung 3 4 5" xfId="2168" xr:uid="{00000000-0005-0000-0000-000078080000}"/>
    <cellStyle name="Berechnung 3 4 6" xfId="2771" xr:uid="{00000000-0005-0000-0000-0000D30A0000}"/>
    <cellStyle name="Berechnung 3 4 7" xfId="2913" xr:uid="{00000000-0005-0000-0000-0000610B0000}"/>
    <cellStyle name="Berechnung 3 4 8" xfId="3247" xr:uid="{00000000-0005-0000-0000-0000AF0C0000}"/>
    <cellStyle name="Berechnung 3 4 9" xfId="3704" xr:uid="{00000000-0005-0000-0000-0000780E0000}"/>
    <cellStyle name="Berechnung 3 5" xfId="712" xr:uid="{00000000-0005-0000-0000-0000C8020000}"/>
    <cellStyle name="Berechnung 3 5 2" xfId="1435" xr:uid="{00000000-0005-0000-0000-00009B050000}"/>
    <cellStyle name="Berechnung 3 5 3" xfId="1894" xr:uid="{00000000-0005-0000-0000-000066070000}"/>
    <cellStyle name="Berechnung 3 5 4" xfId="2306" xr:uid="{00000000-0005-0000-0000-000002090000}"/>
    <cellStyle name="Berechnung 3 5 5" xfId="1534" xr:uid="{00000000-0005-0000-0000-0000FE050000}"/>
    <cellStyle name="Berechnung 3 5 6" xfId="3108" xr:uid="{00000000-0005-0000-0000-0000240C0000}"/>
    <cellStyle name="Berechnung 3 5 7" xfId="3384" xr:uid="{00000000-0005-0000-0000-0000380D0000}"/>
    <cellStyle name="Berechnung 3 5 8" xfId="3128" xr:uid="{00000000-0005-0000-0000-0000380C0000}"/>
    <cellStyle name="Berechnung 3 6" xfId="1290" xr:uid="{00000000-0005-0000-0000-00000A050000}"/>
    <cellStyle name="Berechnung 3 7" xfId="1440" xr:uid="{00000000-0005-0000-0000-0000A0050000}"/>
    <cellStyle name="Berechnung 3 8" xfId="1298" xr:uid="{00000000-0005-0000-0000-000012050000}"/>
    <cellStyle name="Berechnung 3 9" xfId="1403" xr:uid="{00000000-0005-0000-0000-00007B050000}"/>
    <cellStyle name="Berechnung 4" xfId="559" xr:uid="{00000000-0005-0000-0000-00002F020000}"/>
    <cellStyle name="Berechnung 4 2" xfId="774" xr:uid="{00000000-0005-0000-0000-000006030000}"/>
    <cellStyle name="Berechnung 4 2 2" xfId="1102" xr:uid="{00000000-0005-0000-0000-00004E040000}"/>
    <cellStyle name="Berechnung 4 2 3" xfId="1956" xr:uid="{00000000-0005-0000-0000-0000A4070000}"/>
    <cellStyle name="Berechnung 4 2 4" xfId="2367" xr:uid="{00000000-0005-0000-0000-00003F090000}"/>
    <cellStyle name="Berechnung 4 2 5" xfId="2523" xr:uid="{00000000-0005-0000-0000-0000DB090000}"/>
    <cellStyle name="Berechnung 4 2 6" xfId="2653" xr:uid="{00000000-0005-0000-0000-00005D0A0000}"/>
    <cellStyle name="Berechnung 4 2 7" xfId="3444" xr:uid="{00000000-0005-0000-0000-0000740D0000}"/>
    <cellStyle name="Berechnung 4 2 8" xfId="3701" xr:uid="{00000000-0005-0000-0000-0000750E0000}"/>
    <cellStyle name="Berechnung 4 3" xfId="1385" xr:uid="{00000000-0005-0000-0000-000069050000}"/>
    <cellStyle name="Berechnung 4 4" xfId="1741" xr:uid="{00000000-0005-0000-0000-0000CD060000}"/>
    <cellStyle name="Berechnung 4 5" xfId="2153" xr:uid="{00000000-0005-0000-0000-000069080000}"/>
    <cellStyle name="Berechnung 4 6" xfId="2748" xr:uid="{00000000-0005-0000-0000-0000BC0A0000}"/>
    <cellStyle name="Berechnung 4 7" xfId="3042" xr:uid="{00000000-0005-0000-0000-0000E20B0000}"/>
    <cellStyle name="Berechnung 4 8" xfId="3232" xr:uid="{00000000-0005-0000-0000-0000A00C0000}"/>
    <cellStyle name="Berechnung 4 9" xfId="3118" xr:uid="{00000000-0005-0000-0000-00002E0C0000}"/>
    <cellStyle name="Berechnung 5" xfId="676" xr:uid="{00000000-0005-0000-0000-0000A4020000}"/>
    <cellStyle name="Berechnung 5 2" xfId="891" xr:uid="{00000000-0005-0000-0000-00007B030000}"/>
    <cellStyle name="Berechnung 5 2 2" xfId="1650" xr:uid="{00000000-0005-0000-0000-000072060000}"/>
    <cellStyle name="Berechnung 5 2 3" xfId="2073" xr:uid="{00000000-0005-0000-0000-000019080000}"/>
    <cellStyle name="Berechnung 5 2 4" xfId="2484" xr:uid="{00000000-0005-0000-0000-0000B4090000}"/>
    <cellStyle name="Berechnung 5 2 5" xfId="2842" xr:uid="{00000000-0005-0000-0000-00001A0B0000}"/>
    <cellStyle name="Berechnung 5 2 6" xfId="3163" xr:uid="{00000000-0005-0000-0000-00005B0C0000}"/>
    <cellStyle name="Berechnung 5 2 7" xfId="3561" xr:uid="{00000000-0005-0000-0000-0000E90D0000}"/>
    <cellStyle name="Berechnung 5 2 8" xfId="3777" xr:uid="{00000000-0005-0000-0000-0000C10E0000}"/>
    <cellStyle name="Berechnung 5 3" xfId="1382" xr:uid="{00000000-0005-0000-0000-000066050000}"/>
    <cellStyle name="Berechnung 5 4" xfId="1858" xr:uid="{00000000-0005-0000-0000-000042070000}"/>
    <cellStyle name="Berechnung 5 5" xfId="2270" xr:uid="{00000000-0005-0000-0000-0000DE080000}"/>
    <cellStyle name="Berechnung 5 6" xfId="913" xr:uid="{00000000-0005-0000-0000-000091030000}"/>
    <cellStyle name="Berechnung 5 7" xfId="3109" xr:uid="{00000000-0005-0000-0000-0000250C0000}"/>
    <cellStyle name="Berechnung 5 8" xfId="3349" xr:uid="{00000000-0005-0000-0000-0000150D0000}"/>
    <cellStyle name="Berechnung 5 9" xfId="2739" xr:uid="{00000000-0005-0000-0000-0000B30A0000}"/>
    <cellStyle name="Berechnung 6" xfId="688" xr:uid="{00000000-0005-0000-0000-0000B0020000}"/>
    <cellStyle name="Berechnung 6 2" xfId="902" xr:uid="{00000000-0005-0000-0000-000086030000}"/>
    <cellStyle name="Berechnung 6 2 2" xfId="1661" xr:uid="{00000000-0005-0000-0000-00007D060000}"/>
    <cellStyle name="Berechnung 6 2 3" xfId="2084" xr:uid="{00000000-0005-0000-0000-000024080000}"/>
    <cellStyle name="Berechnung 6 2 4" xfId="2495" xr:uid="{00000000-0005-0000-0000-0000BF090000}"/>
    <cellStyle name="Berechnung 6 2 5" xfId="2853" xr:uid="{00000000-0005-0000-0000-0000250B0000}"/>
    <cellStyle name="Berechnung 6 2 6" xfId="3174" xr:uid="{00000000-0005-0000-0000-0000660C0000}"/>
    <cellStyle name="Berechnung 6 2 7" xfId="3572" xr:uid="{00000000-0005-0000-0000-0000F40D0000}"/>
    <cellStyle name="Berechnung 6 2 8" xfId="3788" xr:uid="{00000000-0005-0000-0000-0000CC0E0000}"/>
    <cellStyle name="Berechnung 6 3" xfId="1510" xr:uid="{00000000-0005-0000-0000-0000E6050000}"/>
    <cellStyle name="Berechnung 6 4" xfId="1870" xr:uid="{00000000-0005-0000-0000-00004E070000}"/>
    <cellStyle name="Berechnung 6 5" xfId="2282" xr:uid="{00000000-0005-0000-0000-0000EA080000}"/>
    <cellStyle name="Berechnung 6 6" xfId="2740" xr:uid="{00000000-0005-0000-0000-0000B40A0000}"/>
    <cellStyle name="Berechnung 6 7" xfId="2955" xr:uid="{00000000-0005-0000-0000-00008B0B0000}"/>
    <cellStyle name="Berechnung 6 8" xfId="3360" xr:uid="{00000000-0005-0000-0000-0000200D0000}"/>
    <cellStyle name="Berechnung 6 9" xfId="2975" xr:uid="{00000000-0005-0000-0000-00009F0B0000}"/>
    <cellStyle name="Berechnung 7" xfId="694" xr:uid="{00000000-0005-0000-0000-0000B6020000}"/>
    <cellStyle name="Berechnung 7 2" xfId="1523" xr:uid="{00000000-0005-0000-0000-0000F3050000}"/>
    <cellStyle name="Berechnung 7 3" xfId="1876" xr:uid="{00000000-0005-0000-0000-000054070000}"/>
    <cellStyle name="Berechnung 7 4" xfId="2288" xr:uid="{00000000-0005-0000-0000-0000F0080000}"/>
    <cellStyle name="Berechnung 7 5" xfId="2780" xr:uid="{00000000-0005-0000-0000-0000DC0A0000}"/>
    <cellStyle name="Berechnung 7 6" xfId="1222" xr:uid="{00000000-0005-0000-0000-0000C6040000}"/>
    <cellStyle name="Berechnung 7 7" xfId="3366" xr:uid="{00000000-0005-0000-0000-0000260D0000}"/>
    <cellStyle name="Berechnung 7 8" xfId="3639" xr:uid="{00000000-0005-0000-0000-0000370E0000}"/>
    <cellStyle name="Bold GHG Numbers (0.00)" xfId="142" xr:uid="{00000000-0005-0000-0000-00008E000000}"/>
    <cellStyle name="Calculation 2" xfId="143" xr:uid="{00000000-0005-0000-0000-00008F000000}"/>
    <cellStyle name="Calculation 2 10" xfId="3075" xr:uid="{00000000-0005-0000-0000-0000030C0000}"/>
    <cellStyle name="Calculation 2 11" xfId="1554" xr:uid="{00000000-0005-0000-0000-000012060000}"/>
    <cellStyle name="Calculation 2 2" xfId="561" xr:uid="{00000000-0005-0000-0000-000031020000}"/>
    <cellStyle name="Calculation 2 2 2" xfId="776" xr:uid="{00000000-0005-0000-0000-000008030000}"/>
    <cellStyle name="Calculation 2 2 2 2" xfId="1207" xr:uid="{00000000-0005-0000-0000-0000B7040000}"/>
    <cellStyle name="Calculation 2 2 2 3" xfId="1958" xr:uid="{00000000-0005-0000-0000-0000A6070000}"/>
    <cellStyle name="Calculation 2 2 2 4" xfId="2369" xr:uid="{00000000-0005-0000-0000-000041090000}"/>
    <cellStyle name="Calculation 2 2 2 5" xfId="1078" xr:uid="{00000000-0005-0000-0000-000036040000}"/>
    <cellStyle name="Calculation 2 2 2 6" xfId="2782" xr:uid="{00000000-0005-0000-0000-0000DE0A0000}"/>
    <cellStyle name="Calculation 2 2 2 7" xfId="3446" xr:uid="{00000000-0005-0000-0000-0000760D0000}"/>
    <cellStyle name="Calculation 2 2 2 8" xfId="2692" xr:uid="{00000000-0005-0000-0000-0000840A0000}"/>
    <cellStyle name="Calculation 2 2 3" xfId="1338" xr:uid="{00000000-0005-0000-0000-00003A050000}"/>
    <cellStyle name="Calculation 2 2 4" xfId="1743" xr:uid="{00000000-0005-0000-0000-0000CF060000}"/>
    <cellStyle name="Calculation 2 2 5" xfId="2155" xr:uid="{00000000-0005-0000-0000-00006B080000}"/>
    <cellStyle name="Calculation 2 2 6" xfId="948" xr:uid="{00000000-0005-0000-0000-0000B4030000}"/>
    <cellStyle name="Calculation 2 2 7" xfId="3140" xr:uid="{00000000-0005-0000-0000-0000440C0000}"/>
    <cellStyle name="Calculation 2 2 8" xfId="3234" xr:uid="{00000000-0005-0000-0000-0000A20C0000}"/>
    <cellStyle name="Calculation 2 2 9" xfId="3583" xr:uid="{00000000-0005-0000-0000-0000FF0D0000}"/>
    <cellStyle name="Calculation 2 3" xfId="645" xr:uid="{00000000-0005-0000-0000-000085020000}"/>
    <cellStyle name="Calculation 2 3 2" xfId="860" xr:uid="{00000000-0005-0000-0000-00005C030000}"/>
    <cellStyle name="Calculation 2 3 2 2" xfId="989" xr:uid="{00000000-0005-0000-0000-0000DD030000}"/>
    <cellStyle name="Calculation 2 3 2 3" xfId="2042" xr:uid="{00000000-0005-0000-0000-0000FA070000}"/>
    <cellStyle name="Calculation 2 3 2 4" xfId="2453" xr:uid="{00000000-0005-0000-0000-000095090000}"/>
    <cellStyle name="Calculation 2 3 2 5" xfId="2742" xr:uid="{00000000-0005-0000-0000-0000B60A0000}"/>
    <cellStyle name="Calculation 2 3 2 6" xfId="1214" xr:uid="{00000000-0005-0000-0000-0000BE040000}"/>
    <cellStyle name="Calculation 2 3 2 7" xfId="3530" xr:uid="{00000000-0005-0000-0000-0000CA0D0000}"/>
    <cellStyle name="Calculation 2 3 2 8" xfId="3673" xr:uid="{00000000-0005-0000-0000-0000590E0000}"/>
    <cellStyle name="Calculation 2 3 3" xfId="1586" xr:uid="{00000000-0005-0000-0000-000032060000}"/>
    <cellStyle name="Calculation 2 3 4" xfId="1827" xr:uid="{00000000-0005-0000-0000-000023070000}"/>
    <cellStyle name="Calculation 2 3 5" xfId="2239" xr:uid="{00000000-0005-0000-0000-0000BF080000}"/>
    <cellStyle name="Calculation 2 3 6" xfId="2591" xr:uid="{00000000-0005-0000-0000-00001F0A0000}"/>
    <cellStyle name="Calculation 2 3 7" xfId="2956" xr:uid="{00000000-0005-0000-0000-00008C0B0000}"/>
    <cellStyle name="Calculation 2 3 8" xfId="3318" xr:uid="{00000000-0005-0000-0000-0000F60C0000}"/>
    <cellStyle name="Calculation 2 3 9" xfId="3189" xr:uid="{00000000-0005-0000-0000-0000750C0000}"/>
    <cellStyle name="Calculation 2 4" xfId="551" xr:uid="{00000000-0005-0000-0000-000027020000}"/>
    <cellStyle name="Calculation 2 4 2" xfId="766" xr:uid="{00000000-0005-0000-0000-0000FE020000}"/>
    <cellStyle name="Calculation 2 4 2 2" xfId="1013" xr:uid="{00000000-0005-0000-0000-0000F5030000}"/>
    <cellStyle name="Calculation 2 4 2 3" xfId="1948" xr:uid="{00000000-0005-0000-0000-00009C070000}"/>
    <cellStyle name="Calculation 2 4 2 4" xfId="2359" xr:uid="{00000000-0005-0000-0000-000037090000}"/>
    <cellStyle name="Calculation 2 4 2 5" xfId="1378" xr:uid="{00000000-0005-0000-0000-000062050000}"/>
    <cellStyle name="Calculation 2 4 2 6" xfId="2834" xr:uid="{00000000-0005-0000-0000-0000120B0000}"/>
    <cellStyle name="Calculation 2 4 2 7" xfId="3436" xr:uid="{00000000-0005-0000-0000-00006C0D0000}"/>
    <cellStyle name="Calculation 2 4 2 8" xfId="1321" xr:uid="{00000000-0005-0000-0000-000029050000}"/>
    <cellStyle name="Calculation 2 4 3" xfId="1376" xr:uid="{00000000-0005-0000-0000-000060050000}"/>
    <cellStyle name="Calculation 2 4 4" xfId="1733" xr:uid="{00000000-0005-0000-0000-0000C5060000}"/>
    <cellStyle name="Calculation 2 4 5" xfId="2145" xr:uid="{00000000-0005-0000-0000-000061080000}"/>
    <cellStyle name="Calculation 2 4 6" xfId="1272" xr:uid="{00000000-0005-0000-0000-0000F8040000}"/>
    <cellStyle name="Calculation 2 4 7" xfId="3066" xr:uid="{00000000-0005-0000-0000-0000FA0B0000}"/>
    <cellStyle name="Calculation 2 4 8" xfId="3224" xr:uid="{00000000-0005-0000-0000-0000980C0000}"/>
    <cellStyle name="Calculation 2 4 9" xfId="3057" xr:uid="{00000000-0005-0000-0000-0000F10B0000}"/>
    <cellStyle name="Calculation 2 5" xfId="695" xr:uid="{00000000-0005-0000-0000-0000B7020000}"/>
    <cellStyle name="Calculation 2 5 2" xfId="1349" xr:uid="{00000000-0005-0000-0000-000045050000}"/>
    <cellStyle name="Calculation 2 5 3" xfId="1877" xr:uid="{00000000-0005-0000-0000-000055070000}"/>
    <cellStyle name="Calculation 2 5 4" xfId="2289" xr:uid="{00000000-0005-0000-0000-0000F1080000}"/>
    <cellStyle name="Calculation 2 5 5" xfId="1252" xr:uid="{00000000-0005-0000-0000-0000E4040000}"/>
    <cellStyle name="Calculation 2 5 6" xfId="2635" xr:uid="{00000000-0005-0000-0000-00004B0A0000}"/>
    <cellStyle name="Calculation 2 5 7" xfId="3367" xr:uid="{00000000-0005-0000-0000-0000270D0000}"/>
    <cellStyle name="Calculation 2 5 8" xfId="1039" xr:uid="{00000000-0005-0000-0000-00000F040000}"/>
    <cellStyle name="Calculation 2 6" xfId="1568" xr:uid="{00000000-0005-0000-0000-000020060000}"/>
    <cellStyle name="Calculation 2 7" xfId="922" xr:uid="{00000000-0005-0000-0000-00009A030000}"/>
    <cellStyle name="Calculation 2 8" xfId="938" xr:uid="{00000000-0005-0000-0000-0000AA030000}"/>
    <cellStyle name="Calculation 2 9" xfId="1632" xr:uid="{00000000-0005-0000-0000-000060060000}"/>
    <cellStyle name="Calculation 3" xfId="239" xr:uid="{00000000-0005-0000-0000-0000EF000000}"/>
    <cellStyle name="Calculation 3 10" xfId="1532" xr:uid="{00000000-0005-0000-0000-0000FC050000}"/>
    <cellStyle name="Calculation 3 11" xfId="3153" xr:uid="{00000000-0005-0000-0000-0000510C0000}"/>
    <cellStyle name="Calculation 3 2" xfId="600" xr:uid="{00000000-0005-0000-0000-000058020000}"/>
    <cellStyle name="Calculation 3 2 2" xfId="815" xr:uid="{00000000-0005-0000-0000-00002F030000}"/>
    <cellStyle name="Calculation 3 2 2 2" xfId="1612" xr:uid="{00000000-0005-0000-0000-00004C060000}"/>
    <cellStyle name="Calculation 3 2 2 3" xfId="1997" xr:uid="{00000000-0005-0000-0000-0000CD070000}"/>
    <cellStyle name="Calculation 3 2 2 4" xfId="2408" xr:uid="{00000000-0005-0000-0000-000068090000}"/>
    <cellStyle name="Calculation 3 2 2 5" xfId="2633" xr:uid="{00000000-0005-0000-0000-0000490A0000}"/>
    <cellStyle name="Calculation 3 2 2 6" xfId="1645" xr:uid="{00000000-0005-0000-0000-00006D060000}"/>
    <cellStyle name="Calculation 3 2 2 7" xfId="3485" xr:uid="{00000000-0005-0000-0000-00009D0D0000}"/>
    <cellStyle name="Calculation 3 2 2 8" xfId="2558" xr:uid="{00000000-0005-0000-0000-0000FE090000}"/>
    <cellStyle name="Calculation 3 2 3" xfId="1147" xr:uid="{00000000-0005-0000-0000-00007B040000}"/>
    <cellStyle name="Calculation 3 2 4" xfId="1782" xr:uid="{00000000-0005-0000-0000-0000F6060000}"/>
    <cellStyle name="Calculation 3 2 5" xfId="2194" xr:uid="{00000000-0005-0000-0000-000092080000}"/>
    <cellStyle name="Calculation 3 2 6" xfId="1691" xr:uid="{00000000-0005-0000-0000-00009B060000}"/>
    <cellStyle name="Calculation 3 2 7" xfId="3136" xr:uid="{00000000-0005-0000-0000-0000400C0000}"/>
    <cellStyle name="Calculation 3 2 8" xfId="3273" xr:uid="{00000000-0005-0000-0000-0000C90C0000}"/>
    <cellStyle name="Calculation 3 2 9" xfId="3096" xr:uid="{00000000-0005-0000-0000-0000180C0000}"/>
    <cellStyle name="Calculation 3 3" xfId="586" xr:uid="{00000000-0005-0000-0000-00004A020000}"/>
    <cellStyle name="Calculation 3 3 2" xfId="801" xr:uid="{00000000-0005-0000-0000-000021030000}"/>
    <cellStyle name="Calculation 3 3 2 2" xfId="1134" xr:uid="{00000000-0005-0000-0000-00006E040000}"/>
    <cellStyle name="Calculation 3 3 2 3" xfId="1983" xr:uid="{00000000-0005-0000-0000-0000BF070000}"/>
    <cellStyle name="Calculation 3 3 2 4" xfId="2394" xr:uid="{00000000-0005-0000-0000-00005A090000}"/>
    <cellStyle name="Calculation 3 3 2 5" xfId="1516" xr:uid="{00000000-0005-0000-0000-0000EC050000}"/>
    <cellStyle name="Calculation 3 3 2 6" xfId="2721" xr:uid="{00000000-0005-0000-0000-0000A10A0000}"/>
    <cellStyle name="Calculation 3 3 2 7" xfId="3471" xr:uid="{00000000-0005-0000-0000-00008F0D0000}"/>
    <cellStyle name="Calculation 3 3 2 8" xfId="2550" xr:uid="{00000000-0005-0000-0000-0000F6090000}"/>
    <cellStyle name="Calculation 3 3 3" xfId="1028" xr:uid="{00000000-0005-0000-0000-000004040000}"/>
    <cellStyle name="Calculation 3 3 4" xfId="1768" xr:uid="{00000000-0005-0000-0000-0000E8060000}"/>
    <cellStyle name="Calculation 3 3 5" xfId="2180" xr:uid="{00000000-0005-0000-0000-000084080000}"/>
    <cellStyle name="Calculation 3 3 6" xfId="2693" xr:uid="{00000000-0005-0000-0000-0000850A0000}"/>
    <cellStyle name="Calculation 3 3 7" xfId="2654" xr:uid="{00000000-0005-0000-0000-00005E0A0000}"/>
    <cellStyle name="Calculation 3 3 8" xfId="3259" xr:uid="{00000000-0005-0000-0000-0000BB0C0000}"/>
    <cellStyle name="Calculation 3 3 9" xfId="3737" xr:uid="{00000000-0005-0000-0000-0000990E0000}"/>
    <cellStyle name="Calculation 3 4" xfId="670" xr:uid="{00000000-0005-0000-0000-00009E020000}"/>
    <cellStyle name="Calculation 3 4 2" xfId="885" xr:uid="{00000000-0005-0000-0000-000075030000}"/>
    <cellStyle name="Calculation 3 4 2 2" xfId="1225" xr:uid="{00000000-0005-0000-0000-0000C9040000}"/>
    <cellStyle name="Calculation 3 4 2 3" xfId="2067" xr:uid="{00000000-0005-0000-0000-000013080000}"/>
    <cellStyle name="Calculation 3 4 2 4" xfId="2478" xr:uid="{00000000-0005-0000-0000-0000AE090000}"/>
    <cellStyle name="Calculation 3 4 2 5" xfId="2836" xr:uid="{00000000-0005-0000-0000-0000140B0000}"/>
    <cellStyle name="Calculation 3 4 2 6" xfId="3157" xr:uid="{00000000-0005-0000-0000-0000550C0000}"/>
    <cellStyle name="Calculation 3 4 2 7" xfId="3555" xr:uid="{00000000-0005-0000-0000-0000E30D0000}"/>
    <cellStyle name="Calculation 3 4 2 8" xfId="3771" xr:uid="{00000000-0005-0000-0000-0000BB0E0000}"/>
    <cellStyle name="Calculation 3 4 3" xfId="918" xr:uid="{00000000-0005-0000-0000-000096030000}"/>
    <cellStyle name="Calculation 3 4 4" xfId="1852" xr:uid="{00000000-0005-0000-0000-00003C070000}"/>
    <cellStyle name="Calculation 3 4 5" xfId="2264" xr:uid="{00000000-0005-0000-0000-0000D8080000}"/>
    <cellStyle name="Calculation 3 4 6" xfId="2728" xr:uid="{00000000-0005-0000-0000-0000A80A0000}"/>
    <cellStyle name="Calculation 3 4 7" xfId="1341" xr:uid="{00000000-0005-0000-0000-00003D050000}"/>
    <cellStyle name="Calculation 3 4 8" xfId="3343" xr:uid="{00000000-0005-0000-0000-00000F0D0000}"/>
    <cellStyle name="Calculation 3 4 9" xfId="3700" xr:uid="{00000000-0005-0000-0000-0000740E0000}"/>
    <cellStyle name="Calculation 3 5" xfId="703" xr:uid="{00000000-0005-0000-0000-0000BF020000}"/>
    <cellStyle name="Calculation 3 5 2" xfId="1452" xr:uid="{00000000-0005-0000-0000-0000AC050000}"/>
    <cellStyle name="Calculation 3 5 3" xfId="1885" xr:uid="{00000000-0005-0000-0000-00005D070000}"/>
    <cellStyle name="Calculation 3 5 4" xfId="2297" xr:uid="{00000000-0005-0000-0000-0000F9080000}"/>
    <cellStyle name="Calculation 3 5 5" xfId="2506" xr:uid="{00000000-0005-0000-0000-0000CA090000}"/>
    <cellStyle name="Calculation 3 5 6" xfId="2552" xr:uid="{00000000-0005-0000-0000-0000F8090000}"/>
    <cellStyle name="Calculation 3 5 7" xfId="3375" xr:uid="{00000000-0005-0000-0000-00002F0D0000}"/>
    <cellStyle name="Calculation 3 5 8" xfId="2519" xr:uid="{00000000-0005-0000-0000-0000D7090000}"/>
    <cellStyle name="Calculation 3 6" xfId="1312" xr:uid="{00000000-0005-0000-0000-000020050000}"/>
    <cellStyle name="Calculation 3 7" xfId="1530" xr:uid="{00000000-0005-0000-0000-0000FA050000}"/>
    <cellStyle name="Calculation 3 8" xfId="1323" xr:uid="{00000000-0005-0000-0000-00002B050000}"/>
    <cellStyle name="Calculation 3 9" xfId="1425" xr:uid="{00000000-0005-0000-0000-000091050000}"/>
    <cellStyle name="Check Cell 2" xfId="144" xr:uid="{00000000-0005-0000-0000-000090000000}"/>
    <cellStyle name="Check Cell 3" xfId="240" xr:uid="{00000000-0005-0000-0000-0000F0000000}"/>
    <cellStyle name="Check Cell 4" xfId="384" xr:uid="{00000000-0005-0000-0000-000080010000}"/>
    <cellStyle name="Comma 2" xfId="145" xr:uid="{00000000-0005-0000-0000-000091000000}"/>
    <cellStyle name="Comma 2 2" xfId="146" xr:uid="{00000000-0005-0000-0000-000092000000}"/>
    <cellStyle name="Comma 2 2 2" xfId="429" xr:uid="{00000000-0005-0000-0000-0000AD010000}"/>
    <cellStyle name="Comma 3" xfId="147" xr:uid="{00000000-0005-0000-0000-000093000000}"/>
    <cellStyle name="Constants" xfId="5" xr:uid="{00000000-0005-0000-0000-000005000000}"/>
    <cellStyle name="ContentsHyperlink" xfId="256" xr:uid="{00000000-0005-0000-0000-000000010000}"/>
    <cellStyle name="CustomCellsOrange" xfId="148" xr:uid="{00000000-0005-0000-0000-000094000000}"/>
    <cellStyle name="CustomCellsOrange 2" xfId="430" xr:uid="{00000000-0005-0000-0000-0000AE010000}"/>
    <cellStyle name="CustomCellsOrange 2 2" xfId="453" xr:uid="{00000000-0005-0000-0000-0000C5010000}"/>
    <cellStyle name="CustomCellsOrange 2 2 10" xfId="3035" xr:uid="{00000000-0005-0000-0000-0000DB0B0000}"/>
    <cellStyle name="CustomCellsOrange 2 2 11" xfId="2970" xr:uid="{00000000-0005-0000-0000-00009A0B0000}"/>
    <cellStyle name="CustomCellsOrange 2 2 12" xfId="3675" xr:uid="{00000000-0005-0000-0000-00005B0E0000}"/>
    <cellStyle name="CustomCellsOrange 2 2 2" xfId="523" xr:uid="{00000000-0005-0000-0000-00000B020000}"/>
    <cellStyle name="CustomCellsOrange 2 2 2 2" xfId="689" xr:uid="{00000000-0005-0000-0000-0000B1020000}"/>
    <cellStyle name="CustomCellsOrange 2 2 2 2 2" xfId="903" xr:uid="{00000000-0005-0000-0000-000087030000}"/>
    <cellStyle name="CustomCellsOrange 2 2 2 2 2 2" xfId="1662" xr:uid="{00000000-0005-0000-0000-00007E060000}"/>
    <cellStyle name="CustomCellsOrange 2 2 2 2 2 3" xfId="2085" xr:uid="{00000000-0005-0000-0000-000025080000}"/>
    <cellStyle name="CustomCellsOrange 2 2 2 2 2 4" xfId="2496" xr:uid="{00000000-0005-0000-0000-0000C0090000}"/>
    <cellStyle name="CustomCellsOrange 2 2 2 2 2 5" xfId="2854" xr:uid="{00000000-0005-0000-0000-0000260B0000}"/>
    <cellStyle name="CustomCellsOrange 2 2 2 2 2 6" xfId="3175" xr:uid="{00000000-0005-0000-0000-0000670C0000}"/>
    <cellStyle name="CustomCellsOrange 2 2 2 2 2 7" xfId="3573" xr:uid="{00000000-0005-0000-0000-0000F50D0000}"/>
    <cellStyle name="CustomCellsOrange 2 2 2 2 2 8" xfId="3789" xr:uid="{00000000-0005-0000-0000-0000CD0E0000}"/>
    <cellStyle name="CustomCellsOrange 2 2 2 2 3" xfId="1336" xr:uid="{00000000-0005-0000-0000-000038050000}"/>
    <cellStyle name="CustomCellsOrange 2 2 2 2 4" xfId="1871" xr:uid="{00000000-0005-0000-0000-00004F070000}"/>
    <cellStyle name="CustomCellsOrange 2 2 2 2 5" xfId="2283" xr:uid="{00000000-0005-0000-0000-0000EB080000}"/>
    <cellStyle name="CustomCellsOrange 2 2 2 2 6" xfId="2501" xr:uid="{00000000-0005-0000-0000-0000C5090000}"/>
    <cellStyle name="CustomCellsOrange 2 2 2 2 7" xfId="2812" xr:uid="{00000000-0005-0000-0000-0000FC0A0000}"/>
    <cellStyle name="CustomCellsOrange 2 2 2 2 8" xfId="3361" xr:uid="{00000000-0005-0000-0000-0000210D0000}"/>
    <cellStyle name="CustomCellsOrange 2 2 2 2 9" xfId="1046" xr:uid="{00000000-0005-0000-0000-000016040000}"/>
    <cellStyle name="CustomCellsOrange 2 2 3" xfId="672" xr:uid="{00000000-0005-0000-0000-0000A0020000}"/>
    <cellStyle name="CustomCellsOrange 2 2 3 2" xfId="887" xr:uid="{00000000-0005-0000-0000-000077030000}"/>
    <cellStyle name="CustomCellsOrange 2 2 3 2 2" xfId="1646" xr:uid="{00000000-0005-0000-0000-00006E060000}"/>
    <cellStyle name="CustomCellsOrange 2 2 3 2 3" xfId="2069" xr:uid="{00000000-0005-0000-0000-000015080000}"/>
    <cellStyle name="CustomCellsOrange 2 2 3 2 4" xfId="2480" xr:uid="{00000000-0005-0000-0000-0000B0090000}"/>
    <cellStyle name="CustomCellsOrange 2 2 3 2 5" xfId="2838" xr:uid="{00000000-0005-0000-0000-0000160B0000}"/>
    <cellStyle name="CustomCellsOrange 2 2 3 2 6" xfId="3159" xr:uid="{00000000-0005-0000-0000-0000570C0000}"/>
    <cellStyle name="CustomCellsOrange 2 2 3 2 7" xfId="3557" xr:uid="{00000000-0005-0000-0000-0000E50D0000}"/>
    <cellStyle name="CustomCellsOrange 2 2 3 2 8" xfId="3773" xr:uid="{00000000-0005-0000-0000-0000BD0E0000}"/>
    <cellStyle name="CustomCellsOrange 2 2 3 3" xfId="911" xr:uid="{00000000-0005-0000-0000-00008F030000}"/>
    <cellStyle name="CustomCellsOrange 2 2 3 4" xfId="1854" xr:uid="{00000000-0005-0000-0000-00003E070000}"/>
    <cellStyle name="CustomCellsOrange 2 2 3 5" xfId="2266" xr:uid="{00000000-0005-0000-0000-0000DA080000}"/>
    <cellStyle name="CustomCellsOrange 2 2 3 6" xfId="1700" xr:uid="{00000000-0005-0000-0000-0000A4060000}"/>
    <cellStyle name="CustomCellsOrange 2 2 3 7" xfId="3080" xr:uid="{00000000-0005-0000-0000-0000080C0000}"/>
    <cellStyle name="CustomCellsOrange 2 2 3 8" xfId="3345" xr:uid="{00000000-0005-0000-0000-0000110D0000}"/>
    <cellStyle name="CustomCellsOrange 2 2 3 9" xfId="2694" xr:uid="{00000000-0005-0000-0000-0000860A0000}"/>
    <cellStyle name="CustomCellsOrange 2 2 4" xfId="590" xr:uid="{00000000-0005-0000-0000-00004E020000}"/>
    <cellStyle name="CustomCellsOrange 2 2 4 2" xfId="805" xr:uid="{00000000-0005-0000-0000-000025030000}"/>
    <cellStyle name="CustomCellsOrange 2 2 4 2 2" xfId="1132" xr:uid="{00000000-0005-0000-0000-00006C040000}"/>
    <cellStyle name="CustomCellsOrange 2 2 4 2 3" xfId="1987" xr:uid="{00000000-0005-0000-0000-0000C3070000}"/>
    <cellStyle name="CustomCellsOrange 2 2 4 2 4" xfId="2398" xr:uid="{00000000-0005-0000-0000-00005E090000}"/>
    <cellStyle name="CustomCellsOrange 2 2 4 2 5" xfId="1594" xr:uid="{00000000-0005-0000-0000-00003A060000}"/>
    <cellStyle name="CustomCellsOrange 2 2 4 2 6" xfId="2774" xr:uid="{00000000-0005-0000-0000-0000D60A0000}"/>
    <cellStyle name="CustomCellsOrange 2 2 4 2 7" xfId="3475" xr:uid="{00000000-0005-0000-0000-0000930D0000}"/>
    <cellStyle name="CustomCellsOrange 2 2 4 2 8" xfId="3750" xr:uid="{00000000-0005-0000-0000-0000A60E0000}"/>
    <cellStyle name="CustomCellsOrange 2 2 4 3" xfId="1024" xr:uid="{00000000-0005-0000-0000-000000040000}"/>
    <cellStyle name="CustomCellsOrange 2 2 4 4" xfId="1772" xr:uid="{00000000-0005-0000-0000-0000EC060000}"/>
    <cellStyle name="CustomCellsOrange 2 2 4 5" xfId="2184" xr:uid="{00000000-0005-0000-0000-000088080000}"/>
    <cellStyle name="CustomCellsOrange 2 2 4 6" xfId="2634" xr:uid="{00000000-0005-0000-0000-00004A0A0000}"/>
    <cellStyle name="CustomCellsOrange 2 2 4 7" xfId="2105" xr:uid="{00000000-0005-0000-0000-000039080000}"/>
    <cellStyle name="CustomCellsOrange 2 2 4 8" xfId="3263" xr:uid="{00000000-0005-0000-0000-0000BF0C0000}"/>
    <cellStyle name="CustomCellsOrange 2 2 4 9" xfId="3030" xr:uid="{00000000-0005-0000-0000-0000D60B0000}"/>
    <cellStyle name="CustomCellsOrange 2 2 5" xfId="691" xr:uid="{00000000-0005-0000-0000-0000B3020000}"/>
    <cellStyle name="CustomCellsOrange 2 2 5 2" xfId="905" xr:uid="{00000000-0005-0000-0000-000089030000}"/>
    <cellStyle name="CustomCellsOrange 2 2 5 2 2" xfId="1664" xr:uid="{00000000-0005-0000-0000-000080060000}"/>
    <cellStyle name="CustomCellsOrange 2 2 5 2 3" xfId="2087" xr:uid="{00000000-0005-0000-0000-000027080000}"/>
    <cellStyle name="CustomCellsOrange 2 2 5 2 4" xfId="2498" xr:uid="{00000000-0005-0000-0000-0000C2090000}"/>
    <cellStyle name="CustomCellsOrange 2 2 5 2 5" xfId="2856" xr:uid="{00000000-0005-0000-0000-0000280B0000}"/>
    <cellStyle name="CustomCellsOrange 2 2 5 2 6" xfId="3177" xr:uid="{00000000-0005-0000-0000-0000690C0000}"/>
    <cellStyle name="CustomCellsOrange 2 2 5 2 7" xfId="3575" xr:uid="{00000000-0005-0000-0000-0000F70D0000}"/>
    <cellStyle name="CustomCellsOrange 2 2 5 2 8" xfId="3791" xr:uid="{00000000-0005-0000-0000-0000CF0E0000}"/>
    <cellStyle name="CustomCellsOrange 2 2 5 3" xfId="1414" xr:uid="{00000000-0005-0000-0000-000086050000}"/>
    <cellStyle name="CustomCellsOrange 2 2 5 4" xfId="1873" xr:uid="{00000000-0005-0000-0000-000051070000}"/>
    <cellStyle name="CustomCellsOrange 2 2 5 5" xfId="2285" xr:uid="{00000000-0005-0000-0000-0000ED080000}"/>
    <cellStyle name="CustomCellsOrange 2 2 5 6" xfId="1401" xr:uid="{00000000-0005-0000-0000-000079050000}"/>
    <cellStyle name="CustomCellsOrange 2 2 5 7" xfId="3048" xr:uid="{00000000-0005-0000-0000-0000E80B0000}"/>
    <cellStyle name="CustomCellsOrange 2 2 5 8" xfId="3363" xr:uid="{00000000-0005-0000-0000-0000230D0000}"/>
    <cellStyle name="CustomCellsOrange 2 2 5 9" xfId="2991" xr:uid="{00000000-0005-0000-0000-0000AF0B0000}"/>
    <cellStyle name="CustomCellsOrange 2 2 6" xfId="1151" xr:uid="{00000000-0005-0000-0000-00007F040000}"/>
    <cellStyle name="CustomCellsOrange 2 2 7" xfId="1574" xr:uid="{00000000-0005-0000-0000-000026060000}"/>
    <cellStyle name="CustomCellsOrange 2 2 8" xfId="1344" xr:uid="{00000000-0005-0000-0000-000040050000}"/>
    <cellStyle name="CustomCellsOrange 2 2 9" xfId="2707" xr:uid="{00000000-0005-0000-0000-0000930A0000}"/>
    <cellStyle name="CustomCellsOrange 3" xfId="288" xr:uid="{00000000-0005-0000-0000-000020010000}"/>
    <cellStyle name="CustomCellsOrange 3 10" xfId="2860" xr:uid="{00000000-0005-0000-0000-00002C0B0000}"/>
    <cellStyle name="CustomCellsOrange 3 11" xfId="3091" xr:uid="{00000000-0005-0000-0000-0000130C0000}"/>
    <cellStyle name="CustomCellsOrange 3 12" xfId="3628" xr:uid="{00000000-0005-0000-0000-00002C0E0000}"/>
    <cellStyle name="CustomCellsOrange 3 2" xfId="627" xr:uid="{00000000-0005-0000-0000-000073020000}"/>
    <cellStyle name="CustomCellsOrange 3 2 2" xfId="842" xr:uid="{00000000-0005-0000-0000-00004A030000}"/>
    <cellStyle name="CustomCellsOrange 3 2 2 2" xfId="1233" xr:uid="{00000000-0005-0000-0000-0000D1040000}"/>
    <cellStyle name="CustomCellsOrange 3 2 2 3" xfId="2024" xr:uid="{00000000-0005-0000-0000-0000E8070000}"/>
    <cellStyle name="CustomCellsOrange 3 2 2 4" xfId="2435" xr:uid="{00000000-0005-0000-0000-000083090000}"/>
    <cellStyle name="CustomCellsOrange 3 2 2 5" xfId="944" xr:uid="{00000000-0005-0000-0000-0000B0030000}"/>
    <cellStyle name="CustomCellsOrange 3 2 2 6" xfId="2580" xr:uid="{00000000-0005-0000-0000-0000140A0000}"/>
    <cellStyle name="CustomCellsOrange 3 2 2 7" xfId="3512" xr:uid="{00000000-0005-0000-0000-0000B80D0000}"/>
    <cellStyle name="CustomCellsOrange 3 2 2 8" xfId="3608" xr:uid="{00000000-0005-0000-0000-0000180E0000}"/>
    <cellStyle name="CustomCellsOrange 3 2 3" xfId="1258" xr:uid="{00000000-0005-0000-0000-0000EA040000}"/>
    <cellStyle name="CustomCellsOrange 3 2 4" xfId="1809" xr:uid="{00000000-0005-0000-0000-000011070000}"/>
    <cellStyle name="CustomCellsOrange 3 2 5" xfId="2221" xr:uid="{00000000-0005-0000-0000-0000AD080000}"/>
    <cellStyle name="CustomCellsOrange 3 2 6" xfId="2637" xr:uid="{00000000-0005-0000-0000-00004D0A0000}"/>
    <cellStyle name="CustomCellsOrange 3 2 7" xfId="3017" xr:uid="{00000000-0005-0000-0000-0000C90B0000}"/>
    <cellStyle name="CustomCellsOrange 3 2 8" xfId="3300" xr:uid="{00000000-0005-0000-0000-0000E40C0000}"/>
    <cellStyle name="CustomCellsOrange 3 2 9" xfId="3188" xr:uid="{00000000-0005-0000-0000-0000740C0000}"/>
    <cellStyle name="CustomCellsOrange 3 3" xfId="560" xr:uid="{00000000-0005-0000-0000-000030020000}"/>
    <cellStyle name="CustomCellsOrange 3 3 2" xfId="775" xr:uid="{00000000-0005-0000-0000-000007030000}"/>
    <cellStyle name="CustomCellsOrange 3 3 2 2" xfId="1010" xr:uid="{00000000-0005-0000-0000-0000F2030000}"/>
    <cellStyle name="CustomCellsOrange 3 3 2 3" xfId="1957" xr:uid="{00000000-0005-0000-0000-0000A5070000}"/>
    <cellStyle name="CustomCellsOrange 3 3 2 4" xfId="2368" xr:uid="{00000000-0005-0000-0000-000040090000}"/>
    <cellStyle name="CustomCellsOrange 3 3 2 5" xfId="1698" xr:uid="{00000000-0005-0000-0000-0000A2060000}"/>
    <cellStyle name="CustomCellsOrange 3 3 2 6" xfId="1264" xr:uid="{00000000-0005-0000-0000-0000F0040000}"/>
    <cellStyle name="CustomCellsOrange 3 3 2 7" xfId="3445" xr:uid="{00000000-0005-0000-0000-0000750D0000}"/>
    <cellStyle name="CustomCellsOrange 3 3 2 8" xfId="3602" xr:uid="{00000000-0005-0000-0000-0000120E0000}"/>
    <cellStyle name="CustomCellsOrange 3 3 3" xfId="1512" xr:uid="{00000000-0005-0000-0000-0000E8050000}"/>
    <cellStyle name="CustomCellsOrange 3 3 4" xfId="1742" xr:uid="{00000000-0005-0000-0000-0000CE060000}"/>
    <cellStyle name="CustomCellsOrange 3 3 5" xfId="2154" xr:uid="{00000000-0005-0000-0000-00006A080000}"/>
    <cellStyle name="CustomCellsOrange 3 3 6" xfId="2592" xr:uid="{00000000-0005-0000-0000-0000200A0000}"/>
    <cellStyle name="CustomCellsOrange 3 3 7" xfId="2898" xr:uid="{00000000-0005-0000-0000-0000520B0000}"/>
    <cellStyle name="CustomCellsOrange 3 3 8" xfId="3233" xr:uid="{00000000-0005-0000-0000-0000A10C0000}"/>
    <cellStyle name="CustomCellsOrange 3 3 9" xfId="1067" xr:uid="{00000000-0005-0000-0000-00002B040000}"/>
    <cellStyle name="CustomCellsOrange 3 4" xfId="573" xr:uid="{00000000-0005-0000-0000-00003D020000}"/>
    <cellStyle name="CustomCellsOrange 3 4 2" xfId="788" xr:uid="{00000000-0005-0000-0000-000014030000}"/>
    <cellStyle name="CustomCellsOrange 3 4 2 2" xfId="1005" xr:uid="{00000000-0005-0000-0000-0000ED030000}"/>
    <cellStyle name="CustomCellsOrange 3 4 2 3" xfId="1970" xr:uid="{00000000-0005-0000-0000-0000B2070000}"/>
    <cellStyle name="CustomCellsOrange 3 4 2 4" xfId="2381" xr:uid="{00000000-0005-0000-0000-00004D090000}"/>
    <cellStyle name="CustomCellsOrange 3 4 2 5" xfId="2525" xr:uid="{00000000-0005-0000-0000-0000DD090000}"/>
    <cellStyle name="CustomCellsOrange 3 4 2 6" xfId="1508" xr:uid="{00000000-0005-0000-0000-0000E4050000}"/>
    <cellStyle name="CustomCellsOrange 3 4 2 7" xfId="3458" xr:uid="{00000000-0005-0000-0000-0000820D0000}"/>
    <cellStyle name="CustomCellsOrange 3 4 2 8" xfId="3620" xr:uid="{00000000-0005-0000-0000-0000240E0000}"/>
    <cellStyle name="CustomCellsOrange 3 4 3" xfId="1488" xr:uid="{00000000-0005-0000-0000-0000D0050000}"/>
    <cellStyle name="CustomCellsOrange 3 4 4" xfId="1755" xr:uid="{00000000-0005-0000-0000-0000DB060000}"/>
    <cellStyle name="CustomCellsOrange 3 4 5" xfId="2167" xr:uid="{00000000-0005-0000-0000-000077080000}"/>
    <cellStyle name="CustomCellsOrange 3 4 6" xfId="1675" xr:uid="{00000000-0005-0000-0000-00008B060000}"/>
    <cellStyle name="CustomCellsOrange 3 4 7" xfId="3058" xr:uid="{00000000-0005-0000-0000-0000F20B0000}"/>
    <cellStyle name="CustomCellsOrange 3 4 8" xfId="3246" xr:uid="{00000000-0005-0000-0000-0000AE0C0000}"/>
    <cellStyle name="CustomCellsOrange 3 4 9" xfId="1867" xr:uid="{00000000-0005-0000-0000-00004B070000}"/>
    <cellStyle name="CustomCellsOrange 3 5" xfId="713" xr:uid="{00000000-0005-0000-0000-0000C9020000}"/>
    <cellStyle name="CustomCellsOrange 3 6" xfId="1270" xr:uid="{00000000-0005-0000-0000-0000F6040000}"/>
    <cellStyle name="CustomCellsOrange 3 7" xfId="1614" xr:uid="{00000000-0005-0000-0000-00004E060000}"/>
    <cellStyle name="CustomCellsOrange 3 8" xfId="962" xr:uid="{00000000-0005-0000-0000-0000C2030000}"/>
    <cellStyle name="CustomCellsOrange 3 9" xfId="2801" xr:uid="{00000000-0005-0000-0000-0000F10A0000}"/>
    <cellStyle name="CustomizationCells" xfId="19" xr:uid="{00000000-0005-0000-0000-000013000000}"/>
    <cellStyle name="CustomizationCells 2" xfId="431" xr:uid="{00000000-0005-0000-0000-0000AF010000}"/>
    <cellStyle name="CustomizationCells 2 2" xfId="454" xr:uid="{00000000-0005-0000-0000-0000C6010000}"/>
    <cellStyle name="CustomizationCells 2 2 10" xfId="3055" xr:uid="{00000000-0005-0000-0000-0000EF0B0000}"/>
    <cellStyle name="CustomizationCells 2 2 11" xfId="2874" xr:uid="{00000000-0005-0000-0000-00003A0B0000}"/>
    <cellStyle name="CustomizationCells 2 2 12" xfId="3588" xr:uid="{00000000-0005-0000-0000-0000040E0000}"/>
    <cellStyle name="CustomizationCells 2 2 2" xfId="524" xr:uid="{00000000-0005-0000-0000-00000C020000}"/>
    <cellStyle name="CustomizationCells 2 2 2 2" xfId="690" xr:uid="{00000000-0005-0000-0000-0000B2020000}"/>
    <cellStyle name="CustomizationCells 2 2 2 2 2" xfId="904" xr:uid="{00000000-0005-0000-0000-000088030000}"/>
    <cellStyle name="CustomizationCells 2 2 2 2 2 2" xfId="1663" xr:uid="{00000000-0005-0000-0000-00007F060000}"/>
    <cellStyle name="CustomizationCells 2 2 2 2 2 3" xfId="2086" xr:uid="{00000000-0005-0000-0000-000026080000}"/>
    <cellStyle name="CustomizationCells 2 2 2 2 2 4" xfId="2497" xr:uid="{00000000-0005-0000-0000-0000C1090000}"/>
    <cellStyle name="CustomizationCells 2 2 2 2 2 5" xfId="2855" xr:uid="{00000000-0005-0000-0000-0000270B0000}"/>
    <cellStyle name="CustomizationCells 2 2 2 2 2 6" xfId="3176" xr:uid="{00000000-0005-0000-0000-0000680C0000}"/>
    <cellStyle name="CustomizationCells 2 2 2 2 2 7" xfId="3574" xr:uid="{00000000-0005-0000-0000-0000F60D0000}"/>
    <cellStyle name="CustomizationCells 2 2 2 2 2 8" xfId="3790" xr:uid="{00000000-0005-0000-0000-0000CE0E0000}"/>
    <cellStyle name="CustomizationCells 2 2 2 2 3" xfId="1585" xr:uid="{00000000-0005-0000-0000-000031060000}"/>
    <cellStyle name="CustomizationCells 2 2 2 2 4" xfId="1872" xr:uid="{00000000-0005-0000-0000-000050070000}"/>
    <cellStyle name="CustomizationCells 2 2 2 2 5" xfId="2284" xr:uid="{00000000-0005-0000-0000-0000EC080000}"/>
    <cellStyle name="CustomizationCells 2 2 2 2 6" xfId="2611" xr:uid="{00000000-0005-0000-0000-0000330A0000}"/>
    <cellStyle name="CustomizationCells 2 2 2 2 7" xfId="3032" xr:uid="{00000000-0005-0000-0000-0000D80B0000}"/>
    <cellStyle name="CustomizationCells 2 2 2 2 8" xfId="3362" xr:uid="{00000000-0005-0000-0000-0000220D0000}"/>
    <cellStyle name="CustomizationCells 2 2 2 2 9" xfId="2657" xr:uid="{00000000-0005-0000-0000-0000610A0000}"/>
    <cellStyle name="CustomizationCells 2 2 3" xfId="673" xr:uid="{00000000-0005-0000-0000-0000A1020000}"/>
    <cellStyle name="CustomizationCells 2 2 3 2" xfId="888" xr:uid="{00000000-0005-0000-0000-000078030000}"/>
    <cellStyle name="CustomizationCells 2 2 3 2 2" xfId="1647" xr:uid="{00000000-0005-0000-0000-00006F060000}"/>
    <cellStyle name="CustomizationCells 2 2 3 2 3" xfId="2070" xr:uid="{00000000-0005-0000-0000-000016080000}"/>
    <cellStyle name="CustomizationCells 2 2 3 2 4" xfId="2481" xr:uid="{00000000-0005-0000-0000-0000B1090000}"/>
    <cellStyle name="CustomizationCells 2 2 3 2 5" xfId="2839" xr:uid="{00000000-0005-0000-0000-0000170B0000}"/>
    <cellStyle name="CustomizationCells 2 2 3 2 6" xfId="3160" xr:uid="{00000000-0005-0000-0000-0000580C0000}"/>
    <cellStyle name="CustomizationCells 2 2 3 2 7" xfId="3558" xr:uid="{00000000-0005-0000-0000-0000E60D0000}"/>
    <cellStyle name="CustomizationCells 2 2 3 2 8" xfId="3774" xr:uid="{00000000-0005-0000-0000-0000BE0E0000}"/>
    <cellStyle name="CustomizationCells 2 2 3 3" xfId="926" xr:uid="{00000000-0005-0000-0000-00009E030000}"/>
    <cellStyle name="CustomizationCells 2 2 3 4" xfId="1855" xr:uid="{00000000-0005-0000-0000-00003F070000}"/>
    <cellStyle name="CustomizationCells 2 2 3 5" xfId="2267" xr:uid="{00000000-0005-0000-0000-0000DB080000}"/>
    <cellStyle name="CustomizationCells 2 2 3 6" xfId="2797" xr:uid="{00000000-0005-0000-0000-0000ED0A0000}"/>
    <cellStyle name="CustomizationCells 2 2 3 7" xfId="2928" xr:uid="{00000000-0005-0000-0000-0000700B0000}"/>
    <cellStyle name="CustomizationCells 2 2 3 8" xfId="3346" xr:uid="{00000000-0005-0000-0000-0000120D0000}"/>
    <cellStyle name="CustomizationCells 2 2 3 9" xfId="2859" xr:uid="{00000000-0005-0000-0000-00002B0B0000}"/>
    <cellStyle name="CustomizationCells 2 2 4" xfId="536" xr:uid="{00000000-0005-0000-0000-000018020000}"/>
    <cellStyle name="CustomizationCells 2 2 4 2" xfId="751" xr:uid="{00000000-0005-0000-0000-0000EF020000}"/>
    <cellStyle name="CustomizationCells 2 2 4 2 2" xfId="57" xr:uid="{00000000-0005-0000-0000-000039000000}"/>
    <cellStyle name="CustomizationCells 2 2 4 2 3" xfId="1933" xr:uid="{00000000-0005-0000-0000-00008D070000}"/>
    <cellStyle name="CustomizationCells 2 2 4 2 4" xfId="2344" xr:uid="{00000000-0005-0000-0000-000028090000}"/>
    <cellStyle name="CustomizationCells 2 2 4 2 5" xfId="1034" xr:uid="{00000000-0005-0000-0000-00000A040000}"/>
    <cellStyle name="CustomizationCells 2 2 4 2 6" xfId="1595" xr:uid="{00000000-0005-0000-0000-00003B060000}"/>
    <cellStyle name="CustomizationCells 2 2 4 2 7" xfId="3421" xr:uid="{00000000-0005-0000-0000-00005D0D0000}"/>
    <cellStyle name="CustomizationCells 2 2 4 2 8" xfId="2972" xr:uid="{00000000-0005-0000-0000-00009C0B0000}"/>
    <cellStyle name="CustomizationCells 2 2 4 3" xfId="1607" xr:uid="{00000000-0005-0000-0000-000047060000}"/>
    <cellStyle name="CustomizationCells 2 2 4 4" xfId="1718" xr:uid="{00000000-0005-0000-0000-0000B6060000}"/>
    <cellStyle name="CustomizationCells 2 2 4 5" xfId="2130" xr:uid="{00000000-0005-0000-0000-000052080000}"/>
    <cellStyle name="CustomizationCells 2 2 4 6" xfId="2616" xr:uid="{00000000-0005-0000-0000-0000380A0000}"/>
    <cellStyle name="CustomizationCells 2 2 4 7" xfId="2974" xr:uid="{00000000-0005-0000-0000-00009E0B0000}"/>
    <cellStyle name="CustomizationCells 2 2 4 8" xfId="3209" xr:uid="{00000000-0005-0000-0000-0000890C0000}"/>
    <cellStyle name="CustomizationCells 2 2 4 9" xfId="2810" xr:uid="{00000000-0005-0000-0000-0000FA0A0000}"/>
    <cellStyle name="CustomizationCells 2 2 5" xfId="692" xr:uid="{00000000-0005-0000-0000-0000B4020000}"/>
    <cellStyle name="CustomizationCells 2 2 5 2" xfId="906" xr:uid="{00000000-0005-0000-0000-00008A030000}"/>
    <cellStyle name="CustomizationCells 2 2 5 2 2" xfId="2499" xr:uid="{00000000-0005-0000-0000-0000C3090000}"/>
    <cellStyle name="CustomizationCells 2 2 5 3" xfId="1142" xr:uid="{00000000-0005-0000-0000-000076040000}"/>
    <cellStyle name="CustomizationCells 2 2 5 4" xfId="1874" xr:uid="{00000000-0005-0000-0000-000052070000}"/>
    <cellStyle name="CustomizationCells 2 2 5 5" xfId="2286" xr:uid="{00000000-0005-0000-0000-0000EE080000}"/>
    <cellStyle name="CustomizationCells 2 2 5 6" xfId="2816" xr:uid="{00000000-0005-0000-0000-0000000B0000}"/>
    <cellStyle name="CustomizationCells 2 2 5 7" xfId="2905" xr:uid="{00000000-0005-0000-0000-0000590B0000}"/>
    <cellStyle name="CustomizationCells 2 2 5 8" xfId="3364" xr:uid="{00000000-0005-0000-0000-0000240D0000}"/>
    <cellStyle name="CustomizationCells 2 2 5 9" xfId="3614" xr:uid="{00000000-0005-0000-0000-00001E0E0000}"/>
    <cellStyle name="CustomizationCells 2 2 6" xfId="1502" xr:uid="{00000000-0005-0000-0000-0000DE050000}"/>
    <cellStyle name="CustomizationCells 2 2 7" xfId="1170" xr:uid="{00000000-0005-0000-0000-000092040000}"/>
    <cellStyle name="CustomizationCells 2 2 8" xfId="1565" xr:uid="{00000000-0005-0000-0000-00001D060000}"/>
    <cellStyle name="CustomizationCells 2 2 9" xfId="1624" xr:uid="{00000000-0005-0000-0000-000058060000}"/>
    <cellStyle name="CustomizationCells 3" xfId="289" xr:uid="{00000000-0005-0000-0000-000021010000}"/>
    <cellStyle name="CustomizationCells 3 10" xfId="2867" xr:uid="{00000000-0005-0000-0000-0000330B0000}"/>
    <cellStyle name="CustomizationCells 3 11" xfId="3002" xr:uid="{00000000-0005-0000-0000-0000BA0B0000}"/>
    <cellStyle name="CustomizationCells 3 12" xfId="3191" xr:uid="{00000000-0005-0000-0000-0000770C0000}"/>
    <cellStyle name="CustomizationCells 3 2" xfId="628" xr:uid="{00000000-0005-0000-0000-000074020000}"/>
    <cellStyle name="CustomizationCells 3 2 2" xfId="843" xr:uid="{00000000-0005-0000-0000-00004B030000}"/>
    <cellStyle name="CustomizationCells 3 2 2 2" xfId="1126" xr:uid="{00000000-0005-0000-0000-000066040000}"/>
    <cellStyle name="CustomizationCells 3 2 2 3" xfId="2025" xr:uid="{00000000-0005-0000-0000-0000E9070000}"/>
    <cellStyle name="CustomizationCells 3 2 2 4" xfId="2436" xr:uid="{00000000-0005-0000-0000-000084090000}"/>
    <cellStyle name="CustomizationCells 3 2 2 5" xfId="923" xr:uid="{00000000-0005-0000-0000-00009B030000}"/>
    <cellStyle name="CustomizationCells 3 2 2 6" xfId="1282" xr:uid="{00000000-0005-0000-0000-000002050000}"/>
    <cellStyle name="CustomizationCells 3 2 2 7" xfId="3513" xr:uid="{00000000-0005-0000-0000-0000B90D0000}"/>
    <cellStyle name="CustomizationCells 3 2 2 8" xfId="3744" xr:uid="{00000000-0005-0000-0000-0000A00E0000}"/>
    <cellStyle name="CustomizationCells 3 2 3" xfId="1481" xr:uid="{00000000-0005-0000-0000-0000C9050000}"/>
    <cellStyle name="CustomizationCells 3 2 4" xfId="1810" xr:uid="{00000000-0005-0000-0000-000012070000}"/>
    <cellStyle name="CustomizationCells 3 2 5" xfId="2222" xr:uid="{00000000-0005-0000-0000-0000AE080000}"/>
    <cellStyle name="CustomizationCells 3 2 6" xfId="1177" xr:uid="{00000000-0005-0000-0000-000099040000}"/>
    <cellStyle name="CustomizationCells 3 2 7" xfId="3085" xr:uid="{00000000-0005-0000-0000-00000D0C0000}"/>
    <cellStyle name="CustomizationCells 3 2 8" xfId="3301" xr:uid="{00000000-0005-0000-0000-0000E50C0000}"/>
    <cellStyle name="CustomizationCells 3 2 9" xfId="3123" xr:uid="{00000000-0005-0000-0000-0000330C0000}"/>
    <cellStyle name="CustomizationCells 3 3" xfId="655" xr:uid="{00000000-0005-0000-0000-00008F020000}"/>
    <cellStyle name="CustomizationCells 3 3 2" xfId="870" xr:uid="{00000000-0005-0000-0000-000066030000}"/>
    <cellStyle name="CustomizationCells 3 3 2 2" xfId="1082" xr:uid="{00000000-0005-0000-0000-00003A040000}"/>
    <cellStyle name="CustomizationCells 3 3 2 3" xfId="2052" xr:uid="{00000000-0005-0000-0000-000004080000}"/>
    <cellStyle name="CustomizationCells 3 3 2 4" xfId="2463" xr:uid="{00000000-0005-0000-0000-00009F090000}"/>
    <cellStyle name="CustomizationCells 3 3 2 5" xfId="2630" xr:uid="{00000000-0005-0000-0000-0000460A0000}"/>
    <cellStyle name="CustomizationCells 3 3 2 6" xfId="2790" xr:uid="{00000000-0005-0000-0000-0000E60A0000}"/>
    <cellStyle name="CustomizationCells 3 3 2 7" xfId="3540" xr:uid="{00000000-0005-0000-0000-0000D40D0000}"/>
    <cellStyle name="CustomizationCells 3 3 2 8" xfId="2738" xr:uid="{00000000-0005-0000-0000-0000B20A0000}"/>
    <cellStyle name="CustomizationCells 3 3 3" xfId="1451" xr:uid="{00000000-0005-0000-0000-0000AB050000}"/>
    <cellStyle name="CustomizationCells 3 3 4" xfId="1837" xr:uid="{00000000-0005-0000-0000-00002D070000}"/>
    <cellStyle name="CustomizationCells 3 3 5" xfId="2249" xr:uid="{00000000-0005-0000-0000-0000C9080000}"/>
    <cellStyle name="CustomizationCells 3 3 6" xfId="1062" xr:uid="{00000000-0005-0000-0000-000026040000}"/>
    <cellStyle name="CustomizationCells 3 3 7" xfId="3112" xr:uid="{00000000-0005-0000-0000-0000280C0000}"/>
    <cellStyle name="CustomizationCells 3 3 8" xfId="3328" xr:uid="{00000000-0005-0000-0000-0000000D0000}"/>
    <cellStyle name="CustomizationCells 3 3 9" xfId="2882" xr:uid="{00000000-0005-0000-0000-0000420B0000}"/>
    <cellStyle name="CustomizationCells 3 4" xfId="575" xr:uid="{00000000-0005-0000-0000-00003F020000}"/>
    <cellStyle name="CustomizationCells 3 4 2" xfId="790" xr:uid="{00000000-0005-0000-0000-000016030000}"/>
    <cellStyle name="CustomizationCells 3 4 2 2" xfId="1004" xr:uid="{00000000-0005-0000-0000-0000EC030000}"/>
    <cellStyle name="CustomizationCells 3 4 2 3" xfId="1972" xr:uid="{00000000-0005-0000-0000-0000B4070000}"/>
    <cellStyle name="CustomizationCells 3 4 2 4" xfId="2383" xr:uid="{00000000-0005-0000-0000-00004F090000}"/>
    <cellStyle name="CustomizationCells 3 4 2 5" xfId="1041" xr:uid="{00000000-0005-0000-0000-000011040000}"/>
    <cellStyle name="CustomizationCells 3 4 2 6" xfId="2656" xr:uid="{00000000-0005-0000-0000-0000600A0000}"/>
    <cellStyle name="CustomizationCells 3 4 2 7" xfId="3460" xr:uid="{00000000-0005-0000-0000-0000840D0000}"/>
    <cellStyle name="CustomizationCells 3 4 2 8" xfId="3703" xr:uid="{00000000-0005-0000-0000-0000770E0000}"/>
    <cellStyle name="CustomizationCells 3 4 3" xfId="1359" xr:uid="{00000000-0005-0000-0000-00004F050000}"/>
    <cellStyle name="CustomizationCells 3 4 4" xfId="1757" xr:uid="{00000000-0005-0000-0000-0000DD060000}"/>
    <cellStyle name="CustomizationCells 3 4 5" xfId="2169" xr:uid="{00000000-0005-0000-0000-000079080000}"/>
    <cellStyle name="CustomizationCells 3 4 6" xfId="2639" xr:uid="{00000000-0005-0000-0000-00004F0A0000}"/>
    <cellStyle name="CustomizationCells 3 4 7" xfId="3122" xr:uid="{00000000-0005-0000-0000-0000320C0000}"/>
    <cellStyle name="CustomizationCells 3 4 8" xfId="3248" xr:uid="{00000000-0005-0000-0000-0000B00C0000}"/>
    <cellStyle name="CustomizationCells 3 4 9" xfId="3144" xr:uid="{00000000-0005-0000-0000-0000480C0000}"/>
    <cellStyle name="CustomizationCells 3 5" xfId="714" xr:uid="{00000000-0005-0000-0000-0000CA020000}"/>
    <cellStyle name="CustomizationCells 3 6" xfId="1289" xr:uid="{00000000-0005-0000-0000-000009050000}"/>
    <cellStyle name="CustomizationCells 3 7" xfId="1642" xr:uid="{00000000-0005-0000-0000-00006A060000}"/>
    <cellStyle name="CustomizationCells 3 8" xfId="1895" xr:uid="{00000000-0005-0000-0000-000067070000}"/>
    <cellStyle name="CustomizationCells 3 9" xfId="2554" xr:uid="{00000000-0005-0000-0000-0000FA090000}"/>
    <cellStyle name="CustomizationCells 4" xfId="86" xr:uid="{00000000-0005-0000-0000-000056000000}"/>
    <cellStyle name="CustomizationGreenCells" xfId="149" xr:uid="{00000000-0005-0000-0000-000095000000}"/>
    <cellStyle name="CustomizationGreenCells 2" xfId="432" xr:uid="{00000000-0005-0000-0000-0000B0010000}"/>
    <cellStyle name="CustomizationGreenCells 3" xfId="290" xr:uid="{00000000-0005-0000-0000-000022010000}"/>
    <cellStyle name="CustomizationGreenCells 3 10" xfId="2792" xr:uid="{00000000-0005-0000-0000-0000E80A0000}"/>
    <cellStyle name="CustomizationGreenCells 3 11" xfId="2879" xr:uid="{00000000-0005-0000-0000-00003F0B0000}"/>
    <cellStyle name="CustomizationGreenCells 3 12" xfId="3693" xr:uid="{00000000-0005-0000-0000-00006D0E0000}"/>
    <cellStyle name="CustomizationGreenCells 3 2" xfId="629" xr:uid="{00000000-0005-0000-0000-000075020000}"/>
    <cellStyle name="CustomizationGreenCells 3 2 2" xfId="844" xr:uid="{00000000-0005-0000-0000-00004C030000}"/>
    <cellStyle name="CustomizationGreenCells 3 2 2 2" xfId="1232" xr:uid="{00000000-0005-0000-0000-0000D0040000}"/>
    <cellStyle name="CustomizationGreenCells 3 2 2 3" xfId="2026" xr:uid="{00000000-0005-0000-0000-0000EA070000}"/>
    <cellStyle name="CustomizationGreenCells 3 2 2 4" xfId="2437" xr:uid="{00000000-0005-0000-0000-000085090000}"/>
    <cellStyle name="CustomizationGreenCells 3 2 2 5" xfId="2099" xr:uid="{00000000-0005-0000-0000-000033080000}"/>
    <cellStyle name="CustomizationGreenCells 3 2 2 6" xfId="3054" xr:uid="{00000000-0005-0000-0000-0000EE0B0000}"/>
    <cellStyle name="CustomizationGreenCells 3 2 2 7" xfId="3514" xr:uid="{00000000-0005-0000-0000-0000BA0D0000}"/>
    <cellStyle name="CustomizationGreenCells 3 2 2 8" xfId="3670" xr:uid="{00000000-0005-0000-0000-0000560E0000}"/>
    <cellStyle name="CustomizationGreenCells 3 2 3" xfId="1562" xr:uid="{00000000-0005-0000-0000-00001A060000}"/>
    <cellStyle name="CustomizationGreenCells 3 2 4" xfId="1811" xr:uid="{00000000-0005-0000-0000-000013070000}"/>
    <cellStyle name="CustomizationGreenCells 3 2 5" xfId="2223" xr:uid="{00000000-0005-0000-0000-0000AF080000}"/>
    <cellStyle name="CustomizationGreenCells 3 2 6" xfId="1246" xr:uid="{00000000-0005-0000-0000-0000DE040000}"/>
    <cellStyle name="CustomizationGreenCells 3 2 7" xfId="2935" xr:uid="{00000000-0005-0000-0000-0000770B0000}"/>
    <cellStyle name="CustomizationGreenCells 3 2 8" xfId="3302" xr:uid="{00000000-0005-0000-0000-0000E60C0000}"/>
    <cellStyle name="CustomizationGreenCells 3 2 9" xfId="2787" xr:uid="{00000000-0005-0000-0000-0000E30A0000}"/>
    <cellStyle name="CustomizationGreenCells 3 3" xfId="599" xr:uid="{00000000-0005-0000-0000-000057020000}"/>
    <cellStyle name="CustomizationGreenCells 3 3 2" xfId="814" xr:uid="{00000000-0005-0000-0000-00002E030000}"/>
    <cellStyle name="CustomizationGreenCells 3 3 2 2" xfId="1396" xr:uid="{00000000-0005-0000-0000-000074050000}"/>
    <cellStyle name="CustomizationGreenCells 3 3 2 3" xfId="1996" xr:uid="{00000000-0005-0000-0000-0000CC070000}"/>
    <cellStyle name="CustomizationGreenCells 3 3 2 4" xfId="2407" xr:uid="{00000000-0005-0000-0000-000067090000}"/>
    <cellStyle name="CustomizationGreenCells 3 3 2 5" xfId="2608" xr:uid="{00000000-0005-0000-0000-0000300A0000}"/>
    <cellStyle name="CustomizationGreenCells 3 3 2 6" xfId="2754" xr:uid="{00000000-0005-0000-0000-0000C20A0000}"/>
    <cellStyle name="CustomizationGreenCells 3 3 2 7" xfId="3484" xr:uid="{00000000-0005-0000-0000-00009C0D0000}"/>
    <cellStyle name="CustomizationGreenCells 3 3 2 8" xfId="3751" xr:uid="{00000000-0005-0000-0000-0000A70E0000}"/>
    <cellStyle name="CustomizationGreenCells 3 3 3" xfId="1419" xr:uid="{00000000-0005-0000-0000-00008B050000}"/>
    <cellStyle name="CustomizationGreenCells 3 3 4" xfId="1781" xr:uid="{00000000-0005-0000-0000-0000F5060000}"/>
    <cellStyle name="CustomizationGreenCells 3 3 5" xfId="2193" xr:uid="{00000000-0005-0000-0000-000091080000}"/>
    <cellStyle name="CustomizationGreenCells 3 3 6" xfId="1433" xr:uid="{00000000-0005-0000-0000-000099050000}"/>
    <cellStyle name="CustomizationGreenCells 3 3 7" xfId="2573" xr:uid="{00000000-0005-0000-0000-00000D0A0000}"/>
    <cellStyle name="CustomizationGreenCells 3 3 8" xfId="3272" xr:uid="{00000000-0005-0000-0000-0000C80C0000}"/>
    <cellStyle name="CustomizationGreenCells 3 3 9" xfId="2799" xr:uid="{00000000-0005-0000-0000-0000EF0A0000}"/>
    <cellStyle name="CustomizationGreenCells 3 4" xfId="532" xr:uid="{00000000-0005-0000-0000-000014020000}"/>
    <cellStyle name="CustomizationGreenCells 3 4 2" xfId="747" xr:uid="{00000000-0005-0000-0000-0000EB020000}"/>
    <cellStyle name="CustomizationGreenCells 3 4 2 2" xfId="1394" xr:uid="{00000000-0005-0000-0000-000072050000}"/>
    <cellStyle name="CustomizationGreenCells 3 4 2 3" xfId="1929" xr:uid="{00000000-0005-0000-0000-000089070000}"/>
    <cellStyle name="CustomizationGreenCells 3 4 2 4" xfId="2340" xr:uid="{00000000-0005-0000-0000-000024090000}"/>
    <cellStyle name="CustomizationGreenCells 3 4 2 5" xfId="959" xr:uid="{00000000-0005-0000-0000-0000BF030000}"/>
    <cellStyle name="CustomizationGreenCells 3 4 2 6" xfId="2515" xr:uid="{00000000-0005-0000-0000-0000D3090000}"/>
    <cellStyle name="CustomizationGreenCells 3 4 2 7" xfId="3417" xr:uid="{00000000-0005-0000-0000-0000590D0000}"/>
    <cellStyle name="CustomizationGreenCells 3 4 2 8" xfId="3598" xr:uid="{00000000-0005-0000-0000-00000E0E0000}"/>
    <cellStyle name="CustomizationGreenCells 3 4 3" xfId="1106" xr:uid="{00000000-0005-0000-0000-000052040000}"/>
    <cellStyle name="CustomizationGreenCells 3 4 4" xfId="1714" xr:uid="{00000000-0005-0000-0000-0000B2060000}"/>
    <cellStyle name="CustomizationGreenCells 3 4 5" xfId="2126" xr:uid="{00000000-0005-0000-0000-00004E080000}"/>
    <cellStyle name="CustomizationGreenCells 3 4 6" xfId="1155" xr:uid="{00000000-0005-0000-0000-000083040000}"/>
    <cellStyle name="CustomizationGreenCells 3 4 7" xfId="3007" xr:uid="{00000000-0005-0000-0000-0000BF0B0000}"/>
    <cellStyle name="CustomizationGreenCells 3 4 8" xfId="3205" xr:uid="{00000000-0005-0000-0000-0000850C0000}"/>
    <cellStyle name="CustomizationGreenCells 3 4 9" xfId="3733" xr:uid="{00000000-0005-0000-0000-0000950E0000}"/>
    <cellStyle name="CustomizationGreenCells 3 5" xfId="715" xr:uid="{00000000-0005-0000-0000-0000CB020000}"/>
    <cellStyle name="CustomizationGreenCells 3 6" xfId="1179" xr:uid="{00000000-0005-0000-0000-00009B040000}"/>
    <cellStyle name="CustomizationGreenCells 3 7" xfId="1190" xr:uid="{00000000-0005-0000-0000-0000A6040000}"/>
    <cellStyle name="CustomizationGreenCells 3 8" xfId="1705" xr:uid="{00000000-0005-0000-0000-0000A9060000}"/>
    <cellStyle name="CustomizationGreenCells 3 9" xfId="2815" xr:uid="{00000000-0005-0000-0000-0000FF0A0000}"/>
    <cellStyle name="DocBox_EmptyRow" xfId="16" xr:uid="{00000000-0005-0000-0000-000010000000}"/>
    <cellStyle name="Eingabe" xfId="3" xr:uid="{00000000-0005-0000-0000-000003000000}"/>
    <cellStyle name="Eingabe 2" xfId="387" xr:uid="{00000000-0005-0000-0000-000083010000}"/>
    <cellStyle name="Eingabe 3" xfId="433" xr:uid="{00000000-0005-0000-0000-0000B1010000}"/>
    <cellStyle name="Eingabe 3 10" xfId="2988" xr:uid="{00000000-0005-0000-0000-0000AC0B0000}"/>
    <cellStyle name="Eingabe 3 11" xfId="2308" xr:uid="{00000000-0005-0000-0000-000004090000}"/>
    <cellStyle name="Eingabe 3 2" xfId="669" xr:uid="{00000000-0005-0000-0000-00009D020000}"/>
    <cellStyle name="Eingabe 3 2 2" xfId="884" xr:uid="{00000000-0005-0000-0000-000074030000}"/>
    <cellStyle name="Eingabe 3 2 2 2" xfId="1119" xr:uid="{00000000-0005-0000-0000-00005F040000}"/>
    <cellStyle name="Eingabe 3 2 2 3" xfId="2066" xr:uid="{00000000-0005-0000-0000-000012080000}"/>
    <cellStyle name="Eingabe 3 2 2 4" xfId="2477" xr:uid="{00000000-0005-0000-0000-0000AD090000}"/>
    <cellStyle name="Eingabe 3 2 2 5" xfId="2835" xr:uid="{00000000-0005-0000-0000-0000130B0000}"/>
    <cellStyle name="Eingabe 3 2 2 6" xfId="3156" xr:uid="{00000000-0005-0000-0000-0000540C0000}"/>
    <cellStyle name="Eingabe 3 2 2 7" xfId="3554" xr:uid="{00000000-0005-0000-0000-0000E20D0000}"/>
    <cellStyle name="Eingabe 3 2 2 8" xfId="3770" xr:uid="{00000000-0005-0000-0000-0000BA0E0000}"/>
    <cellStyle name="Eingabe 3 2 3" xfId="929" xr:uid="{00000000-0005-0000-0000-0000A1030000}"/>
    <cellStyle name="Eingabe 3 2 4" xfId="1851" xr:uid="{00000000-0005-0000-0000-00003B070000}"/>
    <cellStyle name="Eingabe 3 2 5" xfId="2263" xr:uid="{00000000-0005-0000-0000-0000D7080000}"/>
    <cellStyle name="Eingabe 3 2 6" xfId="1150" xr:uid="{00000000-0005-0000-0000-00007E040000}"/>
    <cellStyle name="Eingabe 3 2 7" xfId="2660" xr:uid="{00000000-0005-0000-0000-0000640A0000}"/>
    <cellStyle name="Eingabe 3 2 8" xfId="3342" xr:uid="{00000000-0005-0000-0000-00000E0D0000}"/>
    <cellStyle name="Eingabe 3 2 9" xfId="3595" xr:uid="{00000000-0005-0000-0000-00000B0E0000}"/>
    <cellStyle name="Eingabe 3 3" xfId="658" xr:uid="{00000000-0005-0000-0000-000092020000}"/>
    <cellStyle name="Eingabe 3 3 2" xfId="873" xr:uid="{00000000-0005-0000-0000-000069030000}"/>
    <cellStyle name="Eingabe 3 3 2 2" xfId="983" xr:uid="{00000000-0005-0000-0000-0000D7030000}"/>
    <cellStyle name="Eingabe 3 3 2 3" xfId="2055" xr:uid="{00000000-0005-0000-0000-000007080000}"/>
    <cellStyle name="Eingabe 3 3 2 4" xfId="2466" xr:uid="{00000000-0005-0000-0000-0000A2090000}"/>
    <cellStyle name="Eingabe 3 3 2 5" xfId="2512" xr:uid="{00000000-0005-0000-0000-0000D0090000}"/>
    <cellStyle name="Eingabe 3 3 2 6" xfId="1108" xr:uid="{00000000-0005-0000-0000-000054040000}"/>
    <cellStyle name="Eingabe 3 3 2 7" xfId="3543" xr:uid="{00000000-0005-0000-0000-0000D70D0000}"/>
    <cellStyle name="Eingabe 3 3 2 8" xfId="3754" xr:uid="{00000000-0005-0000-0000-0000AA0E0000}"/>
    <cellStyle name="Eingabe 3 3 3" xfId="1144" xr:uid="{00000000-0005-0000-0000-000078040000}"/>
    <cellStyle name="Eingabe 3 3 4" xfId="1840" xr:uid="{00000000-0005-0000-0000-000030070000}"/>
    <cellStyle name="Eingabe 3 3 5" xfId="2252" xr:uid="{00000000-0005-0000-0000-0000CC080000}"/>
    <cellStyle name="Eingabe 3 3 6" xfId="2684" xr:uid="{00000000-0005-0000-0000-00007C0A0000}"/>
    <cellStyle name="Eingabe 3 3 7" xfId="3034" xr:uid="{00000000-0005-0000-0000-0000DA0B0000}"/>
    <cellStyle name="Eingabe 3 3 8" xfId="3331" xr:uid="{00000000-0005-0000-0000-0000030D0000}"/>
    <cellStyle name="Eingabe 3 3 9" xfId="3186" xr:uid="{00000000-0005-0000-0000-0000720C0000}"/>
    <cellStyle name="Eingabe 3 4" xfId="549" xr:uid="{00000000-0005-0000-0000-000025020000}"/>
    <cellStyle name="Eingabe 3 4 2" xfId="764" xr:uid="{00000000-0005-0000-0000-0000FC020000}"/>
    <cellStyle name="Eingabe 3 4 2 2" xfId="940" xr:uid="{00000000-0005-0000-0000-0000AC030000}"/>
    <cellStyle name="Eingabe 3 4 2 3" xfId="1946" xr:uid="{00000000-0005-0000-0000-00009A070000}"/>
    <cellStyle name="Eingabe 3 4 2 4" xfId="2357" xr:uid="{00000000-0005-0000-0000-000035090000}"/>
    <cellStyle name="Eingabe 3 4 2 5" xfId="1051" xr:uid="{00000000-0005-0000-0000-00001B040000}"/>
    <cellStyle name="Eingabe 3 4 2 6" xfId="968" xr:uid="{00000000-0005-0000-0000-0000C8030000}"/>
    <cellStyle name="Eingabe 3 4 2 7" xfId="3434" xr:uid="{00000000-0005-0000-0000-00006A0D0000}"/>
    <cellStyle name="Eingabe 3 4 2 8" xfId="3738" xr:uid="{00000000-0005-0000-0000-00009A0E0000}"/>
    <cellStyle name="Eingabe 3 4 3" xfId="1484" xr:uid="{00000000-0005-0000-0000-0000CC050000}"/>
    <cellStyle name="Eingabe 3 4 4" xfId="1731" xr:uid="{00000000-0005-0000-0000-0000C3060000}"/>
    <cellStyle name="Eingabe 3 4 5" xfId="2143" xr:uid="{00000000-0005-0000-0000-00005F080000}"/>
    <cellStyle name="Eingabe 3 4 6" xfId="2103" xr:uid="{00000000-0005-0000-0000-000037080000}"/>
    <cellStyle name="Eingabe 3 4 7" xfId="3077" xr:uid="{00000000-0005-0000-0000-0000050C0000}"/>
    <cellStyle name="Eingabe 3 4 8" xfId="3222" xr:uid="{00000000-0005-0000-0000-0000960C0000}"/>
    <cellStyle name="Eingabe 3 4 9" xfId="2620" xr:uid="{00000000-0005-0000-0000-00003C0A0000}"/>
    <cellStyle name="Eingabe 3 5" xfId="732" xr:uid="{00000000-0005-0000-0000-0000DC020000}"/>
    <cellStyle name="Eingabe 3 5 2" xfId="1409" xr:uid="{00000000-0005-0000-0000-000081050000}"/>
    <cellStyle name="Eingabe 3 5 3" xfId="1914" xr:uid="{00000000-0005-0000-0000-00007A070000}"/>
    <cellStyle name="Eingabe 3 5 4" xfId="2325" xr:uid="{00000000-0005-0000-0000-000015090000}"/>
    <cellStyle name="Eingabe 3 5 5" xfId="1318" xr:uid="{00000000-0005-0000-0000-000026050000}"/>
    <cellStyle name="Eingabe 3 5 6" xfId="3050" xr:uid="{00000000-0005-0000-0000-0000EA0B0000}"/>
    <cellStyle name="Eingabe 3 5 7" xfId="3402" xr:uid="{00000000-0005-0000-0000-00004A0D0000}"/>
    <cellStyle name="Eingabe 3 5 8" xfId="3196" xr:uid="{00000000-0005-0000-0000-00007C0C0000}"/>
    <cellStyle name="Eingabe 3 6" xfId="1623" xr:uid="{00000000-0005-0000-0000-000057060000}"/>
    <cellStyle name="Eingabe 3 7" xfId="1159" xr:uid="{00000000-0005-0000-0000-000087040000}"/>
    <cellStyle name="Eingabe 3 8" xfId="1505" xr:uid="{00000000-0005-0000-0000-0000E1050000}"/>
    <cellStyle name="Eingabe 3 9" xfId="1422" xr:uid="{00000000-0005-0000-0000-00008E050000}"/>
    <cellStyle name="Eingabe 4" xfId="292" xr:uid="{00000000-0005-0000-0000-000024010000}"/>
    <cellStyle name="Eingabe 4 10" xfId="2538" xr:uid="{00000000-0005-0000-0000-0000EA090000}"/>
    <cellStyle name="Eingabe 4 11" xfId="2817" xr:uid="{00000000-0005-0000-0000-0000010B0000}"/>
    <cellStyle name="Eingabe 4 2" xfId="630" xr:uid="{00000000-0005-0000-0000-000076020000}"/>
    <cellStyle name="Eingabe 4 2 2" xfId="845" xr:uid="{00000000-0005-0000-0000-00004D030000}"/>
    <cellStyle name="Eingabe 4 2 2 2" xfId="1125" xr:uid="{00000000-0005-0000-0000-000065040000}"/>
    <cellStyle name="Eingabe 4 2 2 3" xfId="2027" xr:uid="{00000000-0005-0000-0000-0000EB070000}"/>
    <cellStyle name="Eingabe 4 2 2 4" xfId="2438" xr:uid="{00000000-0005-0000-0000-000086090000}"/>
    <cellStyle name="Eingabe 4 2 2 5" xfId="2676" xr:uid="{00000000-0005-0000-0000-0000740A0000}"/>
    <cellStyle name="Eingabe 4 2 2 6" xfId="2911" xr:uid="{00000000-0005-0000-0000-00005F0B0000}"/>
    <cellStyle name="Eingabe 4 2 2 7" xfId="3515" xr:uid="{00000000-0005-0000-0000-0000BB0D0000}"/>
    <cellStyle name="Eingabe 4 2 2 8" xfId="3011" xr:uid="{00000000-0005-0000-0000-0000C30B0000}"/>
    <cellStyle name="Eingabe 4 2 3" xfId="1390" xr:uid="{00000000-0005-0000-0000-00006E050000}"/>
    <cellStyle name="Eingabe 4 2 4" xfId="1812" xr:uid="{00000000-0005-0000-0000-000014070000}"/>
    <cellStyle name="Eingabe 4 2 5" xfId="2224" xr:uid="{00000000-0005-0000-0000-0000B0080000}"/>
    <cellStyle name="Eingabe 4 2 6" xfId="1890" xr:uid="{00000000-0005-0000-0000-000062070000}"/>
    <cellStyle name="Eingabe 4 2 7" xfId="3067" xr:uid="{00000000-0005-0000-0000-0000FB0B0000}"/>
    <cellStyle name="Eingabe 4 2 8" xfId="3303" xr:uid="{00000000-0005-0000-0000-0000E70C0000}"/>
    <cellStyle name="Eingabe 4 2 9" xfId="3119" xr:uid="{00000000-0005-0000-0000-00002F0C0000}"/>
    <cellStyle name="Eingabe 4 3" xfId="557" xr:uid="{00000000-0005-0000-0000-00002D020000}"/>
    <cellStyle name="Eingabe 4 3 2" xfId="772" xr:uid="{00000000-0005-0000-0000-000004030000}"/>
    <cellStyle name="Eingabe 4 3 2 2" xfId="1011" xr:uid="{00000000-0005-0000-0000-0000F3030000}"/>
    <cellStyle name="Eingabe 4 3 2 3" xfId="1954" xr:uid="{00000000-0005-0000-0000-0000A2070000}"/>
    <cellStyle name="Eingabe 4 3 2 4" xfId="2365" xr:uid="{00000000-0005-0000-0000-00003D090000}"/>
    <cellStyle name="Eingabe 4 3 2 5" xfId="954" xr:uid="{00000000-0005-0000-0000-0000BA030000}"/>
    <cellStyle name="Eingabe 4 3 2 6" xfId="2561" xr:uid="{00000000-0005-0000-0000-0000010A0000}"/>
    <cellStyle name="Eingabe 4 3 2 7" xfId="3442" xr:uid="{00000000-0005-0000-0000-0000720D0000}"/>
    <cellStyle name="Eingabe 4 3 2 8" xfId="2652" xr:uid="{00000000-0005-0000-0000-00005C0A0000}"/>
    <cellStyle name="Eingabe 4 3 3" xfId="1491" xr:uid="{00000000-0005-0000-0000-0000D3050000}"/>
    <cellStyle name="Eingabe 4 3 4" xfId="1739" xr:uid="{00000000-0005-0000-0000-0000CB060000}"/>
    <cellStyle name="Eingabe 4 3 5" xfId="2151" xr:uid="{00000000-0005-0000-0000-000067080000}"/>
    <cellStyle name="Eingabe 4 3 6" xfId="66" xr:uid="{00000000-0005-0000-0000-000042000000}"/>
    <cellStyle name="Eingabe 4 3 7" xfId="3082" xr:uid="{00000000-0005-0000-0000-00000A0C0000}"/>
    <cellStyle name="Eingabe 4 3 8" xfId="3230" xr:uid="{00000000-0005-0000-0000-00009E0C0000}"/>
    <cellStyle name="Eingabe 4 3 9" xfId="3145" xr:uid="{00000000-0005-0000-0000-0000490C0000}"/>
    <cellStyle name="Eingabe 4 4" xfId="533" xr:uid="{00000000-0005-0000-0000-000015020000}"/>
    <cellStyle name="Eingabe 4 4 2" xfId="748" xr:uid="{00000000-0005-0000-0000-0000EC020000}"/>
    <cellStyle name="Eingabe 4 4 2 2" xfId="1251" xr:uid="{00000000-0005-0000-0000-0000E3040000}"/>
    <cellStyle name="Eingabe 4 4 2 3" xfId="1930" xr:uid="{00000000-0005-0000-0000-00008A070000}"/>
    <cellStyle name="Eingabe 4 4 2 4" xfId="2341" xr:uid="{00000000-0005-0000-0000-000025090000}"/>
    <cellStyle name="Eingabe 4 4 2 5" xfId="1478" xr:uid="{00000000-0005-0000-0000-0000C6050000}"/>
    <cellStyle name="Eingabe 4 4 2 6" xfId="2691" xr:uid="{00000000-0005-0000-0000-0000830A0000}"/>
    <cellStyle name="Eingabe 4 4 2 7" xfId="3418" xr:uid="{00000000-0005-0000-0000-00005A0D0000}"/>
    <cellStyle name="Eingabe 4 4 2 8" xfId="3647" xr:uid="{00000000-0005-0000-0000-00003F0E0000}"/>
    <cellStyle name="Eingabe 4 4 3" xfId="1474" xr:uid="{00000000-0005-0000-0000-0000C2050000}"/>
    <cellStyle name="Eingabe 4 4 4" xfId="1715" xr:uid="{00000000-0005-0000-0000-0000B3060000}"/>
    <cellStyle name="Eingabe 4 4 5" xfId="2127" xr:uid="{00000000-0005-0000-0000-00004F080000}"/>
    <cellStyle name="Eingabe 4 4 6" xfId="1223" xr:uid="{00000000-0005-0000-0000-0000C7040000}"/>
    <cellStyle name="Eingabe 4 4 7" xfId="3056" xr:uid="{00000000-0005-0000-0000-0000F00B0000}"/>
    <cellStyle name="Eingabe 4 4 8" xfId="3206" xr:uid="{00000000-0005-0000-0000-0000860C0000}"/>
    <cellStyle name="Eingabe 4 4 9" xfId="2915" xr:uid="{00000000-0005-0000-0000-0000630B0000}"/>
    <cellStyle name="Eingabe 4 5" xfId="716" xr:uid="{00000000-0005-0000-0000-0000CC020000}"/>
    <cellStyle name="Eingabe 4 5 2" xfId="1412" xr:uid="{00000000-0005-0000-0000-000084050000}"/>
    <cellStyle name="Eingabe 4 5 3" xfId="1898" xr:uid="{00000000-0005-0000-0000-00006A070000}"/>
    <cellStyle name="Eingabe 4 5 4" xfId="2309" xr:uid="{00000000-0005-0000-0000-000005090000}"/>
    <cellStyle name="Eingabe 4 5 5" xfId="1284" xr:uid="{00000000-0005-0000-0000-000004050000}"/>
    <cellStyle name="Eingabe 4 5 6" xfId="3104" xr:uid="{00000000-0005-0000-0000-0000200C0000}"/>
    <cellStyle name="Eingabe 4 5 7" xfId="3386" xr:uid="{00000000-0005-0000-0000-00003A0D0000}"/>
    <cellStyle name="Eingabe 4 5 8" xfId="3611" xr:uid="{00000000-0005-0000-0000-00001B0E0000}"/>
    <cellStyle name="Eingabe 4 6" xfId="1288" xr:uid="{00000000-0005-0000-0000-000008050000}"/>
    <cellStyle name="Eingabe 4 7" xfId="1374" xr:uid="{00000000-0005-0000-0000-00005E050000}"/>
    <cellStyle name="Eingabe 4 8" xfId="1377" xr:uid="{00000000-0005-0000-0000-000061050000}"/>
    <cellStyle name="Eingabe 4 9" xfId="1703" xr:uid="{00000000-0005-0000-0000-0000A7060000}"/>
    <cellStyle name="Eingabe 5" xfId="567" xr:uid="{00000000-0005-0000-0000-000037020000}"/>
    <cellStyle name="Eingabe 5 2" xfId="782" xr:uid="{00000000-0005-0000-0000-00000E030000}"/>
    <cellStyle name="Eingabe 5 2 2" xfId="1205" xr:uid="{00000000-0005-0000-0000-0000B5040000}"/>
    <cellStyle name="Eingabe 5 2 3" xfId="1964" xr:uid="{00000000-0005-0000-0000-0000AC070000}"/>
    <cellStyle name="Eingabe 5 2 4" xfId="2375" xr:uid="{00000000-0005-0000-0000-000047090000}"/>
    <cellStyle name="Eingabe 5 2 5" xfId="1274" xr:uid="{00000000-0005-0000-0000-0000FA040000}"/>
    <cellStyle name="Eingabe 5 2 6" xfId="2698" xr:uid="{00000000-0005-0000-0000-00008A0A0000}"/>
    <cellStyle name="Eingabe 5 2 7" xfId="3452" xr:uid="{00000000-0005-0000-0000-00007C0D0000}"/>
    <cellStyle name="Eingabe 5 2 8" xfId="3044" xr:uid="{00000000-0005-0000-0000-0000E40B0000}"/>
    <cellStyle name="Eingabe 5 3" xfId="1030" xr:uid="{00000000-0005-0000-0000-000006040000}"/>
    <cellStyle name="Eingabe 5 4" xfId="1749" xr:uid="{00000000-0005-0000-0000-0000D5060000}"/>
    <cellStyle name="Eingabe 5 5" xfId="2161" xr:uid="{00000000-0005-0000-0000-000071080000}"/>
    <cellStyle name="Eingabe 5 6" xfId="1476" xr:uid="{00000000-0005-0000-0000-0000C4050000}"/>
    <cellStyle name="Eingabe 5 7" xfId="3005" xr:uid="{00000000-0005-0000-0000-0000BD0B0000}"/>
    <cellStyle name="Eingabe 5 8" xfId="3240" xr:uid="{00000000-0005-0000-0000-0000A80C0000}"/>
    <cellStyle name="Eingabe 5 9" xfId="3731" xr:uid="{00000000-0005-0000-0000-0000930E0000}"/>
    <cellStyle name="Eingabe 6" xfId="644" xr:uid="{00000000-0005-0000-0000-000084020000}"/>
    <cellStyle name="Eingabe 6 2" xfId="859" xr:uid="{00000000-0005-0000-0000-00005B030000}"/>
    <cellStyle name="Eingabe 6 2 2" xfId="990" xr:uid="{00000000-0005-0000-0000-0000DE030000}"/>
    <cellStyle name="Eingabe 6 2 3" xfId="2041" xr:uid="{00000000-0005-0000-0000-0000F9070000}"/>
    <cellStyle name="Eingabe 6 2 4" xfId="2452" xr:uid="{00000000-0005-0000-0000-000094090000}"/>
    <cellStyle name="Eingabe 6 2 5" xfId="2530" xr:uid="{00000000-0005-0000-0000-0000E2090000}"/>
    <cellStyle name="Eingabe 6 2 6" xfId="2705" xr:uid="{00000000-0005-0000-0000-0000910A0000}"/>
    <cellStyle name="Eingabe 6 2 7" xfId="3529" xr:uid="{00000000-0005-0000-0000-0000C90D0000}"/>
    <cellStyle name="Eingabe 6 2 8" xfId="2759" xr:uid="{00000000-0005-0000-0000-0000C70A0000}"/>
    <cellStyle name="Eingabe 6 3" xfId="1370" xr:uid="{00000000-0005-0000-0000-00005A050000}"/>
    <cellStyle name="Eingabe 6 4" xfId="1826" xr:uid="{00000000-0005-0000-0000-000022070000}"/>
    <cellStyle name="Eingabe 6 5" xfId="2238" xr:uid="{00000000-0005-0000-0000-0000BE080000}"/>
    <cellStyle name="Eingabe 6 6" xfId="1485" xr:uid="{00000000-0005-0000-0000-0000CD050000}"/>
    <cellStyle name="Eingabe 6 7" xfId="3111" xr:uid="{00000000-0005-0000-0000-0000270C0000}"/>
    <cellStyle name="Eingabe 6 8" xfId="3317" xr:uid="{00000000-0005-0000-0000-0000F50C0000}"/>
    <cellStyle name="Eingabe 6 9" xfId="2946" xr:uid="{00000000-0005-0000-0000-0000820B0000}"/>
    <cellStyle name="Eingabe 7" xfId="687" xr:uid="{00000000-0005-0000-0000-0000AF020000}"/>
    <cellStyle name="Eingabe 7 2" xfId="901" xr:uid="{00000000-0005-0000-0000-000085030000}"/>
    <cellStyle name="Eingabe 7 2 2" xfId="1660" xr:uid="{00000000-0005-0000-0000-00007C060000}"/>
    <cellStyle name="Eingabe 7 2 3" xfId="2083" xr:uid="{00000000-0005-0000-0000-000023080000}"/>
    <cellStyle name="Eingabe 7 2 4" xfId="2494" xr:uid="{00000000-0005-0000-0000-0000BE090000}"/>
    <cellStyle name="Eingabe 7 2 5" xfId="2852" xr:uid="{00000000-0005-0000-0000-0000240B0000}"/>
    <cellStyle name="Eingabe 7 2 6" xfId="3173" xr:uid="{00000000-0005-0000-0000-0000650C0000}"/>
    <cellStyle name="Eingabe 7 2 7" xfId="3571" xr:uid="{00000000-0005-0000-0000-0000F30D0000}"/>
    <cellStyle name="Eingabe 7 2 8" xfId="3787" xr:uid="{00000000-0005-0000-0000-0000CB0E0000}"/>
    <cellStyle name="Eingabe 7 3" xfId="1348" xr:uid="{00000000-0005-0000-0000-000044050000}"/>
    <cellStyle name="Eingabe 7 4" xfId="1869" xr:uid="{00000000-0005-0000-0000-00004D070000}"/>
    <cellStyle name="Eingabe 7 5" xfId="2281" xr:uid="{00000000-0005-0000-0000-0000E9080000}"/>
    <cellStyle name="Eingabe 7 6" xfId="1471" xr:uid="{00000000-0005-0000-0000-0000BF050000}"/>
    <cellStyle name="Eingabe 7 7" xfId="3110" xr:uid="{00000000-0005-0000-0000-0000260C0000}"/>
    <cellStyle name="Eingabe 7 8" xfId="3359" xr:uid="{00000000-0005-0000-0000-00001F0D0000}"/>
    <cellStyle name="Eingabe 7 9" xfId="3087" xr:uid="{00000000-0005-0000-0000-00000F0C0000}"/>
    <cellStyle name="Eingabe 8" xfId="696" xr:uid="{00000000-0005-0000-0000-0000B8020000}"/>
    <cellStyle name="Eingabe 8 2" xfId="1255" xr:uid="{00000000-0005-0000-0000-0000E7040000}"/>
    <cellStyle name="Eingabe 8 3" xfId="1878" xr:uid="{00000000-0005-0000-0000-000056070000}"/>
    <cellStyle name="Eingabe 8 4" xfId="2290" xr:uid="{00000000-0005-0000-0000-0000F2080000}"/>
    <cellStyle name="Eingabe 8 5" xfId="1633" xr:uid="{00000000-0005-0000-0000-000061060000}"/>
    <cellStyle name="Eingabe 8 6" xfId="2685" xr:uid="{00000000-0005-0000-0000-00007D0A0000}"/>
    <cellStyle name="Eingabe 8 7" xfId="3368" xr:uid="{00000000-0005-0000-0000-0000280D0000}"/>
    <cellStyle name="Eingabe 8 8" xfId="3681" xr:uid="{00000000-0005-0000-0000-0000610E0000}"/>
    <cellStyle name="Empty_B_border" xfId="22" xr:uid="{00000000-0005-0000-0000-000016000000}"/>
    <cellStyle name="Ergebnis" xfId="61" hidden="1" xr:uid="{00000000-0005-0000-0000-00003D000000}"/>
    <cellStyle name="Ergebnis 2" xfId="408" xr:uid="{00000000-0005-0000-0000-000098010000}"/>
    <cellStyle name="Ergebnis 2 10" xfId="2112" xr:uid="{00000000-0005-0000-0000-000040080000}"/>
    <cellStyle name="Ergebnis 2 11" xfId="2971" xr:uid="{00000000-0005-0000-0000-00009B0B0000}"/>
    <cellStyle name="Ergebnis 2 2" xfId="664" xr:uid="{00000000-0005-0000-0000-000098020000}"/>
    <cellStyle name="Ergebnis 2 2 2" xfId="879" xr:uid="{00000000-0005-0000-0000-00006F030000}"/>
    <cellStyle name="Ergebnis 2 2 2 2" xfId="1228" xr:uid="{00000000-0005-0000-0000-0000CC040000}"/>
    <cellStyle name="Ergebnis 2 2 2 3" xfId="2061" xr:uid="{00000000-0005-0000-0000-00000D080000}"/>
    <cellStyle name="Ergebnis 2 2 2 4" xfId="2472" xr:uid="{00000000-0005-0000-0000-0000A8090000}"/>
    <cellStyle name="Ergebnis 2 2 2 5" xfId="2511" xr:uid="{00000000-0005-0000-0000-0000CF090000}"/>
    <cellStyle name="Ergebnis 2 2 2 6" xfId="2857" xr:uid="{00000000-0005-0000-0000-0000290B0000}"/>
    <cellStyle name="Ergebnis 2 2 2 7" xfId="3549" xr:uid="{00000000-0005-0000-0000-0000DD0D0000}"/>
    <cellStyle name="Ergebnis 2 2 2 8" xfId="3667" xr:uid="{00000000-0005-0000-0000-0000530E0000}"/>
    <cellStyle name="Ergebnis 2 2 3" xfId="908" xr:uid="{00000000-0005-0000-0000-00008C030000}"/>
    <cellStyle name="Ergebnis 2 2 4" xfId="1846" xr:uid="{00000000-0005-0000-0000-000036070000}"/>
    <cellStyle name="Ergebnis 2 2 5" xfId="2258" xr:uid="{00000000-0005-0000-0000-0000D2080000}"/>
    <cellStyle name="Ergebnis 2 2 6" xfId="2553" xr:uid="{00000000-0005-0000-0000-0000F9090000}"/>
    <cellStyle name="Ergebnis 2 2 7" xfId="2651" xr:uid="{00000000-0005-0000-0000-00005B0A0000}"/>
    <cellStyle name="Ergebnis 2 2 8" xfId="3337" xr:uid="{00000000-0005-0000-0000-0000090D0000}"/>
    <cellStyle name="Ergebnis 2 2 9" xfId="2969" xr:uid="{00000000-0005-0000-0000-0000990B0000}"/>
    <cellStyle name="Ergebnis 2 3" xfId="596" xr:uid="{00000000-0005-0000-0000-000054020000}"/>
    <cellStyle name="Ergebnis 2 3 2" xfId="811" xr:uid="{00000000-0005-0000-0000-00002B030000}"/>
    <cellStyle name="Ergebnis 2 3 2 2" xfId="1640" xr:uid="{00000000-0005-0000-0000-000068060000}"/>
    <cellStyle name="Ergebnis 2 3 2 3" xfId="1993" xr:uid="{00000000-0005-0000-0000-0000C9070000}"/>
    <cellStyle name="Ergebnis 2 3 2 4" xfId="2404" xr:uid="{00000000-0005-0000-0000-000064090000}"/>
    <cellStyle name="Ergebnis 2 3 2 5" xfId="2619" xr:uid="{00000000-0005-0000-0000-00003B0A0000}"/>
    <cellStyle name="Ergebnis 2 3 2 6" xfId="2940" xr:uid="{00000000-0005-0000-0000-00007C0B0000}"/>
    <cellStyle name="Ergebnis 2 3 2 7" xfId="3481" xr:uid="{00000000-0005-0000-0000-0000990D0000}"/>
    <cellStyle name="Ergebnis 2 3 2 8" xfId="3097" xr:uid="{00000000-0005-0000-0000-0000190C0000}"/>
    <cellStyle name="Ergebnis 2 3 3" xfId="1616" xr:uid="{00000000-0005-0000-0000-000050060000}"/>
    <cellStyle name="Ergebnis 2 3 4" xfId="1778" xr:uid="{00000000-0005-0000-0000-0000F2060000}"/>
    <cellStyle name="Ergebnis 2 3 5" xfId="2190" xr:uid="{00000000-0005-0000-0000-00008E080000}"/>
    <cellStyle name="Ergebnis 2 3 6" xfId="1643" xr:uid="{00000000-0005-0000-0000-00006B060000}"/>
    <cellStyle name="Ergebnis 2 3 7" xfId="2982" xr:uid="{00000000-0005-0000-0000-0000A60B0000}"/>
    <cellStyle name="Ergebnis 2 3 8" xfId="3269" xr:uid="{00000000-0005-0000-0000-0000C50C0000}"/>
    <cellStyle name="Ergebnis 2 3 9" xfId="3747" xr:uid="{00000000-0005-0000-0000-0000A30E0000}"/>
    <cellStyle name="Ergebnis 2 4" xfId="587" xr:uid="{00000000-0005-0000-0000-00004B020000}"/>
    <cellStyle name="Ergebnis 2 4 2" xfId="802" xr:uid="{00000000-0005-0000-0000-000022030000}"/>
    <cellStyle name="Ergebnis 2 4 2 2" xfId="1240" xr:uid="{00000000-0005-0000-0000-0000D8040000}"/>
    <cellStyle name="Ergebnis 2 4 2 3" xfId="1984" xr:uid="{00000000-0005-0000-0000-0000C0070000}"/>
    <cellStyle name="Ergebnis 2 4 2 4" xfId="2395" xr:uid="{00000000-0005-0000-0000-00005B090000}"/>
    <cellStyle name="Ergebnis 2 4 2 5" xfId="1271" xr:uid="{00000000-0005-0000-0000-0000F7040000}"/>
    <cellStyle name="Ergebnis 2 4 2 6" xfId="2769" xr:uid="{00000000-0005-0000-0000-0000D10A0000}"/>
    <cellStyle name="Ergebnis 2 4 2 7" xfId="3472" xr:uid="{00000000-0005-0000-0000-0000900D0000}"/>
    <cellStyle name="Ergebnis 2 4 2 8" xfId="2896" xr:uid="{00000000-0005-0000-0000-0000500B0000}"/>
    <cellStyle name="Ergebnis 2 4 3" xfId="1027" xr:uid="{00000000-0005-0000-0000-000003040000}"/>
    <cellStyle name="Ergebnis 2 4 4" xfId="1769" xr:uid="{00000000-0005-0000-0000-0000E9060000}"/>
    <cellStyle name="Ergebnis 2 4 5" xfId="2181" xr:uid="{00000000-0005-0000-0000-000085080000}"/>
    <cellStyle name="Ergebnis 2 4 6" xfId="1389" xr:uid="{00000000-0005-0000-0000-00006D050000}"/>
    <cellStyle name="Ergebnis 2 4 7" xfId="2302" xr:uid="{00000000-0005-0000-0000-0000FE080000}"/>
    <cellStyle name="Ergebnis 2 4 8" xfId="3260" xr:uid="{00000000-0005-0000-0000-0000BC0C0000}"/>
    <cellStyle name="Ergebnis 2 4 9" xfId="3197" xr:uid="{00000000-0005-0000-0000-00007D0C0000}"/>
    <cellStyle name="Ergebnis 2 5" xfId="722" xr:uid="{00000000-0005-0000-0000-0000D2020000}"/>
    <cellStyle name="Ergebnis 2 5 2" xfId="1019" xr:uid="{00000000-0005-0000-0000-0000FB030000}"/>
    <cellStyle name="Ergebnis 2 5 3" xfId="1904" xr:uid="{00000000-0005-0000-0000-000070070000}"/>
    <cellStyle name="Ergebnis 2 5 4" xfId="2315" xr:uid="{00000000-0005-0000-0000-00000B090000}"/>
    <cellStyle name="Ergebnis 2 5 5" xfId="1670" xr:uid="{00000000-0005-0000-0000-000086060000}"/>
    <cellStyle name="Ergebnis 2 5 6" xfId="2803" xr:uid="{00000000-0005-0000-0000-0000F30A0000}"/>
    <cellStyle name="Ergebnis 2 5 7" xfId="3392" xr:uid="{00000000-0005-0000-0000-0000400D0000}"/>
    <cellStyle name="Ergebnis 2 5 8" xfId="3010" xr:uid="{00000000-0005-0000-0000-0000C20B0000}"/>
    <cellStyle name="Ergebnis 2 6" xfId="1037" xr:uid="{00000000-0005-0000-0000-00000D040000}"/>
    <cellStyle name="Ergebnis 2 7" xfId="1605" xr:uid="{00000000-0005-0000-0000-000045060000}"/>
    <cellStyle name="Ergebnis 2 8" xfId="1553" xr:uid="{00000000-0005-0000-0000-000011060000}"/>
    <cellStyle name="Ergebnis 2 9" xfId="2520" xr:uid="{00000000-0005-0000-0000-0000D8090000}"/>
    <cellStyle name="Ergebnis 3" xfId="301" xr:uid="{00000000-0005-0000-0000-00002D010000}"/>
    <cellStyle name="Ergebnis 3 10" xfId="2863" xr:uid="{00000000-0005-0000-0000-00002F0B0000}"/>
    <cellStyle name="Ergebnis 3 11" xfId="3121" xr:uid="{00000000-0005-0000-0000-0000310C0000}"/>
    <cellStyle name="Ergebnis 3 2" xfId="638" xr:uid="{00000000-0005-0000-0000-00007E020000}"/>
    <cellStyle name="Ergebnis 3 2 2" xfId="853" xr:uid="{00000000-0005-0000-0000-000055030000}"/>
    <cellStyle name="Ergebnis 3 2 2 2" xfId="1203" xr:uid="{00000000-0005-0000-0000-0000B3040000}"/>
    <cellStyle name="Ergebnis 3 2 2 3" xfId="2035" xr:uid="{00000000-0005-0000-0000-0000F3070000}"/>
    <cellStyle name="Ergebnis 3 2 2 4" xfId="2446" xr:uid="{00000000-0005-0000-0000-00008E090000}"/>
    <cellStyle name="Ergebnis 3 2 2 5" xfId="2655" xr:uid="{00000000-0005-0000-0000-00005F0A0000}"/>
    <cellStyle name="Ergebnis 3 2 2 6" xfId="2908" xr:uid="{00000000-0005-0000-0000-00005C0B0000}"/>
    <cellStyle name="Ergebnis 3 2 2 7" xfId="3523" xr:uid="{00000000-0005-0000-0000-0000C30D0000}"/>
    <cellStyle name="Ergebnis 3 2 2 8" xfId="2900" xr:uid="{00000000-0005-0000-0000-0000540B0000}"/>
    <cellStyle name="Ergebnis 3 2 3" xfId="927" xr:uid="{00000000-0005-0000-0000-00009F030000}"/>
    <cellStyle name="Ergebnis 3 2 4" xfId="1820" xr:uid="{00000000-0005-0000-0000-00001C070000}"/>
    <cellStyle name="Ergebnis 3 2 5" xfId="2232" xr:uid="{00000000-0005-0000-0000-0000B8080000}"/>
    <cellStyle name="Ergebnis 3 2 6" xfId="2609" xr:uid="{00000000-0005-0000-0000-0000310A0000}"/>
    <cellStyle name="Ergebnis 3 2 7" xfId="1535" xr:uid="{00000000-0005-0000-0000-0000FF050000}"/>
    <cellStyle name="Ergebnis 3 2 8" xfId="3311" xr:uid="{00000000-0005-0000-0000-0000EF0C0000}"/>
    <cellStyle name="Ergebnis 3 2 9" xfId="2718" xr:uid="{00000000-0005-0000-0000-00009E0A0000}"/>
    <cellStyle name="Ergebnis 3 3" xfId="552" xr:uid="{00000000-0005-0000-0000-000028020000}"/>
    <cellStyle name="Ergebnis 3 3 2" xfId="767" xr:uid="{00000000-0005-0000-0000-0000FF020000}"/>
    <cellStyle name="Ergebnis 3 3 2 2" xfId="1210" xr:uid="{00000000-0005-0000-0000-0000BA040000}"/>
    <cellStyle name="Ergebnis 3 3 2 3" xfId="1949" xr:uid="{00000000-0005-0000-0000-00009D070000}"/>
    <cellStyle name="Ergebnis 3 3 2 4" xfId="2360" xr:uid="{00000000-0005-0000-0000-000038090000}"/>
    <cellStyle name="Ergebnis 3 3 2 5" xfId="1685" xr:uid="{00000000-0005-0000-0000-000095060000}"/>
    <cellStyle name="Ergebnis 3 3 2 6" xfId="2677" xr:uid="{00000000-0005-0000-0000-0000750A0000}"/>
    <cellStyle name="Ergebnis 3 3 2 7" xfId="3437" xr:uid="{00000000-0005-0000-0000-00006D0D0000}"/>
    <cellStyle name="Ergebnis 3 3 2 8" xfId="3596" xr:uid="{00000000-0005-0000-0000-00000C0E0000}"/>
    <cellStyle name="Ergebnis 3 3 3" xfId="1540" xr:uid="{00000000-0005-0000-0000-000004060000}"/>
    <cellStyle name="Ergebnis 3 3 4" xfId="1734" xr:uid="{00000000-0005-0000-0000-0000C6060000}"/>
    <cellStyle name="Ergebnis 3 3 5" xfId="2146" xr:uid="{00000000-0005-0000-0000-000062080000}"/>
    <cellStyle name="Ergebnis 3 3 6" xfId="2647" xr:uid="{00000000-0005-0000-0000-0000570A0000}"/>
    <cellStyle name="Ergebnis 3 3 7" xfId="2919" xr:uid="{00000000-0005-0000-0000-0000670B0000}"/>
    <cellStyle name="Ergebnis 3 3 8" xfId="3225" xr:uid="{00000000-0005-0000-0000-0000990C0000}"/>
    <cellStyle name="Ergebnis 3 3 9" xfId="3120" xr:uid="{00000000-0005-0000-0000-0000300C0000}"/>
    <cellStyle name="Ergebnis 3 4" xfId="579" xr:uid="{00000000-0005-0000-0000-000043020000}"/>
    <cellStyle name="Ergebnis 3 4 2" xfId="794" xr:uid="{00000000-0005-0000-0000-00001A030000}"/>
    <cellStyle name="Ergebnis 3 4 2 2" xfId="1002" xr:uid="{00000000-0005-0000-0000-0000EA030000}"/>
    <cellStyle name="Ergebnis 3 4 2 3" xfId="1976" xr:uid="{00000000-0005-0000-0000-0000B8070000}"/>
    <cellStyle name="Ergebnis 3 4 2 4" xfId="2387" xr:uid="{00000000-0005-0000-0000-000053090000}"/>
    <cellStyle name="Ergebnis 3 4 2 5" xfId="2507" xr:uid="{00000000-0005-0000-0000-0000CB090000}"/>
    <cellStyle name="Ergebnis 3 4 2 6" xfId="2679" xr:uid="{00000000-0005-0000-0000-0000770A0000}"/>
    <cellStyle name="Ergebnis 3 4 2 7" xfId="3464" xr:uid="{00000000-0005-0000-0000-0000880D0000}"/>
    <cellStyle name="Ergebnis 3 4 2 8" xfId="2674" xr:uid="{00000000-0005-0000-0000-0000720A0000}"/>
    <cellStyle name="Ergebnis 3 4 3" xfId="1490" xr:uid="{00000000-0005-0000-0000-0000D2050000}"/>
    <cellStyle name="Ergebnis 3 4 4" xfId="1761" xr:uid="{00000000-0005-0000-0000-0000E1060000}"/>
    <cellStyle name="Ergebnis 3 4 5" xfId="2173" xr:uid="{00000000-0005-0000-0000-00007D080000}"/>
    <cellStyle name="Ergebnis 3 4 6" xfId="2100" xr:uid="{00000000-0005-0000-0000-000034080000}"/>
    <cellStyle name="Ergebnis 3 4 7" xfId="3053" xr:uid="{00000000-0005-0000-0000-0000ED0B0000}"/>
    <cellStyle name="Ergebnis 3 4 8" xfId="3252" xr:uid="{00000000-0005-0000-0000-0000B40C0000}"/>
    <cellStyle name="Ergebnis 3 4 9" xfId="3072" xr:uid="{00000000-0005-0000-0000-0000000C0000}"/>
    <cellStyle name="Ergebnis 3 5" xfId="718" xr:uid="{00000000-0005-0000-0000-0000CE020000}"/>
    <cellStyle name="Ergebnis 3 5 2" xfId="1497" xr:uid="{00000000-0005-0000-0000-0000D9050000}"/>
    <cellStyle name="Ergebnis 3 5 3" xfId="1900" xr:uid="{00000000-0005-0000-0000-00006C070000}"/>
    <cellStyle name="Ergebnis 3 5 4" xfId="2311" xr:uid="{00000000-0005-0000-0000-000007090000}"/>
    <cellStyle name="Ergebnis 3 5 5" xfId="2735" xr:uid="{00000000-0005-0000-0000-0000AF0A0000}"/>
    <cellStyle name="Ergebnis 3 5 6" xfId="62" xr:uid="{00000000-0005-0000-0000-00003E000000}"/>
    <cellStyle name="Ergebnis 3 5 7" xfId="3388" xr:uid="{00000000-0005-0000-0000-00003C0D0000}"/>
    <cellStyle name="Ergebnis 3 5 8" xfId="3041" xr:uid="{00000000-0005-0000-0000-0000E10B0000}"/>
    <cellStyle name="Ergebnis 3 6" xfId="1167" xr:uid="{00000000-0005-0000-0000-00008F040000}"/>
    <cellStyle name="Ergebnis 3 7" xfId="1152" xr:uid="{00000000-0005-0000-0000-000080040000}"/>
    <cellStyle name="Ergebnis 3 8" xfId="1048" xr:uid="{00000000-0005-0000-0000-000018040000}"/>
    <cellStyle name="Ergebnis 3 9" xfId="951" xr:uid="{00000000-0005-0000-0000-0000B7030000}"/>
    <cellStyle name="Ergebnis 4" xfId="568" xr:uid="{00000000-0005-0000-0000-000038020000}"/>
    <cellStyle name="Ergebnis 4 2" xfId="783" xr:uid="{00000000-0005-0000-0000-00000F030000}"/>
    <cellStyle name="Ergebnis 4 2 2" xfId="1099" xr:uid="{00000000-0005-0000-0000-00004B040000}"/>
    <cellStyle name="Ergebnis 4 2 3" xfId="1965" xr:uid="{00000000-0005-0000-0000-0000AD070000}"/>
    <cellStyle name="Ergebnis 4 2 4" xfId="2376" xr:uid="{00000000-0005-0000-0000-000048090000}"/>
    <cellStyle name="Ergebnis 4 2 5" xfId="1380" xr:uid="{00000000-0005-0000-0000-000064050000}"/>
    <cellStyle name="Ergebnis 4 2 6" xfId="1667" xr:uid="{00000000-0005-0000-0000-000083060000}"/>
    <cellStyle name="Ergebnis 4 2 7" xfId="3453" xr:uid="{00000000-0005-0000-0000-00007D0D0000}"/>
    <cellStyle name="Ergebnis 4 2 8" xfId="3688" xr:uid="{00000000-0005-0000-0000-0000680E0000}"/>
    <cellStyle name="Ergebnis 4 3" xfId="1472" xr:uid="{00000000-0005-0000-0000-0000C0050000}"/>
    <cellStyle name="Ergebnis 4 4" xfId="1750" xr:uid="{00000000-0005-0000-0000-0000D6060000}"/>
    <cellStyle name="Ergebnis 4 5" xfId="2162" xr:uid="{00000000-0005-0000-0000-000072080000}"/>
    <cellStyle name="Ergebnis 4 6" xfId="2823" xr:uid="{00000000-0005-0000-0000-0000070B0000}"/>
    <cellStyle name="Ergebnis 4 7" xfId="3147" xr:uid="{00000000-0005-0000-0000-00004B0C0000}"/>
    <cellStyle name="Ergebnis 4 8" xfId="3241" xr:uid="{00000000-0005-0000-0000-0000A90C0000}"/>
    <cellStyle name="Ergebnis 4 9" xfId="3762" xr:uid="{00000000-0005-0000-0000-0000B20E0000}"/>
    <cellStyle name="Ergebnis 5" xfId="642" xr:uid="{00000000-0005-0000-0000-000082020000}"/>
    <cellStyle name="Ergebnis 5 2" xfId="857" xr:uid="{00000000-0005-0000-0000-000059030000}"/>
    <cellStyle name="Ergebnis 5 2 2" xfId="1248" xr:uid="{00000000-0005-0000-0000-0000E0040000}"/>
    <cellStyle name="Ergebnis 5 2 3" xfId="2039" xr:uid="{00000000-0005-0000-0000-0000F7070000}"/>
    <cellStyle name="Ergebnis 5 2 4" xfId="2450" xr:uid="{00000000-0005-0000-0000-000092090000}"/>
    <cellStyle name="Ergebnis 5 2 5" xfId="2593" xr:uid="{00000000-0005-0000-0000-0000210A0000}"/>
    <cellStyle name="Ergebnis 5 2 6" xfId="2613" xr:uid="{00000000-0005-0000-0000-0000350A0000}"/>
    <cellStyle name="Ergebnis 5 2 7" xfId="3527" xr:uid="{00000000-0005-0000-0000-0000C70D0000}"/>
    <cellStyle name="Ergebnis 5 2 8" xfId="3190" xr:uid="{00000000-0005-0000-0000-0000760C0000}"/>
    <cellStyle name="Ergebnis 5 3" xfId="1406" xr:uid="{00000000-0005-0000-0000-00007E050000}"/>
    <cellStyle name="Ergebnis 5 4" xfId="1824" xr:uid="{00000000-0005-0000-0000-000020070000}"/>
    <cellStyle name="Ergebnis 5 5" xfId="2236" xr:uid="{00000000-0005-0000-0000-0000BC080000}"/>
    <cellStyle name="Ergebnis 5 6" xfId="1365" xr:uid="{00000000-0005-0000-0000-000055050000}"/>
    <cellStyle name="Ergebnis 5 7" xfId="3069" xr:uid="{00000000-0005-0000-0000-0000FD0B0000}"/>
    <cellStyle name="Ergebnis 5 8" xfId="3315" xr:uid="{00000000-0005-0000-0000-0000F30C0000}"/>
    <cellStyle name="Ergebnis 5 9" xfId="3059" xr:uid="{00000000-0005-0000-0000-0000F30B0000}"/>
    <cellStyle name="Ergebnis 6" xfId="649" xr:uid="{00000000-0005-0000-0000-000089020000}"/>
    <cellStyle name="Ergebnis 6 2" xfId="864" xr:uid="{00000000-0005-0000-0000-000060030000}"/>
    <cellStyle name="Ergebnis 6 2 2" xfId="1085" xr:uid="{00000000-0005-0000-0000-00003D040000}"/>
    <cellStyle name="Ergebnis 6 2 3" xfId="2046" xr:uid="{00000000-0005-0000-0000-0000FE070000}"/>
    <cellStyle name="Ergebnis 6 2 4" xfId="2457" xr:uid="{00000000-0005-0000-0000-000099090000}"/>
    <cellStyle name="Ergebnis 6 2 5" xfId="1469" xr:uid="{00000000-0005-0000-0000-0000BD050000}"/>
    <cellStyle name="Ergebnis 6 2 6" xfId="1358" xr:uid="{00000000-0005-0000-0000-00004E050000}"/>
    <cellStyle name="Ergebnis 6 2 7" xfId="3534" xr:uid="{00000000-0005-0000-0000-0000CE0D0000}"/>
    <cellStyle name="Ergebnis 6 2 8" xfId="3652" xr:uid="{00000000-0005-0000-0000-0000440E0000}"/>
    <cellStyle name="Ergebnis 6 3" xfId="1578" xr:uid="{00000000-0005-0000-0000-00002A060000}"/>
    <cellStyle name="Ergebnis 6 4" xfId="1831" xr:uid="{00000000-0005-0000-0000-000027070000}"/>
    <cellStyle name="Ergebnis 6 5" xfId="2243" xr:uid="{00000000-0005-0000-0000-0000C3080000}"/>
    <cellStyle name="Ergebnis 6 6" xfId="2704" xr:uid="{00000000-0005-0000-0000-0000900A0000}"/>
    <cellStyle name="Ergebnis 6 7" xfId="2948" xr:uid="{00000000-0005-0000-0000-0000840B0000}"/>
    <cellStyle name="Ergebnis 6 8" xfId="3322" xr:uid="{00000000-0005-0000-0000-0000FA0C0000}"/>
    <cellStyle name="Ergebnis 6 9" xfId="3745" xr:uid="{00000000-0005-0000-0000-0000A10E0000}"/>
    <cellStyle name="Ergebnis 7" xfId="697" xr:uid="{00000000-0005-0000-0000-0000B9020000}"/>
    <cellStyle name="Ergebnis 7 2" xfId="1020" xr:uid="{00000000-0005-0000-0000-0000FC030000}"/>
    <cellStyle name="Ergebnis 7 3" xfId="1879" xr:uid="{00000000-0005-0000-0000-000057070000}"/>
    <cellStyle name="Ergebnis 7 4" xfId="2291" xr:uid="{00000000-0005-0000-0000-0000F3080000}"/>
    <cellStyle name="Ergebnis 7 5" xfId="2825" xr:uid="{00000000-0005-0000-0000-0000090B0000}"/>
    <cellStyle name="Ergebnis 7 6" xfId="3149" xr:uid="{00000000-0005-0000-0000-00004D0C0000}"/>
    <cellStyle name="Ergebnis 7 7" xfId="3369" xr:uid="{00000000-0005-0000-0000-0000290D0000}"/>
    <cellStyle name="Ergebnis 7 8" xfId="3764" xr:uid="{00000000-0005-0000-0000-0000B40E0000}"/>
    <cellStyle name="Erklärender Text" xfId="60" hidden="1" xr:uid="{00000000-0005-0000-0000-00003C000000}"/>
    <cellStyle name="Erklärender Text 2" xfId="409" xr:uid="{00000000-0005-0000-0000-000099010000}"/>
    <cellStyle name="Erklärender Text 3" xfId="291" xr:uid="{00000000-0005-0000-0000-000023010000}"/>
    <cellStyle name="Explanatory Text 2" xfId="150" xr:uid="{00000000-0005-0000-0000-000096000000}"/>
    <cellStyle name="Explanatory Text 3" xfId="241" xr:uid="{00000000-0005-0000-0000-0000F1000000}"/>
    <cellStyle name="Good 2" xfId="151" xr:uid="{00000000-0005-0000-0000-000097000000}"/>
    <cellStyle name="Good 3" xfId="242" xr:uid="{00000000-0005-0000-0000-0000F2000000}"/>
    <cellStyle name="Good 4" xfId="371" xr:uid="{00000000-0005-0000-0000-000073010000}"/>
    <cellStyle name="Gut" xfId="152" xr:uid="{00000000-0005-0000-0000-000098000000}"/>
    <cellStyle name="Heading 1 2" xfId="153" xr:uid="{00000000-0005-0000-0000-000099000000}"/>
    <cellStyle name="Heading 1 3" xfId="243" xr:uid="{00000000-0005-0000-0000-0000F3000000}"/>
    <cellStyle name="Heading 1 4" xfId="379" xr:uid="{00000000-0005-0000-0000-00007B010000}"/>
    <cellStyle name="Heading 2 2" xfId="154" xr:uid="{00000000-0005-0000-0000-00009A000000}"/>
    <cellStyle name="Heading 2 3" xfId="244" xr:uid="{00000000-0005-0000-0000-0000F4000000}"/>
    <cellStyle name="Heading 2 4" xfId="380" xr:uid="{00000000-0005-0000-0000-00007C010000}"/>
    <cellStyle name="Heading 3 2" xfId="155" xr:uid="{00000000-0005-0000-0000-00009B000000}"/>
    <cellStyle name="Heading 3 3" xfId="245" xr:uid="{00000000-0005-0000-0000-0000F5000000}"/>
    <cellStyle name="Heading 3 4" xfId="381" xr:uid="{00000000-0005-0000-0000-00007D010000}"/>
    <cellStyle name="Heading 4 2" xfId="156" xr:uid="{00000000-0005-0000-0000-00009C000000}"/>
    <cellStyle name="Heading 4 3" xfId="246" xr:uid="{00000000-0005-0000-0000-0000F6000000}"/>
    <cellStyle name="Heading 4 4" xfId="382" xr:uid="{00000000-0005-0000-0000-00007E010000}"/>
    <cellStyle name="Headline" xfId="4" xr:uid="{00000000-0005-0000-0000-000004000000}"/>
    <cellStyle name="Input 2" xfId="157" xr:uid="{00000000-0005-0000-0000-00009D000000}"/>
    <cellStyle name="Input 2 10" xfId="2716" xr:uid="{00000000-0005-0000-0000-00009C0A0000}"/>
    <cellStyle name="Input 2 11" xfId="3003" xr:uid="{00000000-0005-0000-0000-0000BB0B0000}"/>
    <cellStyle name="Input 2 2" xfId="571" xr:uid="{00000000-0005-0000-0000-00003B020000}"/>
    <cellStyle name="Input 2 2 2" xfId="786" xr:uid="{00000000-0005-0000-0000-000012030000}"/>
    <cellStyle name="Input 2 2 2 2" xfId="1006" xr:uid="{00000000-0005-0000-0000-0000EE030000}"/>
    <cellStyle name="Input 2 2 2 3" xfId="1968" xr:uid="{00000000-0005-0000-0000-0000B0070000}"/>
    <cellStyle name="Input 2 2 2 4" xfId="2379" xr:uid="{00000000-0005-0000-0000-00004B090000}"/>
    <cellStyle name="Input 2 2 2 5" xfId="2526" xr:uid="{00000000-0005-0000-0000-0000DE090000}"/>
    <cellStyle name="Input 2 2 2 6" xfId="1666" xr:uid="{00000000-0005-0000-0000-000082060000}"/>
    <cellStyle name="Input 2 2 2 7" xfId="3456" xr:uid="{00000000-0005-0000-0000-0000800D0000}"/>
    <cellStyle name="Input 2 2 2 8" xfId="3682" xr:uid="{00000000-0005-0000-0000-0000620E0000}"/>
    <cellStyle name="Input 2 2 3" xfId="1536" xr:uid="{00000000-0005-0000-0000-000000060000}"/>
    <cellStyle name="Input 2 2 4" xfId="1753" xr:uid="{00000000-0005-0000-0000-0000D9060000}"/>
    <cellStyle name="Input 2 2 5" xfId="2165" xr:uid="{00000000-0005-0000-0000-000075080000}"/>
    <cellStyle name="Input 2 2 6" xfId="2590" xr:uid="{00000000-0005-0000-0000-00001E0A0000}"/>
    <cellStyle name="Input 2 2 7" xfId="2916" xr:uid="{00000000-0005-0000-0000-0000640B0000}"/>
    <cellStyle name="Input 2 2 8" xfId="3244" xr:uid="{00000000-0005-0000-0000-0000AC0C0000}"/>
    <cellStyle name="Input 2 2 9" xfId="1345" xr:uid="{00000000-0005-0000-0000-000041050000}"/>
    <cellStyle name="Input 2 3" xfId="675" xr:uid="{00000000-0005-0000-0000-0000A3020000}"/>
    <cellStyle name="Input 2 3 2" xfId="890" xr:uid="{00000000-0005-0000-0000-00007A030000}"/>
    <cellStyle name="Input 2 3 2 2" xfId="1649" xr:uid="{00000000-0005-0000-0000-000071060000}"/>
    <cellStyle name="Input 2 3 2 3" xfId="2072" xr:uid="{00000000-0005-0000-0000-000018080000}"/>
    <cellStyle name="Input 2 3 2 4" xfId="2483" xr:uid="{00000000-0005-0000-0000-0000B3090000}"/>
    <cellStyle name="Input 2 3 2 5" xfId="2841" xr:uid="{00000000-0005-0000-0000-0000190B0000}"/>
    <cellStyle name="Input 2 3 2 6" xfId="3162" xr:uid="{00000000-0005-0000-0000-00005A0C0000}"/>
    <cellStyle name="Input 2 3 2 7" xfId="3560" xr:uid="{00000000-0005-0000-0000-0000E80D0000}"/>
    <cellStyle name="Input 2 3 2 8" xfId="3776" xr:uid="{00000000-0005-0000-0000-0000C00E0000}"/>
    <cellStyle name="Input 2 3 3" xfId="1556" xr:uid="{00000000-0005-0000-0000-000014060000}"/>
    <cellStyle name="Input 2 3 4" xfId="1857" xr:uid="{00000000-0005-0000-0000-000041070000}"/>
    <cellStyle name="Input 2 3 5" xfId="2269" xr:uid="{00000000-0005-0000-0000-0000DD080000}"/>
    <cellStyle name="Input 2 3 6" xfId="2752" xr:uid="{00000000-0005-0000-0000-0000C00A0000}"/>
    <cellStyle name="Input 2 3 7" xfId="2944" xr:uid="{00000000-0005-0000-0000-0000800B0000}"/>
    <cellStyle name="Input 2 3 8" xfId="3348" xr:uid="{00000000-0005-0000-0000-0000140D0000}"/>
    <cellStyle name="Input 2 3 9" xfId="3715" xr:uid="{00000000-0005-0000-0000-0000830E0000}"/>
    <cellStyle name="Input 2 4" xfId="686" xr:uid="{00000000-0005-0000-0000-0000AE020000}"/>
    <cellStyle name="Input 2 4 2" xfId="900" xr:uid="{00000000-0005-0000-0000-000084030000}"/>
    <cellStyle name="Input 2 4 2 2" xfId="1659" xr:uid="{00000000-0005-0000-0000-00007B060000}"/>
    <cellStyle name="Input 2 4 2 3" xfId="2082" xr:uid="{00000000-0005-0000-0000-000022080000}"/>
    <cellStyle name="Input 2 4 2 4" xfId="2493" xr:uid="{00000000-0005-0000-0000-0000BD090000}"/>
    <cellStyle name="Input 2 4 2 5" xfId="2851" xr:uid="{00000000-0005-0000-0000-0000230B0000}"/>
    <cellStyle name="Input 2 4 2 6" xfId="3172" xr:uid="{00000000-0005-0000-0000-0000640C0000}"/>
    <cellStyle name="Input 2 4 2 7" xfId="3570" xr:uid="{00000000-0005-0000-0000-0000F20D0000}"/>
    <cellStyle name="Input 2 4 2 8" xfId="3786" xr:uid="{00000000-0005-0000-0000-0000CA0E0000}"/>
    <cellStyle name="Input 2 4 3" xfId="1522" xr:uid="{00000000-0005-0000-0000-0000F2050000}"/>
    <cellStyle name="Input 2 4 4" xfId="1868" xr:uid="{00000000-0005-0000-0000-00004C070000}"/>
    <cellStyle name="Input 2 4 5" xfId="2280" xr:uid="{00000000-0005-0000-0000-0000E8080000}"/>
    <cellStyle name="Input 2 4 6" xfId="2650" xr:uid="{00000000-0005-0000-0000-00005A0A0000}"/>
    <cellStyle name="Input 2 4 7" xfId="2897" xr:uid="{00000000-0005-0000-0000-0000510B0000}"/>
    <cellStyle name="Input 2 4 8" xfId="3358" xr:uid="{00000000-0005-0000-0000-00001E0D0000}"/>
    <cellStyle name="Input 2 4 9" xfId="3141" xr:uid="{00000000-0005-0000-0000-0000450C0000}"/>
    <cellStyle name="Input 2 5" xfId="698" xr:uid="{00000000-0005-0000-0000-0000BA020000}"/>
    <cellStyle name="Input 2 5 2" xfId="909" xr:uid="{00000000-0005-0000-0000-00008D030000}"/>
    <cellStyle name="Input 2 5 3" xfId="1880" xr:uid="{00000000-0005-0000-0000-000058070000}"/>
    <cellStyle name="Input 2 5 4" xfId="2292" xr:uid="{00000000-0005-0000-0000-0000F4080000}"/>
    <cellStyle name="Input 2 5 5" xfId="2687" xr:uid="{00000000-0005-0000-0000-00007F0A0000}"/>
    <cellStyle name="Input 2 5 6" xfId="2997" xr:uid="{00000000-0005-0000-0000-0000B50B0000}"/>
    <cellStyle name="Input 2 5 7" xfId="3370" xr:uid="{00000000-0005-0000-0000-00002A0D0000}"/>
    <cellStyle name="Input 2 5 8" xfId="3076" xr:uid="{00000000-0005-0000-0000-0000040C0000}"/>
    <cellStyle name="Input 2 6" xfId="1465" xr:uid="{00000000-0005-0000-0000-0000B9050000}"/>
    <cellStyle name="Input 2 7" xfId="1116" xr:uid="{00000000-0005-0000-0000-00005C040000}"/>
    <cellStyle name="Input 2 8" xfId="1432" xr:uid="{00000000-0005-0000-0000-000098050000}"/>
    <cellStyle name="Input 2 9" xfId="2304" xr:uid="{00000000-0005-0000-0000-000000090000}"/>
    <cellStyle name="Input 3" xfId="247" xr:uid="{00000000-0005-0000-0000-0000F7000000}"/>
    <cellStyle name="Input 3 10" xfId="2821" xr:uid="{00000000-0005-0000-0000-0000050B0000}"/>
    <cellStyle name="Input 3 11" xfId="1575" xr:uid="{00000000-0005-0000-0000-000027060000}"/>
    <cellStyle name="Input 3 2" xfId="603" xr:uid="{00000000-0005-0000-0000-00005B020000}"/>
    <cellStyle name="Input 3 2 2" xfId="818" xr:uid="{00000000-0005-0000-0000-000032030000}"/>
    <cellStyle name="Input 3 2 2 2" xfId="1249" xr:uid="{00000000-0005-0000-0000-0000E1040000}"/>
    <cellStyle name="Input 3 2 2 3" xfId="2000" xr:uid="{00000000-0005-0000-0000-0000D0070000}"/>
    <cellStyle name="Input 3 2 2 4" xfId="2411" xr:uid="{00000000-0005-0000-0000-00006B090000}"/>
    <cellStyle name="Input 3 2 2 5" xfId="2779" xr:uid="{00000000-0005-0000-0000-0000DB0A0000}"/>
    <cellStyle name="Input 3 2 2 6" xfId="2603" xr:uid="{00000000-0005-0000-0000-00002B0A0000}"/>
    <cellStyle name="Input 3 2 2 7" xfId="3488" xr:uid="{00000000-0005-0000-0000-0000A00D0000}"/>
    <cellStyle name="Input 3 2 2 8" xfId="3728" xr:uid="{00000000-0005-0000-0000-0000900E0000}"/>
    <cellStyle name="Input 3 2 3" xfId="960" xr:uid="{00000000-0005-0000-0000-0000C0030000}"/>
    <cellStyle name="Input 3 2 4" xfId="1785" xr:uid="{00000000-0005-0000-0000-0000F9060000}"/>
    <cellStyle name="Input 3 2 5" xfId="2197" xr:uid="{00000000-0005-0000-0000-000095080000}"/>
    <cellStyle name="Input 3 2 6" xfId="2683" xr:uid="{00000000-0005-0000-0000-00007B0A0000}"/>
    <cellStyle name="Input 3 2 7" xfId="2670" xr:uid="{00000000-0005-0000-0000-00006E0A0000}"/>
    <cellStyle name="Input 3 2 8" xfId="3276" xr:uid="{00000000-0005-0000-0000-0000CC0C0000}"/>
    <cellStyle name="Input 3 2 9" xfId="3012" xr:uid="{00000000-0005-0000-0000-0000C40B0000}"/>
    <cellStyle name="Input 3 3" xfId="602" xr:uid="{00000000-0005-0000-0000-00005A020000}"/>
    <cellStyle name="Input 3 3 2" xfId="817" xr:uid="{00000000-0005-0000-0000-000031030000}"/>
    <cellStyle name="Input 3 3 2 2" xfId="1204" xr:uid="{00000000-0005-0000-0000-0000B4040000}"/>
    <cellStyle name="Input 3 3 2 3" xfId="1999" xr:uid="{00000000-0005-0000-0000-0000CF070000}"/>
    <cellStyle name="Input 3 3 2 4" xfId="2410" xr:uid="{00000000-0005-0000-0000-00006A090000}"/>
    <cellStyle name="Input 3 3 2 5" xfId="2631" xr:uid="{00000000-0005-0000-0000-0000470A0000}"/>
    <cellStyle name="Input 3 3 2 6" xfId="2747" xr:uid="{00000000-0005-0000-0000-0000BB0A0000}"/>
    <cellStyle name="Input 3 3 2 7" xfId="3487" xr:uid="{00000000-0005-0000-0000-00009F0D0000}"/>
    <cellStyle name="Input 3 3 2 8" xfId="1630" xr:uid="{00000000-0005-0000-0000-00005E060000}"/>
    <cellStyle name="Input 3 3 3" xfId="1444" xr:uid="{00000000-0005-0000-0000-0000A4050000}"/>
    <cellStyle name="Input 3 3 4" xfId="1784" xr:uid="{00000000-0005-0000-0000-0000F8060000}"/>
    <cellStyle name="Input 3 3 5" xfId="2196" xr:uid="{00000000-0005-0000-0000-000094080000}"/>
    <cellStyle name="Input 3 3 6" xfId="2627" xr:uid="{00000000-0005-0000-0000-0000430A0000}"/>
    <cellStyle name="Input 3 3 7" xfId="2575" xr:uid="{00000000-0005-0000-0000-00000F0A0000}"/>
    <cellStyle name="Input 3 3 8" xfId="3275" xr:uid="{00000000-0005-0000-0000-0000CB0C0000}"/>
    <cellStyle name="Input 3 3 9" xfId="3684" xr:uid="{00000000-0005-0000-0000-0000640E0000}"/>
    <cellStyle name="Input 3 4" xfId="546" xr:uid="{00000000-0005-0000-0000-000022020000}"/>
    <cellStyle name="Input 3 4 2" xfId="761" xr:uid="{00000000-0005-0000-0000-0000F9020000}"/>
    <cellStyle name="Input 3 4 2 2" xfId="942" xr:uid="{00000000-0005-0000-0000-0000AE030000}"/>
    <cellStyle name="Input 3 4 2 3" xfId="1943" xr:uid="{00000000-0005-0000-0000-000097070000}"/>
    <cellStyle name="Input 3 4 2 4" xfId="2354" xr:uid="{00000000-0005-0000-0000-000032090000}"/>
    <cellStyle name="Input 3 4 2 5" xfId="1110" xr:uid="{00000000-0005-0000-0000-000056040000}"/>
    <cellStyle name="Input 3 4 2 6" xfId="2624" xr:uid="{00000000-0005-0000-0000-0000400A0000}"/>
    <cellStyle name="Input 3 4 2 7" xfId="3431" xr:uid="{00000000-0005-0000-0000-0000670D0000}"/>
    <cellStyle name="Input 3 4 2 8" xfId="2804" xr:uid="{00000000-0005-0000-0000-0000F40A0000}"/>
    <cellStyle name="Input 3 4 3" xfId="1458" xr:uid="{00000000-0005-0000-0000-0000B2050000}"/>
    <cellStyle name="Input 3 4 4" xfId="1728" xr:uid="{00000000-0005-0000-0000-0000C0060000}"/>
    <cellStyle name="Input 3 4 5" xfId="2140" xr:uid="{00000000-0005-0000-0000-00005C080000}"/>
    <cellStyle name="Input 3 4 6" xfId="1158" xr:uid="{00000000-0005-0000-0000-000086040000}"/>
    <cellStyle name="Input 3 4 7" xfId="3063" xr:uid="{00000000-0005-0000-0000-0000F70B0000}"/>
    <cellStyle name="Input 3 4 8" xfId="3219" xr:uid="{00000000-0005-0000-0000-0000930C0000}"/>
    <cellStyle name="Input 3 4 9" xfId="2089" xr:uid="{00000000-0005-0000-0000-000029080000}"/>
    <cellStyle name="Input 3 5" xfId="704" xr:uid="{00000000-0005-0000-0000-0000C0020000}"/>
    <cellStyle name="Input 3 5 2" xfId="1582" xr:uid="{00000000-0005-0000-0000-00002E060000}"/>
    <cellStyle name="Input 3 5 3" xfId="1886" xr:uid="{00000000-0005-0000-0000-00005E070000}"/>
    <cellStyle name="Input 3 5 4" xfId="2298" xr:uid="{00000000-0005-0000-0000-0000FA080000}"/>
    <cellStyle name="Input 3 5 5" xfId="2697" xr:uid="{00000000-0005-0000-0000-0000890A0000}"/>
    <cellStyle name="Input 3 5 6" xfId="3029" xr:uid="{00000000-0005-0000-0000-0000D50B0000}"/>
    <cellStyle name="Input 3 5 7" xfId="3376" xr:uid="{00000000-0005-0000-0000-0000300D0000}"/>
    <cellStyle name="Input 3 5 8" xfId="3698" xr:uid="{00000000-0005-0000-0000-0000720E0000}"/>
    <cellStyle name="Input 3 6" xfId="1300" xr:uid="{00000000-0005-0000-0000-000014050000}"/>
    <cellStyle name="Input 3 7" xfId="1399" xr:uid="{00000000-0005-0000-0000-000077050000}"/>
    <cellStyle name="Input 3 8" xfId="1333" xr:uid="{00000000-0005-0000-0000-000035050000}"/>
    <cellStyle name="Input 3 9" xfId="1603" xr:uid="{00000000-0005-0000-0000-000043060000}"/>
    <cellStyle name="Input 4" xfId="358" xr:uid="{00000000-0005-0000-0000-000066010000}"/>
    <cellStyle name="InputCells" xfId="12" xr:uid="{00000000-0005-0000-0000-00000C000000}"/>
    <cellStyle name="InputCells 2" xfId="158" xr:uid="{00000000-0005-0000-0000-00009E000000}"/>
    <cellStyle name="InputCells 3" xfId="209" xr:uid="{00000000-0005-0000-0000-0000D1000000}"/>
    <cellStyle name="InputCells 4" xfId="361" xr:uid="{00000000-0005-0000-0000-000069010000}"/>
    <cellStyle name="InputCells_Bborder_1" xfId="159" xr:uid="{00000000-0005-0000-0000-00009F000000}"/>
    <cellStyle name="InputCells12" xfId="21" xr:uid="{00000000-0005-0000-0000-000015000000}"/>
    <cellStyle name="InputCells12 2" xfId="160" xr:uid="{00000000-0005-0000-0000-0000A0000000}"/>
    <cellStyle name="InputCells12 2 2" xfId="435" xr:uid="{00000000-0005-0000-0000-0000B3010000}"/>
    <cellStyle name="InputCells12 2 2 2" xfId="609" xr:uid="{00000000-0005-0000-0000-000061020000}"/>
    <cellStyle name="InputCells12 2 2 2 2" xfId="824" xr:uid="{00000000-0005-0000-0000-000038030000}"/>
    <cellStyle name="InputCells12 2 2 2 2 2" xfId="997" xr:uid="{00000000-0005-0000-0000-0000E5030000}"/>
    <cellStyle name="InputCells12 2 2 2 2 3" xfId="2006" xr:uid="{00000000-0005-0000-0000-0000D6070000}"/>
    <cellStyle name="InputCells12 2 2 2 2 4" xfId="2417" xr:uid="{00000000-0005-0000-0000-000071090000}"/>
    <cellStyle name="InputCells12 2 2 2 2 5" xfId="1429" xr:uid="{00000000-0005-0000-0000-000095050000}"/>
    <cellStyle name="InputCells12 2 2 2 2 6" xfId="2586" xr:uid="{00000000-0005-0000-0000-00001A0A0000}"/>
    <cellStyle name="InputCells12 2 2 2 2 7" xfId="3494" xr:uid="{00000000-0005-0000-0000-0000A60D0000}"/>
    <cellStyle name="InputCells12 2 2 2 2 8" xfId="2901" xr:uid="{00000000-0005-0000-0000-0000550B0000}"/>
    <cellStyle name="InputCells12 2 2 2 3" xfId="1398" xr:uid="{00000000-0005-0000-0000-000076050000}"/>
    <cellStyle name="InputCells12 2 2 2 4" xfId="1791" xr:uid="{00000000-0005-0000-0000-0000FF060000}"/>
    <cellStyle name="InputCells12 2 2 2 5" xfId="2203" xr:uid="{00000000-0005-0000-0000-00009B080000}"/>
    <cellStyle name="InputCells12 2 2 2 6" xfId="967" xr:uid="{00000000-0005-0000-0000-0000C7030000}"/>
    <cellStyle name="InputCells12 2 2 2 7" xfId="3116" xr:uid="{00000000-0005-0000-0000-00002C0C0000}"/>
    <cellStyle name="InputCells12 2 2 2 8" xfId="3282" xr:uid="{00000000-0005-0000-0000-0000D20C0000}"/>
    <cellStyle name="InputCells12 2 2 2 9" xfId="1045" xr:uid="{00000000-0005-0000-0000-000015040000}"/>
    <cellStyle name="InputCells12 2 2 3" xfId="734" xr:uid="{00000000-0005-0000-0000-0000DE020000}"/>
    <cellStyle name="InputCells12 2 2 3 2" xfId="1494" xr:uid="{00000000-0005-0000-0000-0000D6050000}"/>
    <cellStyle name="InputCells12 2 2 3 3" xfId="1916" xr:uid="{00000000-0005-0000-0000-00007C070000}"/>
    <cellStyle name="InputCells12 2 2 3 4" xfId="2327" xr:uid="{00000000-0005-0000-0000-000017090000}"/>
    <cellStyle name="InputCells12 2 2 3 5" xfId="2727" xr:uid="{00000000-0005-0000-0000-0000A70A0000}"/>
    <cellStyle name="InputCells12 2 2 3 6" xfId="978" xr:uid="{00000000-0005-0000-0000-0000D2030000}"/>
    <cellStyle name="InputCells12 2 2 3 7" xfId="3404" xr:uid="{00000000-0005-0000-0000-00004C0D0000}"/>
    <cellStyle name="InputCells12 2 2 3 8" xfId="3678" xr:uid="{00000000-0005-0000-0000-00005E0E0000}"/>
    <cellStyle name="InputCells12 2 3" xfId="294" xr:uid="{00000000-0005-0000-0000-000026010000}"/>
    <cellStyle name="InputCells12 2 3 10" xfId="914" xr:uid="{00000000-0005-0000-0000-000092030000}"/>
    <cellStyle name="InputCells12 2 3 11" xfId="3184" xr:uid="{00000000-0005-0000-0000-0000700C0000}"/>
    <cellStyle name="InputCells12 2 3 2" xfId="632" xr:uid="{00000000-0005-0000-0000-000078020000}"/>
    <cellStyle name="InputCells12 2 3 2 2" xfId="847" xr:uid="{00000000-0005-0000-0000-00004F030000}"/>
    <cellStyle name="InputCells12 2 3 2 2 2" xfId="1528" xr:uid="{00000000-0005-0000-0000-0000F8050000}"/>
    <cellStyle name="InputCells12 2 3 2 2 3" xfId="2029" xr:uid="{00000000-0005-0000-0000-0000ED070000}"/>
    <cellStyle name="InputCells12 2 3 2 2 4" xfId="2440" xr:uid="{00000000-0005-0000-0000-000088090000}"/>
    <cellStyle name="InputCells12 2 3 2 2 5" xfId="2658" xr:uid="{00000000-0005-0000-0000-0000620A0000}"/>
    <cellStyle name="InputCells12 2 3 2 2 6" xfId="2980" xr:uid="{00000000-0005-0000-0000-0000A40B0000}"/>
    <cellStyle name="InputCells12 2 3 2 2 7" xfId="3517" xr:uid="{00000000-0005-0000-0000-0000BD0D0000}"/>
    <cellStyle name="InputCells12 2 3 2 2 8" xfId="3755" xr:uid="{00000000-0005-0000-0000-0000AB0E0000}"/>
    <cellStyle name="InputCells12 2 3 2 3" xfId="1368" xr:uid="{00000000-0005-0000-0000-000058050000}"/>
    <cellStyle name="InputCells12 2 3 2 4" xfId="1814" xr:uid="{00000000-0005-0000-0000-000016070000}"/>
    <cellStyle name="InputCells12 2 3 2 5" xfId="2226" xr:uid="{00000000-0005-0000-0000-0000B2080000}"/>
    <cellStyle name="InputCells12 2 3 2 6" xfId="1262" xr:uid="{00000000-0005-0000-0000-0000EE040000}"/>
    <cellStyle name="InputCells12 2 3 2 7" xfId="3114" xr:uid="{00000000-0005-0000-0000-00002A0C0000}"/>
    <cellStyle name="InputCells12 2 3 2 8" xfId="3305" xr:uid="{00000000-0005-0000-0000-0000E90C0000}"/>
    <cellStyle name="InputCells12 2 3 2 9" xfId="2968" xr:uid="{00000000-0005-0000-0000-0000980B0000}"/>
    <cellStyle name="InputCells12 2 3 3" xfId="555" xr:uid="{00000000-0005-0000-0000-00002B020000}"/>
    <cellStyle name="InputCells12 2 3 3 2" xfId="770" xr:uid="{00000000-0005-0000-0000-000002030000}"/>
    <cellStyle name="InputCells12 2 3 3 2 2" xfId="1209" xr:uid="{00000000-0005-0000-0000-0000B9040000}"/>
    <cellStyle name="InputCells12 2 3 3 2 3" xfId="1952" xr:uid="{00000000-0005-0000-0000-0000A0070000}"/>
    <cellStyle name="InputCells12 2 3 3 2 4" xfId="2363" xr:uid="{00000000-0005-0000-0000-00003B090000}"/>
    <cellStyle name="InputCells12 2 3 3 2 5" xfId="1044" xr:uid="{00000000-0005-0000-0000-000014040000}"/>
    <cellStyle name="InputCells12 2 3 3 2 6" xfId="971" xr:uid="{00000000-0005-0000-0000-0000CB030000}"/>
    <cellStyle name="InputCells12 2 3 3 2 7" xfId="3440" xr:uid="{00000000-0005-0000-0000-0000700D0000}"/>
    <cellStyle name="InputCells12 2 3 3 2 8" xfId="2549" xr:uid="{00000000-0005-0000-0000-0000F5090000}"/>
    <cellStyle name="InputCells12 2 3 3 3" xfId="1421" xr:uid="{00000000-0005-0000-0000-00008D050000}"/>
    <cellStyle name="InputCells12 2 3 3 4" xfId="1737" xr:uid="{00000000-0005-0000-0000-0000C9060000}"/>
    <cellStyle name="InputCells12 2 3 3 5" xfId="2149" xr:uid="{00000000-0005-0000-0000-000065080000}"/>
    <cellStyle name="InputCells12 2 3 3 6" xfId="1683" xr:uid="{00000000-0005-0000-0000-000093060000}"/>
    <cellStyle name="InputCells12 2 3 3 7" xfId="1069" xr:uid="{00000000-0005-0000-0000-00002D040000}"/>
    <cellStyle name="InputCells12 2 3 3 8" xfId="3228" xr:uid="{00000000-0005-0000-0000-00009C0C0000}"/>
    <cellStyle name="InputCells12 2 3 3 9" xfId="3037" xr:uid="{00000000-0005-0000-0000-0000DD0B0000}"/>
    <cellStyle name="InputCells12 2 3 4" xfId="671" xr:uid="{00000000-0005-0000-0000-00009F020000}"/>
    <cellStyle name="InputCells12 2 3 4 2" xfId="886" xr:uid="{00000000-0005-0000-0000-000076030000}"/>
    <cellStyle name="InputCells12 2 3 4 2 2" xfId="949" xr:uid="{00000000-0005-0000-0000-0000B5030000}"/>
    <cellStyle name="InputCells12 2 3 4 2 3" xfId="2068" xr:uid="{00000000-0005-0000-0000-000014080000}"/>
    <cellStyle name="InputCells12 2 3 4 2 4" xfId="2479" xr:uid="{00000000-0005-0000-0000-0000AF090000}"/>
    <cellStyle name="InputCells12 2 3 4 2 5" xfId="2837" xr:uid="{00000000-0005-0000-0000-0000150B0000}"/>
    <cellStyle name="InputCells12 2 3 4 2 6" xfId="3158" xr:uid="{00000000-0005-0000-0000-0000560C0000}"/>
    <cellStyle name="InputCells12 2 3 4 2 7" xfId="3556" xr:uid="{00000000-0005-0000-0000-0000E40D0000}"/>
    <cellStyle name="InputCells12 2 3 4 2 8" xfId="3772" xr:uid="{00000000-0005-0000-0000-0000BC0E0000}"/>
    <cellStyle name="InputCells12 2 3 4 3" xfId="931" xr:uid="{00000000-0005-0000-0000-0000A3030000}"/>
    <cellStyle name="InputCells12 2 3 4 4" xfId="1853" xr:uid="{00000000-0005-0000-0000-00003D070000}"/>
    <cellStyle name="InputCells12 2 3 4 5" xfId="2265" xr:uid="{00000000-0005-0000-0000-0000D9080000}"/>
    <cellStyle name="InputCells12 2 3 4 6" xfId="2806" xr:uid="{00000000-0005-0000-0000-0000F60A0000}"/>
    <cellStyle name="InputCells12 2 3 4 7" xfId="1220" xr:uid="{00000000-0005-0000-0000-0000C4040000}"/>
    <cellStyle name="InputCells12 2 3 4 8" xfId="3344" xr:uid="{00000000-0005-0000-0000-0000100D0000}"/>
    <cellStyle name="InputCells12 2 3 4 9" xfId="3385" xr:uid="{00000000-0005-0000-0000-0000390D0000}"/>
    <cellStyle name="InputCells12 2 3 5" xfId="1166" xr:uid="{00000000-0005-0000-0000-00008E040000}"/>
    <cellStyle name="InputCells12 2 3 6" xfId="1309" xr:uid="{00000000-0005-0000-0000-00001D050000}"/>
    <cellStyle name="InputCells12 2 3 7" xfId="1509" xr:uid="{00000000-0005-0000-0000-0000E5050000}"/>
    <cellStyle name="InputCells12 2 3 8" xfId="2678" xr:uid="{00000000-0005-0000-0000-0000760A0000}"/>
    <cellStyle name="InputCells12 2 3 9" xfId="2866" xr:uid="{00000000-0005-0000-0000-0000320B0000}"/>
    <cellStyle name="InputCells12 3" xfId="434" xr:uid="{00000000-0005-0000-0000-0000B2010000}"/>
    <cellStyle name="InputCells12 3 2" xfId="539" xr:uid="{00000000-0005-0000-0000-00001B020000}"/>
    <cellStyle name="InputCells12 3 2 2" xfId="754" xr:uid="{00000000-0005-0000-0000-0000F2020000}"/>
    <cellStyle name="InputCells12 3 2 2 2" xfId="1017" xr:uid="{00000000-0005-0000-0000-0000F9030000}"/>
    <cellStyle name="InputCells12 3 2 2 3" xfId="1936" xr:uid="{00000000-0005-0000-0000-000090070000}"/>
    <cellStyle name="InputCells12 3 2 2 4" xfId="2347" xr:uid="{00000000-0005-0000-0000-00002B090000}"/>
    <cellStyle name="InputCells12 3 2 2 5" xfId="2537" xr:uid="{00000000-0005-0000-0000-0000E9090000}"/>
    <cellStyle name="InputCells12 3 2 2 6" xfId="1697" xr:uid="{00000000-0005-0000-0000-0000A1060000}"/>
    <cellStyle name="InputCells12 3 2 2 7" xfId="3424" xr:uid="{00000000-0005-0000-0000-0000600D0000}"/>
    <cellStyle name="InputCells12 3 2 2 8" xfId="3659" xr:uid="{00000000-0005-0000-0000-00004B0E0000}"/>
    <cellStyle name="InputCells12 3 2 3" xfId="1366" xr:uid="{00000000-0005-0000-0000-000056050000}"/>
    <cellStyle name="InputCells12 3 2 4" xfId="1721" xr:uid="{00000000-0005-0000-0000-0000B9060000}"/>
    <cellStyle name="InputCells12 3 2 5" xfId="2133" xr:uid="{00000000-0005-0000-0000-000055080000}"/>
    <cellStyle name="InputCells12 3 2 6" xfId="2730" xr:uid="{00000000-0005-0000-0000-0000AA0A0000}"/>
    <cellStyle name="InputCells12 3 2 7" xfId="2690" xr:uid="{00000000-0005-0000-0000-0000820A0000}"/>
    <cellStyle name="InputCells12 3 2 8" xfId="3212" xr:uid="{00000000-0005-0000-0000-00008C0C0000}"/>
    <cellStyle name="InputCells12 3 2 9" xfId="3646" xr:uid="{00000000-0005-0000-0000-00003E0E0000}"/>
    <cellStyle name="InputCells12 3 3" xfId="733" xr:uid="{00000000-0005-0000-0000-0000DD020000}"/>
    <cellStyle name="InputCells12 3 3 2" xfId="1137" xr:uid="{00000000-0005-0000-0000-000071040000}"/>
    <cellStyle name="InputCells12 3 3 3" xfId="1915" xr:uid="{00000000-0005-0000-0000-00007B070000}"/>
    <cellStyle name="InputCells12 3 3 4" xfId="2326" xr:uid="{00000000-0005-0000-0000-000016090000}"/>
    <cellStyle name="InputCells12 3 3 5" xfId="2808" xr:uid="{00000000-0005-0000-0000-0000F80A0000}"/>
    <cellStyle name="InputCells12 3 3 6" xfId="2907" xr:uid="{00000000-0005-0000-0000-00005B0B0000}"/>
    <cellStyle name="InputCells12 3 3 7" xfId="3403" xr:uid="{00000000-0005-0000-0000-00004B0D0000}"/>
    <cellStyle name="InputCells12 3 3 8" xfId="3740" xr:uid="{00000000-0005-0000-0000-00009C0E0000}"/>
    <cellStyle name="InputCells12 4" xfId="293" xr:uid="{00000000-0005-0000-0000-000025010000}"/>
    <cellStyle name="InputCells12 4 10" xfId="2943" xr:uid="{00000000-0005-0000-0000-00007F0B0000}"/>
    <cellStyle name="InputCells12 4 11" xfId="3099" xr:uid="{00000000-0005-0000-0000-00001B0C0000}"/>
    <cellStyle name="InputCells12 4 2" xfId="631" xr:uid="{00000000-0005-0000-0000-000077020000}"/>
    <cellStyle name="InputCells12 4 2 2" xfId="846" xr:uid="{00000000-0005-0000-0000-00004E030000}"/>
    <cellStyle name="InputCells12 4 2 2 2" xfId="1231" xr:uid="{00000000-0005-0000-0000-0000CF040000}"/>
    <cellStyle name="InputCells12 4 2 2 3" xfId="2028" xr:uid="{00000000-0005-0000-0000-0000EC070000}"/>
    <cellStyle name="InputCells12 4 2 2 4" xfId="2439" xr:uid="{00000000-0005-0000-0000-000087090000}"/>
    <cellStyle name="InputCells12 4 2 2 5" xfId="1583" xr:uid="{00000000-0005-0000-0000-00002F060000}"/>
    <cellStyle name="InputCells12 4 2 2 6" xfId="3132" xr:uid="{00000000-0005-0000-0000-00003C0C0000}"/>
    <cellStyle name="InputCells12 4 2 2 7" xfId="3516" xr:uid="{00000000-0005-0000-0000-0000BC0D0000}"/>
    <cellStyle name="InputCells12 4 2 2 8" xfId="3717" xr:uid="{00000000-0005-0000-0000-0000850E0000}"/>
    <cellStyle name="InputCells12 4 2 3" xfId="1541" xr:uid="{00000000-0005-0000-0000-000005060000}"/>
    <cellStyle name="InputCells12 4 2 4" xfId="1813" xr:uid="{00000000-0005-0000-0000-000015070000}"/>
    <cellStyle name="InputCells12 4 2 5" xfId="2225" xr:uid="{00000000-0005-0000-0000-0000B1080000}"/>
    <cellStyle name="InputCells12 4 2 6" xfId="50" xr:uid="{00000000-0005-0000-0000-000032000000}"/>
    <cellStyle name="InputCells12 4 2 7" xfId="2920" xr:uid="{00000000-0005-0000-0000-0000680B0000}"/>
    <cellStyle name="InputCells12 4 2 8" xfId="3304" xr:uid="{00000000-0005-0000-0000-0000E80C0000}"/>
    <cellStyle name="InputCells12 4 2 9" xfId="3669" xr:uid="{00000000-0005-0000-0000-0000550E0000}"/>
    <cellStyle name="InputCells12 4 3" xfId="556" xr:uid="{00000000-0005-0000-0000-00002C020000}"/>
    <cellStyle name="InputCells12 4 3 2" xfId="771" xr:uid="{00000000-0005-0000-0000-000003030000}"/>
    <cellStyle name="InputCells12 4 3 2 2" xfId="1103" xr:uid="{00000000-0005-0000-0000-00004F040000}"/>
    <cellStyle name="InputCells12 4 3 2 3" xfId="1953" xr:uid="{00000000-0005-0000-0000-0000A1070000}"/>
    <cellStyle name="InputCells12 4 3 2 4" xfId="2364" xr:uid="{00000000-0005-0000-0000-00003C090000}"/>
    <cellStyle name="InputCells12 4 3 2 5" xfId="1694" xr:uid="{00000000-0005-0000-0000-00009E060000}"/>
    <cellStyle name="InputCells12 4 3 2 6" xfId="1604" xr:uid="{00000000-0005-0000-0000-000044060000}"/>
    <cellStyle name="InputCells12 4 3 2 7" xfId="3441" xr:uid="{00000000-0005-0000-0000-0000710D0000}"/>
    <cellStyle name="InputCells12 4 3 2 8" xfId="2858" xr:uid="{00000000-0005-0000-0000-00002A0B0000}"/>
    <cellStyle name="InputCells12 4 3 3" xfId="1149" xr:uid="{00000000-0005-0000-0000-00007D040000}"/>
    <cellStyle name="InputCells12 4 3 4" xfId="1738" xr:uid="{00000000-0005-0000-0000-0000CA060000}"/>
    <cellStyle name="InputCells12 4 3 5" xfId="2150" xr:uid="{00000000-0005-0000-0000-000066080000}"/>
    <cellStyle name="InputCells12 4 3 6" xfId="1546" xr:uid="{00000000-0005-0000-0000-00000A060000}"/>
    <cellStyle name="InputCells12 4 3 7" xfId="3025" xr:uid="{00000000-0005-0000-0000-0000D10B0000}"/>
    <cellStyle name="InputCells12 4 3 8" xfId="3229" xr:uid="{00000000-0005-0000-0000-00009D0C0000}"/>
    <cellStyle name="InputCells12 4 3 9" xfId="3671" xr:uid="{00000000-0005-0000-0000-0000570E0000}"/>
    <cellStyle name="InputCells12 4 4" xfId="530" xr:uid="{00000000-0005-0000-0000-000012020000}"/>
    <cellStyle name="InputCells12 4 4 2" xfId="745" xr:uid="{00000000-0005-0000-0000-0000E9020000}"/>
    <cellStyle name="InputCells12 4 4 2 2" xfId="1495" xr:uid="{00000000-0005-0000-0000-0000D7050000}"/>
    <cellStyle name="InputCells12 4 4 2 3" xfId="1927" xr:uid="{00000000-0005-0000-0000-000087070000}"/>
    <cellStyle name="InputCells12 4 4 2 4" xfId="2338" xr:uid="{00000000-0005-0000-0000-000022090000}"/>
    <cellStyle name="InputCells12 4 4 2 5" xfId="2576" xr:uid="{00000000-0005-0000-0000-0000100A0000}"/>
    <cellStyle name="InputCells12 4 4 2 6" xfId="1362" xr:uid="{00000000-0005-0000-0000-000052050000}"/>
    <cellStyle name="InputCells12 4 4 2 7" xfId="3415" xr:uid="{00000000-0005-0000-0000-0000570D0000}"/>
    <cellStyle name="InputCells12 4 4 2 8" xfId="945" xr:uid="{00000000-0005-0000-0000-0000B1030000}"/>
    <cellStyle name="InputCells12 4 4 3" xfId="1571" xr:uid="{00000000-0005-0000-0000-000023060000}"/>
    <cellStyle name="InputCells12 4 4 4" xfId="1712" xr:uid="{00000000-0005-0000-0000-0000B0060000}"/>
    <cellStyle name="InputCells12 4 4 5" xfId="2124" xr:uid="{00000000-0005-0000-0000-00004C080000}"/>
    <cellStyle name="InputCells12 4 4 6" xfId="2794" xr:uid="{00000000-0005-0000-0000-0000EA0A0000}"/>
    <cellStyle name="InputCells12 4 4 7" xfId="2941" xr:uid="{00000000-0005-0000-0000-00007D0B0000}"/>
    <cellStyle name="InputCells12 4 4 8" xfId="3203" xr:uid="{00000000-0005-0000-0000-0000830C0000}"/>
    <cellStyle name="InputCells12 4 4 9" xfId="2768" xr:uid="{00000000-0005-0000-0000-0000D00A0000}"/>
    <cellStyle name="InputCells12 4 5" xfId="1182" xr:uid="{00000000-0005-0000-0000-00009E040000}"/>
    <cellStyle name="InputCells12 4 6" xfId="1573" xr:uid="{00000000-0005-0000-0000-000025060000}"/>
    <cellStyle name="InputCells12 4 7" xfId="1054" xr:uid="{00000000-0005-0000-0000-00001E040000}"/>
    <cellStyle name="InputCells12 4 8" xfId="1267" xr:uid="{00000000-0005-0000-0000-0000F3040000}"/>
    <cellStyle name="InputCells12 4 9" xfId="2865" xr:uid="{00000000-0005-0000-0000-0000310B0000}"/>
    <cellStyle name="InputCells12 5" xfId="88" xr:uid="{00000000-0005-0000-0000-000058000000}"/>
    <cellStyle name="InputCells12_BBorder" xfId="27" xr:uid="{00000000-0005-0000-0000-00001B000000}"/>
    <cellStyle name="IntCells" xfId="161" xr:uid="{00000000-0005-0000-0000-0000A1000000}"/>
    <cellStyle name="KP_thin_border_dark_grey" xfId="37" xr:uid="{00000000-0005-0000-0000-000025000000}"/>
    <cellStyle name="Linked Cell 2" xfId="162" xr:uid="{00000000-0005-0000-0000-0000A2000000}"/>
    <cellStyle name="Linked Cell 3" xfId="248" xr:uid="{00000000-0005-0000-0000-0000F8000000}"/>
    <cellStyle name="Linked Cell 4" xfId="383" xr:uid="{00000000-0005-0000-0000-00007F010000}"/>
    <cellStyle name="Neutral 2" xfId="163" xr:uid="{00000000-0005-0000-0000-0000A3000000}"/>
    <cellStyle name="Neutral 3" xfId="249" xr:uid="{00000000-0005-0000-0000-0000F9000000}"/>
    <cellStyle name="Normaali 2" xfId="164" xr:uid="{00000000-0005-0000-0000-0000A4000000}"/>
    <cellStyle name="Normaali 2 2" xfId="165" xr:uid="{00000000-0005-0000-0000-0000A5000000}"/>
    <cellStyle name="Normal" xfId="0" builtinId="0"/>
    <cellStyle name="Normal 10" xfId="386" xr:uid="{00000000-0005-0000-0000-000082010000}"/>
    <cellStyle name="Normal 10 2" xfId="455" xr:uid="{00000000-0005-0000-0000-0000C7010000}"/>
    <cellStyle name="Normal 11" xfId="414" xr:uid="{00000000-0005-0000-0000-00009E010000}"/>
    <cellStyle name="Normal 11 2" xfId="456" xr:uid="{00000000-0005-0000-0000-0000C8010000}"/>
    <cellStyle name="Normal 12" xfId="525" xr:uid="{00000000-0005-0000-0000-00000D020000}"/>
    <cellStyle name="Normal 12 2" xfId="685" xr:uid="{00000000-0005-0000-0000-0000AD020000}"/>
    <cellStyle name="Normal 2" xfId="6" xr:uid="{00000000-0005-0000-0000-000006000000}"/>
    <cellStyle name="Normal 2 2" xfId="166" xr:uid="{00000000-0005-0000-0000-0000A6000000}"/>
    <cellStyle name="Normal 2 2 2" xfId="167" xr:uid="{00000000-0005-0000-0000-0000A7000000}"/>
    <cellStyle name="Normal 2 3" xfId="168" xr:uid="{00000000-0005-0000-0000-0000A8000000}"/>
    <cellStyle name="Normal 2 3 2" xfId="436" xr:uid="{00000000-0005-0000-0000-0000B4010000}"/>
    <cellStyle name="Normal 2 4" xfId="41" xr:uid="{00000000-0005-0000-0000-000029000000}"/>
    <cellStyle name="Normal 3" xfId="1" xr:uid="{00000000-0005-0000-0000-000001000000}"/>
    <cellStyle name="Normal 3 2" xfId="169" xr:uid="{00000000-0005-0000-0000-0000A9000000}"/>
    <cellStyle name="Normal 3 2 2" xfId="42" xr:uid="{00000000-0005-0000-0000-00002A000000}"/>
    <cellStyle name="Normal 3 3" xfId="210" xr:uid="{00000000-0005-0000-0000-0000D2000000}"/>
    <cellStyle name="Normal 3 4" xfId="372" xr:uid="{00000000-0005-0000-0000-000074010000}"/>
    <cellStyle name="Normal 3 5" xfId="38" xr:uid="{00000000-0005-0000-0000-000026000000}"/>
    <cellStyle name="Normal 4" xfId="170" xr:uid="{00000000-0005-0000-0000-0000AA000000}"/>
    <cellStyle name="Normal 4 2" xfId="171" xr:uid="{00000000-0005-0000-0000-0000AB000000}"/>
    <cellStyle name="Normal 4 2 2" xfId="172" xr:uid="{00000000-0005-0000-0000-0000AC000000}"/>
    <cellStyle name="Normal 4 2 3" xfId="437" xr:uid="{00000000-0005-0000-0000-0000B5010000}"/>
    <cellStyle name="Normal 4 3" xfId="211" xr:uid="{00000000-0005-0000-0000-0000D3000000}"/>
    <cellStyle name="Normal 4 3 2" xfId="438" xr:uid="{00000000-0005-0000-0000-0000B6010000}"/>
    <cellStyle name="Normal 5" xfId="173" xr:uid="{00000000-0005-0000-0000-0000AD000000}"/>
    <cellStyle name="Normal 5 2" xfId="304" xr:uid="{00000000-0005-0000-0000-000030010000}"/>
    <cellStyle name="Normal 5 2 2" xfId="311" xr:uid="{00000000-0005-0000-0000-000037010000}"/>
    <cellStyle name="Normal 5 2 2 2" xfId="317" xr:uid="{00000000-0005-0000-0000-00003D010000}"/>
    <cellStyle name="Normal 5 2 2 2 2" xfId="332" xr:uid="{00000000-0005-0000-0000-00004C010000}"/>
    <cellStyle name="Normal 5 2 2 2 2 2" xfId="461" xr:uid="{00000000-0005-0000-0000-0000CD010000}"/>
    <cellStyle name="Normal 5 2 2 2 3" xfId="460" xr:uid="{00000000-0005-0000-0000-0000CC010000}"/>
    <cellStyle name="Normal 5 2 2 3" xfId="331" xr:uid="{00000000-0005-0000-0000-00004B010000}"/>
    <cellStyle name="Normal 5 2 2 3 2" xfId="462" xr:uid="{00000000-0005-0000-0000-0000CE010000}"/>
    <cellStyle name="Normal 5 2 2 4" xfId="459" xr:uid="{00000000-0005-0000-0000-0000CB010000}"/>
    <cellStyle name="Normal 5 2 3" xfId="316" xr:uid="{00000000-0005-0000-0000-00003C010000}"/>
    <cellStyle name="Normal 5 2 3 2" xfId="333" xr:uid="{00000000-0005-0000-0000-00004D010000}"/>
    <cellStyle name="Normal 5 2 3 2 2" xfId="464" xr:uid="{00000000-0005-0000-0000-0000D0010000}"/>
    <cellStyle name="Normal 5 2 3 3" xfId="463" xr:uid="{00000000-0005-0000-0000-0000CF010000}"/>
    <cellStyle name="Normal 5 2 4" xfId="330" xr:uid="{00000000-0005-0000-0000-00004A010000}"/>
    <cellStyle name="Normal 5 2 4 2" xfId="465" xr:uid="{00000000-0005-0000-0000-0000D1010000}"/>
    <cellStyle name="Normal 5 2 5" xfId="439" xr:uid="{00000000-0005-0000-0000-0000B7010000}"/>
    <cellStyle name="Normal 5 2 5 2" xfId="466" xr:uid="{00000000-0005-0000-0000-0000D2010000}"/>
    <cellStyle name="Normal 5 2 6" xfId="458" xr:uid="{00000000-0005-0000-0000-0000CA010000}"/>
    <cellStyle name="Normal 5 3" xfId="308" xr:uid="{00000000-0005-0000-0000-000034010000}"/>
    <cellStyle name="Normal 5 3 2" xfId="318" xr:uid="{00000000-0005-0000-0000-00003E010000}"/>
    <cellStyle name="Normal 5 3 2 2" xfId="335" xr:uid="{00000000-0005-0000-0000-00004F010000}"/>
    <cellStyle name="Normal 5 3 2 2 2" xfId="469" xr:uid="{00000000-0005-0000-0000-0000D5010000}"/>
    <cellStyle name="Normal 5 3 2 3" xfId="468" xr:uid="{00000000-0005-0000-0000-0000D4010000}"/>
    <cellStyle name="Normal 5 3 3" xfId="334" xr:uid="{00000000-0005-0000-0000-00004E010000}"/>
    <cellStyle name="Normal 5 3 3 2" xfId="470" xr:uid="{00000000-0005-0000-0000-0000D6010000}"/>
    <cellStyle name="Normal 5 3 4" xfId="467" xr:uid="{00000000-0005-0000-0000-0000D3010000}"/>
    <cellStyle name="Normal 5 4" xfId="315" xr:uid="{00000000-0005-0000-0000-00003B010000}"/>
    <cellStyle name="Normal 5 4 2" xfId="336" xr:uid="{00000000-0005-0000-0000-000050010000}"/>
    <cellStyle name="Normal 5 4 2 2" xfId="472" xr:uid="{00000000-0005-0000-0000-0000D8010000}"/>
    <cellStyle name="Normal 5 4 3" xfId="471" xr:uid="{00000000-0005-0000-0000-0000D7010000}"/>
    <cellStyle name="Normal 5 5" xfId="329" xr:uid="{00000000-0005-0000-0000-000049010000}"/>
    <cellStyle name="Normal 5 5 2" xfId="473" xr:uid="{00000000-0005-0000-0000-0000D9010000}"/>
    <cellStyle name="Normal 5 6" xfId="373" xr:uid="{00000000-0005-0000-0000-000075010000}"/>
    <cellStyle name="Normal 5 7" xfId="457" xr:uid="{00000000-0005-0000-0000-0000C9010000}"/>
    <cellStyle name="Normal 5 8" xfId="295" xr:uid="{00000000-0005-0000-0000-000027010000}"/>
    <cellStyle name="Normal 6" xfId="174" xr:uid="{00000000-0005-0000-0000-0000AE000000}"/>
    <cellStyle name="Normal 6 10" xfId="440" xr:uid="{00000000-0005-0000-0000-0000B8010000}"/>
    <cellStyle name="Normal 6 10 2" xfId="475" xr:uid="{00000000-0005-0000-0000-0000DB010000}"/>
    <cellStyle name="Normal 6 11" xfId="474" xr:uid="{00000000-0005-0000-0000-0000DA010000}"/>
    <cellStyle name="Normal 6 2" xfId="305" xr:uid="{00000000-0005-0000-0000-000031010000}"/>
    <cellStyle name="Normal 6 2 2" xfId="312" xr:uid="{00000000-0005-0000-0000-000038010000}"/>
    <cellStyle name="Normal 6 2 2 2" xfId="321" xr:uid="{00000000-0005-0000-0000-000041010000}"/>
    <cellStyle name="Normal 6 2 2 2 2" xfId="340" xr:uid="{00000000-0005-0000-0000-000054010000}"/>
    <cellStyle name="Normal 6 2 2 2 2 2" xfId="479" xr:uid="{00000000-0005-0000-0000-0000DF010000}"/>
    <cellStyle name="Normal 6 2 2 2 3" xfId="478" xr:uid="{00000000-0005-0000-0000-0000DE010000}"/>
    <cellStyle name="Normal 6 2 2 3" xfId="339" xr:uid="{00000000-0005-0000-0000-000053010000}"/>
    <cellStyle name="Normal 6 2 2 3 2" xfId="480" xr:uid="{00000000-0005-0000-0000-0000E0010000}"/>
    <cellStyle name="Normal 6 2 2 4" xfId="477" xr:uid="{00000000-0005-0000-0000-0000DD010000}"/>
    <cellStyle name="Normal 6 2 3" xfId="320" xr:uid="{00000000-0005-0000-0000-000040010000}"/>
    <cellStyle name="Normal 6 2 3 2" xfId="341" xr:uid="{00000000-0005-0000-0000-000055010000}"/>
    <cellStyle name="Normal 6 2 3 2 2" xfId="482" xr:uid="{00000000-0005-0000-0000-0000E2010000}"/>
    <cellStyle name="Normal 6 2 3 3" xfId="481" xr:uid="{00000000-0005-0000-0000-0000E1010000}"/>
    <cellStyle name="Normal 6 2 4" xfId="338" xr:uid="{00000000-0005-0000-0000-000052010000}"/>
    <cellStyle name="Normal 6 2 4 2" xfId="483" xr:uid="{00000000-0005-0000-0000-0000E3010000}"/>
    <cellStyle name="Normal 6 2 5" xfId="441" xr:uid="{00000000-0005-0000-0000-0000B9010000}"/>
    <cellStyle name="Normal 6 2 5 2" xfId="484" xr:uid="{00000000-0005-0000-0000-0000E4010000}"/>
    <cellStyle name="Normal 6 2 6" xfId="476" xr:uid="{00000000-0005-0000-0000-0000DC010000}"/>
    <cellStyle name="Normal 6 3" xfId="307" xr:uid="{00000000-0005-0000-0000-000033010000}"/>
    <cellStyle name="Normal 6 3 2" xfId="314" xr:uid="{00000000-0005-0000-0000-00003A010000}"/>
    <cellStyle name="Normal 6 3 2 2" xfId="323" xr:uid="{00000000-0005-0000-0000-000043010000}"/>
    <cellStyle name="Normal 6 3 2 2 2" xfId="344" xr:uid="{00000000-0005-0000-0000-000058010000}"/>
    <cellStyle name="Normal 6 3 2 2 2 2" xfId="488" xr:uid="{00000000-0005-0000-0000-0000E8010000}"/>
    <cellStyle name="Normal 6 3 2 2 3" xfId="487" xr:uid="{00000000-0005-0000-0000-0000E7010000}"/>
    <cellStyle name="Normal 6 3 2 3" xfId="343" xr:uid="{00000000-0005-0000-0000-000057010000}"/>
    <cellStyle name="Normal 6 3 2 3 2" xfId="489" xr:uid="{00000000-0005-0000-0000-0000E9010000}"/>
    <cellStyle name="Normal 6 3 2 4" xfId="486" xr:uid="{00000000-0005-0000-0000-0000E6010000}"/>
    <cellStyle name="Normal 6 3 3" xfId="322" xr:uid="{00000000-0005-0000-0000-000042010000}"/>
    <cellStyle name="Normal 6 3 3 2" xfId="345" xr:uid="{00000000-0005-0000-0000-000059010000}"/>
    <cellStyle name="Normal 6 3 3 2 2" xfId="491" xr:uid="{00000000-0005-0000-0000-0000EB010000}"/>
    <cellStyle name="Normal 6 3 3 3" xfId="490" xr:uid="{00000000-0005-0000-0000-0000EA010000}"/>
    <cellStyle name="Normal 6 3 4" xfId="342" xr:uid="{00000000-0005-0000-0000-000056010000}"/>
    <cellStyle name="Normal 6 3 4 2" xfId="492" xr:uid="{00000000-0005-0000-0000-0000EC010000}"/>
    <cellStyle name="Normal 6 3 5" xfId="485" xr:uid="{00000000-0005-0000-0000-0000E5010000}"/>
    <cellStyle name="Normal 6 4" xfId="309" xr:uid="{00000000-0005-0000-0000-000035010000}"/>
    <cellStyle name="Normal 6 4 2" xfId="324" xr:uid="{00000000-0005-0000-0000-000044010000}"/>
    <cellStyle name="Normal 6 4 2 2" xfId="347" xr:uid="{00000000-0005-0000-0000-00005B010000}"/>
    <cellStyle name="Normal 6 4 2 2 2" xfId="495" xr:uid="{00000000-0005-0000-0000-0000EF010000}"/>
    <cellStyle name="Normal 6 4 2 3" xfId="494" xr:uid="{00000000-0005-0000-0000-0000EE010000}"/>
    <cellStyle name="Normal 6 4 3" xfId="346" xr:uid="{00000000-0005-0000-0000-00005A010000}"/>
    <cellStyle name="Normal 6 4 3 2" xfId="496" xr:uid="{00000000-0005-0000-0000-0000F0010000}"/>
    <cellStyle name="Normal 6 4 4" xfId="493" xr:uid="{00000000-0005-0000-0000-0000ED010000}"/>
    <cellStyle name="Normal 6 5" xfId="319" xr:uid="{00000000-0005-0000-0000-00003F010000}"/>
    <cellStyle name="Normal 6 5 2" xfId="348" xr:uid="{00000000-0005-0000-0000-00005C010000}"/>
    <cellStyle name="Normal 6 5 2 2" xfId="498" xr:uid="{00000000-0005-0000-0000-0000F2010000}"/>
    <cellStyle name="Normal 6 5 3" xfId="497" xr:uid="{00000000-0005-0000-0000-0000F1010000}"/>
    <cellStyle name="Normal 6 6" xfId="337" xr:uid="{00000000-0005-0000-0000-000051010000}"/>
    <cellStyle name="Normal 6 6 2" xfId="499" xr:uid="{00000000-0005-0000-0000-0000F3010000}"/>
    <cellStyle name="Normal 6 7" xfId="374" xr:uid="{00000000-0005-0000-0000-000076010000}"/>
    <cellStyle name="Normal 6 7 2" xfId="500" xr:uid="{00000000-0005-0000-0000-0000F4010000}"/>
    <cellStyle name="Normal 6 8" xfId="410" xr:uid="{00000000-0005-0000-0000-00009A010000}"/>
    <cellStyle name="Normal 6 8 2" xfId="501" xr:uid="{00000000-0005-0000-0000-0000F5010000}"/>
    <cellStyle name="Normal 6 9" xfId="413" xr:uid="{00000000-0005-0000-0000-00009D010000}"/>
    <cellStyle name="Normal 6 9 2" xfId="502" xr:uid="{00000000-0005-0000-0000-0000F6010000}"/>
    <cellStyle name="Normal 7" xfId="36" xr:uid="{00000000-0005-0000-0000-000024000000}"/>
    <cellStyle name="Normal 7 2" xfId="306" xr:uid="{00000000-0005-0000-0000-000032010000}"/>
    <cellStyle name="Normal 7 2 2" xfId="313" xr:uid="{00000000-0005-0000-0000-000039010000}"/>
    <cellStyle name="Normal 7 2 2 2" xfId="327" xr:uid="{00000000-0005-0000-0000-000047010000}"/>
    <cellStyle name="Normal 7 2 2 2 2" xfId="352" xr:uid="{00000000-0005-0000-0000-000060010000}"/>
    <cellStyle name="Normal 7 2 2 2 2 2" xfId="507" xr:uid="{00000000-0005-0000-0000-0000FB010000}"/>
    <cellStyle name="Normal 7 2 2 2 3" xfId="506" xr:uid="{00000000-0005-0000-0000-0000FA010000}"/>
    <cellStyle name="Normal 7 2 2 3" xfId="351" xr:uid="{00000000-0005-0000-0000-00005F010000}"/>
    <cellStyle name="Normal 7 2 2 3 2" xfId="508" xr:uid="{00000000-0005-0000-0000-0000FC010000}"/>
    <cellStyle name="Normal 7 2 2 4" xfId="505" xr:uid="{00000000-0005-0000-0000-0000F9010000}"/>
    <cellStyle name="Normal 7 2 3" xfId="326" xr:uid="{00000000-0005-0000-0000-000046010000}"/>
    <cellStyle name="Normal 7 2 3 2" xfId="353" xr:uid="{00000000-0005-0000-0000-000061010000}"/>
    <cellStyle name="Normal 7 2 3 2 2" xfId="510" xr:uid="{00000000-0005-0000-0000-0000FE010000}"/>
    <cellStyle name="Normal 7 2 3 3" xfId="509" xr:uid="{00000000-0005-0000-0000-0000FD010000}"/>
    <cellStyle name="Normal 7 2 4" xfId="350" xr:uid="{00000000-0005-0000-0000-00005E010000}"/>
    <cellStyle name="Normal 7 2 4 2" xfId="511" xr:uid="{00000000-0005-0000-0000-0000FF010000}"/>
    <cellStyle name="Normal 7 2 5" xfId="442" xr:uid="{00000000-0005-0000-0000-0000BA010000}"/>
    <cellStyle name="Normal 7 2 5 2" xfId="512" xr:uid="{00000000-0005-0000-0000-000000020000}"/>
    <cellStyle name="Normal 7 2 6" xfId="504" xr:uid="{00000000-0005-0000-0000-0000F8010000}"/>
    <cellStyle name="Normal 7 3" xfId="310" xr:uid="{00000000-0005-0000-0000-000036010000}"/>
    <cellStyle name="Normal 7 3 2" xfId="328" xr:uid="{00000000-0005-0000-0000-000048010000}"/>
    <cellStyle name="Normal 7 3 2 2" xfId="355" xr:uid="{00000000-0005-0000-0000-000063010000}"/>
    <cellStyle name="Normal 7 3 2 2 2" xfId="515" xr:uid="{00000000-0005-0000-0000-000003020000}"/>
    <cellStyle name="Normal 7 3 2 3" xfId="514" xr:uid="{00000000-0005-0000-0000-000002020000}"/>
    <cellStyle name="Normal 7 3 3" xfId="354" xr:uid="{00000000-0005-0000-0000-000062010000}"/>
    <cellStyle name="Normal 7 3 3 2" xfId="516" xr:uid="{00000000-0005-0000-0000-000004020000}"/>
    <cellStyle name="Normal 7 3 4" xfId="513" xr:uid="{00000000-0005-0000-0000-000001020000}"/>
    <cellStyle name="Normal 7 4" xfId="325" xr:uid="{00000000-0005-0000-0000-000045010000}"/>
    <cellStyle name="Normal 7 4 2" xfId="356" xr:uid="{00000000-0005-0000-0000-000064010000}"/>
    <cellStyle name="Normal 7 4 2 2" xfId="518" xr:uid="{00000000-0005-0000-0000-000006020000}"/>
    <cellStyle name="Normal 7 4 3" xfId="517" xr:uid="{00000000-0005-0000-0000-000005020000}"/>
    <cellStyle name="Normal 7 5" xfId="349" xr:uid="{00000000-0005-0000-0000-00005D010000}"/>
    <cellStyle name="Normal 7 5 2" xfId="519" xr:uid="{00000000-0005-0000-0000-000007020000}"/>
    <cellStyle name="Normal 7 6" xfId="362" xr:uid="{00000000-0005-0000-0000-00006A010000}"/>
    <cellStyle name="Normal 7 7" xfId="503" xr:uid="{00000000-0005-0000-0000-0000F7010000}"/>
    <cellStyle name="Normal 7 8" xfId="303" xr:uid="{00000000-0005-0000-0000-00002F010000}"/>
    <cellStyle name="Normal 8" xfId="250" xr:uid="{00000000-0005-0000-0000-0000FA000000}"/>
    <cellStyle name="Normal 8 2" xfId="444" xr:uid="{00000000-0005-0000-0000-0000BC010000}"/>
    <cellStyle name="Normal 8 3" xfId="443" xr:uid="{00000000-0005-0000-0000-0000BB010000}"/>
    <cellStyle name="Normal 9" xfId="357" xr:uid="{00000000-0005-0000-0000-000065010000}"/>
    <cellStyle name="Normal 9 2" xfId="520" xr:uid="{00000000-0005-0000-0000-000008020000}"/>
    <cellStyle name="Normal GHG Numbers (0.00)" xfId="175" xr:uid="{00000000-0005-0000-0000-0000AF000000}"/>
    <cellStyle name="Normal GHG Numbers (0.00) 2" xfId="176" xr:uid="{00000000-0005-0000-0000-0000B0000000}"/>
    <cellStyle name="Normal GHG Numbers (0.00) 3" xfId="39" xr:uid="{00000000-0005-0000-0000-000027000000}"/>
    <cellStyle name="Normal GHG Numbers (0.00) 3 2" xfId="445" xr:uid="{00000000-0005-0000-0000-0000BD010000}"/>
    <cellStyle name="Normal GHG Numbers (0.00) 3 2 2" xfId="594" xr:uid="{00000000-0005-0000-0000-000052020000}"/>
    <cellStyle name="Normal GHG Numbers (0.00) 3 2 2 2" xfId="809" xr:uid="{00000000-0005-0000-0000-000029030000}"/>
    <cellStyle name="Normal GHG Numbers (0.00) 3 2 2 2 2" xfId="1073" xr:uid="{00000000-0005-0000-0000-000031040000}"/>
    <cellStyle name="Normal GHG Numbers (0.00) 3 2 2 2 3" xfId="1991" xr:uid="{00000000-0005-0000-0000-0000C7070000}"/>
    <cellStyle name="Normal GHG Numbers (0.00) 3 2 2 2 4" xfId="2402" xr:uid="{00000000-0005-0000-0000-000062090000}"/>
    <cellStyle name="Normal GHG Numbers (0.00) 3 2 2 2 5" xfId="1696" xr:uid="{00000000-0005-0000-0000-0000A0060000}"/>
    <cellStyle name="Normal GHG Numbers (0.00) 3 2 2 2 6" xfId="3000" xr:uid="{00000000-0005-0000-0000-0000B80B0000}"/>
    <cellStyle name="Normal GHG Numbers (0.00) 3 2 2 2 7" xfId="3479" xr:uid="{00000000-0005-0000-0000-0000970D0000}"/>
    <cellStyle name="Normal GHG Numbers (0.00) 3 2 2 2 8" xfId="2923" xr:uid="{00000000-0005-0000-0000-00006B0B0000}"/>
    <cellStyle name="Normal GHG Numbers (0.00) 3 2 2 3" xfId="1636" xr:uid="{00000000-0005-0000-0000-000064060000}"/>
    <cellStyle name="Normal GHG Numbers (0.00) 3 2 2 4" xfId="1776" xr:uid="{00000000-0005-0000-0000-0000F0060000}"/>
    <cellStyle name="Normal GHG Numbers (0.00) 3 2 2 5" xfId="2188" xr:uid="{00000000-0005-0000-0000-00008C080000}"/>
    <cellStyle name="Normal GHG Numbers (0.00) 3 2 2 6" xfId="2117" xr:uid="{00000000-0005-0000-0000-000045080000}"/>
    <cellStyle name="Normal GHG Numbers (0.00) 3 2 2 7" xfId="2996" xr:uid="{00000000-0005-0000-0000-0000B40B0000}"/>
    <cellStyle name="Normal GHG Numbers (0.00) 3 2 2 8" xfId="3267" xr:uid="{00000000-0005-0000-0000-0000C30C0000}"/>
    <cellStyle name="Normal GHG Numbers (0.00) 3 2 2 9" xfId="3694" xr:uid="{00000000-0005-0000-0000-00006E0E0000}"/>
    <cellStyle name="Normal GHG Numbers (0.00) 3 2 3" xfId="735" xr:uid="{00000000-0005-0000-0000-0000DF020000}"/>
    <cellStyle name="Normal GHG Numbers (0.00) 3 2 3 2" xfId="1524" xr:uid="{00000000-0005-0000-0000-0000F4050000}"/>
    <cellStyle name="Normal GHG Numbers (0.00) 3 2 3 3" xfId="1917" xr:uid="{00000000-0005-0000-0000-00007D070000}"/>
    <cellStyle name="Normal GHG Numbers (0.00) 3 2 3 4" xfId="2328" xr:uid="{00000000-0005-0000-0000-000018090000}"/>
    <cellStyle name="Normal GHG Numbers (0.00) 3 2 3 5" xfId="2826" xr:uid="{00000000-0005-0000-0000-00000A0B0000}"/>
    <cellStyle name="Normal GHG Numbers (0.00) 3 2 3 6" xfId="3150" xr:uid="{00000000-0005-0000-0000-00004E0C0000}"/>
    <cellStyle name="Normal GHG Numbers (0.00) 3 2 3 7" xfId="3405" xr:uid="{00000000-0005-0000-0000-00004D0D0000}"/>
    <cellStyle name="Normal GHG Numbers (0.00) 3 2 3 8" xfId="3765" xr:uid="{00000000-0005-0000-0000-0000B50E0000}"/>
    <cellStyle name="Normal GHG Numbers (0.00) 3 3" xfId="375" xr:uid="{00000000-0005-0000-0000-000077010000}"/>
    <cellStyle name="Normal GHG Numbers (0.00) 3 3 10" xfId="2568" xr:uid="{00000000-0005-0000-0000-0000080A0000}"/>
    <cellStyle name="Normal GHG Numbers (0.00) 3 3 11" xfId="1217" xr:uid="{00000000-0005-0000-0000-0000C1040000}"/>
    <cellStyle name="Normal GHG Numbers (0.00) 3 3 2" xfId="653" xr:uid="{00000000-0005-0000-0000-00008D020000}"/>
    <cellStyle name="Normal GHG Numbers (0.00) 3 3 2 2" xfId="868" xr:uid="{00000000-0005-0000-0000-000064030000}"/>
    <cellStyle name="Normal GHG Numbers (0.00) 3 3 2 2 2" xfId="1083" xr:uid="{00000000-0005-0000-0000-00003B040000}"/>
    <cellStyle name="Normal GHG Numbers (0.00) 3 3 2 2 3" xfId="2050" xr:uid="{00000000-0005-0000-0000-000002080000}"/>
    <cellStyle name="Normal GHG Numbers (0.00) 3 3 2 2 4" xfId="2461" xr:uid="{00000000-0005-0000-0000-00009D090000}"/>
    <cellStyle name="Normal GHG Numbers (0.00) 3 3 2 2 5" xfId="2733" xr:uid="{00000000-0005-0000-0000-0000AD0A0000}"/>
    <cellStyle name="Normal GHG Numbers (0.00) 3 3 2 2 6" xfId="1325" xr:uid="{00000000-0005-0000-0000-00002D050000}"/>
    <cellStyle name="Normal GHG Numbers (0.00) 3 3 2 2 7" xfId="3538" xr:uid="{00000000-0005-0000-0000-0000D20D0000}"/>
    <cellStyle name="Normal GHG Numbers (0.00) 3 3 2 2 8" xfId="3741" xr:uid="{00000000-0005-0000-0000-00009D0E0000}"/>
    <cellStyle name="Normal GHG Numbers (0.00) 3 3 2 3" xfId="1463" xr:uid="{00000000-0005-0000-0000-0000B7050000}"/>
    <cellStyle name="Normal GHG Numbers (0.00) 3 3 2 4" xfId="1835" xr:uid="{00000000-0005-0000-0000-00002B070000}"/>
    <cellStyle name="Normal GHG Numbers (0.00) 3 3 2 5" xfId="2247" xr:uid="{00000000-0005-0000-0000-0000C7080000}"/>
    <cellStyle name="Normal GHG Numbers (0.00) 3 3 2 6" xfId="1690" xr:uid="{00000000-0005-0000-0000-00009A060000}"/>
    <cellStyle name="Normal GHG Numbers (0.00) 3 3 2 7" xfId="3142" xr:uid="{00000000-0005-0000-0000-0000460C0000}"/>
    <cellStyle name="Normal GHG Numbers (0.00) 3 3 2 8" xfId="3326" xr:uid="{00000000-0005-0000-0000-0000FE0C0000}"/>
    <cellStyle name="Normal GHG Numbers (0.00) 3 3 2 9" xfId="3657" xr:uid="{00000000-0005-0000-0000-0000490E0000}"/>
    <cellStyle name="Normal GHG Numbers (0.00) 3 3 3" xfId="550" xr:uid="{00000000-0005-0000-0000-000026020000}"/>
    <cellStyle name="Normal GHG Numbers (0.00) 3 3 3 2" xfId="765" xr:uid="{00000000-0005-0000-0000-0000FD020000}"/>
    <cellStyle name="Normal GHG Numbers (0.00) 3 3 3 2 2" xfId="1014" xr:uid="{00000000-0005-0000-0000-0000F6030000}"/>
    <cellStyle name="Normal GHG Numbers (0.00) 3 3 3 2 3" xfId="1947" xr:uid="{00000000-0005-0000-0000-00009B070000}"/>
    <cellStyle name="Normal GHG Numbers (0.00) 3 3 3 2 4" xfId="2358" xr:uid="{00000000-0005-0000-0000-000036090000}"/>
    <cellStyle name="Normal GHG Numbers (0.00) 3 3 3 2 5" xfId="2522" xr:uid="{00000000-0005-0000-0000-0000DA090000}"/>
    <cellStyle name="Normal GHG Numbers (0.00) 3 3 3 2 6" xfId="2805" xr:uid="{00000000-0005-0000-0000-0000F50A0000}"/>
    <cellStyle name="Normal GHG Numbers (0.00) 3 3 3 2 7" xfId="3435" xr:uid="{00000000-0005-0000-0000-00006B0D0000}"/>
    <cellStyle name="Normal GHG Numbers (0.00) 3 3 3 2 8" xfId="3644" xr:uid="{00000000-0005-0000-0000-00003C0E0000}"/>
    <cellStyle name="Normal GHG Numbers (0.00) 3 3 3 3" xfId="1550" xr:uid="{00000000-0005-0000-0000-00000E060000}"/>
    <cellStyle name="Normal GHG Numbers (0.00) 3 3 3 4" xfId="1732" xr:uid="{00000000-0005-0000-0000-0000C4060000}"/>
    <cellStyle name="Normal GHG Numbers (0.00) 3 3 3 5" xfId="2144" xr:uid="{00000000-0005-0000-0000-000060080000}"/>
    <cellStyle name="Normal GHG Numbers (0.00) 3 3 3 6" xfId="2564" xr:uid="{00000000-0005-0000-0000-0000040A0000}"/>
    <cellStyle name="Normal GHG Numbers (0.00) 3 3 3 7" xfId="2926" xr:uid="{00000000-0005-0000-0000-00006E0B0000}"/>
    <cellStyle name="Normal GHG Numbers (0.00) 3 3 3 8" xfId="3223" xr:uid="{00000000-0005-0000-0000-0000970C0000}"/>
    <cellStyle name="Normal GHG Numbers (0.00) 3 3 3 9" xfId="3616" xr:uid="{00000000-0005-0000-0000-0000200E0000}"/>
    <cellStyle name="Normal GHG Numbers (0.00) 3 3 4" xfId="683" xr:uid="{00000000-0005-0000-0000-0000AB020000}"/>
    <cellStyle name="Normal GHG Numbers (0.00) 3 3 4 2" xfId="898" xr:uid="{00000000-0005-0000-0000-000082030000}"/>
    <cellStyle name="Normal GHG Numbers (0.00) 3 3 4 2 2" xfId="1657" xr:uid="{00000000-0005-0000-0000-000079060000}"/>
    <cellStyle name="Normal GHG Numbers (0.00) 3 3 4 2 3" xfId="2080" xr:uid="{00000000-0005-0000-0000-000020080000}"/>
    <cellStyle name="Normal GHG Numbers (0.00) 3 3 4 2 4" xfId="2491" xr:uid="{00000000-0005-0000-0000-0000BB090000}"/>
    <cellStyle name="Normal GHG Numbers (0.00) 3 3 4 2 5" xfId="2849" xr:uid="{00000000-0005-0000-0000-0000210B0000}"/>
    <cellStyle name="Normal GHG Numbers (0.00) 3 3 4 2 6" xfId="3170" xr:uid="{00000000-0005-0000-0000-0000620C0000}"/>
    <cellStyle name="Normal GHG Numbers (0.00) 3 3 4 2 7" xfId="3568" xr:uid="{00000000-0005-0000-0000-0000F00D0000}"/>
    <cellStyle name="Normal GHG Numbers (0.00) 3 3 4 2 8" xfId="3784" xr:uid="{00000000-0005-0000-0000-0000C80E0000}"/>
    <cellStyle name="Normal GHG Numbers (0.00) 3 3 4 3" xfId="1620" xr:uid="{00000000-0005-0000-0000-000054060000}"/>
    <cellStyle name="Normal GHG Numbers (0.00) 3 3 4 4" xfId="1865" xr:uid="{00000000-0005-0000-0000-000049070000}"/>
    <cellStyle name="Normal GHG Numbers (0.00) 3 3 4 5" xfId="2277" xr:uid="{00000000-0005-0000-0000-0000E5080000}"/>
    <cellStyle name="Normal GHG Numbers (0.00) 3 3 4 6" xfId="1381" xr:uid="{00000000-0005-0000-0000-000065050000}"/>
    <cellStyle name="Normal GHG Numbers (0.00) 3 3 4 7" xfId="3047" xr:uid="{00000000-0005-0000-0000-0000E70B0000}"/>
    <cellStyle name="Normal GHG Numbers (0.00) 3 3 4 8" xfId="3356" xr:uid="{00000000-0005-0000-0000-00001C0D0000}"/>
    <cellStyle name="Normal GHG Numbers (0.00) 3 3 4 9" xfId="3070" xr:uid="{00000000-0005-0000-0000-0000FE0B0000}"/>
    <cellStyle name="Normal GHG Numbers (0.00) 3 3 5" xfId="1477" xr:uid="{00000000-0005-0000-0000-0000C5050000}"/>
    <cellStyle name="Normal GHG Numbers (0.00) 3 3 6" xfId="1058" xr:uid="{00000000-0005-0000-0000-000022040000}"/>
    <cellStyle name="Normal GHG Numbers (0.00) 3 3 7" xfId="1470" xr:uid="{00000000-0005-0000-0000-0000BE050000}"/>
    <cellStyle name="Normal GHG Numbers (0.00) 3 3 8" xfId="1593" xr:uid="{00000000-0005-0000-0000-000039060000}"/>
    <cellStyle name="Normal GHG Numbers (0.00) 3 3 9" xfId="3052" xr:uid="{00000000-0005-0000-0000-0000EC0B0000}"/>
    <cellStyle name="Normal GHG Numbers (0.00) 3 4" xfId="177" xr:uid="{00000000-0005-0000-0000-0000B1000000}"/>
    <cellStyle name="Normal GHG Textfiels Bold" xfId="7" xr:uid="{00000000-0005-0000-0000-000007000000}"/>
    <cellStyle name="Normal GHG Textfiels Bold 2" xfId="178" xr:uid="{00000000-0005-0000-0000-0000B2000000}"/>
    <cellStyle name="Normal GHG Textfiels Bold 3" xfId="179" xr:uid="{00000000-0005-0000-0000-0000B3000000}"/>
    <cellStyle name="Normal GHG Textfiels Bold 3 2" xfId="446" xr:uid="{00000000-0005-0000-0000-0000BE010000}"/>
    <cellStyle name="Normal GHG Textfiels Bold 3 2 2" xfId="538" xr:uid="{00000000-0005-0000-0000-00001A020000}"/>
    <cellStyle name="Normal GHG Textfiels Bold 3 2 2 2" xfId="753" xr:uid="{00000000-0005-0000-0000-0000F1020000}"/>
    <cellStyle name="Normal GHG Textfiels Bold 3 2 2 2 2" xfId="1075" xr:uid="{00000000-0005-0000-0000-000033040000}"/>
    <cellStyle name="Normal GHG Textfiels Bold 3 2 2 2 3" xfId="1935" xr:uid="{00000000-0005-0000-0000-00008F070000}"/>
    <cellStyle name="Normal GHG Textfiels Bold 3 2 2 2 4" xfId="2346" xr:uid="{00000000-0005-0000-0000-00002A090000}"/>
    <cellStyle name="Normal GHG Textfiels Bold 3 2 2 2 5" xfId="2775" xr:uid="{00000000-0005-0000-0000-0000D70A0000}"/>
    <cellStyle name="Normal GHG Textfiels Bold 3 2 2 2 6" xfId="2712" xr:uid="{00000000-0005-0000-0000-0000980A0000}"/>
    <cellStyle name="Normal GHG Textfiels Bold 3 2 2 2 7" xfId="3423" xr:uid="{00000000-0005-0000-0000-00005F0D0000}"/>
    <cellStyle name="Normal GHG Textfiels Bold 3 2 2 2 8" xfId="3071" xr:uid="{00000000-0005-0000-0000-0000FF0B0000}"/>
    <cellStyle name="Normal GHG Textfiels Bold 3 2 2 3" xfId="1539" xr:uid="{00000000-0005-0000-0000-000003060000}"/>
    <cellStyle name="Normal GHG Textfiels Bold 3 2 2 4" xfId="1720" xr:uid="{00000000-0005-0000-0000-0000B8060000}"/>
    <cellStyle name="Normal GHG Textfiels Bold 3 2 2 5" xfId="2132" xr:uid="{00000000-0005-0000-0000-000054080000}"/>
    <cellStyle name="Normal GHG Textfiels Bold 3 2 2 6" xfId="2798" xr:uid="{00000000-0005-0000-0000-0000EE0A0000}"/>
    <cellStyle name="Normal GHG Textfiels Bold 3 2 2 7" xfId="2918" xr:uid="{00000000-0005-0000-0000-0000660B0000}"/>
    <cellStyle name="Normal GHG Textfiels Bold 3 2 2 8" xfId="3211" xr:uid="{00000000-0005-0000-0000-00008B0C0000}"/>
    <cellStyle name="Normal GHG Textfiels Bold 3 2 2 9" xfId="3124" xr:uid="{00000000-0005-0000-0000-0000340C0000}"/>
    <cellStyle name="Normal GHG Textfiels Bold 3 2 3" xfId="736" xr:uid="{00000000-0005-0000-0000-0000E0020000}"/>
    <cellStyle name="Normal GHG Textfiels Bold 3 2 3 2" xfId="1351" xr:uid="{00000000-0005-0000-0000-000047050000}"/>
    <cellStyle name="Normal GHG Textfiels Bold 3 2 3 3" xfId="1918" xr:uid="{00000000-0005-0000-0000-00007E070000}"/>
    <cellStyle name="Normal GHG Textfiels Bold 3 2 3 4" xfId="2329" xr:uid="{00000000-0005-0000-0000-000019090000}"/>
    <cellStyle name="Normal GHG Textfiels Bold 3 2 3 5" xfId="2796" xr:uid="{00000000-0005-0000-0000-0000EC0A0000}"/>
    <cellStyle name="Normal GHG Textfiels Bold 3 2 3 6" xfId="2998" xr:uid="{00000000-0005-0000-0000-0000B60B0000}"/>
    <cellStyle name="Normal GHG Textfiels Bold 3 2 3 7" xfId="3406" xr:uid="{00000000-0005-0000-0000-00004E0D0000}"/>
    <cellStyle name="Normal GHG Textfiels Bold 3 2 3 8" xfId="2098" xr:uid="{00000000-0005-0000-0000-000032080000}"/>
    <cellStyle name="Normal GHG Textfiels Bold 3 3" xfId="376" xr:uid="{00000000-0005-0000-0000-000078010000}"/>
    <cellStyle name="Normal GHG Textfiels Bold 3 3 10" xfId="2665" xr:uid="{00000000-0005-0000-0000-0000690A0000}"/>
    <cellStyle name="Normal GHG Textfiels Bold 3 3 11" xfId="3389" xr:uid="{00000000-0005-0000-0000-00003D0D0000}"/>
    <cellStyle name="Normal GHG Textfiels Bold 3 3 2" xfId="654" xr:uid="{00000000-0005-0000-0000-00008E020000}"/>
    <cellStyle name="Normal GHG Textfiels Bold 3 3 2 2" xfId="869" xr:uid="{00000000-0005-0000-0000-000065030000}"/>
    <cellStyle name="Normal GHG Textfiels Bold 3 3 2 2 2" xfId="985" xr:uid="{00000000-0005-0000-0000-0000D9030000}"/>
    <cellStyle name="Normal GHG Textfiels Bold 3 3 2 2 3" xfId="2051" xr:uid="{00000000-0005-0000-0000-000003080000}"/>
    <cellStyle name="Normal GHG Textfiels Bold 3 3 2 2 4" xfId="2462" xr:uid="{00000000-0005-0000-0000-00009E090000}"/>
    <cellStyle name="Normal GHG Textfiels Bold 3 3 2 2 5" xfId="1157" xr:uid="{00000000-0005-0000-0000-000085040000}"/>
    <cellStyle name="Normal GHG Textfiels Bold 3 3 2 2 6" xfId="2681" xr:uid="{00000000-0005-0000-0000-0000790A0000}"/>
    <cellStyle name="Normal GHG Textfiels Bold 3 3 2 2 7" xfId="3539" xr:uid="{00000000-0005-0000-0000-0000D30D0000}"/>
    <cellStyle name="Normal GHG Textfiels Bold 3 3 2 2 8" xfId="3718" xr:uid="{00000000-0005-0000-0000-0000860E0000}"/>
    <cellStyle name="Normal GHG Textfiels Bold 3 3 2 3" xfId="1626" xr:uid="{00000000-0005-0000-0000-00005A060000}"/>
    <cellStyle name="Normal GHG Textfiels Bold 3 3 2 4" xfId="1836" xr:uid="{00000000-0005-0000-0000-00002C070000}"/>
    <cellStyle name="Normal GHG Textfiels Bold 3 3 2 5" xfId="2248" xr:uid="{00000000-0005-0000-0000-0000C8080000}"/>
    <cellStyle name="Normal GHG Textfiels Bold 3 3 2 6" xfId="1038" xr:uid="{00000000-0005-0000-0000-00000E040000}"/>
    <cellStyle name="Normal GHG Textfiels Bold 3 3 2 7" xfId="2989" xr:uid="{00000000-0005-0000-0000-0000AD0B0000}"/>
    <cellStyle name="Normal GHG Textfiels Bold 3 3 2 8" xfId="3327" xr:uid="{00000000-0005-0000-0000-0000FF0C0000}"/>
    <cellStyle name="Normal GHG Textfiels Bold 3 3 2 9" xfId="3714" xr:uid="{00000000-0005-0000-0000-0000820E0000}"/>
    <cellStyle name="Normal GHG Textfiels Bold 3 3 3" xfId="597" xr:uid="{00000000-0005-0000-0000-000055020000}"/>
    <cellStyle name="Normal GHG Textfiels Bold 3 3 3 2" xfId="812" xr:uid="{00000000-0005-0000-0000-00002C030000}"/>
    <cellStyle name="Normal GHG Textfiels Bold 3 3 3 2 2" xfId="1464" xr:uid="{00000000-0005-0000-0000-0000B8050000}"/>
    <cellStyle name="Normal GHG Textfiels Bold 3 3 3 2 3" xfId="1994" xr:uid="{00000000-0005-0000-0000-0000CA070000}"/>
    <cellStyle name="Normal GHG Textfiels Bold 3 3 3 2 4" xfId="2405" xr:uid="{00000000-0005-0000-0000-000065090000}"/>
    <cellStyle name="Normal GHG Textfiels Bold 3 3 3 2 5" xfId="1194" xr:uid="{00000000-0005-0000-0000-0000AA040000}"/>
    <cellStyle name="Normal GHG Textfiels Bold 3 3 3 2 6" xfId="3131" xr:uid="{00000000-0005-0000-0000-00003B0C0000}"/>
    <cellStyle name="Normal GHG Textfiels Bold 3 3 3 2 7" xfId="3482" xr:uid="{00000000-0005-0000-0000-00009A0D0000}"/>
    <cellStyle name="Normal GHG Textfiels Bold 3 3 3 2 8" xfId="3594" xr:uid="{00000000-0005-0000-0000-00000A0E0000}"/>
    <cellStyle name="Normal GHG Textfiels Bold 3 3 3 3" xfId="1443" xr:uid="{00000000-0005-0000-0000-0000A3050000}"/>
    <cellStyle name="Normal GHG Textfiels Bold 3 3 3 4" xfId="1779" xr:uid="{00000000-0005-0000-0000-0000F3060000}"/>
    <cellStyle name="Normal GHG Textfiels Bold 3 3 3 5" xfId="2191" xr:uid="{00000000-0005-0000-0000-00008F080000}"/>
    <cellStyle name="Normal GHG Textfiels Bold 3 3 3 6" xfId="1545" xr:uid="{00000000-0005-0000-0000-000009060000}"/>
    <cellStyle name="Normal GHG Textfiels Bold 3 3 3 7" xfId="3115" xr:uid="{00000000-0005-0000-0000-00002B0C0000}"/>
    <cellStyle name="Normal GHG Textfiels Bold 3 3 3 8" xfId="3270" xr:uid="{00000000-0005-0000-0000-0000C60C0000}"/>
    <cellStyle name="Normal GHG Textfiels Bold 3 3 3 9" xfId="3580" xr:uid="{00000000-0005-0000-0000-0000FC0D0000}"/>
    <cellStyle name="Normal GHG Textfiels Bold 3 3 4" xfId="572" xr:uid="{00000000-0005-0000-0000-00003C020000}"/>
    <cellStyle name="Normal GHG Textfiels Bold 3 3 4 2" xfId="787" xr:uid="{00000000-0005-0000-0000-000013030000}"/>
    <cellStyle name="Normal GHG Textfiels Bold 3 3 4 2 2" xfId="1097" xr:uid="{00000000-0005-0000-0000-000049040000}"/>
    <cellStyle name="Normal GHG Textfiels Bold 3 3 4 2 3" xfId="1969" xr:uid="{00000000-0005-0000-0000-0000B1070000}"/>
    <cellStyle name="Normal GHG Textfiels Bold 3 3 4 2 4" xfId="2380" xr:uid="{00000000-0005-0000-0000-00004C090000}"/>
    <cellStyle name="Normal GHG Textfiels Bold 3 3 4 2 5" xfId="1430" xr:uid="{00000000-0005-0000-0000-000096050000}"/>
    <cellStyle name="Normal GHG Textfiels Bold 3 3 4 2 6" xfId="2587" xr:uid="{00000000-0005-0000-0000-00001B0A0000}"/>
    <cellStyle name="Normal GHG Textfiels Bold 3 3 4 2 7" xfId="3457" xr:uid="{00000000-0005-0000-0000-0000810D0000}"/>
    <cellStyle name="Normal GHG Textfiels Bold 3 3 4 2 8" xfId="3637" xr:uid="{00000000-0005-0000-0000-0000350E0000}"/>
    <cellStyle name="Normal GHG Textfiels Bold 3 3 4 3" xfId="1363" xr:uid="{00000000-0005-0000-0000-000053050000}"/>
    <cellStyle name="Normal GHG Textfiels Bold 3 3 4 4" xfId="1754" xr:uid="{00000000-0005-0000-0000-0000DA060000}"/>
    <cellStyle name="Normal GHG Textfiels Bold 3 3 4 5" xfId="2166" xr:uid="{00000000-0005-0000-0000-000076080000}"/>
    <cellStyle name="Normal GHG Textfiels Bold 3 3 4 6" xfId="2610" xr:uid="{00000000-0005-0000-0000-0000320A0000}"/>
    <cellStyle name="Normal GHG Textfiels Bold 3 3 4 7" xfId="3022" xr:uid="{00000000-0005-0000-0000-0000CE0B0000}"/>
    <cellStyle name="Normal GHG Textfiels Bold 3 3 4 8" xfId="3245" xr:uid="{00000000-0005-0000-0000-0000AD0C0000}"/>
    <cellStyle name="Normal GHG Textfiels Bold 3 3 4 9" xfId="3732" xr:uid="{00000000-0005-0000-0000-0000940E0000}"/>
    <cellStyle name="Normal GHG Textfiels Bold 3 3 5" xfId="1526" xr:uid="{00000000-0005-0000-0000-0000F6050000}"/>
    <cellStyle name="Normal GHG Textfiels Bold 3 3 6" xfId="912" xr:uid="{00000000-0005-0000-0000-000090030000}"/>
    <cellStyle name="Normal GHG Textfiels Bold 3 3 7" xfId="935" xr:uid="{00000000-0005-0000-0000-0000A7030000}"/>
    <cellStyle name="Normal GHG Textfiels Bold 3 3 8" xfId="2720" xr:uid="{00000000-0005-0000-0000-0000A00A0000}"/>
    <cellStyle name="Normal GHG Textfiels Bold 3 3 9" xfId="2909" xr:uid="{00000000-0005-0000-0000-00005D0B0000}"/>
    <cellStyle name="Normal GHG whole table" xfId="15" xr:uid="{00000000-0005-0000-0000-00000F000000}"/>
    <cellStyle name="Normal GHG whole table 2" xfId="447" xr:uid="{00000000-0005-0000-0000-0000BF010000}"/>
    <cellStyle name="Normal GHG whole table 2 2" xfId="593" xr:uid="{00000000-0005-0000-0000-000051020000}"/>
    <cellStyle name="Normal GHG whole table 2 2 2" xfId="808" xr:uid="{00000000-0005-0000-0000-000028030000}"/>
    <cellStyle name="Normal GHG whole table 2 2 2 2" xfId="1237" xr:uid="{00000000-0005-0000-0000-0000D5040000}"/>
    <cellStyle name="Normal GHG whole table 2 2 2 3" xfId="1990" xr:uid="{00000000-0005-0000-0000-0000C6070000}"/>
    <cellStyle name="Normal GHG whole table 2 2 2 4" xfId="2401" xr:uid="{00000000-0005-0000-0000-000061090000}"/>
    <cellStyle name="Normal GHG whole table 2 2 2 5" xfId="2828" xr:uid="{00000000-0005-0000-0000-00000C0B0000}"/>
    <cellStyle name="Normal GHG whole table 2 2 2 6" xfId="3152" xr:uid="{00000000-0005-0000-0000-0000500C0000}"/>
    <cellStyle name="Normal GHG whole table 2 2 2 7" xfId="3478" xr:uid="{00000000-0005-0000-0000-0000960D0000}"/>
    <cellStyle name="Normal GHG whole table 2 2 2 8" xfId="3767" xr:uid="{00000000-0005-0000-0000-0000B70E0000}"/>
    <cellStyle name="Normal GHG whole table 2 2 3" xfId="1482" xr:uid="{00000000-0005-0000-0000-0000CA050000}"/>
    <cellStyle name="Normal GHG whole table 2 2 4" xfId="1775" xr:uid="{00000000-0005-0000-0000-0000EF060000}"/>
    <cellStyle name="Normal GHG whole table 2 2 5" xfId="2187" xr:uid="{00000000-0005-0000-0000-00008B080000}"/>
    <cellStyle name="Normal GHG whole table 2 2 6" xfId="2824" xr:uid="{00000000-0005-0000-0000-0000080B0000}"/>
    <cellStyle name="Normal GHG whole table 2 2 7" xfId="3148" xr:uid="{00000000-0005-0000-0000-00004C0C0000}"/>
    <cellStyle name="Normal GHG whole table 2 2 8" xfId="3266" xr:uid="{00000000-0005-0000-0000-0000C20C0000}"/>
    <cellStyle name="Normal GHG whole table 2 2 9" xfId="3763" xr:uid="{00000000-0005-0000-0000-0000B30E0000}"/>
    <cellStyle name="Normal GHG whole table 2 3" xfId="737" xr:uid="{00000000-0005-0000-0000-0000E1020000}"/>
    <cellStyle name="Normal GHG whole table 2 3 2" xfId="1250" xr:uid="{00000000-0005-0000-0000-0000E2040000}"/>
    <cellStyle name="Normal GHG whole table 2 3 3" xfId="1919" xr:uid="{00000000-0005-0000-0000-00007F070000}"/>
    <cellStyle name="Normal GHG whole table 2 3 4" xfId="2330" xr:uid="{00000000-0005-0000-0000-00001A090000}"/>
    <cellStyle name="Normal GHG whole table 2 3 5" xfId="2830" xr:uid="{00000000-0005-0000-0000-00000E0B0000}"/>
    <cellStyle name="Normal GHG whole table 2 3 6" xfId="3154" xr:uid="{00000000-0005-0000-0000-0000520C0000}"/>
    <cellStyle name="Normal GHG whole table 2 3 7" xfId="3407" xr:uid="{00000000-0005-0000-0000-00004F0D0000}"/>
    <cellStyle name="Normal GHG whole table 2 3 8" xfId="3768" xr:uid="{00000000-0005-0000-0000-0000B80E0000}"/>
    <cellStyle name="Normal GHG whole table 3" xfId="296" xr:uid="{00000000-0005-0000-0000-000028010000}"/>
    <cellStyle name="Normal GHG whole table 3 10" xfId="2936" xr:uid="{00000000-0005-0000-0000-0000780B0000}"/>
    <cellStyle name="Normal GHG whole table 3 11" xfId="3609" xr:uid="{00000000-0005-0000-0000-0000190E0000}"/>
    <cellStyle name="Normal GHG whole table 3 2" xfId="633" xr:uid="{00000000-0005-0000-0000-000079020000}"/>
    <cellStyle name="Normal GHG whole table 3 2 2" xfId="848" xr:uid="{00000000-0005-0000-0000-000050030000}"/>
    <cellStyle name="Normal GHG whole table 3 2 2 2" xfId="1355" xr:uid="{00000000-0005-0000-0000-00004B050000}"/>
    <cellStyle name="Normal GHG whole table 3 2 2 3" xfId="2030" xr:uid="{00000000-0005-0000-0000-0000EE070000}"/>
    <cellStyle name="Normal GHG whole table 3 2 2 4" xfId="2441" xr:uid="{00000000-0005-0000-0000-000089090000}"/>
    <cellStyle name="Normal GHG whole table 3 2 2 5" xfId="958" xr:uid="{00000000-0005-0000-0000-0000BE030000}"/>
    <cellStyle name="Normal GHG whole table 3 2 2 6" xfId="3130" xr:uid="{00000000-0005-0000-0000-00003A0C0000}"/>
    <cellStyle name="Normal GHG whole table 3 2 2 7" xfId="3518" xr:uid="{00000000-0005-0000-0000-0000BE0D0000}"/>
    <cellStyle name="Normal GHG whole table 3 2 2 8" xfId="3632" xr:uid="{00000000-0005-0000-0000-0000300E0000}"/>
    <cellStyle name="Normal GHG whole table 3 2 3" xfId="1589" xr:uid="{00000000-0005-0000-0000-000035060000}"/>
    <cellStyle name="Normal GHG whole table 3 2 4" xfId="1815" xr:uid="{00000000-0005-0000-0000-000017070000}"/>
    <cellStyle name="Normal GHG whole table 3 2 5" xfId="2227" xr:uid="{00000000-0005-0000-0000-0000B3080000}"/>
    <cellStyle name="Normal GHG whole table 3 2 6" xfId="2767" xr:uid="{00000000-0005-0000-0000-0000CF0A0000}"/>
    <cellStyle name="Normal GHG whole table 3 2 7" xfId="2959" xr:uid="{00000000-0005-0000-0000-00008F0B0000}"/>
    <cellStyle name="Normal GHG whole table 3 2 8" xfId="3306" xr:uid="{00000000-0005-0000-0000-0000EA0C0000}"/>
    <cellStyle name="Normal GHG whole table 3 2 9" xfId="2802" xr:uid="{00000000-0005-0000-0000-0000F20A0000}"/>
    <cellStyle name="Normal GHG whole table 3 3" xfId="554" xr:uid="{00000000-0005-0000-0000-00002A020000}"/>
    <cellStyle name="Normal GHG whole table 3 3 2" xfId="769" xr:uid="{00000000-0005-0000-0000-000001030000}"/>
    <cellStyle name="Normal GHG whole table 3 3 2 2" xfId="1012" xr:uid="{00000000-0005-0000-0000-0000F4030000}"/>
    <cellStyle name="Normal GHG whole table 3 3 2 3" xfId="1951" xr:uid="{00000000-0005-0000-0000-00009F070000}"/>
    <cellStyle name="Normal GHG whole table 3 3 2 4" xfId="2362" xr:uid="{00000000-0005-0000-0000-00003A090000}"/>
    <cellStyle name="Normal GHG whole table 3 3 2 5" xfId="1892" xr:uid="{00000000-0005-0000-0000-000064070000}"/>
    <cellStyle name="Normal GHG whole table 3 3 2 6" xfId="1672" xr:uid="{00000000-0005-0000-0000-000088060000}"/>
    <cellStyle name="Normal GHG whole table 3 3 2 7" xfId="3439" xr:uid="{00000000-0005-0000-0000-00006F0D0000}"/>
    <cellStyle name="Normal GHG whole table 3 3 2 8" xfId="3604" xr:uid="{00000000-0005-0000-0000-0000140E0000}"/>
    <cellStyle name="Normal GHG whole table 3 3 3" xfId="1592" xr:uid="{00000000-0005-0000-0000-000038060000}"/>
    <cellStyle name="Normal GHG whole table 3 3 4" xfId="1736" xr:uid="{00000000-0005-0000-0000-0000C8060000}"/>
    <cellStyle name="Normal GHG whole table 3 3 5" xfId="2148" xr:uid="{00000000-0005-0000-0000-000064080000}"/>
    <cellStyle name="Normal GHG whole table 3 3 6" xfId="1263" xr:uid="{00000000-0005-0000-0000-0000EF040000}"/>
    <cellStyle name="Normal GHG whole table 3 3 7" xfId="2962" xr:uid="{00000000-0005-0000-0000-0000920B0000}"/>
    <cellStyle name="Normal GHG whole table 3 3 8" xfId="3227" xr:uid="{00000000-0005-0000-0000-00009B0C0000}"/>
    <cellStyle name="Normal GHG whole table 3 3 9" xfId="3638" xr:uid="{00000000-0005-0000-0000-0000360E0000}"/>
    <cellStyle name="Normal GHG whole table 3 4" xfId="641" xr:uid="{00000000-0005-0000-0000-000081020000}"/>
    <cellStyle name="Normal GHG whole table 3 4 2" xfId="856" xr:uid="{00000000-0005-0000-0000-000058030000}"/>
    <cellStyle name="Normal GHG whole table 3 4 2 2" xfId="1352" xr:uid="{00000000-0005-0000-0000-000048050000}"/>
    <cellStyle name="Normal GHG whole table 3 4 2 3" xfId="2038" xr:uid="{00000000-0005-0000-0000-0000F6070000}"/>
    <cellStyle name="Normal GHG whole table 3 4 2 4" xfId="2449" xr:uid="{00000000-0005-0000-0000-000091090000}"/>
    <cellStyle name="Normal GHG whole table 3 4 2 5" xfId="2729" xr:uid="{00000000-0005-0000-0000-0000A90A0000}"/>
    <cellStyle name="Normal GHG whole table 3 4 2 6" xfId="2682" xr:uid="{00000000-0005-0000-0000-00007A0A0000}"/>
    <cellStyle name="Normal GHG whole table 3 4 2 7" xfId="3526" xr:uid="{00000000-0005-0000-0000-0000C60D0000}"/>
    <cellStyle name="Normal GHG whole table 3 4 2 8" xfId="3619" xr:uid="{00000000-0005-0000-0000-0000230E0000}"/>
    <cellStyle name="Normal GHG whole table 3 4 3" xfId="1577" xr:uid="{00000000-0005-0000-0000-000029060000}"/>
    <cellStyle name="Normal GHG whole table 3 4 4" xfId="1823" xr:uid="{00000000-0005-0000-0000-00001F070000}"/>
    <cellStyle name="Normal GHG whole table 3 4 5" xfId="2235" xr:uid="{00000000-0005-0000-0000-0000BB080000}"/>
    <cellStyle name="Normal GHG whole table 3 4 6" xfId="1673" xr:uid="{00000000-0005-0000-0000-000089060000}"/>
    <cellStyle name="Normal GHG whole table 3 4 7" xfId="2947" xr:uid="{00000000-0005-0000-0000-0000830B0000}"/>
    <cellStyle name="Normal GHG whole table 3 4 8" xfId="3314" xr:uid="{00000000-0005-0000-0000-0000F20C0000}"/>
    <cellStyle name="Normal GHG whole table 3 4 9" xfId="3036" xr:uid="{00000000-0005-0000-0000-0000DC0B0000}"/>
    <cellStyle name="Normal GHG whole table 3 5" xfId="1287" xr:uid="{00000000-0005-0000-0000-000007050000}"/>
    <cellStyle name="Normal GHG whole table 3 6" xfId="2" xr:uid="{00000000-0005-0000-0000-000002000000}"/>
    <cellStyle name="Normal GHG whole table 3 7" xfId="1299" xr:uid="{00000000-0005-0000-0000-000013050000}"/>
    <cellStyle name="Normal GHG whole table 3 8" xfId="1310" xr:uid="{00000000-0005-0000-0000-00001E050000}"/>
    <cellStyle name="Normal GHG whole table 3 9" xfId="1442" xr:uid="{00000000-0005-0000-0000-0000A2050000}"/>
    <cellStyle name="Normal GHG whole table 4" xfId="83" xr:uid="{00000000-0005-0000-0000-000053000000}"/>
    <cellStyle name="Normal GHG-Shade" xfId="13" xr:uid="{00000000-0005-0000-0000-00000D000000}"/>
    <cellStyle name="Normal GHG-Shade 2" xfId="180" xr:uid="{00000000-0005-0000-0000-0000B4000000}"/>
    <cellStyle name="Normal GHG-Shade 2 2" xfId="181" xr:uid="{00000000-0005-0000-0000-0000B5000000}"/>
    <cellStyle name="Normal GHG-Shade 2 3" xfId="182" xr:uid="{00000000-0005-0000-0000-0000B6000000}"/>
    <cellStyle name="Normal GHG-Shade 2 4" xfId="212" xr:uid="{00000000-0005-0000-0000-0000D4000000}"/>
    <cellStyle name="Normal GHG-Shade 2 5" xfId="377" xr:uid="{00000000-0005-0000-0000-000079010000}"/>
    <cellStyle name="Normal GHG-Shade 3" xfId="183" xr:uid="{00000000-0005-0000-0000-0000B7000000}"/>
    <cellStyle name="Normal GHG-Shade 3 2" xfId="184" xr:uid="{00000000-0005-0000-0000-0000B8000000}"/>
    <cellStyle name="Normal GHG-Shade 4" xfId="185" xr:uid="{00000000-0005-0000-0000-0000B9000000}"/>
    <cellStyle name="Normal GHG-Shade 4 2" xfId="448" xr:uid="{00000000-0005-0000-0000-0000C0010000}"/>
    <cellStyle name="Normál_Munka1" xfId="28" xr:uid="{00000000-0005-0000-0000-00001C000000}"/>
    <cellStyle name="Note 2" xfId="186" xr:uid="{00000000-0005-0000-0000-0000BA000000}"/>
    <cellStyle name="Note 2 10" xfId="2891" xr:uid="{00000000-0005-0000-0000-00004B0B0000}"/>
    <cellStyle name="Note 2 11" xfId="1426" xr:uid="{00000000-0005-0000-0000-000092050000}"/>
    <cellStyle name="Note 2 12" xfId="3612" xr:uid="{00000000-0005-0000-0000-00001C0E0000}"/>
    <cellStyle name="Note 2 2" xfId="576" xr:uid="{00000000-0005-0000-0000-000040020000}"/>
    <cellStyle name="Note 2 2 2" xfId="791" xr:uid="{00000000-0005-0000-0000-000017030000}"/>
    <cellStyle name="Note 2 2 2 2" xfId="1095" xr:uid="{00000000-0005-0000-0000-000047040000}"/>
    <cellStyle name="Note 2 2 2 3" xfId="1973" xr:uid="{00000000-0005-0000-0000-0000B5070000}"/>
    <cellStyle name="Note 2 2 2 4" xfId="2384" xr:uid="{00000000-0005-0000-0000-000050090000}"/>
    <cellStyle name="Note 2 2 2 5" xfId="1529" xr:uid="{00000000-0005-0000-0000-0000F9050000}"/>
    <cellStyle name="Note 2 2 2 6" xfId="2584" xr:uid="{00000000-0005-0000-0000-0000180A0000}"/>
    <cellStyle name="Note 2 2 2 7" xfId="3461" xr:uid="{00000000-0005-0000-0000-0000850D0000}"/>
    <cellStyle name="Note 2 2 2 8" xfId="3724" xr:uid="{00000000-0005-0000-0000-00008C0E0000}"/>
    <cellStyle name="Note 2 2 3" xfId="1600" xr:uid="{00000000-0005-0000-0000-000040060000}"/>
    <cellStyle name="Note 2 2 4" xfId="1758" xr:uid="{00000000-0005-0000-0000-0000DE060000}"/>
    <cellStyle name="Note 2 2 5" xfId="2170" xr:uid="{00000000-0005-0000-0000-00007A080000}"/>
    <cellStyle name="Note 2 2 6" xfId="1679" xr:uid="{00000000-0005-0000-0000-00008F060000}"/>
    <cellStyle name="Note 2 2 7" xfId="2967" xr:uid="{00000000-0005-0000-0000-0000970B0000}"/>
    <cellStyle name="Note 2 2 8" xfId="3249" xr:uid="{00000000-0005-0000-0000-0000B10C0000}"/>
    <cellStyle name="Note 2 2 9" xfId="3721" xr:uid="{00000000-0005-0000-0000-0000890E0000}"/>
    <cellStyle name="Note 2 3" xfId="640" xr:uid="{00000000-0005-0000-0000-000080020000}"/>
    <cellStyle name="Note 2 3 2" xfId="855" xr:uid="{00000000-0005-0000-0000-000057030000}"/>
    <cellStyle name="Note 2 3 2 2" xfId="1525" xr:uid="{00000000-0005-0000-0000-0000F5050000}"/>
    <cellStyle name="Note 2 3 2 3" xfId="2037" xr:uid="{00000000-0005-0000-0000-0000F5070000}"/>
    <cellStyle name="Note 2 3 2 4" xfId="2448" xr:uid="{00000000-0005-0000-0000-000090090000}"/>
    <cellStyle name="Note 2 3 2 5" xfId="2578" xr:uid="{00000000-0005-0000-0000-0000120A0000}"/>
    <cellStyle name="Note 2 3 2 6" xfId="2695" xr:uid="{00000000-0005-0000-0000-0000870A0000}"/>
    <cellStyle name="Note 2 3 2 7" xfId="3525" xr:uid="{00000000-0005-0000-0000-0000C50D0000}"/>
    <cellStyle name="Note 2 3 2 8" xfId="3192" xr:uid="{00000000-0005-0000-0000-0000780C0000}"/>
    <cellStyle name="Note 2 3 3" xfId="974" xr:uid="{00000000-0005-0000-0000-0000CE030000}"/>
    <cellStyle name="Note 2 3 4" xfId="1822" xr:uid="{00000000-0005-0000-0000-00001E070000}"/>
    <cellStyle name="Note 2 3 5" xfId="2234" xr:uid="{00000000-0005-0000-0000-0000BA080000}"/>
    <cellStyle name="Note 2 3 6" xfId="1625" xr:uid="{00000000-0005-0000-0000-000059060000}"/>
    <cellStyle name="Note 2 3 7" xfId="3102" xr:uid="{00000000-0005-0000-0000-00001E0C0000}"/>
    <cellStyle name="Note 2 3 8" xfId="3313" xr:uid="{00000000-0005-0000-0000-0000F10C0000}"/>
    <cellStyle name="Note 2 3 9" xfId="3734" xr:uid="{00000000-0005-0000-0000-0000960E0000}"/>
    <cellStyle name="Note 2 4" xfId="535" xr:uid="{00000000-0005-0000-0000-000017020000}"/>
    <cellStyle name="Note 2 4 2" xfId="750" xr:uid="{00000000-0005-0000-0000-0000EE020000}"/>
    <cellStyle name="Note 2 4 2 2" xfId="920" xr:uid="{00000000-0005-0000-0000-000098030000}"/>
    <cellStyle name="Note 2 4 2 3" xfId="1932" xr:uid="{00000000-0005-0000-0000-00008C070000}"/>
    <cellStyle name="Note 2 4 2 4" xfId="2343" xr:uid="{00000000-0005-0000-0000-000027090000}"/>
    <cellStyle name="Note 2 4 2 5" xfId="1175" xr:uid="{00000000-0005-0000-0000-000097040000}"/>
    <cellStyle name="Note 2 4 2 6" xfId="2110" xr:uid="{00000000-0005-0000-0000-00003E080000}"/>
    <cellStyle name="Note 2 4 2 7" xfId="3420" xr:uid="{00000000-0005-0000-0000-00005C0D0000}"/>
    <cellStyle name="Note 2 4 2 8" xfId="3180" xr:uid="{00000000-0005-0000-0000-00006C0C0000}"/>
    <cellStyle name="Note 2 4 3" xfId="1357" xr:uid="{00000000-0005-0000-0000-00004D050000}"/>
    <cellStyle name="Note 2 4 4" xfId="1717" xr:uid="{00000000-0005-0000-0000-0000B5060000}"/>
    <cellStyle name="Note 2 4 5" xfId="2129" xr:uid="{00000000-0005-0000-0000-000051080000}"/>
    <cellStyle name="Note 2 4 6" xfId="1277" xr:uid="{00000000-0005-0000-0000-0000FD040000}"/>
    <cellStyle name="Note 2 4 7" xfId="3127" xr:uid="{00000000-0005-0000-0000-0000370C0000}"/>
    <cellStyle name="Note 2 4 8" xfId="3208" xr:uid="{00000000-0005-0000-0000-0000880C0000}"/>
    <cellStyle name="Note 2 4 9" xfId="3593" xr:uid="{00000000-0005-0000-0000-0000090E0000}"/>
    <cellStyle name="Note 2 5" xfId="699" xr:uid="{00000000-0005-0000-0000-0000BB020000}"/>
    <cellStyle name="Note 2 5 2" xfId="979" xr:uid="{00000000-0005-0000-0000-0000D3030000}"/>
    <cellStyle name="Note 2 5 3" xfId="1881" xr:uid="{00000000-0005-0000-0000-000059070000}"/>
    <cellStyle name="Note 2 5 4" xfId="2293" xr:uid="{00000000-0005-0000-0000-0000F5080000}"/>
    <cellStyle name="Note 2 5 5" xfId="1606" xr:uid="{00000000-0005-0000-0000-000046060000}"/>
    <cellStyle name="Note 2 5 6" xfId="3143" xr:uid="{00000000-0005-0000-0000-0000470C0000}"/>
    <cellStyle name="Note 2 5 7" xfId="3371" xr:uid="{00000000-0005-0000-0000-00002B0D0000}"/>
    <cellStyle name="Note 2 5 8" xfId="3760" xr:uid="{00000000-0005-0000-0000-0000B00E0000}"/>
    <cellStyle name="Note 2 6" xfId="1196" xr:uid="{00000000-0005-0000-0000-0000AC040000}"/>
    <cellStyle name="Note 2 7" xfId="1115" xr:uid="{00000000-0005-0000-0000-00005B040000}"/>
    <cellStyle name="Note 2 8" xfId="1337" xr:uid="{00000000-0005-0000-0000-000039050000}"/>
    <cellStyle name="Note 2 9" xfId="1269" xr:uid="{00000000-0005-0000-0000-0000F5040000}"/>
    <cellStyle name="Note 3" xfId="251" xr:uid="{00000000-0005-0000-0000-0000FB000000}"/>
    <cellStyle name="Note 3 10" xfId="56" xr:uid="{00000000-0005-0000-0000-000038000000}"/>
    <cellStyle name="Note 3 11" xfId="2881" xr:uid="{00000000-0005-0000-0000-0000410B0000}"/>
    <cellStyle name="Note 3 12" xfId="3725" xr:uid="{00000000-0005-0000-0000-00008D0E0000}"/>
    <cellStyle name="Note 3 2" xfId="604" xr:uid="{00000000-0005-0000-0000-00005C020000}"/>
    <cellStyle name="Note 3 2 2" xfId="819" xr:uid="{00000000-0005-0000-0000-000033030000}"/>
    <cellStyle name="Note 3 2 2 2" xfId="1000" xr:uid="{00000000-0005-0000-0000-0000E8030000}"/>
    <cellStyle name="Note 3 2 2 3" xfId="2001" xr:uid="{00000000-0005-0000-0000-0000D1070000}"/>
    <cellStyle name="Note 3 2 2 4" xfId="2412" xr:uid="{00000000-0005-0000-0000-00006C090000}"/>
    <cellStyle name="Note 3 2 2 5" xfId="941" xr:uid="{00000000-0005-0000-0000-0000AD030000}"/>
    <cellStyle name="Note 3 2 2 6" xfId="2662" xr:uid="{00000000-0005-0000-0000-0000660A0000}"/>
    <cellStyle name="Note 3 2 2 7" xfId="3489" xr:uid="{00000000-0005-0000-0000-0000A10D0000}"/>
    <cellStyle name="Note 3 2 2 8" xfId="73" xr:uid="{00000000-0005-0000-0000-000049000000}"/>
    <cellStyle name="Note 3 2 3" xfId="1260" xr:uid="{00000000-0005-0000-0000-0000EC040000}"/>
    <cellStyle name="Note 3 2 4" xfId="1786" xr:uid="{00000000-0005-0000-0000-0000FA060000}"/>
    <cellStyle name="Note 3 2 5" xfId="2198" xr:uid="{00000000-0005-0000-0000-000096080000}"/>
    <cellStyle name="Note 3 2 6" xfId="2574" xr:uid="{00000000-0005-0000-0000-00000E0A0000}"/>
    <cellStyle name="Note 3 2 7" xfId="3019" xr:uid="{00000000-0005-0000-0000-0000CB0B0000}"/>
    <cellStyle name="Note 3 2 8" xfId="3277" xr:uid="{00000000-0005-0000-0000-0000CD0C0000}"/>
    <cellStyle name="Note 3 2 9" xfId="2889" xr:uid="{00000000-0005-0000-0000-0000490B0000}"/>
    <cellStyle name="Note 3 3" xfId="570" xr:uid="{00000000-0005-0000-0000-00003A020000}"/>
    <cellStyle name="Note 3 3 2" xfId="785" xr:uid="{00000000-0005-0000-0000-000011030000}"/>
    <cellStyle name="Note 3 3 2 2" xfId="1098" xr:uid="{00000000-0005-0000-0000-00004A040000}"/>
    <cellStyle name="Note 3 3 2 3" xfId="1967" xr:uid="{00000000-0005-0000-0000-0000AF070000}"/>
    <cellStyle name="Note 3 3 2 4" xfId="2378" xr:uid="{00000000-0005-0000-0000-00004A090000}"/>
    <cellStyle name="Note 3 3 2 5" xfId="1302" xr:uid="{00000000-0005-0000-0000-000016050000}"/>
    <cellStyle name="Note 3 3 2 6" xfId="1707" xr:uid="{00000000-0005-0000-0000-0000AB060000}"/>
    <cellStyle name="Note 3 3 2 7" xfId="3455" xr:uid="{00000000-0005-0000-0000-00007F0D0000}"/>
    <cellStyle name="Note 3 3 2 8" xfId="2924" xr:uid="{00000000-0005-0000-0000-00006C0B0000}"/>
    <cellStyle name="Note 3 3 3" xfId="1459" xr:uid="{00000000-0005-0000-0000-0000B3050000}"/>
    <cellStyle name="Note 3 3 4" xfId="1752" xr:uid="{00000000-0005-0000-0000-0000D8060000}"/>
    <cellStyle name="Note 3 3 5" xfId="2164" xr:uid="{00000000-0005-0000-0000-000074080000}"/>
    <cellStyle name="Note 3 3 6" xfId="1305" xr:uid="{00000000-0005-0000-0000-000019050000}"/>
    <cellStyle name="Note 3 3 7" xfId="3062" xr:uid="{00000000-0005-0000-0000-0000F60B0000}"/>
    <cellStyle name="Note 3 3 8" xfId="3243" xr:uid="{00000000-0005-0000-0000-0000AB0C0000}"/>
    <cellStyle name="Note 3 3 9" xfId="3009" xr:uid="{00000000-0005-0000-0000-0000C10B0000}"/>
    <cellStyle name="Note 3 4" xfId="588" xr:uid="{00000000-0005-0000-0000-00004C020000}"/>
    <cellStyle name="Note 3 4 2" xfId="803" xr:uid="{00000000-0005-0000-0000-000023030000}"/>
    <cellStyle name="Note 3 4 2 2" xfId="1133" xr:uid="{00000000-0005-0000-0000-00006D040000}"/>
    <cellStyle name="Note 3 4 2 3" xfId="1985" xr:uid="{00000000-0005-0000-0000-0000C1070000}"/>
    <cellStyle name="Note 3 4 2 4" xfId="2396" xr:uid="{00000000-0005-0000-0000-00005C090000}"/>
    <cellStyle name="Note 3 4 2 5" xfId="930" xr:uid="{00000000-0005-0000-0000-0000A2030000}"/>
    <cellStyle name="Note 3 4 2 6" xfId="2800" xr:uid="{00000000-0005-0000-0000-0000F00A0000}"/>
    <cellStyle name="Note 3 4 2 7" xfId="3473" xr:uid="{00000000-0005-0000-0000-0000910D0000}"/>
    <cellStyle name="Note 3 4 2 8" xfId="3381" xr:uid="{00000000-0005-0000-0000-0000350D0000}"/>
    <cellStyle name="Note 3 4 3" xfId="1026" xr:uid="{00000000-0005-0000-0000-000002040000}"/>
    <cellStyle name="Note 3 4 4" xfId="1770" xr:uid="{00000000-0005-0000-0000-0000EA060000}"/>
    <cellStyle name="Note 3 4 5" xfId="2182" xr:uid="{00000000-0005-0000-0000-000086080000}"/>
    <cellStyle name="Note 3 4 6" xfId="2626" xr:uid="{00000000-0005-0000-0000-0000420A0000}"/>
    <cellStyle name="Note 3 4 7" xfId="972" xr:uid="{00000000-0005-0000-0000-0000CC030000}"/>
    <cellStyle name="Note 3 4 8" xfId="3261" xr:uid="{00000000-0005-0000-0000-0000BD0C0000}"/>
    <cellStyle name="Note 3 4 9" xfId="3045" xr:uid="{00000000-0005-0000-0000-0000E50B0000}"/>
    <cellStyle name="Note 3 5" xfId="705" xr:uid="{00000000-0005-0000-0000-0000C1020000}"/>
    <cellStyle name="Note 3 5 2" xfId="1411" xr:uid="{00000000-0005-0000-0000-000083050000}"/>
    <cellStyle name="Note 3 5 3" xfId="1887" xr:uid="{00000000-0005-0000-0000-00005F070000}"/>
    <cellStyle name="Note 3 5 4" xfId="2299" xr:uid="{00000000-0005-0000-0000-0000FB080000}"/>
    <cellStyle name="Note 3 5 5" xfId="1317" xr:uid="{00000000-0005-0000-0000-000025050000}"/>
    <cellStyle name="Note 3 5 6" xfId="3049" xr:uid="{00000000-0005-0000-0000-0000E90B0000}"/>
    <cellStyle name="Note 3 5 7" xfId="3377" xr:uid="{00000000-0005-0000-0000-0000310D0000}"/>
    <cellStyle name="Note 3 5 8" xfId="3605" xr:uid="{00000000-0005-0000-0000-0000150E0000}"/>
    <cellStyle name="Note 3 6" xfId="1186" xr:uid="{00000000-0005-0000-0000-0000A2040000}"/>
    <cellStyle name="Note 3 7" xfId="1172" xr:uid="{00000000-0005-0000-0000-000094040000}"/>
    <cellStyle name="Note 3 8" xfId="1247" xr:uid="{00000000-0005-0000-0000-0000DF040000}"/>
    <cellStyle name="Note 3 9" xfId="2783" xr:uid="{00000000-0005-0000-0000-0000DF0A0000}"/>
    <cellStyle name="Notiz" xfId="187" xr:uid="{00000000-0005-0000-0000-0000BB000000}"/>
    <cellStyle name="Notiz 10" xfId="2893" xr:uid="{00000000-0005-0000-0000-00004D0B0000}"/>
    <cellStyle name="Notiz 11" xfId="2686" xr:uid="{00000000-0005-0000-0000-00007E0A0000}"/>
    <cellStyle name="Notiz 12" xfId="3690" xr:uid="{00000000-0005-0000-0000-00006A0E0000}"/>
    <cellStyle name="Notiz 2" xfId="577" xr:uid="{00000000-0005-0000-0000-000041020000}"/>
    <cellStyle name="Notiz 2 2" xfId="792" xr:uid="{00000000-0005-0000-0000-000018030000}"/>
    <cellStyle name="Notiz 2 2 2" xfId="1003" xr:uid="{00000000-0005-0000-0000-0000EB030000}"/>
    <cellStyle name="Notiz 2 2 3" xfId="1974" xr:uid="{00000000-0005-0000-0000-0000B6070000}"/>
    <cellStyle name="Notiz 2 2 4" xfId="2385" xr:uid="{00000000-0005-0000-0000-000051090000}"/>
    <cellStyle name="Notiz 2 2 5" xfId="2527" xr:uid="{00000000-0005-0000-0000-0000DF090000}"/>
    <cellStyle name="Notiz 2 2 6" xfId="2745" xr:uid="{00000000-0005-0000-0000-0000B90A0000}"/>
    <cellStyle name="Notiz 2 2 7" xfId="3462" xr:uid="{00000000-0005-0000-0000-0000860D0000}"/>
    <cellStyle name="Notiz 2 2 8" xfId="2094" xr:uid="{00000000-0005-0000-0000-00002E080000}"/>
    <cellStyle name="Notiz 2 3" xfId="1428" xr:uid="{00000000-0005-0000-0000-000094050000}"/>
    <cellStyle name="Notiz 2 4" xfId="1759" xr:uid="{00000000-0005-0000-0000-0000DF060000}"/>
    <cellStyle name="Notiz 2 5" xfId="2171" xr:uid="{00000000-0005-0000-0000-00007B080000}"/>
    <cellStyle name="Notiz 2 6" xfId="976" xr:uid="{00000000-0005-0000-0000-0000D0030000}"/>
    <cellStyle name="Notiz 2 7" xfId="965" xr:uid="{00000000-0005-0000-0000-0000C5030000}"/>
    <cellStyle name="Notiz 2 8" xfId="3250" xr:uid="{00000000-0005-0000-0000-0000B20C0000}"/>
    <cellStyle name="Notiz 2 9" xfId="3610" xr:uid="{00000000-0005-0000-0000-00001A0E0000}"/>
    <cellStyle name="Notiz 3" xfId="639" xr:uid="{00000000-0005-0000-0000-00007F020000}"/>
    <cellStyle name="Notiz 3 2" xfId="854" xr:uid="{00000000-0005-0000-0000-000056030000}"/>
    <cellStyle name="Notiz 3 2 2" xfId="1493" xr:uid="{00000000-0005-0000-0000-0000D5050000}"/>
    <cellStyle name="Notiz 3 2 3" xfId="2036" xr:uid="{00000000-0005-0000-0000-0000F4070000}"/>
    <cellStyle name="Notiz 3 2 4" xfId="2447" xr:uid="{00000000-0005-0000-0000-00008F090000}"/>
    <cellStyle name="Notiz 3 2 5" xfId="2781" xr:uid="{00000000-0005-0000-0000-0000DD0A0000}"/>
    <cellStyle name="Notiz 3 2 6" xfId="49" xr:uid="{00000000-0005-0000-0000-000031000000}"/>
    <cellStyle name="Notiz 3 2 7" xfId="3524" xr:uid="{00000000-0005-0000-0000-0000C40D0000}"/>
    <cellStyle name="Notiz 3 2 8" xfId="2710" xr:uid="{00000000-0005-0000-0000-0000960A0000}"/>
    <cellStyle name="Notiz 3 3" xfId="925" xr:uid="{00000000-0005-0000-0000-00009D030000}"/>
    <cellStyle name="Notiz 3 4" xfId="1821" xr:uid="{00000000-0005-0000-0000-00001D070000}"/>
    <cellStyle name="Notiz 3 5" xfId="2233" xr:uid="{00000000-0005-0000-0000-0000B9080000}"/>
    <cellStyle name="Notiz 3 6" xfId="2668" xr:uid="{00000000-0005-0000-0000-00006C0A0000}"/>
    <cellStyle name="Notiz 3 7" xfId="1171" xr:uid="{00000000-0005-0000-0000-000093040000}"/>
    <cellStyle name="Notiz 3 8" xfId="3312" xr:uid="{00000000-0005-0000-0000-0000F00C0000}"/>
    <cellStyle name="Notiz 3 9" xfId="3756" xr:uid="{00000000-0005-0000-0000-0000AC0E0000}"/>
    <cellStyle name="Notiz 4" xfId="608" xr:uid="{00000000-0005-0000-0000-000060020000}"/>
    <cellStyle name="Notiz 4 2" xfId="823" xr:uid="{00000000-0005-0000-0000-000037030000}"/>
    <cellStyle name="Notiz 4 2 2" xfId="1092" xr:uid="{00000000-0005-0000-0000-000044040000}"/>
    <cellStyle name="Notiz 4 2 3" xfId="2005" xr:uid="{00000000-0005-0000-0000-0000D5070000}"/>
    <cellStyle name="Notiz 4 2 4" xfId="2416" xr:uid="{00000000-0005-0000-0000-000070090000}"/>
    <cellStyle name="Notiz 4 2 5" xfId="2701" xr:uid="{00000000-0005-0000-0000-00008D0A0000}"/>
    <cellStyle name="Notiz 4 2 6" xfId="2688" xr:uid="{00000000-0005-0000-0000-0000800A0000}"/>
    <cellStyle name="Notiz 4 2 7" xfId="3493" xr:uid="{00000000-0005-0000-0000-0000A50D0000}"/>
    <cellStyle name="Notiz 4 2 8" xfId="3183" xr:uid="{00000000-0005-0000-0000-00006F0C0000}"/>
    <cellStyle name="Notiz 4 3" xfId="1572" xr:uid="{00000000-0005-0000-0000-000024060000}"/>
    <cellStyle name="Notiz 4 4" xfId="1790" xr:uid="{00000000-0005-0000-0000-0000FE060000}"/>
    <cellStyle name="Notiz 4 5" xfId="2202" xr:uid="{00000000-0005-0000-0000-00009A080000}"/>
    <cellStyle name="Notiz 4 6" xfId="2644" xr:uid="{00000000-0005-0000-0000-0000540A0000}"/>
    <cellStyle name="Notiz 4 7" xfId="2942" xr:uid="{00000000-0005-0000-0000-00007E0B0000}"/>
    <cellStyle name="Notiz 4 8" xfId="3281" xr:uid="{00000000-0005-0000-0000-0000D10C0000}"/>
    <cellStyle name="Notiz 4 9" xfId="3719" xr:uid="{00000000-0005-0000-0000-0000870E0000}"/>
    <cellStyle name="Notiz 5" xfId="700" xr:uid="{00000000-0005-0000-0000-0000BC020000}"/>
    <cellStyle name="Notiz 5 2" xfId="1637" xr:uid="{00000000-0005-0000-0000-000065060000}"/>
    <cellStyle name="Notiz 5 3" xfId="1882" xr:uid="{00000000-0005-0000-0000-00005A070000}"/>
    <cellStyle name="Notiz 5 4" xfId="2294" xr:uid="{00000000-0005-0000-0000-0000F6080000}"/>
    <cellStyle name="Notiz 5 5" xfId="1475" xr:uid="{00000000-0005-0000-0000-0000C3050000}"/>
    <cellStyle name="Notiz 5 6" xfId="2990" xr:uid="{00000000-0005-0000-0000-0000AE0B0000}"/>
    <cellStyle name="Notiz 5 7" xfId="3372" xr:uid="{00000000-0005-0000-0000-00002C0D0000}"/>
    <cellStyle name="Notiz 5 8" xfId="3061" xr:uid="{00000000-0005-0000-0000-0000F50B0000}"/>
    <cellStyle name="Notiz 6" xfId="1329" xr:uid="{00000000-0005-0000-0000-000031050000}"/>
    <cellStyle name="Notiz 7" xfId="1453" xr:uid="{00000000-0005-0000-0000-0000AD050000}"/>
    <cellStyle name="Notiz 8" xfId="1431" xr:uid="{00000000-0005-0000-0000-000097050000}"/>
    <cellStyle name="Notiz 9" xfId="1515" xr:uid="{00000000-0005-0000-0000-0000EB050000}"/>
    <cellStyle name="Output 2" xfId="188" xr:uid="{00000000-0005-0000-0000-0000BC000000}"/>
    <cellStyle name="Output 2 2" xfId="578" xr:uid="{00000000-0005-0000-0000-000042020000}"/>
    <cellStyle name="Output 2 2 2" xfId="793" xr:uid="{00000000-0005-0000-0000-000019030000}"/>
    <cellStyle name="Output 2 2 2 2" xfId="1094" xr:uid="{00000000-0005-0000-0000-000046040000}"/>
    <cellStyle name="Output 2 2 2 3" xfId="1975" xr:uid="{00000000-0005-0000-0000-0000B7070000}"/>
    <cellStyle name="Output 2 2 2 4" xfId="2386" xr:uid="{00000000-0005-0000-0000-000052090000}"/>
    <cellStyle name="Output 2 2 2 5" xfId="2582" xr:uid="{00000000-0005-0000-0000-0000160A0000}"/>
    <cellStyle name="Output 2 2 2 6" xfId="2833" xr:uid="{00000000-0005-0000-0000-0000110B0000}"/>
    <cellStyle name="Output 2 2 2 7" xfId="3463" xr:uid="{00000000-0005-0000-0000-0000870D0000}"/>
    <cellStyle name="Output 2 2 2 8" xfId="3603" xr:uid="{00000000-0005-0000-0000-0000130E0000}"/>
    <cellStyle name="Output 2 2 3" xfId="1153" xr:uid="{00000000-0005-0000-0000-000081040000}"/>
    <cellStyle name="Output 2 2 4" xfId="1760" xr:uid="{00000000-0005-0000-0000-0000E0060000}"/>
    <cellStyle name="Output 2 2 5" xfId="2172" xr:uid="{00000000-0005-0000-0000-00007C080000}"/>
    <cellStyle name="Output 2 2 6" xfId="1049" xr:uid="{00000000-0005-0000-0000-000019040000}"/>
    <cellStyle name="Output 2 2 7" xfId="3024" xr:uid="{00000000-0005-0000-0000-0000D00B0000}"/>
    <cellStyle name="Output 2 2 8" xfId="3251" xr:uid="{00000000-0005-0000-0000-0000B30C0000}"/>
    <cellStyle name="Output 2 2 9" xfId="3126" xr:uid="{00000000-0005-0000-0000-0000360C0000}"/>
    <cellStyle name="Output 2 3" xfId="674" xr:uid="{00000000-0005-0000-0000-0000A2020000}"/>
    <cellStyle name="Output 2 3 2" xfId="889" xr:uid="{00000000-0005-0000-0000-000079030000}"/>
    <cellStyle name="Output 2 3 2 2" xfId="1648" xr:uid="{00000000-0005-0000-0000-000070060000}"/>
    <cellStyle name="Output 2 3 2 3" xfId="2071" xr:uid="{00000000-0005-0000-0000-000017080000}"/>
    <cellStyle name="Output 2 3 2 4" xfId="2482" xr:uid="{00000000-0005-0000-0000-0000B2090000}"/>
    <cellStyle name="Output 2 3 2 5" xfId="2840" xr:uid="{00000000-0005-0000-0000-0000180B0000}"/>
    <cellStyle name="Output 2 3 2 6" xfId="3161" xr:uid="{00000000-0005-0000-0000-0000590C0000}"/>
    <cellStyle name="Output 2 3 2 7" xfId="3559" xr:uid="{00000000-0005-0000-0000-0000E70D0000}"/>
    <cellStyle name="Output 2 3 2 8" xfId="3775" xr:uid="{00000000-0005-0000-0000-0000BF0E0000}"/>
    <cellStyle name="Output 2 3 3" xfId="975" xr:uid="{00000000-0005-0000-0000-0000CF030000}"/>
    <cellStyle name="Output 2 3 4" xfId="1856" xr:uid="{00000000-0005-0000-0000-000040070000}"/>
    <cellStyle name="Output 2 3 5" xfId="2268" xr:uid="{00000000-0005-0000-0000-0000DC080000}"/>
    <cellStyle name="Output 2 3 6" xfId="1275" xr:uid="{00000000-0005-0000-0000-0000FB040000}"/>
    <cellStyle name="Output 2 3 7" xfId="3098" xr:uid="{00000000-0005-0000-0000-00001A0C0000}"/>
    <cellStyle name="Output 2 3 8" xfId="3347" xr:uid="{00000000-0005-0000-0000-0000130D0000}"/>
    <cellStyle name="Output 2 3 9" xfId="3712" xr:uid="{00000000-0005-0000-0000-0000800E0000}"/>
    <cellStyle name="Output 2 4" xfId="701" xr:uid="{00000000-0005-0000-0000-0000BD020000}"/>
    <cellStyle name="Output 2 4 2" xfId="1461" xr:uid="{00000000-0005-0000-0000-0000B5050000}"/>
    <cellStyle name="Output 2 4 3" xfId="1883" xr:uid="{00000000-0005-0000-0000-00005B070000}"/>
    <cellStyle name="Output 2 4 4" xfId="2295" xr:uid="{00000000-0005-0000-0000-0000F7080000}"/>
    <cellStyle name="Output 2 4 5" xfId="2107" xr:uid="{00000000-0005-0000-0000-00003B080000}"/>
    <cellStyle name="Output 2 4 6" xfId="3107" xr:uid="{00000000-0005-0000-0000-0000230C0000}"/>
    <cellStyle name="Output 2 4 7" xfId="3373" xr:uid="{00000000-0005-0000-0000-00002D0D0000}"/>
    <cellStyle name="Output 2 4 8" xfId="2884" xr:uid="{00000000-0005-0000-0000-0000440B0000}"/>
    <cellStyle name="Output 2 5" xfId="1330" xr:uid="{00000000-0005-0000-0000-000032050000}"/>
    <cellStyle name="Output 2 6" xfId="1547" xr:uid="{00000000-0005-0000-0000-00000B060000}"/>
    <cellStyle name="Output 2 7" xfId="1043" xr:uid="{00000000-0005-0000-0000-000013040000}"/>
    <cellStyle name="Output 2 8" xfId="1040" xr:uid="{00000000-0005-0000-0000-000010040000}"/>
    <cellStyle name="Output 2 9" xfId="2621" xr:uid="{00000000-0005-0000-0000-00003D0A0000}"/>
    <cellStyle name="Output 3" xfId="252" xr:uid="{00000000-0005-0000-0000-0000FC000000}"/>
    <cellStyle name="Output 3 2" xfId="605" xr:uid="{00000000-0005-0000-0000-00005D020000}"/>
    <cellStyle name="Output 3 2 2" xfId="820" xr:uid="{00000000-0005-0000-0000-000034030000}"/>
    <cellStyle name="Output 3 2 2 2" xfId="999" xr:uid="{00000000-0005-0000-0000-0000E7030000}"/>
    <cellStyle name="Output 3 2 2 3" xfId="2002" xr:uid="{00000000-0005-0000-0000-0000D2070000}"/>
    <cellStyle name="Output 3 2 2 4" xfId="2413" xr:uid="{00000000-0005-0000-0000-00006D090000}"/>
    <cellStyle name="Output 3 2 2 5" xfId="2524" xr:uid="{00000000-0005-0000-0000-0000DC090000}"/>
    <cellStyle name="Output 3 2 2 6" xfId="1599" xr:uid="{00000000-0005-0000-0000-00003F060000}"/>
    <cellStyle name="Output 3 2 2 7" xfId="3490" xr:uid="{00000000-0005-0000-0000-0000A20D0000}"/>
    <cellStyle name="Output 3 2 2 8" xfId="3730" xr:uid="{00000000-0005-0000-0000-0000920E0000}"/>
    <cellStyle name="Output 3 2 3" xfId="1483" xr:uid="{00000000-0005-0000-0000-0000CB050000}"/>
    <cellStyle name="Output 3 2 4" xfId="1787" xr:uid="{00000000-0005-0000-0000-0000FB060000}"/>
    <cellStyle name="Output 3 2 5" xfId="2199" xr:uid="{00000000-0005-0000-0000-000097080000}"/>
    <cellStyle name="Output 3 2 6" xfId="1678" xr:uid="{00000000-0005-0000-0000-00008E060000}"/>
    <cellStyle name="Output 3 2 7" xfId="3081" xr:uid="{00000000-0005-0000-0000-0000090C0000}"/>
    <cellStyle name="Output 3 2 8" xfId="3278" xr:uid="{00000000-0005-0000-0000-0000CE0C0000}"/>
    <cellStyle name="Output 3 2 9" xfId="2708" xr:uid="{00000000-0005-0000-0000-0000940A0000}"/>
    <cellStyle name="Output 3 3" xfId="656" xr:uid="{00000000-0005-0000-0000-000090020000}"/>
    <cellStyle name="Output 3 3 2" xfId="871" xr:uid="{00000000-0005-0000-0000-000067030000}"/>
    <cellStyle name="Output 3 3 2 2" xfId="984" xr:uid="{00000000-0005-0000-0000-0000D8030000}"/>
    <cellStyle name="Output 3 3 2 3" xfId="2053" xr:uid="{00000000-0005-0000-0000-000005080000}"/>
    <cellStyle name="Output 3 3 2 4" xfId="2464" xr:uid="{00000000-0005-0000-0000-0000A0090000}"/>
    <cellStyle name="Output 3 3 2 5" xfId="2513" xr:uid="{00000000-0005-0000-0000-0000D1090000}"/>
    <cellStyle name="Output 3 3 2 6" xfId="2111" xr:uid="{00000000-0005-0000-0000-00003F080000}"/>
    <cellStyle name="Output 3 3 2 7" xfId="3541" xr:uid="{00000000-0005-0000-0000-0000D50D0000}"/>
    <cellStyle name="Output 3 3 2 8" xfId="3687" xr:uid="{00000000-0005-0000-0000-0000670E0000}"/>
    <cellStyle name="Output 3 3 3" xfId="1587" xr:uid="{00000000-0005-0000-0000-000033060000}"/>
    <cellStyle name="Output 3 3 4" xfId="1838" xr:uid="{00000000-0005-0000-0000-00002E070000}"/>
    <cellStyle name="Output 3 3 5" xfId="2250" xr:uid="{00000000-0005-0000-0000-0000CA080000}"/>
    <cellStyle name="Output 3 3 6" xfId="2723" xr:uid="{00000000-0005-0000-0000-0000A30A0000}"/>
    <cellStyle name="Output 3 3 7" xfId="2957" xr:uid="{00000000-0005-0000-0000-00008D0B0000}"/>
    <cellStyle name="Output 3 3 8" xfId="3329" xr:uid="{00000000-0005-0000-0000-0000010D0000}"/>
    <cellStyle name="Output 3 3 9" xfId="3746" xr:uid="{00000000-0005-0000-0000-0000A20E0000}"/>
    <cellStyle name="Output 3 4" xfId="706" xr:uid="{00000000-0005-0000-0000-0000C2020000}"/>
    <cellStyle name="Output 3 4 2" xfId="1139" xr:uid="{00000000-0005-0000-0000-000073040000}"/>
    <cellStyle name="Output 3 4 3" xfId="1888" xr:uid="{00000000-0005-0000-0000-000060070000}"/>
    <cellStyle name="Output 3 4 4" xfId="2300" xr:uid="{00000000-0005-0000-0000-0000FC080000}"/>
    <cellStyle name="Output 3 4 5" xfId="2661" xr:uid="{00000000-0005-0000-0000-0000650A0000}"/>
    <cellStyle name="Output 3 4 6" xfId="2906" xr:uid="{00000000-0005-0000-0000-00005A0B0000}"/>
    <cellStyle name="Output 3 4 7" xfId="3378" xr:uid="{00000000-0005-0000-0000-0000320D0000}"/>
    <cellStyle name="Output 3 4 8" xfId="3757" xr:uid="{00000000-0005-0000-0000-0000AD0E0000}"/>
    <cellStyle name="Output 3 5" xfId="1304" xr:uid="{00000000-0005-0000-0000-000018050000}"/>
    <cellStyle name="Output 3 6" xfId="1174" xr:uid="{00000000-0005-0000-0000-000096040000}"/>
    <cellStyle name="Output 3 7" xfId="2819" xr:uid="{00000000-0005-0000-0000-0000030B0000}"/>
    <cellStyle name="Output 3 8" xfId="2877" xr:uid="{00000000-0005-0000-0000-00003D0B0000}"/>
    <cellStyle name="Output 3 9" xfId="1068" xr:uid="{00000000-0005-0000-0000-00002C040000}"/>
    <cellStyle name="Pattern" xfId="189" xr:uid="{00000000-0005-0000-0000-0000BD000000}"/>
    <cellStyle name="Pattern 2" xfId="449" xr:uid="{00000000-0005-0000-0000-0000C1010000}"/>
    <cellStyle name="Pattern 2 2" xfId="592" xr:uid="{00000000-0005-0000-0000-000050020000}"/>
    <cellStyle name="Pattern 2 2 2" xfId="807" xr:uid="{00000000-0005-0000-0000-000027030000}"/>
    <cellStyle name="Pattern 2 2 2 2" xfId="1131" xr:uid="{00000000-0005-0000-0000-00006B040000}"/>
    <cellStyle name="Pattern 2 2 2 3" xfId="1989" xr:uid="{00000000-0005-0000-0000-0000C5070000}"/>
    <cellStyle name="Pattern 2 2 2 4" xfId="2400" xr:uid="{00000000-0005-0000-0000-000060090000}"/>
    <cellStyle name="Pattern 2 2 2 5" xfId="1503" xr:uid="{00000000-0005-0000-0000-0000DF050000}"/>
    <cellStyle name="Pattern 2 2 2 6" xfId="3023" xr:uid="{00000000-0005-0000-0000-0000CF0B0000}"/>
    <cellStyle name="Pattern 2 2 2 7" xfId="3477" xr:uid="{00000000-0005-0000-0000-0000950D0000}"/>
    <cellStyle name="Pattern 2 2 2 8" xfId="2925" xr:uid="{00000000-0005-0000-0000-00006D0B0000}"/>
    <cellStyle name="Pattern 2 2 3" xfId="977" xr:uid="{00000000-0005-0000-0000-0000D1030000}"/>
    <cellStyle name="Pattern 2 2 4" xfId="1774" xr:uid="{00000000-0005-0000-0000-0000EE060000}"/>
    <cellStyle name="Pattern 2 2 5" xfId="2186" xr:uid="{00000000-0005-0000-0000-00008A080000}"/>
    <cellStyle name="Pattern 2 2 6" xfId="2725" xr:uid="{00000000-0005-0000-0000-0000A50A0000}"/>
    <cellStyle name="Pattern 2 2 7" xfId="3018" xr:uid="{00000000-0005-0000-0000-0000CA0B0000}"/>
    <cellStyle name="Pattern 2 2 8" xfId="3265" xr:uid="{00000000-0005-0000-0000-0000C10C0000}"/>
    <cellStyle name="Pattern 2 2 9" xfId="3702" xr:uid="{00000000-0005-0000-0000-0000760E0000}"/>
    <cellStyle name="Pattern 2 3" xfId="738" xr:uid="{00000000-0005-0000-0000-0000E2020000}"/>
    <cellStyle name="Pattern 2 3 2" xfId="1638" xr:uid="{00000000-0005-0000-0000-000066060000}"/>
    <cellStyle name="Pattern 2 3 3" xfId="1920" xr:uid="{00000000-0005-0000-0000-000080070000}"/>
    <cellStyle name="Pattern 2 3 4" xfId="2331" xr:uid="{00000000-0005-0000-0000-00001B090000}"/>
    <cellStyle name="Pattern 2 3 5" xfId="2560" xr:uid="{00000000-0005-0000-0000-0000000A0000}"/>
    <cellStyle name="Pattern 2 3 6" xfId="3001" xr:uid="{00000000-0005-0000-0000-0000B90B0000}"/>
    <cellStyle name="Pattern 2 3 7" xfId="3408" xr:uid="{00000000-0005-0000-0000-0000500D0000}"/>
    <cellStyle name="Pattern 2 3 8" xfId="3014" xr:uid="{00000000-0005-0000-0000-0000C60B0000}"/>
    <cellStyle name="Pattern 3" xfId="298" xr:uid="{00000000-0005-0000-0000-00002A010000}"/>
    <cellStyle name="Pattern 3 10" xfId="3039" xr:uid="{00000000-0005-0000-0000-0000DF0B0000}"/>
    <cellStyle name="Pattern 3 11" xfId="1343" xr:uid="{00000000-0005-0000-0000-00003F050000}"/>
    <cellStyle name="Pattern 3 2" xfId="635" xr:uid="{00000000-0005-0000-0000-00007B020000}"/>
    <cellStyle name="Pattern 3 2 2" xfId="850" xr:uid="{00000000-0005-0000-0000-000052030000}"/>
    <cellStyle name="Pattern 3 2 2 2" xfId="1439" xr:uid="{00000000-0005-0000-0000-00009F050000}"/>
    <cellStyle name="Pattern 3 2 2 3" xfId="2032" xr:uid="{00000000-0005-0000-0000-0000F0070000}"/>
    <cellStyle name="Pattern 3 2 2 4" xfId="2443" xr:uid="{00000000-0005-0000-0000-00008B090000}"/>
    <cellStyle name="Pattern 3 2 2 5" xfId="2756" xr:uid="{00000000-0005-0000-0000-0000C40A0000}"/>
    <cellStyle name="Pattern 3 2 2 6" xfId="973" xr:uid="{00000000-0005-0000-0000-0000CD030000}"/>
    <cellStyle name="Pattern 3 2 2 7" xfId="3520" xr:uid="{00000000-0005-0000-0000-0000C00D0000}"/>
    <cellStyle name="Pattern 3 2 2 8" xfId="3613" xr:uid="{00000000-0005-0000-0000-00001D0E0000}"/>
    <cellStyle name="Pattern 3 2 3" xfId="1146" xr:uid="{00000000-0005-0000-0000-00007A040000}"/>
    <cellStyle name="Pattern 3 2 4" xfId="1817" xr:uid="{00000000-0005-0000-0000-000019070000}"/>
    <cellStyle name="Pattern 3 2 5" xfId="2229" xr:uid="{00000000-0005-0000-0000-0000B5080000}"/>
    <cellStyle name="Pattern 3 2 6" xfId="1169" xr:uid="{00000000-0005-0000-0000-000091040000}"/>
    <cellStyle name="Pattern 3 2 7" xfId="1598" xr:uid="{00000000-0005-0000-0000-00003E060000}"/>
    <cellStyle name="Pattern 3 2 8" xfId="3308" xr:uid="{00000000-0005-0000-0000-0000EC0C0000}"/>
    <cellStyle name="Pattern 3 2 9" xfId="3686" xr:uid="{00000000-0005-0000-0000-0000660E0000}"/>
    <cellStyle name="Pattern 3 3" xfId="534" xr:uid="{00000000-0005-0000-0000-000016020000}"/>
    <cellStyle name="Pattern 3 3 2" xfId="749" xr:uid="{00000000-0005-0000-0000-0000ED020000}"/>
    <cellStyle name="Pattern 3 3 2 2" xfId="1018" xr:uid="{00000000-0005-0000-0000-0000FA030000}"/>
    <cellStyle name="Pattern 3 3 2 3" xfId="1931" xr:uid="{00000000-0005-0000-0000-00008B070000}"/>
    <cellStyle name="Pattern 3 3 2 4" xfId="2342" xr:uid="{00000000-0005-0000-0000-000026090000}"/>
    <cellStyle name="Pattern 3 3 2 5" xfId="2625" xr:uid="{00000000-0005-0000-0000-0000410A0000}"/>
    <cellStyle name="Pattern 3 3 2 6" xfId="2702" xr:uid="{00000000-0005-0000-0000-00008E0A0000}"/>
    <cellStyle name="Pattern 3 3 2 7" xfId="3419" xr:uid="{00000000-0005-0000-0000-00005B0D0000}"/>
    <cellStyle name="Pattern 3 3 2 8" xfId="2541" xr:uid="{00000000-0005-0000-0000-0000ED090000}"/>
    <cellStyle name="Pattern 3 3 3" xfId="1531" xr:uid="{00000000-0005-0000-0000-0000FB050000}"/>
    <cellStyle name="Pattern 3 3 4" xfId="1716" xr:uid="{00000000-0005-0000-0000-0000B4060000}"/>
    <cellStyle name="Pattern 3 3 5" xfId="2128" xr:uid="{00000000-0005-0000-0000-000050080000}"/>
    <cellStyle name="Pattern 3 3 6" xfId="2722" xr:uid="{00000000-0005-0000-0000-0000A20A0000}"/>
    <cellStyle name="Pattern 3 3 7" xfId="2912" xr:uid="{00000000-0005-0000-0000-0000600B0000}"/>
    <cellStyle name="Pattern 3 3 8" xfId="3207" xr:uid="{00000000-0005-0000-0000-0000870C0000}"/>
    <cellStyle name="Pattern 3 3 9" xfId="3079" xr:uid="{00000000-0005-0000-0000-0000070C0000}"/>
    <cellStyle name="Pattern 3 4" xfId="648" xr:uid="{00000000-0005-0000-0000-000088020000}"/>
    <cellStyle name="Pattern 3 4 2" xfId="863" xr:uid="{00000000-0005-0000-0000-00005F030000}"/>
    <cellStyle name="Pattern 3 4 2 2" xfId="988" xr:uid="{00000000-0005-0000-0000-0000DC030000}"/>
    <cellStyle name="Pattern 3 4 2 3" xfId="2045" xr:uid="{00000000-0005-0000-0000-0000FD070000}"/>
    <cellStyle name="Pattern 3 4 2 4" xfId="2456" xr:uid="{00000000-0005-0000-0000-000098090000}"/>
    <cellStyle name="Pattern 3 4 2 5" xfId="2531" xr:uid="{00000000-0005-0000-0000-0000E3090000}"/>
    <cellStyle name="Pattern 3 4 2 6" xfId="1055" xr:uid="{00000000-0005-0000-0000-00001F040000}"/>
    <cellStyle name="Pattern 3 4 2 7" xfId="3533" xr:uid="{00000000-0005-0000-0000-0000CD0D0000}"/>
    <cellStyle name="Pattern 3 4 2 8" xfId="3636" xr:uid="{00000000-0005-0000-0000-0000340E0000}"/>
    <cellStyle name="Pattern 3 4 3" xfId="1500" xr:uid="{00000000-0005-0000-0000-0000DC050000}"/>
    <cellStyle name="Pattern 3 4 4" xfId="1830" xr:uid="{00000000-0005-0000-0000-000026070000}"/>
    <cellStyle name="Pattern 3 4 5" xfId="2242" xr:uid="{00000000-0005-0000-0000-0000C2080000}"/>
    <cellStyle name="Pattern 3 4 6" xfId="2106" xr:uid="{00000000-0005-0000-0000-00003A080000}"/>
    <cellStyle name="Pattern 3 4 7" xfId="3103" xr:uid="{00000000-0005-0000-0000-00001F0C0000}"/>
    <cellStyle name="Pattern 3 4 8" xfId="3321" xr:uid="{00000000-0005-0000-0000-0000F90C0000}"/>
    <cellStyle name="Pattern 3 4 9" xfId="3591" xr:uid="{00000000-0005-0000-0000-0000070E0000}"/>
    <cellStyle name="Pattern 3 5" xfId="1285" xr:uid="{00000000-0005-0000-0000-000005050000}"/>
    <cellStyle name="Pattern 3 6" xfId="1392" xr:uid="{00000000-0005-0000-0000-000070050000}"/>
    <cellStyle name="Pattern 3 7" xfId="1551" xr:uid="{00000000-0005-0000-0000-00000F060000}"/>
    <cellStyle name="Pattern 3 8" xfId="1693" xr:uid="{00000000-0005-0000-0000-00009D060000}"/>
    <cellStyle name="Pattern 3 9" xfId="2864" xr:uid="{00000000-0005-0000-0000-0000300B0000}"/>
    <cellStyle name="Percent 2" xfId="190" xr:uid="{00000000-0005-0000-0000-0000BE000000}"/>
    <cellStyle name="Percent 2 2" xfId="450" xr:uid="{00000000-0005-0000-0000-0000C2010000}"/>
    <cellStyle name="RowLevel_1 2" xfId="93" xr:uid="{00000000-0005-0000-0000-00005D000000}"/>
    <cellStyle name="Schlecht" xfId="191" xr:uid="{00000000-0005-0000-0000-0000BF000000}"/>
    <cellStyle name="Shade" xfId="24" xr:uid="{00000000-0005-0000-0000-000018000000}"/>
    <cellStyle name="Shade 2" xfId="192" xr:uid="{00000000-0005-0000-0000-0000C0000000}"/>
    <cellStyle name="Shade 2 2" xfId="452" xr:uid="{00000000-0005-0000-0000-0000C4010000}"/>
    <cellStyle name="Shade 2 2 2" xfId="537" xr:uid="{00000000-0005-0000-0000-000019020000}"/>
    <cellStyle name="Shade 2 2 2 2" xfId="752" xr:uid="{00000000-0005-0000-0000-0000F0020000}"/>
    <cellStyle name="Shade 2 2 2 2 2" xfId="1200" xr:uid="{00000000-0005-0000-0000-0000B0040000}"/>
    <cellStyle name="Shade 2 2 2 2 3" xfId="1934" xr:uid="{00000000-0005-0000-0000-00008E070000}"/>
    <cellStyle name="Shade 2 2 2 2 4" xfId="2345" xr:uid="{00000000-0005-0000-0000-000029090000}"/>
    <cellStyle name="Shade 2 2 2 2 5" xfId="1224" xr:uid="{00000000-0005-0000-0000-0000C8040000}"/>
    <cellStyle name="Shade 2 2 2 2 6" xfId="1326" xr:uid="{00000000-0005-0000-0000-00002E050000}"/>
    <cellStyle name="Shade 2 2 2 2 7" xfId="3422" xr:uid="{00000000-0005-0000-0000-00005E0D0000}"/>
    <cellStyle name="Shade 2 2 2 2 8" xfId="3627" xr:uid="{00000000-0005-0000-0000-00002B0E0000}"/>
    <cellStyle name="Shade 2 2 2 3" xfId="1434" xr:uid="{00000000-0005-0000-0000-00009A050000}"/>
    <cellStyle name="Shade 2 2 2 4" xfId="1719" xr:uid="{00000000-0005-0000-0000-0000B7060000}"/>
    <cellStyle name="Shade 2 2 2 5" xfId="2131" xr:uid="{00000000-0005-0000-0000-000053080000}"/>
    <cellStyle name="Shade 2 2 2 6" xfId="1197" xr:uid="{00000000-0005-0000-0000-0000AD040000}"/>
    <cellStyle name="Shade 2 2 2 7" xfId="3065" xr:uid="{00000000-0005-0000-0000-0000F90B0000}"/>
    <cellStyle name="Shade 2 2 2 8" xfId="3210" xr:uid="{00000000-0005-0000-0000-00008A0C0000}"/>
    <cellStyle name="Shade 2 2 2 9" xfId="3590" xr:uid="{00000000-0005-0000-0000-0000060E0000}"/>
    <cellStyle name="Shade 2 2 3" xfId="740" xr:uid="{00000000-0005-0000-0000-0000E4020000}"/>
    <cellStyle name="Shade 2 2 3 2" xfId="1641" xr:uid="{00000000-0005-0000-0000-000069060000}"/>
    <cellStyle name="Shade 2 2 3 3" xfId="1922" xr:uid="{00000000-0005-0000-0000-000082070000}"/>
    <cellStyle name="Shade 2 2 3 4" xfId="2333" xr:uid="{00000000-0005-0000-0000-00001D090000}"/>
    <cellStyle name="Shade 2 2 3 5" xfId="1520" xr:uid="{00000000-0005-0000-0000-0000F0050000}"/>
    <cellStyle name="Shade 2 2 3 6" xfId="2951" xr:uid="{00000000-0005-0000-0000-0000870B0000}"/>
    <cellStyle name="Shade 2 2 3 7" xfId="3410" xr:uid="{00000000-0005-0000-0000-0000520D0000}"/>
    <cellStyle name="Shade 2 2 3 8" xfId="2965" xr:uid="{00000000-0005-0000-0000-0000950B0000}"/>
    <cellStyle name="Shade 2 3" xfId="300" xr:uid="{00000000-0005-0000-0000-00002C010000}"/>
    <cellStyle name="Shade 2 3 10" xfId="2966" xr:uid="{00000000-0005-0000-0000-0000960B0000}"/>
    <cellStyle name="Shade 2 3 11" xfId="3021" xr:uid="{00000000-0005-0000-0000-0000CD0B0000}"/>
    <cellStyle name="Shade 2 3 2" xfId="637" xr:uid="{00000000-0005-0000-0000-00007D020000}"/>
    <cellStyle name="Shade 2 3 2 2" xfId="852" xr:uid="{00000000-0005-0000-0000-000054030000}"/>
    <cellStyle name="Shade 2 3 2 2 2" xfId="1437" xr:uid="{00000000-0005-0000-0000-00009D050000}"/>
    <cellStyle name="Shade 2 3 2 2 3" xfId="2034" xr:uid="{00000000-0005-0000-0000-0000F2070000}"/>
    <cellStyle name="Shade 2 3 2 2 4" xfId="2445" xr:uid="{00000000-0005-0000-0000-00008D090000}"/>
    <cellStyle name="Shade 2 3 2 2 5" xfId="1059" xr:uid="{00000000-0005-0000-0000-000023040000}"/>
    <cellStyle name="Shade 2 3 2 2 6" xfId="3051" xr:uid="{00000000-0005-0000-0000-0000EB0B0000}"/>
    <cellStyle name="Shade 2 3 2 2 7" xfId="3522" xr:uid="{00000000-0005-0000-0000-0000C20D0000}"/>
    <cellStyle name="Shade 2 3 2 2 8" xfId="3606" xr:uid="{00000000-0005-0000-0000-0000160E0000}"/>
    <cellStyle name="Shade 2 3 2 3" xfId="1022" xr:uid="{00000000-0005-0000-0000-0000FE030000}"/>
    <cellStyle name="Shade 2 3 2 4" xfId="1819" xr:uid="{00000000-0005-0000-0000-00001B070000}"/>
    <cellStyle name="Shade 2 3 2 5" xfId="2231" xr:uid="{00000000-0005-0000-0000-0000B7080000}"/>
    <cellStyle name="Shade 2 3 2 6" xfId="2577" xr:uid="{00000000-0005-0000-0000-0000110A0000}"/>
    <cellStyle name="Shade 2 3 2 7" xfId="2539" xr:uid="{00000000-0005-0000-0000-0000EB090000}"/>
    <cellStyle name="Shade 2 3 2 8" xfId="3310" xr:uid="{00000000-0005-0000-0000-0000EE0C0000}"/>
    <cellStyle name="Shade 2 3 2 9" xfId="2883" xr:uid="{00000000-0005-0000-0000-0000430B0000}"/>
    <cellStyle name="Shade 2 3 3" xfId="666" xr:uid="{00000000-0005-0000-0000-00009A020000}"/>
    <cellStyle name="Shade 2 3 3 2" xfId="881" xr:uid="{00000000-0005-0000-0000-000071030000}"/>
    <cellStyle name="Shade 2 3 3 2 2" xfId="1227" xr:uid="{00000000-0005-0000-0000-0000CB040000}"/>
    <cellStyle name="Shade 2 3 3 2 3" xfId="2063" xr:uid="{00000000-0005-0000-0000-00000F080000}"/>
    <cellStyle name="Shade 2 3 3 2 4" xfId="2474" xr:uid="{00000000-0005-0000-0000-0000AA090000}"/>
    <cellStyle name="Shade 2 3 3 2 5" xfId="1061" xr:uid="{00000000-0005-0000-0000-000025040000}"/>
    <cellStyle name="Shade 2 3 3 2 6" xfId="1901" xr:uid="{00000000-0005-0000-0000-00006D070000}"/>
    <cellStyle name="Shade 2 3 3 2 7" xfId="3551" xr:uid="{00000000-0005-0000-0000-0000DF0D0000}"/>
    <cellStyle name="Shade 2 3 3 2 8" xfId="3642" xr:uid="{00000000-0005-0000-0000-00003A0E0000}"/>
    <cellStyle name="Shade 2 3 3 3" xfId="934" xr:uid="{00000000-0005-0000-0000-0000A6030000}"/>
    <cellStyle name="Shade 2 3 3 4" xfId="1848" xr:uid="{00000000-0005-0000-0000-000038070000}"/>
    <cellStyle name="Shade 2 3 3 5" xfId="2260" xr:uid="{00000000-0005-0000-0000-0000D4080000}"/>
    <cellStyle name="Shade 2 3 3 6" xfId="1164" xr:uid="{00000000-0005-0000-0000-00008C040000}"/>
    <cellStyle name="Shade 2 3 3 7" xfId="2612" xr:uid="{00000000-0005-0000-0000-0000340A0000}"/>
    <cellStyle name="Shade 2 3 3 8" xfId="3339" xr:uid="{00000000-0005-0000-0000-00000B0D0000}"/>
    <cellStyle name="Shade 2 3 3 9" xfId="3615" xr:uid="{00000000-0005-0000-0000-00001F0E0000}"/>
    <cellStyle name="Shade 2 3 4" xfId="580" xr:uid="{00000000-0005-0000-0000-000044020000}"/>
    <cellStyle name="Shade 2 3 4 2" xfId="795" xr:uid="{00000000-0005-0000-0000-00001B030000}"/>
    <cellStyle name="Shade 2 3 4 2 2" xfId="1093" xr:uid="{00000000-0005-0000-0000-000045040000}"/>
    <cellStyle name="Shade 2 3 4 2 3" xfId="1977" xr:uid="{00000000-0005-0000-0000-0000B9070000}"/>
    <cellStyle name="Shade 2 3 4 2 4" xfId="2388" xr:uid="{00000000-0005-0000-0000-000054090000}"/>
    <cellStyle name="Shade 2 3 4 2 5" xfId="1602" xr:uid="{00000000-0005-0000-0000-000042060000}"/>
    <cellStyle name="Shade 2 3 4 2 6" xfId="2675" xr:uid="{00000000-0005-0000-0000-0000730A0000}"/>
    <cellStyle name="Shade 2 3 4 2 7" xfId="3465" xr:uid="{00000000-0005-0000-0000-0000890D0000}"/>
    <cellStyle name="Shade 2 3 4 2 8" xfId="2761" xr:uid="{00000000-0005-0000-0000-0000C90A0000}"/>
    <cellStyle name="Shade 2 3 4 3" xfId="1527" xr:uid="{00000000-0005-0000-0000-0000F7050000}"/>
    <cellStyle name="Shade 2 3 4 4" xfId="1762" xr:uid="{00000000-0005-0000-0000-0000E2060000}"/>
    <cellStyle name="Shade 2 3 4 5" xfId="2174" xr:uid="{00000000-0005-0000-0000-00007E080000}"/>
    <cellStyle name="Shade 2 3 4 6" xfId="2569" xr:uid="{00000000-0005-0000-0000-0000090A0000}"/>
    <cellStyle name="Shade 2 3 4 7" xfId="2910" xr:uid="{00000000-0005-0000-0000-00005E0B0000}"/>
    <cellStyle name="Shade 2 3 4 8" xfId="3253" xr:uid="{00000000-0005-0000-0000-0000B50C0000}"/>
    <cellStyle name="Shade 2 3 4 9" xfId="3726" xr:uid="{00000000-0005-0000-0000-00008E0E0000}"/>
    <cellStyle name="Shade 2 3 5" xfId="1181" xr:uid="{00000000-0005-0000-0000-00009D040000}"/>
    <cellStyle name="Shade 2 3 6" xfId="1507" xr:uid="{00000000-0005-0000-0000-0000E3050000}"/>
    <cellStyle name="Shade 2 3 7" xfId="963" xr:uid="{00000000-0005-0000-0000-0000C3030000}"/>
    <cellStyle name="Shade 2 3 8" xfId="1597" xr:uid="{00000000-0005-0000-0000-00003D060000}"/>
    <cellStyle name="Shade 2 3 9" xfId="2862" xr:uid="{00000000-0005-0000-0000-00002E0B0000}"/>
    <cellStyle name="Shade 3" xfId="451" xr:uid="{00000000-0005-0000-0000-0000C3010000}"/>
    <cellStyle name="Shade 3 2" xfId="591" xr:uid="{00000000-0005-0000-0000-00004F020000}"/>
    <cellStyle name="Shade 3 2 2" xfId="806" xr:uid="{00000000-0005-0000-0000-000026030000}"/>
    <cellStyle name="Shade 3 2 2 2" xfId="1238" xr:uid="{00000000-0005-0000-0000-0000D6040000}"/>
    <cellStyle name="Shade 3 2 2 3" xfId="1988" xr:uid="{00000000-0005-0000-0000-0000C4070000}"/>
    <cellStyle name="Shade 3 2 2 4" xfId="2399" xr:uid="{00000000-0005-0000-0000-00005F090000}"/>
    <cellStyle name="Shade 3 2 2 5" xfId="2536" xr:uid="{00000000-0005-0000-0000-0000E8090000}"/>
    <cellStyle name="Shade 3 2 2 6" xfId="2831" xr:uid="{00000000-0005-0000-0000-00000F0B0000}"/>
    <cellStyle name="Shade 3 2 2 7" xfId="3476" xr:uid="{00000000-0005-0000-0000-0000940D0000}"/>
    <cellStyle name="Shade 3 2 2 8" xfId="3607" xr:uid="{00000000-0005-0000-0000-0000170E0000}"/>
    <cellStyle name="Shade 3 2 3" xfId="937" xr:uid="{00000000-0005-0000-0000-0000A9030000}"/>
    <cellStyle name="Shade 3 2 4" xfId="1773" xr:uid="{00000000-0005-0000-0000-0000ED060000}"/>
    <cellStyle name="Shade 3 2 5" xfId="2185" xr:uid="{00000000-0005-0000-0000-000089080000}"/>
    <cellStyle name="Shade 3 2 6" xfId="2734" xr:uid="{00000000-0005-0000-0000-0000AE0A0000}"/>
    <cellStyle name="Shade 3 2 7" xfId="1273" xr:uid="{00000000-0005-0000-0000-0000F9040000}"/>
    <cellStyle name="Shade 3 2 8" xfId="3264" xr:uid="{00000000-0005-0000-0000-0000C00C0000}"/>
    <cellStyle name="Shade 3 2 9" xfId="3656" xr:uid="{00000000-0005-0000-0000-0000480E0000}"/>
    <cellStyle name="Shade 3 3" xfId="739" xr:uid="{00000000-0005-0000-0000-0000E3020000}"/>
    <cellStyle name="Shade 3 3 2" xfId="1462" xr:uid="{00000000-0005-0000-0000-0000B6050000}"/>
    <cellStyle name="Shade 3 3 3" xfId="1921" xr:uid="{00000000-0005-0000-0000-000081070000}"/>
    <cellStyle name="Shade 3 3 4" xfId="2332" xr:uid="{00000000-0005-0000-0000-00001C090000}"/>
    <cellStyle name="Shade 3 3 5" xfId="1671" xr:uid="{00000000-0005-0000-0000-000087060000}"/>
    <cellStyle name="Shade 3 3 6" xfId="3106" xr:uid="{00000000-0005-0000-0000-0000220C0000}"/>
    <cellStyle name="Shade 3 3 7" xfId="3409" xr:uid="{00000000-0005-0000-0000-0000510D0000}"/>
    <cellStyle name="Shade 3 3 8" xfId="3689" xr:uid="{00000000-0005-0000-0000-0000690E0000}"/>
    <cellStyle name="Shade 4" xfId="299" xr:uid="{00000000-0005-0000-0000-00002B010000}"/>
    <cellStyle name="Shade 4 10" xfId="2115" xr:uid="{00000000-0005-0000-0000-000043080000}"/>
    <cellStyle name="Shade 4 11" xfId="2757" xr:uid="{00000000-0005-0000-0000-0000C50A0000}"/>
    <cellStyle name="Shade 4 2" xfId="44" xr:uid="{00000000-0005-0000-0000-00002C000000}"/>
    <cellStyle name="Shade 4 2 2" xfId="636" xr:uid="{00000000-0005-0000-0000-00007C020000}"/>
    <cellStyle name="Shade 4 2 2 2" xfId="1259" xr:uid="{00000000-0005-0000-0000-0000EB040000}"/>
    <cellStyle name="Shade 4 2 2 3" xfId="1818" xr:uid="{00000000-0005-0000-0000-00001A070000}"/>
    <cellStyle name="Shade 4 2 2 4" xfId="2230" xr:uid="{00000000-0005-0000-0000-0000B6080000}"/>
    <cellStyle name="Shade 4 2 2 5" xfId="2715" xr:uid="{00000000-0005-0000-0000-00009B0A0000}"/>
    <cellStyle name="Shade 4 2 2 6" xfId="2766" xr:uid="{00000000-0005-0000-0000-0000CE0A0000}"/>
    <cellStyle name="Shade 4 2 2 7" xfId="3309" xr:uid="{00000000-0005-0000-0000-0000ED0C0000}"/>
    <cellStyle name="Shade 4 2 2 8" xfId="3630" xr:uid="{00000000-0005-0000-0000-00002E0E0000}"/>
    <cellStyle name="Shade 4 2 3" xfId="851" xr:uid="{00000000-0005-0000-0000-000053030000}"/>
    <cellStyle name="Shade 4 2 3 2" xfId="1611" xr:uid="{00000000-0005-0000-0000-00004B060000}"/>
    <cellStyle name="Shade 4 2 3 3" xfId="2033" xr:uid="{00000000-0005-0000-0000-0000F1070000}"/>
    <cellStyle name="Shade 4 2 3 4" xfId="2444" xr:uid="{00000000-0005-0000-0000-00008C090000}"/>
    <cellStyle name="Shade 4 2 3 5" xfId="2108" xr:uid="{00000000-0005-0000-0000-00003C080000}"/>
    <cellStyle name="Shade 4 2 3 6" xfId="3026" xr:uid="{00000000-0005-0000-0000-0000D20B0000}"/>
    <cellStyle name="Shade 4 2 3 7" xfId="3521" xr:uid="{00000000-0005-0000-0000-0000C10D0000}"/>
    <cellStyle name="Shade 4 2 3 8" xfId="1684" xr:uid="{00000000-0005-0000-0000-000094060000}"/>
    <cellStyle name="Shade 4 3" xfId="665" xr:uid="{00000000-0005-0000-0000-000099020000}"/>
    <cellStyle name="Shade 4 3 2" xfId="880" xr:uid="{00000000-0005-0000-0000-000070030000}"/>
    <cellStyle name="Shade 4 3 2 2" xfId="1121" xr:uid="{00000000-0005-0000-0000-000061040000}"/>
    <cellStyle name="Shade 4 3 2 3" xfId="2062" xr:uid="{00000000-0005-0000-0000-00000E080000}"/>
    <cellStyle name="Shade 4 3 2 4" xfId="2473" xr:uid="{00000000-0005-0000-0000-0000A9090000}"/>
    <cellStyle name="Shade 4 3 2 5" xfId="1297" xr:uid="{00000000-0005-0000-0000-000011050000}"/>
    <cellStyle name="Shade 4 3 2 6" xfId="2594" xr:uid="{00000000-0005-0000-0000-0000220A0000}"/>
    <cellStyle name="Shade 4 3 2 7" xfId="3550" xr:uid="{00000000-0005-0000-0000-0000DE0D0000}"/>
    <cellStyle name="Shade 4 3 2 8" xfId="3078" xr:uid="{00000000-0005-0000-0000-0000060C0000}"/>
    <cellStyle name="Shade 4 3 3" xfId="933" xr:uid="{00000000-0005-0000-0000-0000A5030000}"/>
    <cellStyle name="Shade 4 3 4" xfId="1847" xr:uid="{00000000-0005-0000-0000-000037070000}"/>
    <cellStyle name="Shade 4 3 5" xfId="2259" xr:uid="{00000000-0005-0000-0000-0000D3080000}"/>
    <cellStyle name="Shade 4 3 6" xfId="2606" xr:uid="{00000000-0005-0000-0000-00002E0A0000}"/>
    <cellStyle name="Shade 4 3 7" xfId="1328" xr:uid="{00000000-0005-0000-0000-000030050000}"/>
    <cellStyle name="Shade 4 3 8" xfId="3338" xr:uid="{00000000-0005-0000-0000-00000A0D0000}"/>
    <cellStyle name="Shade 4 3 9" xfId="3582" xr:uid="{00000000-0005-0000-0000-0000FE0D0000}"/>
    <cellStyle name="Shade 4 4" xfId="527" xr:uid="{00000000-0005-0000-0000-00000F020000}"/>
    <cellStyle name="Shade 4 4 2" xfId="742" xr:uid="{00000000-0005-0000-0000-0000E6020000}"/>
    <cellStyle name="Shade 4 4 2 2" xfId="1581" xr:uid="{00000000-0005-0000-0000-00002D060000}"/>
    <cellStyle name="Shade 4 4 2 3" xfId="1924" xr:uid="{00000000-0005-0000-0000-000084070000}"/>
    <cellStyle name="Shade 4 4 2 4" xfId="2335" xr:uid="{00000000-0005-0000-0000-00001F090000}"/>
    <cellStyle name="Shade 4 4 2 5" xfId="2638" xr:uid="{00000000-0005-0000-0000-00004E0A0000}"/>
    <cellStyle name="Shade 4 4 2 6" xfId="3028" xr:uid="{00000000-0005-0000-0000-0000D40B0000}"/>
    <cellStyle name="Shade 4 4 2 7" xfId="3412" xr:uid="{00000000-0005-0000-0000-0000540D0000}"/>
    <cellStyle name="Shade 4 4 2 8" xfId="2886" xr:uid="{00000000-0005-0000-0000-0000460B0000}"/>
    <cellStyle name="Shade 4 4 3" xfId="1454" xr:uid="{00000000-0005-0000-0000-0000AE050000}"/>
    <cellStyle name="Shade 4 4 4" xfId="1709" xr:uid="{00000000-0005-0000-0000-0000AD060000}"/>
    <cellStyle name="Shade 4 4 5" xfId="2121" xr:uid="{00000000-0005-0000-0000-000049080000}"/>
    <cellStyle name="Shade 4 4 6" xfId="1361" xr:uid="{00000000-0005-0000-0000-000051050000}"/>
    <cellStyle name="Shade 4 4 7" xfId="3084" xr:uid="{00000000-0005-0000-0000-00000C0C0000}"/>
    <cellStyle name="Shade 4 4 8" xfId="3200" xr:uid="{00000000-0005-0000-0000-0000800C0000}"/>
    <cellStyle name="Shade 4 4 9" xfId="3578" xr:uid="{00000000-0005-0000-0000-0000FA0D0000}"/>
    <cellStyle name="Shade 4 5" xfId="1286" xr:uid="{00000000-0005-0000-0000-000006050000}"/>
    <cellStyle name="Shade 4 6" xfId="1564" xr:uid="{00000000-0005-0000-0000-00001C060000}"/>
    <cellStyle name="Shade 4 7" xfId="1161" xr:uid="{00000000-0005-0000-0000-000089040000}"/>
    <cellStyle name="Shade 4 8" xfId="1276" xr:uid="{00000000-0005-0000-0000-0000FC040000}"/>
    <cellStyle name="Shade 4 9" xfId="2628" xr:uid="{00000000-0005-0000-0000-0000440A0000}"/>
    <cellStyle name="Shade 5" xfId="90" xr:uid="{00000000-0005-0000-0000-00005A000000}"/>
    <cellStyle name="Shade_B_border2" xfId="193" xr:uid="{00000000-0005-0000-0000-0000C1000000}"/>
    <cellStyle name="Standard 2" xfId="43" xr:uid="{00000000-0005-0000-0000-00002B000000}"/>
    <cellStyle name="Standard 2 2" xfId="412" xr:uid="{00000000-0005-0000-0000-00009C010000}"/>
    <cellStyle name="Standard 2 2 2" xfId="522" xr:uid="{00000000-0005-0000-0000-00000A020000}"/>
    <cellStyle name="Standard 2 3" xfId="521" xr:uid="{00000000-0005-0000-0000-000009020000}"/>
    <cellStyle name="Title 2" xfId="194" xr:uid="{00000000-0005-0000-0000-0000C2000000}"/>
    <cellStyle name="Title 3" xfId="253" xr:uid="{00000000-0005-0000-0000-0000FD000000}"/>
    <cellStyle name="Total 2" xfId="195" xr:uid="{00000000-0005-0000-0000-0000C3000000}"/>
    <cellStyle name="Total 2 10" xfId="2890" xr:uid="{00000000-0005-0000-0000-00004A0B0000}"/>
    <cellStyle name="Total 2 11" xfId="3008" xr:uid="{00000000-0005-0000-0000-0000C00B0000}"/>
    <cellStyle name="Total 2 2" xfId="582" xr:uid="{00000000-0005-0000-0000-000046020000}"/>
    <cellStyle name="Total 2 2 2" xfId="797" xr:uid="{00000000-0005-0000-0000-00001D030000}"/>
    <cellStyle name="Total 2 2 2 2" xfId="1136" xr:uid="{00000000-0005-0000-0000-000070040000}"/>
    <cellStyle name="Total 2 2 2 3" xfId="1979" xr:uid="{00000000-0005-0000-0000-0000BB070000}"/>
    <cellStyle name="Total 2 2 2 4" xfId="2390" xr:uid="{00000000-0005-0000-0000-000056090000}"/>
    <cellStyle name="Total 2 2 2 5" xfId="1050" xr:uid="{00000000-0005-0000-0000-00001A040000}"/>
    <cellStyle name="Total 2 2 2 6" xfId="2581" xr:uid="{00000000-0005-0000-0000-0000150A0000}"/>
    <cellStyle name="Total 2 2 2 7" xfId="3467" xr:uid="{00000000-0005-0000-0000-00008B0D0000}"/>
    <cellStyle name="Total 2 2 2 8" xfId="3696" xr:uid="{00000000-0005-0000-0000-0000700E0000}"/>
    <cellStyle name="Total 2 2 3" xfId="1621" xr:uid="{00000000-0005-0000-0000-000055060000}"/>
    <cellStyle name="Total 2 2 4" xfId="1764" xr:uid="{00000000-0005-0000-0000-0000E4060000}"/>
    <cellStyle name="Total 2 2 5" xfId="2176" xr:uid="{00000000-0005-0000-0000-000080080000}"/>
    <cellStyle name="Total 2 2 6" xfId="2097" xr:uid="{00000000-0005-0000-0000-000031080000}"/>
    <cellStyle name="Total 2 2 7" xfId="2986" xr:uid="{00000000-0005-0000-0000-0000AA0B0000}"/>
    <cellStyle name="Total 2 2 8" xfId="3255" xr:uid="{00000000-0005-0000-0000-0000B70C0000}"/>
    <cellStyle name="Total 2 2 9" xfId="1517" xr:uid="{00000000-0005-0000-0000-0000ED050000}"/>
    <cellStyle name="Total 2 3" xfId="643" xr:uid="{00000000-0005-0000-0000-000083020000}"/>
    <cellStyle name="Total 2 3 2" xfId="858" xr:uid="{00000000-0005-0000-0000-00005A030000}"/>
    <cellStyle name="Total 2 3 2 2" xfId="991" xr:uid="{00000000-0005-0000-0000-0000DF030000}"/>
    <cellStyle name="Total 2 3 2 3" xfId="2040" xr:uid="{00000000-0005-0000-0000-0000F8070000}"/>
    <cellStyle name="Total 2 3 2 4" xfId="2451" xr:uid="{00000000-0005-0000-0000-000093090000}"/>
    <cellStyle name="Total 2 3 2 5" xfId="1332" xr:uid="{00000000-0005-0000-0000-000034050000}"/>
    <cellStyle name="Total 2 3 2 6" xfId="2744" xr:uid="{00000000-0005-0000-0000-0000B80A0000}"/>
    <cellStyle name="Total 2 3 2 7" xfId="3528" xr:uid="{00000000-0005-0000-0000-0000C80D0000}"/>
    <cellStyle name="Total 2 3 2 8" xfId="3634" xr:uid="{00000000-0005-0000-0000-0000320E0000}"/>
    <cellStyle name="Total 2 3 3" xfId="1543" xr:uid="{00000000-0005-0000-0000-000007060000}"/>
    <cellStyle name="Total 2 3 4" xfId="1825" xr:uid="{00000000-0005-0000-0000-000021070000}"/>
    <cellStyle name="Total 2 3 5" xfId="2237" xr:uid="{00000000-0005-0000-0000-0000BD080000}"/>
    <cellStyle name="Total 2 3 6" xfId="1570" xr:uid="{00000000-0005-0000-0000-000022060000}"/>
    <cellStyle name="Total 2 3 7" xfId="2922" xr:uid="{00000000-0005-0000-0000-00006A0B0000}"/>
    <cellStyle name="Total 2 3 8" xfId="3316" xr:uid="{00000000-0005-0000-0000-0000F40C0000}"/>
    <cellStyle name="Total 2 3 9" xfId="3722" xr:uid="{00000000-0005-0000-0000-00008A0E0000}"/>
    <cellStyle name="Total 2 4" xfId="531" xr:uid="{00000000-0005-0000-0000-000013020000}"/>
    <cellStyle name="Total 2 4 2" xfId="746" xr:uid="{00000000-0005-0000-0000-0000EA020000}"/>
    <cellStyle name="Total 2 4 2 2" xfId="1566" xr:uid="{00000000-0005-0000-0000-00001E060000}"/>
    <cellStyle name="Total 2 4 2 3" xfId="1928" xr:uid="{00000000-0005-0000-0000-000088070000}"/>
    <cellStyle name="Total 2 4 2 4" xfId="2339" xr:uid="{00000000-0005-0000-0000-000023090000}"/>
    <cellStyle name="Total 2 4 2 5" xfId="982" xr:uid="{00000000-0005-0000-0000-0000D6030000}"/>
    <cellStyle name="Total 2 4 2 6" xfId="2777" xr:uid="{00000000-0005-0000-0000-0000D90A0000}"/>
    <cellStyle name="Total 2 4 2 7" xfId="3416" xr:uid="{00000000-0005-0000-0000-0000580D0000}"/>
    <cellStyle name="Total 2 4 2 8" xfId="3713" xr:uid="{00000000-0005-0000-0000-0000810E0000}"/>
    <cellStyle name="Total 2 4 3" xfId="1397" xr:uid="{00000000-0005-0000-0000-000075050000}"/>
    <cellStyle name="Total 2 4 4" xfId="1713" xr:uid="{00000000-0005-0000-0000-0000B1060000}"/>
    <cellStyle name="Total 2 4 5" xfId="2125" xr:uid="{00000000-0005-0000-0000-00004D080000}"/>
    <cellStyle name="Total 2 4 6" xfId="1163" xr:uid="{00000000-0005-0000-0000-00008B040000}"/>
    <cellStyle name="Total 2 4 7" xfId="2571" xr:uid="{00000000-0005-0000-0000-00000B0A0000}"/>
    <cellStyle name="Total 2 4 8" xfId="3204" xr:uid="{00000000-0005-0000-0000-0000840C0000}"/>
    <cellStyle name="Total 2 4 9" xfId="3665" xr:uid="{00000000-0005-0000-0000-0000510E0000}"/>
    <cellStyle name="Total 2 5" xfId="702" xr:uid="{00000000-0005-0000-0000-0000BE020000}"/>
    <cellStyle name="Total 2 5 2" xfId="1627" xr:uid="{00000000-0005-0000-0000-00005B060000}"/>
    <cellStyle name="Total 2 5 3" xfId="1884" xr:uid="{00000000-0005-0000-0000-00005C070000}"/>
    <cellStyle name="Total 2 5 4" xfId="2296" xr:uid="{00000000-0005-0000-0000-0000F8080000}"/>
    <cellStyle name="Total 2 5 5" xfId="1212" xr:uid="{00000000-0005-0000-0000-0000BC040000}"/>
    <cellStyle name="Total 2 5 6" xfId="2952" xr:uid="{00000000-0005-0000-0000-0000880B0000}"/>
    <cellStyle name="Total 2 5 7" xfId="3374" xr:uid="{00000000-0005-0000-0000-00002E0D0000}"/>
    <cellStyle name="Total 2 5 8" xfId="3626" xr:uid="{00000000-0005-0000-0000-00002A0E0000}"/>
    <cellStyle name="Total 2 6" xfId="1327" xr:uid="{00000000-0005-0000-0000-00002F050000}"/>
    <cellStyle name="Total 2 7" xfId="1320" xr:uid="{00000000-0005-0000-0000-000028050000}"/>
    <cellStyle name="Total 2 8" xfId="1187" xr:uid="{00000000-0005-0000-0000-0000A3040000}"/>
    <cellStyle name="Total 2 9" xfId="1035" xr:uid="{00000000-0005-0000-0000-00000B040000}"/>
    <cellStyle name="Total 3" xfId="254" xr:uid="{00000000-0005-0000-0000-0000FE000000}"/>
    <cellStyle name="Total 3 10" xfId="2876" xr:uid="{00000000-0005-0000-0000-00003C0B0000}"/>
    <cellStyle name="Total 3 11" xfId="2880" xr:uid="{00000000-0005-0000-0000-0000400B0000}"/>
    <cellStyle name="Total 3 2" xfId="606" xr:uid="{00000000-0005-0000-0000-00005E020000}"/>
    <cellStyle name="Total 3 2 2" xfId="821" xr:uid="{00000000-0005-0000-0000-000035030000}"/>
    <cellStyle name="Total 3 2 2 2" xfId="998" xr:uid="{00000000-0005-0000-0000-0000E6030000}"/>
    <cellStyle name="Total 3 2 2 3" xfId="2003" xr:uid="{00000000-0005-0000-0000-0000D3070000}"/>
    <cellStyle name="Total 3 2 2 4" xfId="2414" xr:uid="{00000000-0005-0000-0000-00006E090000}"/>
    <cellStyle name="Total 3 2 2 5" xfId="2555" xr:uid="{00000000-0005-0000-0000-0000FB090000}"/>
    <cellStyle name="Total 3 2 2 6" xfId="2669" xr:uid="{00000000-0005-0000-0000-00006D0A0000}"/>
    <cellStyle name="Total 3 2 2 7" xfId="3491" xr:uid="{00000000-0005-0000-0000-0000A30D0000}"/>
    <cellStyle name="Total 3 2 2 8" xfId="1681" xr:uid="{00000000-0005-0000-0000-000091060000}"/>
    <cellStyle name="Total 3 2 3" xfId="1557" xr:uid="{00000000-0005-0000-0000-000015060000}"/>
    <cellStyle name="Total 3 2 4" xfId="1788" xr:uid="{00000000-0005-0000-0000-0000FC060000}"/>
    <cellStyle name="Total 3 2 5" xfId="2200" xr:uid="{00000000-0005-0000-0000-000098080000}"/>
    <cellStyle name="Total 3 2 6" xfId="2312" xr:uid="{00000000-0005-0000-0000-000008090000}"/>
    <cellStyle name="Total 3 2 7" xfId="2929" xr:uid="{00000000-0005-0000-0000-0000710B0000}"/>
    <cellStyle name="Total 3 2 8" xfId="3279" xr:uid="{00000000-0005-0000-0000-0000CF0C0000}"/>
    <cellStyle name="Total 3 2 9" xfId="3623" xr:uid="{00000000-0005-0000-0000-0000270E0000}"/>
    <cellStyle name="Total 3 3" xfId="569" xr:uid="{00000000-0005-0000-0000-000039020000}"/>
    <cellStyle name="Total 3 3 2" xfId="784" xr:uid="{00000000-0005-0000-0000-000010030000}"/>
    <cellStyle name="Total 3 3 2 2" xfId="1007" xr:uid="{00000000-0005-0000-0000-0000EF030000}"/>
    <cellStyle name="Total 3 3 2 3" xfId="1966" xr:uid="{00000000-0005-0000-0000-0000AE070000}"/>
    <cellStyle name="Total 3 3 2 4" xfId="2377" xr:uid="{00000000-0005-0000-0000-000049090000}"/>
    <cellStyle name="Total 3 3 2 5" xfId="1306" xr:uid="{00000000-0005-0000-0000-00001A050000}"/>
    <cellStyle name="Total 3 3 2 6" xfId="1549" xr:uid="{00000000-0005-0000-0000-00000D060000}"/>
    <cellStyle name="Total 3 3 2 7" xfId="3454" xr:uid="{00000000-0005-0000-0000-00007E0D0000}"/>
    <cellStyle name="Total 3 3 2 8" xfId="2927" xr:uid="{00000000-0005-0000-0000-00006F0B0000}"/>
    <cellStyle name="Total 3 3 3" xfId="1635" xr:uid="{00000000-0005-0000-0000-000063060000}"/>
    <cellStyle name="Total 3 3 4" xfId="1751" xr:uid="{00000000-0005-0000-0000-0000D7060000}"/>
    <cellStyle name="Total 3 3 5" xfId="2163" xr:uid="{00000000-0005-0000-0000-000073080000}"/>
    <cellStyle name="Total 3 3 6" xfId="2614" xr:uid="{00000000-0005-0000-0000-0000360A0000}"/>
    <cellStyle name="Total 3 3 7" xfId="2995" xr:uid="{00000000-0005-0000-0000-0000B30B0000}"/>
    <cellStyle name="Total 3 3 8" xfId="3242" xr:uid="{00000000-0005-0000-0000-0000AA0C0000}"/>
    <cellStyle name="Total 3 3 9" xfId="3576" xr:uid="{00000000-0005-0000-0000-0000F80D0000}"/>
    <cellStyle name="Total 3 4" xfId="610" xr:uid="{00000000-0005-0000-0000-000062020000}"/>
    <cellStyle name="Total 3 4 2" xfId="825" xr:uid="{00000000-0005-0000-0000-000039030000}"/>
    <cellStyle name="Total 3 4 2 2" xfId="1091" xr:uid="{00000000-0005-0000-0000-000043040000}"/>
    <cellStyle name="Total 3 4 2 3" xfId="2007" xr:uid="{00000000-0005-0000-0000-0000D7070000}"/>
    <cellStyle name="Total 3 4 2 4" xfId="2418" xr:uid="{00000000-0005-0000-0000-000072090000}"/>
    <cellStyle name="Total 3 4 2 5" xfId="2667" xr:uid="{00000000-0005-0000-0000-00006B0A0000}"/>
    <cellStyle name="Total 3 4 2 6" xfId="1072" xr:uid="{00000000-0005-0000-0000-000030040000}"/>
    <cellStyle name="Total 3 4 2 7" xfId="3495" xr:uid="{00000000-0005-0000-0000-0000A70D0000}"/>
    <cellStyle name="Total 3 4 2 8" xfId="2814" xr:uid="{00000000-0005-0000-0000-0000FE0A0000}"/>
    <cellStyle name="Total 3 4 3" xfId="1591" xr:uid="{00000000-0005-0000-0000-000037060000}"/>
    <cellStyle name="Total 3 4 4" xfId="1792" xr:uid="{00000000-0005-0000-0000-000000070000}"/>
    <cellStyle name="Total 3 4 5" xfId="2204" xr:uid="{00000000-0005-0000-0000-00009C080000}"/>
    <cellStyle name="Total 3 4 6" xfId="1487" xr:uid="{00000000-0005-0000-0000-0000CF050000}"/>
    <cellStyle name="Total 3 4 7" xfId="2961" xr:uid="{00000000-0005-0000-0000-0000910B0000}"/>
    <cellStyle name="Total 3 4 8" xfId="3283" xr:uid="{00000000-0005-0000-0000-0000D30C0000}"/>
    <cellStyle name="Total 3 4 9" xfId="3631" xr:uid="{00000000-0005-0000-0000-00002F0E0000}"/>
    <cellStyle name="Total 3 5" xfId="707" xr:uid="{00000000-0005-0000-0000-0000C3020000}"/>
    <cellStyle name="Total 3 5 2" xfId="1496" xr:uid="{00000000-0005-0000-0000-0000D8050000}"/>
    <cellStyle name="Total 3 5 3" xfId="1889" xr:uid="{00000000-0005-0000-0000-000061070000}"/>
    <cellStyle name="Total 3 5 4" xfId="2301" xr:uid="{00000000-0005-0000-0000-0000FD080000}"/>
    <cellStyle name="Total 3 5 5" xfId="2680" xr:uid="{00000000-0005-0000-0000-0000780A0000}"/>
    <cellStyle name="Total 3 5 6" xfId="1450" xr:uid="{00000000-0005-0000-0000-0000AA050000}"/>
    <cellStyle name="Total 3 5 7" xfId="3379" xr:uid="{00000000-0005-0000-0000-0000330D0000}"/>
    <cellStyle name="Total 3 5 8" xfId="3134" xr:uid="{00000000-0005-0000-0000-00003E0C0000}"/>
    <cellStyle name="Total 3 6" xfId="1189" xr:uid="{00000000-0005-0000-0000-0000A5040000}"/>
    <cellStyle name="Total 3 7" xfId="1191" xr:uid="{00000000-0005-0000-0000-0000A7040000}"/>
    <cellStyle name="Total 3 8" xfId="1308" xr:uid="{00000000-0005-0000-0000-00001C050000}"/>
    <cellStyle name="Total 3 9" xfId="2622" xr:uid="{00000000-0005-0000-0000-00003E0A0000}"/>
    <cellStyle name="Verknüpfte Zelle" xfId="201" xr:uid="{00000000-0005-0000-0000-0000C9000000}"/>
    <cellStyle name="Warnender Text" xfId="58" hidden="1" xr:uid="{00000000-0005-0000-0000-00003A000000}"/>
    <cellStyle name="Warnender Text 2" xfId="411" xr:uid="{00000000-0005-0000-0000-00009B010000}"/>
    <cellStyle name="Warnender Text 3" xfId="302" xr:uid="{00000000-0005-0000-0000-00002E010000}"/>
    <cellStyle name="Warning Text 2" xfId="202" xr:uid="{00000000-0005-0000-0000-0000CA000000}"/>
    <cellStyle name="Warning Text 3" xfId="255" xr:uid="{00000000-0005-0000-0000-0000FF000000}"/>
    <cellStyle name="Überschrift" xfId="196" xr:uid="{00000000-0005-0000-0000-0000C4000000}"/>
    <cellStyle name="Überschrift 1" xfId="197" xr:uid="{00000000-0005-0000-0000-0000C5000000}"/>
    <cellStyle name="Überschrift 2" xfId="198" xr:uid="{00000000-0005-0000-0000-0000C6000000}"/>
    <cellStyle name="Überschrift 3" xfId="199" xr:uid="{00000000-0005-0000-0000-0000C7000000}"/>
    <cellStyle name="Überschrift 4" xfId="200" xr:uid="{00000000-0005-0000-0000-0000C8000000}"/>
    <cellStyle name="Zelle überprüfen" xfId="203" xr:uid="{00000000-0005-0000-0000-0000CB000000}"/>
    <cellStyle name="Гиперссылка" xfId="204" xr:uid="{00000000-0005-0000-0000-0000CC000000}"/>
    <cellStyle name="Гиперссылка 2" xfId="205" xr:uid="{00000000-0005-0000-0000-0000CD000000}"/>
    <cellStyle name="Гиперссылка 3" xfId="213" xr:uid="{00000000-0005-0000-0000-0000D5000000}"/>
    <cellStyle name="Гиперссылка 4" xfId="385" xr:uid="{00000000-0005-0000-0000-000081010000}"/>
    <cellStyle name="Обычный_2++" xfId="33" xr:uid="{00000000-0005-0000-0000-00002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cat>
            <c:strLit>
              <c:ptCount val="11"/>
              <c:pt idx="0">
                <c:v>Denmark </c:v>
              </c:pt>
              <c:pt idx="1">
                <c:v>France</c:v>
              </c:pt>
              <c:pt idx="2">
                <c:v>Germany</c:v>
              </c:pt>
              <c:pt idx="3">
                <c:v>Greece</c:v>
              </c:pt>
              <c:pt idx="4">
                <c:v>Hungary </c:v>
              </c:pt>
              <c:pt idx="5">
                <c:v>Ireland</c:v>
              </c:pt>
              <c:pt idx="6">
                <c:v>Italy</c:v>
              </c:pt>
              <c:pt idx="7">
                <c:v>Netherlands</c:v>
              </c:pt>
              <c:pt idx="8">
                <c:v>Poland</c:v>
              </c:pt>
              <c:pt idx="9">
                <c:v>Spain</c:v>
              </c:pt>
              <c:pt idx="10">
                <c:v>Sweden</c:v>
              </c:pt>
            </c:strLit>
          </c:cat>
          <c:val>
            <c:numLit>
              <c:formatCode>General</c:formatCode>
              <c:ptCount val="11"/>
              <c:pt idx="0">
                <c:v>0.34945446776871281</c:v>
              </c:pt>
              <c:pt idx="1">
                <c:v>0.47801158608010952</c:v>
              </c:pt>
              <c:pt idx="2">
                <c:v>0.35489832798949456</c:v>
              </c:pt>
              <c:pt idx="3">
                <c:v>0.38101451541952891</c:v>
              </c:pt>
              <c:pt idx="4">
                <c:v>0.34634087786915252</c:v>
              </c:pt>
              <c:pt idx="5">
                <c:v>0.33400348040348815</c:v>
              </c:pt>
              <c:pt idx="6">
                <c:v>0.68514742122479899</c:v>
              </c:pt>
              <c:pt idx="7">
                <c:v>0.47153216234734419</c:v>
              </c:pt>
              <c:pt idx="8">
                <c:v>0.34621615899915614</c:v>
              </c:pt>
              <c:pt idx="9">
                <c:v>1.2637785926789111</c:v>
              </c:pt>
              <c:pt idx="10">
                <c:v>0.33340768901182843</c:v>
              </c:pt>
            </c:numLit>
          </c:val>
          <c:extLst>
            <c:ext xmlns:c16="http://schemas.microsoft.com/office/drawing/2014/chart" uri="{C3380CC4-5D6E-409C-BE32-E72D297353CC}">
              <c16:uniqueId val="{00000000-9C6A-4944-AF46-8823FC084F45}"/>
            </c:ext>
          </c:extLst>
        </c:ser>
        <c:dLbls>
          <c:showLegendKey val="0"/>
          <c:showVal val="0"/>
          <c:showCatName val="0"/>
          <c:showSerName val="0"/>
          <c:showPercent val="0"/>
          <c:showBubbleSize val="0"/>
        </c:dLbls>
        <c:gapWidth val="150"/>
        <c:overlap val="100"/>
        <c:axId val="1103850959"/>
        <c:axId val="1103849519"/>
      </c:barChart>
      <c:catAx>
        <c:axId val="110385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3849519"/>
        <c:crosses val="autoZero"/>
        <c:auto val="1"/>
        <c:lblAlgn val="ctr"/>
        <c:lblOffset val="100"/>
        <c:noMultiLvlLbl val="0"/>
      </c:catAx>
      <c:valAx>
        <c:axId val="1103849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Blue</a:t>
                </a:r>
                <a:r>
                  <a:rPr lang="sv-SE" baseline="0"/>
                  <a:t> water use, m3 per kg bonefree meat</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385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Figures!$B$6</c:f>
              <c:strCache>
                <c:ptCount val="1"/>
                <c:pt idx="0">
                  <c:v>Production of mineral fertilizer</c:v>
                </c:pt>
              </c:strCache>
            </c:strRef>
          </c:tx>
          <c:spPr>
            <a:solidFill>
              <a:schemeClr val="accent1"/>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Figures!$B$7:$B$17</c:f>
              <c:numCache>
                <c:formatCode>General</c:formatCode>
                <c:ptCount val="11"/>
                <c:pt idx="0">
                  <c:v>0.19317538994051911</c:v>
                </c:pt>
                <c:pt idx="1">
                  <c:v>0.14373342107404907</c:v>
                </c:pt>
                <c:pt idx="2">
                  <c:v>0.15738442261079602</c:v>
                </c:pt>
                <c:pt idx="3">
                  <c:v>0.181801010548305</c:v>
                </c:pt>
                <c:pt idx="4">
                  <c:v>0.17108128964820823</c:v>
                </c:pt>
                <c:pt idx="5">
                  <c:v>0.15871438243086142</c:v>
                </c:pt>
                <c:pt idx="6">
                  <c:v>0.15699804527614886</c:v>
                </c:pt>
                <c:pt idx="7">
                  <c:v>0.20616948940378155</c:v>
                </c:pt>
                <c:pt idx="8">
                  <c:v>0.13100937251088335</c:v>
                </c:pt>
                <c:pt idx="9">
                  <c:v>0.15956254177325771</c:v>
                </c:pt>
                <c:pt idx="10">
                  <c:v>0.12039666647563808</c:v>
                </c:pt>
              </c:numCache>
            </c:numRef>
          </c:val>
          <c:extLst>
            <c:ext xmlns:c16="http://schemas.microsoft.com/office/drawing/2014/chart" uri="{C3380CC4-5D6E-409C-BE32-E72D297353CC}">
              <c16:uniqueId val="{00000000-FE29-4F20-8CD3-8AC8FC4D256D}"/>
            </c:ext>
          </c:extLst>
        </c:ser>
        <c:ser>
          <c:idx val="1"/>
          <c:order val="1"/>
          <c:tx>
            <c:strRef>
              <c:f>Figures!$C$6</c:f>
              <c:strCache>
                <c:ptCount val="1"/>
                <c:pt idx="0">
                  <c:v>Production of capital goods </c:v>
                </c:pt>
              </c:strCache>
            </c:strRef>
          </c:tx>
          <c:spPr>
            <a:solidFill>
              <a:schemeClr val="accent2"/>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Figures!$C$7:$C$17</c:f>
              <c:numCache>
                <c:formatCode>General</c:formatCode>
                <c:ptCount val="11"/>
                <c:pt idx="0">
                  <c:v>7.1839061244531544E-2</c:v>
                </c:pt>
                <c:pt idx="1">
                  <c:v>6.8740876175708052E-2</c:v>
                </c:pt>
                <c:pt idx="2">
                  <c:v>6.9028480188487479E-2</c:v>
                </c:pt>
                <c:pt idx="3">
                  <c:v>6.9714784227990073E-2</c:v>
                </c:pt>
                <c:pt idx="4" formatCode="0.00000">
                  <c:v>6.8319832405661834E-2</c:v>
                </c:pt>
                <c:pt idx="5">
                  <c:v>6.6967212705270757E-2</c:v>
                </c:pt>
                <c:pt idx="6">
                  <c:v>6.8319832405661834E-2</c:v>
                </c:pt>
                <c:pt idx="7">
                  <c:v>7.0512406879205611E-2</c:v>
                </c:pt>
                <c:pt idx="8">
                  <c:v>6.5787257801004084E-2</c:v>
                </c:pt>
                <c:pt idx="9">
                  <c:v>6.7789637468362723E-2</c:v>
                </c:pt>
                <c:pt idx="10">
                  <c:v>6.5670826267877166E-2</c:v>
                </c:pt>
              </c:numCache>
            </c:numRef>
          </c:val>
          <c:extLst>
            <c:ext xmlns:c16="http://schemas.microsoft.com/office/drawing/2014/chart" uri="{C3380CC4-5D6E-409C-BE32-E72D297353CC}">
              <c16:uniqueId val="{00000001-FE29-4F20-8CD3-8AC8FC4D256D}"/>
            </c:ext>
          </c:extLst>
        </c:ser>
        <c:ser>
          <c:idx val="2"/>
          <c:order val="2"/>
          <c:tx>
            <c:strRef>
              <c:f>Figures!$D$6</c:f>
              <c:strCache>
                <c:ptCount val="1"/>
                <c:pt idx="0">
                  <c:v>Emissions from soil </c:v>
                </c:pt>
              </c:strCache>
            </c:strRef>
          </c:tx>
          <c:spPr>
            <a:solidFill>
              <a:schemeClr val="accent3"/>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Figures!$D$7:$D$17</c:f>
              <c:numCache>
                <c:formatCode>General</c:formatCode>
                <c:ptCount val="11"/>
                <c:pt idx="0">
                  <c:v>0.49394545600957596</c:v>
                </c:pt>
                <c:pt idx="1">
                  <c:v>0.33152278179019795</c:v>
                </c:pt>
                <c:pt idx="2">
                  <c:v>0.36644984963568528</c:v>
                </c:pt>
                <c:pt idx="3">
                  <c:v>0.44795079365000812</c:v>
                </c:pt>
                <c:pt idx="4" formatCode="0.00000">
                  <c:v>0.40468264886885613</c:v>
                </c:pt>
                <c:pt idx="5">
                  <c:v>0.30572191159661127</c:v>
                </c:pt>
                <c:pt idx="6">
                  <c:v>0.37978255568509667</c:v>
                </c:pt>
                <c:pt idx="7">
                  <c:v>0.38418544099675334</c:v>
                </c:pt>
                <c:pt idx="8">
                  <c:v>0.32874754643760373</c:v>
                </c:pt>
                <c:pt idx="9">
                  <c:v>0.39720620461124567</c:v>
                </c:pt>
                <c:pt idx="10">
                  <c:v>0.26684664828882404</c:v>
                </c:pt>
              </c:numCache>
            </c:numRef>
          </c:val>
          <c:extLst>
            <c:ext xmlns:c16="http://schemas.microsoft.com/office/drawing/2014/chart" uri="{C3380CC4-5D6E-409C-BE32-E72D297353CC}">
              <c16:uniqueId val="{00000002-FE29-4F20-8CD3-8AC8FC4D256D}"/>
            </c:ext>
          </c:extLst>
        </c:ser>
        <c:ser>
          <c:idx val="3"/>
          <c:order val="3"/>
          <c:tx>
            <c:strRef>
              <c:f>Figures!$E$6</c:f>
              <c:strCache>
                <c:ptCount val="1"/>
                <c:pt idx="0">
                  <c:v>Diesel use field machinary</c:v>
                </c:pt>
              </c:strCache>
            </c:strRef>
          </c:tx>
          <c:spPr>
            <a:solidFill>
              <a:schemeClr val="accent4"/>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Figures!$E$7:$E$17</c:f>
              <c:numCache>
                <c:formatCode>General</c:formatCode>
                <c:ptCount val="11"/>
                <c:pt idx="0">
                  <c:v>8.9413877019864238E-2</c:v>
                </c:pt>
                <c:pt idx="1">
                  <c:v>6.4298640181058964E-2</c:v>
                </c:pt>
                <c:pt idx="2">
                  <c:v>6.2720890322331191E-2</c:v>
                </c:pt>
                <c:pt idx="3">
                  <c:v>8.5329483132923295E-2</c:v>
                </c:pt>
                <c:pt idx="4" formatCode="0.00000">
                  <c:v>6.6030462289698943E-2</c:v>
                </c:pt>
                <c:pt idx="5">
                  <c:v>9.5449883560564691E-2</c:v>
                </c:pt>
                <c:pt idx="6">
                  <c:v>6.5536274949361845E-2</c:v>
                </c:pt>
                <c:pt idx="7">
                  <c:v>0.10732138951543327</c:v>
                </c:pt>
                <c:pt idx="8">
                  <c:v>6.5325241468444373E-2</c:v>
                </c:pt>
                <c:pt idx="9">
                  <c:v>7.7263825184937449E-2</c:v>
                </c:pt>
                <c:pt idx="10">
                  <c:v>7.5167474501395035E-2</c:v>
                </c:pt>
              </c:numCache>
            </c:numRef>
          </c:val>
          <c:extLst>
            <c:ext xmlns:c16="http://schemas.microsoft.com/office/drawing/2014/chart" uri="{C3380CC4-5D6E-409C-BE32-E72D297353CC}">
              <c16:uniqueId val="{00000003-FE29-4F20-8CD3-8AC8FC4D256D}"/>
            </c:ext>
          </c:extLst>
        </c:ser>
        <c:ser>
          <c:idx val="4"/>
          <c:order val="4"/>
          <c:tx>
            <c:strRef>
              <c:f>Figures!$F$6</c:f>
              <c:strCache>
                <c:ptCount val="1"/>
                <c:pt idx="0">
                  <c:v>Energy use for feed processing</c:v>
                </c:pt>
              </c:strCache>
            </c:strRef>
          </c:tx>
          <c:spPr>
            <a:solidFill>
              <a:schemeClr val="accent5"/>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Figures!$F$7:$F$17</c:f>
              <c:numCache>
                <c:formatCode>General</c:formatCode>
                <c:ptCount val="11"/>
                <c:pt idx="0">
                  <c:v>0.12938673018901004</c:v>
                </c:pt>
                <c:pt idx="1">
                  <c:v>0.10282131327061624</c:v>
                </c:pt>
                <c:pt idx="2">
                  <c:v>0.10206319399191345</c:v>
                </c:pt>
                <c:pt idx="3">
                  <c:v>8.3956516039177559E-2</c:v>
                </c:pt>
                <c:pt idx="4" formatCode="0.00000">
                  <c:v>9.6049675559241779E-2</c:v>
                </c:pt>
                <c:pt idx="5">
                  <c:v>0.10401129028805239</c:v>
                </c:pt>
                <c:pt idx="6">
                  <c:v>8.3536209744859133E-2</c:v>
                </c:pt>
                <c:pt idx="7">
                  <c:v>9.3303902861144719E-2</c:v>
                </c:pt>
                <c:pt idx="8">
                  <c:v>9.2453677231942158E-2</c:v>
                </c:pt>
                <c:pt idx="9">
                  <c:v>9.6902579099045386E-2</c:v>
                </c:pt>
                <c:pt idx="10">
                  <c:v>9.2436647819109374E-2</c:v>
                </c:pt>
              </c:numCache>
            </c:numRef>
          </c:val>
          <c:extLst>
            <c:ext xmlns:c16="http://schemas.microsoft.com/office/drawing/2014/chart" uri="{C3380CC4-5D6E-409C-BE32-E72D297353CC}">
              <c16:uniqueId val="{00000004-FE29-4F20-8CD3-8AC8FC4D256D}"/>
            </c:ext>
          </c:extLst>
        </c:ser>
        <c:ser>
          <c:idx val="5"/>
          <c:order val="5"/>
          <c:tx>
            <c:strRef>
              <c:f>Figures!$G$6</c:f>
              <c:strCache>
                <c:ptCount val="1"/>
                <c:pt idx="0">
                  <c:v>Land use change emissions</c:v>
                </c:pt>
              </c:strCache>
            </c:strRef>
          </c:tx>
          <c:spPr>
            <a:solidFill>
              <a:schemeClr val="accent6"/>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Figures!$G$7:$G$17</c:f>
              <c:numCache>
                <c:formatCode>General</c:formatCode>
                <c:ptCount val="11"/>
                <c:pt idx="0">
                  <c:v>6.559167107232898E-2</c:v>
                </c:pt>
                <c:pt idx="1">
                  <c:v>5.2232875382168927E-2</c:v>
                </c:pt>
                <c:pt idx="2">
                  <c:v>5.2704927909311243E-2</c:v>
                </c:pt>
                <c:pt idx="3">
                  <c:v>7.4353186177003802E-2</c:v>
                </c:pt>
                <c:pt idx="4" formatCode="0.00000">
                  <c:v>3.8249403873874439E-2</c:v>
                </c:pt>
                <c:pt idx="5">
                  <c:v>9.5424384007588445E-2</c:v>
                </c:pt>
                <c:pt idx="6">
                  <c:v>3.74521988808336E-2</c:v>
                </c:pt>
                <c:pt idx="7">
                  <c:v>7.0871921171981433E-2</c:v>
                </c:pt>
                <c:pt idx="8">
                  <c:v>6.7969851197177883E-2</c:v>
                </c:pt>
                <c:pt idx="9">
                  <c:v>7.4700237192472707E-2</c:v>
                </c:pt>
                <c:pt idx="10">
                  <c:v>1.6189852056718787E-2</c:v>
                </c:pt>
              </c:numCache>
            </c:numRef>
          </c:val>
          <c:extLst>
            <c:ext xmlns:c16="http://schemas.microsoft.com/office/drawing/2014/chart" uri="{C3380CC4-5D6E-409C-BE32-E72D297353CC}">
              <c16:uniqueId val="{00000005-FE29-4F20-8CD3-8AC8FC4D256D}"/>
            </c:ext>
          </c:extLst>
        </c:ser>
        <c:ser>
          <c:idx val="6"/>
          <c:order val="6"/>
          <c:tx>
            <c:strRef>
              <c:f>Figures!$H$6</c:f>
              <c:strCache>
                <c:ptCount val="1"/>
                <c:pt idx="0">
                  <c:v>Feed transports</c:v>
                </c:pt>
              </c:strCache>
            </c:strRef>
          </c:tx>
          <c:spPr>
            <a:solidFill>
              <a:schemeClr val="accent1">
                <a:lumMod val="60000"/>
              </a:schemeClr>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Figures!$H$7:$H$17</c:f>
              <c:numCache>
                <c:formatCode>General</c:formatCode>
                <c:ptCount val="11"/>
                <c:pt idx="0">
                  <c:v>1.4379836532459413E-2</c:v>
                </c:pt>
                <c:pt idx="1">
                  <c:v>5.138357527838544E-2</c:v>
                </c:pt>
                <c:pt idx="2">
                  <c:v>4.8481418401685683E-2</c:v>
                </c:pt>
                <c:pt idx="3">
                  <c:v>2.636667838949518E-2</c:v>
                </c:pt>
                <c:pt idx="4" formatCode="0.00000">
                  <c:v>3.2433879248606079E-2</c:v>
                </c:pt>
                <c:pt idx="5">
                  <c:v>7.0067522786461334E-2</c:v>
                </c:pt>
                <c:pt idx="6">
                  <c:v>3.2433879248606079E-2</c:v>
                </c:pt>
                <c:pt idx="7">
                  <c:v>5.8458754607718919E-2</c:v>
                </c:pt>
                <c:pt idx="8">
                  <c:v>5.9190211960295648E-2</c:v>
                </c:pt>
                <c:pt idx="9">
                  <c:v>4.7563306782144994E-2</c:v>
                </c:pt>
                <c:pt idx="10">
                  <c:v>1.6006185691050286E-2</c:v>
                </c:pt>
              </c:numCache>
            </c:numRef>
          </c:val>
          <c:extLst>
            <c:ext xmlns:c16="http://schemas.microsoft.com/office/drawing/2014/chart" uri="{C3380CC4-5D6E-409C-BE32-E72D297353CC}">
              <c16:uniqueId val="{00000006-FE29-4F20-8CD3-8AC8FC4D256D}"/>
            </c:ext>
          </c:extLst>
        </c:ser>
        <c:ser>
          <c:idx val="7"/>
          <c:order val="7"/>
          <c:tx>
            <c:strRef>
              <c:f>Figures!$I$6</c:f>
              <c:strCache>
                <c:ptCount val="1"/>
                <c:pt idx="0">
                  <c:v>Enteric fermentation</c:v>
                </c:pt>
              </c:strCache>
            </c:strRef>
          </c:tx>
          <c:spPr>
            <a:solidFill>
              <a:schemeClr val="accent2">
                <a:lumMod val="60000"/>
              </a:schemeClr>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Figures!$I$7:$I$17</c:f>
              <c:numCache>
                <c:formatCode>General</c:formatCode>
                <c:ptCount val="11"/>
                <c:pt idx="0">
                  <c:v>0</c:v>
                </c:pt>
                <c:pt idx="1">
                  <c:v>0</c:v>
                </c:pt>
                <c:pt idx="2">
                  <c:v>0</c:v>
                </c:pt>
                <c:pt idx="3">
                  <c:v>0</c:v>
                </c:pt>
                <c:pt idx="4" formatCode="0.00000">
                  <c:v>0</c:v>
                </c:pt>
                <c:pt idx="5">
                  <c:v>0</c:v>
                </c:pt>
                <c:pt idx="6">
                  <c:v>0</c:v>
                </c:pt>
                <c:pt idx="7">
                  <c:v>0</c:v>
                </c:pt>
                <c:pt idx="8">
                  <c:v>0</c:v>
                </c:pt>
                <c:pt idx="9">
                  <c:v>0</c:v>
                </c:pt>
                <c:pt idx="10">
                  <c:v>0</c:v>
                </c:pt>
              </c:numCache>
            </c:numRef>
          </c:val>
          <c:extLst>
            <c:ext xmlns:c16="http://schemas.microsoft.com/office/drawing/2014/chart" uri="{C3380CC4-5D6E-409C-BE32-E72D297353CC}">
              <c16:uniqueId val="{00000007-FE29-4F20-8CD3-8AC8FC4D256D}"/>
            </c:ext>
          </c:extLst>
        </c:ser>
        <c:ser>
          <c:idx val="8"/>
          <c:order val="8"/>
          <c:tx>
            <c:strRef>
              <c:f>Figures!$J$6</c:f>
              <c:strCache>
                <c:ptCount val="1"/>
                <c:pt idx="0">
                  <c:v>Manure management</c:v>
                </c:pt>
              </c:strCache>
            </c:strRef>
          </c:tx>
          <c:spPr>
            <a:solidFill>
              <a:schemeClr val="accent3">
                <a:lumMod val="60000"/>
              </a:schemeClr>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Figures!$J$7:$J$17</c:f>
              <c:numCache>
                <c:formatCode>General</c:formatCode>
                <c:ptCount val="11"/>
                <c:pt idx="0">
                  <c:v>5.4156646831670513E-2</c:v>
                </c:pt>
                <c:pt idx="1">
                  <c:v>5.0489021770238063E-2</c:v>
                </c:pt>
                <c:pt idx="2">
                  <c:v>4.5352890912164191E-2</c:v>
                </c:pt>
                <c:pt idx="3">
                  <c:v>5.2545830082210997E-2</c:v>
                </c:pt>
                <c:pt idx="4" formatCode="0.00000">
                  <c:v>3.0299276613614024E-2</c:v>
                </c:pt>
                <c:pt idx="5">
                  <c:v>5.6401489349818548E-2</c:v>
                </c:pt>
                <c:pt idx="6">
                  <c:v>3.012745711438326E-2</c:v>
                </c:pt>
                <c:pt idx="7">
                  <c:v>4.4388543993779707E-2</c:v>
                </c:pt>
                <c:pt idx="8">
                  <c:v>4.8798559260302646E-2</c:v>
                </c:pt>
                <c:pt idx="9">
                  <c:v>3.817735503980494E-2</c:v>
                </c:pt>
                <c:pt idx="10">
                  <c:v>2.970352060907135E-2</c:v>
                </c:pt>
              </c:numCache>
            </c:numRef>
          </c:val>
          <c:extLst>
            <c:ext xmlns:c16="http://schemas.microsoft.com/office/drawing/2014/chart" uri="{C3380CC4-5D6E-409C-BE32-E72D297353CC}">
              <c16:uniqueId val="{00000008-FE29-4F20-8CD3-8AC8FC4D256D}"/>
            </c:ext>
          </c:extLst>
        </c:ser>
        <c:ser>
          <c:idx val="9"/>
          <c:order val="9"/>
          <c:tx>
            <c:strRef>
              <c:f>Figures!$K$6</c:f>
              <c:strCache>
                <c:ptCount val="1"/>
                <c:pt idx="0">
                  <c:v>Energy use in stables</c:v>
                </c:pt>
              </c:strCache>
            </c:strRef>
          </c:tx>
          <c:spPr>
            <a:solidFill>
              <a:schemeClr val="accent4">
                <a:lumMod val="60000"/>
              </a:schemeClr>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Figures!$K$7:$K$17</c:f>
              <c:numCache>
                <c:formatCode>General</c:formatCode>
                <c:ptCount val="11"/>
                <c:pt idx="0">
                  <c:v>0.10362621395994066</c:v>
                </c:pt>
                <c:pt idx="1">
                  <c:v>5.3148365626410336E-2</c:v>
                </c:pt>
                <c:pt idx="2">
                  <c:v>4.9559220951342312E-2</c:v>
                </c:pt>
                <c:pt idx="3">
                  <c:v>9.3610105902267021E-3</c:v>
                </c:pt>
                <c:pt idx="4" formatCode="0.00000">
                  <c:v>9.7389846101688712E-3</c:v>
                </c:pt>
                <c:pt idx="5">
                  <c:v>6.8383359838018007E-2</c:v>
                </c:pt>
                <c:pt idx="6">
                  <c:v>9.7389846101688712E-3</c:v>
                </c:pt>
                <c:pt idx="7">
                  <c:v>2.9612656825806084E-2</c:v>
                </c:pt>
                <c:pt idx="8">
                  <c:v>4.3143256987221247E-2</c:v>
                </c:pt>
                <c:pt idx="9">
                  <c:v>4.7422491295135871E-2</c:v>
                </c:pt>
                <c:pt idx="10">
                  <c:v>4.0838708515026745E-2</c:v>
                </c:pt>
              </c:numCache>
            </c:numRef>
          </c:val>
          <c:extLst>
            <c:ext xmlns:c16="http://schemas.microsoft.com/office/drawing/2014/chart" uri="{C3380CC4-5D6E-409C-BE32-E72D297353CC}">
              <c16:uniqueId val="{00000009-FE29-4F20-8CD3-8AC8FC4D256D}"/>
            </c:ext>
          </c:extLst>
        </c:ser>
        <c:ser>
          <c:idx val="10"/>
          <c:order val="10"/>
          <c:tx>
            <c:strRef>
              <c:f>Figures!$L$6</c:f>
              <c:strCache>
                <c:ptCount val="1"/>
                <c:pt idx="0">
                  <c:v>Energy use for slaughter</c:v>
                </c:pt>
              </c:strCache>
            </c:strRef>
          </c:tx>
          <c:spPr>
            <a:solidFill>
              <a:schemeClr val="accent5">
                <a:lumMod val="60000"/>
              </a:schemeClr>
            </a:solidFill>
            <a:ln>
              <a:noFill/>
            </a:ln>
            <a:effectLst/>
          </c:spPr>
          <c:invertIfNegative val="0"/>
          <c:cat>
            <c:strRef>
              <c:f>Figures!$A$7:$A$17</c:f>
              <c:strCache>
                <c:ptCount val="11"/>
                <c:pt idx="0">
                  <c:v>Poland</c:v>
                </c:pt>
                <c:pt idx="1">
                  <c:v>Netherlands</c:v>
                </c:pt>
                <c:pt idx="2">
                  <c:v>Germany</c:v>
                </c:pt>
                <c:pt idx="3">
                  <c:v>Sweden</c:v>
                </c:pt>
                <c:pt idx="4">
                  <c:v>Denmark</c:v>
                </c:pt>
                <c:pt idx="5">
                  <c:v>Greece</c:v>
                </c:pt>
                <c:pt idx="6">
                  <c:v>France</c:v>
                </c:pt>
                <c:pt idx="7">
                  <c:v>Spain</c:v>
                </c:pt>
                <c:pt idx="8">
                  <c:v>Italy</c:v>
                </c:pt>
                <c:pt idx="9">
                  <c:v>Hungary </c:v>
                </c:pt>
                <c:pt idx="10">
                  <c:v>Ireland</c:v>
                </c:pt>
              </c:strCache>
            </c:strRef>
          </c:cat>
          <c:val>
            <c:numRef>
              <c:f>Figures!$L$7:$L$17</c:f>
              <c:numCache>
                <c:formatCode>General</c:formatCode>
                <c:ptCount val="11"/>
                <c:pt idx="0">
                  <c:v>0.3354457505453004</c:v>
                </c:pt>
                <c:pt idx="1">
                  <c:v>0.20433445617249438</c:v>
                </c:pt>
                <c:pt idx="2">
                  <c:v>0.19501200247101899</c:v>
                </c:pt>
                <c:pt idx="3">
                  <c:v>4.6084424607465091E-2</c:v>
                </c:pt>
                <c:pt idx="4" formatCode="0.00000">
                  <c:v>9.158281716926979E-2</c:v>
                </c:pt>
                <c:pt idx="5">
                  <c:v>0.24390586970913766</c:v>
                </c:pt>
                <c:pt idx="6">
                  <c:v>9.158281716926979E-2</c:v>
                </c:pt>
                <c:pt idx="7">
                  <c:v>0.14320274500209373</c:v>
                </c:pt>
                <c:pt idx="8">
                  <c:v>0.17834716100576947</c:v>
                </c:pt>
                <c:pt idx="9">
                  <c:v>0.18946205531204124</c:v>
                </c:pt>
                <c:pt idx="10">
                  <c:v>0.17236132081825128</c:v>
                </c:pt>
              </c:numCache>
            </c:numRef>
          </c:val>
          <c:extLst>
            <c:ext xmlns:c16="http://schemas.microsoft.com/office/drawing/2014/chart" uri="{C3380CC4-5D6E-409C-BE32-E72D297353CC}">
              <c16:uniqueId val="{0000000A-FE29-4F20-8CD3-8AC8FC4D256D}"/>
            </c:ext>
          </c:extLst>
        </c:ser>
        <c:dLbls>
          <c:showLegendKey val="0"/>
          <c:showVal val="0"/>
          <c:showCatName val="0"/>
          <c:showSerName val="0"/>
          <c:showPercent val="0"/>
          <c:showBubbleSize val="0"/>
        </c:dLbls>
        <c:gapWidth val="150"/>
        <c:overlap val="100"/>
        <c:axId val="1419221807"/>
        <c:axId val="2050410495"/>
      </c:barChart>
      <c:catAx>
        <c:axId val="141922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2050410495"/>
        <c:crosses val="autoZero"/>
        <c:auto val="1"/>
        <c:lblAlgn val="ctr"/>
        <c:lblOffset val="100"/>
        <c:noMultiLvlLbl val="0"/>
      </c:catAx>
      <c:valAx>
        <c:axId val="205041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41922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136459</xdr:rowOff>
    </xdr:from>
    <xdr:to>
      <xdr:col>6</xdr:col>
      <xdr:colOff>551793</xdr:colOff>
      <xdr:row>48</xdr:row>
      <xdr:rowOff>55179</xdr:rowOff>
    </xdr:to>
    <xdr:graphicFrame macro="">
      <xdr:nvGraphicFramePr>
        <xdr:cNvPr id="4" name="Chart 3">
          <a:extLst>
            <a:ext uri="{FF2B5EF4-FFF2-40B4-BE49-F238E27FC236}">
              <a16:creationId xmlns:a16="http://schemas.microsoft.com/office/drawing/2014/main" id="{4DD18B48-C582-49B8-A50F-7467D3FDA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40640</xdr:rowOff>
    </xdr:from>
    <xdr:to>
      <xdr:col>13</xdr:col>
      <xdr:colOff>297180</xdr:colOff>
      <xdr:row>20</xdr:row>
      <xdr:rowOff>100330</xdr:rowOff>
    </xdr:to>
    <xdr:graphicFrame macro="">
      <xdr:nvGraphicFramePr>
        <xdr:cNvPr id="5" name="Chart 4">
          <a:extLst>
            <a:ext uri="{FF2B5EF4-FFF2-40B4-BE49-F238E27FC236}">
              <a16:creationId xmlns:a16="http://schemas.microsoft.com/office/drawing/2014/main" id="{A6128597-4F33-C0E2-8422-33305DBDE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548640</xdr:colOff>
      <xdr:row>1</xdr:row>
      <xdr:rowOff>167640</xdr:rowOff>
    </xdr:from>
    <xdr:to>
      <xdr:col>29</xdr:col>
      <xdr:colOff>235207</xdr:colOff>
      <xdr:row>20</xdr:row>
      <xdr:rowOff>38701</xdr:rowOff>
    </xdr:to>
    <xdr:pic>
      <xdr:nvPicPr>
        <xdr:cNvPr id="6" name="Picture 5">
          <a:extLst>
            <a:ext uri="{FF2B5EF4-FFF2-40B4-BE49-F238E27FC236}">
              <a16:creationId xmlns:a16="http://schemas.microsoft.com/office/drawing/2014/main" id="{F7344F35-E77C-2F68-C457-3AE412F51962}"/>
            </a:ext>
          </a:extLst>
        </xdr:cNvPr>
        <xdr:cNvPicPr>
          <a:picLocks noChangeAspect="1"/>
        </xdr:cNvPicPr>
      </xdr:nvPicPr>
      <xdr:blipFill>
        <a:blip xmlns:r="http://schemas.openxmlformats.org/officeDocument/2006/relationships" r:embed="rId3"/>
        <a:stretch>
          <a:fillRect/>
        </a:stretch>
      </xdr:blipFill>
      <xdr:spPr>
        <a:xfrm>
          <a:off x="11864340" y="350520"/>
          <a:ext cx="6392167" cy="4305901"/>
        </a:xfrm>
        <a:prstGeom prst="rect">
          <a:avLst/>
        </a:prstGeom>
      </xdr:spPr>
    </xdr:pic>
    <xdr:clientData/>
  </xdr:twoCellAnchor>
  <xdr:twoCellAnchor editAs="oneCell">
    <xdr:from>
      <xdr:col>10</xdr:col>
      <xdr:colOff>575048</xdr:colOff>
      <xdr:row>27</xdr:row>
      <xdr:rowOff>165100</xdr:rowOff>
    </xdr:from>
    <xdr:to>
      <xdr:col>19</xdr:col>
      <xdr:colOff>228817</xdr:colOff>
      <xdr:row>62</xdr:row>
      <xdr:rowOff>101386</xdr:rowOff>
    </xdr:to>
    <xdr:pic>
      <xdr:nvPicPr>
        <xdr:cNvPr id="2" name="Picture 1">
          <a:extLst>
            <a:ext uri="{FF2B5EF4-FFF2-40B4-BE49-F238E27FC236}">
              <a16:creationId xmlns:a16="http://schemas.microsoft.com/office/drawing/2014/main" id="{D3B542D6-DA62-DBEA-B643-E8F199FCCDB2}"/>
            </a:ext>
          </a:extLst>
        </xdr:cNvPr>
        <xdr:cNvPicPr>
          <a:picLocks noChangeAspect="1"/>
        </xdr:cNvPicPr>
      </xdr:nvPicPr>
      <xdr:blipFill>
        <a:blip xmlns:r="http://schemas.openxmlformats.org/officeDocument/2006/relationships" r:embed="rId4"/>
        <a:stretch>
          <a:fillRect/>
        </a:stretch>
      </xdr:blipFill>
      <xdr:spPr>
        <a:xfrm>
          <a:off x="7147298" y="6089650"/>
          <a:ext cx="5254469" cy="64323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106</xdr:row>
      <xdr:rowOff>27085</xdr:rowOff>
    </xdr:from>
    <xdr:to>
      <xdr:col>9</xdr:col>
      <xdr:colOff>821863</xdr:colOff>
      <xdr:row>133</xdr:row>
      <xdr:rowOff>112057</xdr:rowOff>
    </xdr:to>
    <xdr:pic>
      <xdr:nvPicPr>
        <xdr:cNvPr id="2" name="Picture 1">
          <a:extLst>
            <a:ext uri="{FF2B5EF4-FFF2-40B4-BE49-F238E27FC236}">
              <a16:creationId xmlns:a16="http://schemas.microsoft.com/office/drawing/2014/main" id="{2DF21804-B4D3-4E1A-BE3A-B2920A380EE1}"/>
            </a:ext>
          </a:extLst>
        </xdr:cNvPr>
        <xdr:cNvPicPr>
          <a:picLocks noChangeAspect="1"/>
        </xdr:cNvPicPr>
      </xdr:nvPicPr>
      <xdr:blipFill>
        <a:blip xmlns:r="http://schemas.openxmlformats.org/officeDocument/2006/relationships" r:embed="rId1"/>
        <a:stretch>
          <a:fillRect/>
        </a:stretch>
      </xdr:blipFill>
      <xdr:spPr>
        <a:xfrm>
          <a:off x="0" y="21279265"/>
          <a:ext cx="9007648" cy="50227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2FE95-6612-4298-BC3F-F382FF64C103}">
  <sheetPr>
    <tabColor theme="1"/>
  </sheetPr>
  <dimension ref="A2:F29"/>
  <sheetViews>
    <sheetView zoomScale="80" zoomScaleNormal="80" workbookViewId="0">
      <selection activeCell="E6" sqref="E6"/>
    </sheetView>
  </sheetViews>
  <sheetFormatPr defaultColWidth="8.90625" defaultRowHeight="14.5" x14ac:dyDescent="0.35"/>
  <cols>
    <col min="1" max="1" width="8.90625" style="30"/>
    <col min="2" max="2" width="18.453125" customWidth="1"/>
    <col min="3" max="3" width="31.453125" customWidth="1"/>
    <col min="4" max="4" width="24.54296875" customWidth="1"/>
  </cols>
  <sheetData>
    <row r="2" spans="1:6" ht="21" x14ac:dyDescent="0.5">
      <c r="A2" s="63" t="s">
        <v>0</v>
      </c>
    </row>
    <row r="4" spans="1:6" x14ac:dyDescent="0.35">
      <c r="A4" s="30" t="s">
        <v>1</v>
      </c>
    </row>
    <row r="5" spans="1:6" x14ac:dyDescent="0.35">
      <c r="E5">
        <v>1</v>
      </c>
      <c r="F5" t="s">
        <v>2</v>
      </c>
    </row>
    <row r="6" spans="1:6" x14ac:dyDescent="0.35">
      <c r="E6">
        <f>E5/3.6</f>
        <v>0.27777777777777779</v>
      </c>
    </row>
    <row r="7" spans="1:6" x14ac:dyDescent="0.35">
      <c r="A7" s="30" t="s">
        <v>3</v>
      </c>
    </row>
    <row r="8" spans="1:6" x14ac:dyDescent="0.35">
      <c r="A8" s="30" t="s">
        <v>4</v>
      </c>
    </row>
    <row r="9" spans="1:6" x14ac:dyDescent="0.35">
      <c r="A9" s="30" t="s">
        <v>5</v>
      </c>
    </row>
    <row r="17" spans="1:2" x14ac:dyDescent="0.35">
      <c r="A17" s="30" t="s">
        <v>6</v>
      </c>
    </row>
    <row r="19" spans="1:2" x14ac:dyDescent="0.35">
      <c r="A19" s="82"/>
      <c r="B19" t="s">
        <v>7</v>
      </c>
    </row>
    <row r="20" spans="1:2" x14ac:dyDescent="0.35">
      <c r="A20" s="105"/>
      <c r="B20" t="s">
        <v>8</v>
      </c>
    </row>
    <row r="21" spans="1:2" x14ac:dyDescent="0.35">
      <c r="A21" s="106"/>
      <c r="B21" t="s">
        <v>9</v>
      </c>
    </row>
    <row r="22" spans="1:2" x14ac:dyDescent="0.35">
      <c r="A22" s="239"/>
      <c r="B22" t="s">
        <v>10</v>
      </c>
    </row>
    <row r="26" spans="1:2" x14ac:dyDescent="0.35">
      <c r="A26" s="107" t="s">
        <v>11</v>
      </c>
    </row>
    <row r="27" spans="1:2" x14ac:dyDescent="0.35">
      <c r="A27" s="30" t="s">
        <v>12</v>
      </c>
    </row>
    <row r="28" spans="1:2" x14ac:dyDescent="0.35">
      <c r="A28" s="30" t="s">
        <v>13</v>
      </c>
    </row>
    <row r="29" spans="1:2" x14ac:dyDescent="0.35">
      <c r="A29" s="30" t="s">
        <v>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10B1-2369-4E5D-9342-629CCCD34274}">
  <sheetPr>
    <tabColor theme="1" tint="0.499984740745262"/>
  </sheetPr>
  <dimension ref="A2:R43"/>
  <sheetViews>
    <sheetView workbookViewId="0">
      <selection activeCell="N19" sqref="N19"/>
    </sheetView>
  </sheetViews>
  <sheetFormatPr defaultColWidth="8.90625" defaultRowHeight="14.5" x14ac:dyDescent="0.35"/>
  <cols>
    <col min="1" max="1" width="13.90625" customWidth="1"/>
  </cols>
  <sheetData>
    <row r="2" spans="1:18" ht="21" x14ac:dyDescent="0.5">
      <c r="A2" s="2" t="s">
        <v>10</v>
      </c>
      <c r="C2" s="7"/>
    </row>
    <row r="4" spans="1:18" ht="18.5" x14ac:dyDescent="0.45">
      <c r="A4" s="1" t="s">
        <v>15</v>
      </c>
    </row>
    <row r="6" spans="1:18" ht="72.5" x14ac:dyDescent="0.35">
      <c r="B6" s="211" t="s">
        <v>16</v>
      </c>
      <c r="C6" s="211" t="s">
        <v>17</v>
      </c>
      <c r="D6" s="211" t="s">
        <v>18</v>
      </c>
      <c r="E6" s="211" t="s">
        <v>19</v>
      </c>
      <c r="F6" s="211" t="s">
        <v>20</v>
      </c>
      <c r="G6" s="211" t="s">
        <v>21</v>
      </c>
      <c r="H6" s="211" t="s">
        <v>22</v>
      </c>
      <c r="I6" s="212" t="s">
        <v>23</v>
      </c>
      <c r="J6" s="212" t="s">
        <v>24</v>
      </c>
      <c r="K6" s="211" t="s">
        <v>25</v>
      </c>
      <c r="L6" s="211" t="s">
        <v>26</v>
      </c>
      <c r="M6" s="211" t="s">
        <v>27</v>
      </c>
      <c r="P6" t="s">
        <v>28</v>
      </c>
      <c r="R6" t="s">
        <v>29</v>
      </c>
    </row>
    <row r="7" spans="1:18" x14ac:dyDescent="0.35">
      <c r="A7" t="s">
        <v>30</v>
      </c>
      <c r="B7">
        <f>'GHG det, per kg egg'!H51</f>
        <v>0.19317538994051911</v>
      </c>
      <c r="C7">
        <f>'GHG det, per kg egg'!I51</f>
        <v>7.1839061244531544E-2</v>
      </c>
      <c r="D7">
        <f>'GHG det, per kg egg'!J51+'GHG det, per kg egg'!K51</f>
        <v>0.49394545600957596</v>
      </c>
      <c r="E7">
        <f>'GHG det, per kg egg'!L51</f>
        <v>8.9413877019864238E-2</v>
      </c>
      <c r="F7">
        <f>'GHG det, per kg egg'!O51</f>
        <v>0.12938673018901004</v>
      </c>
      <c r="G7">
        <f>'GHG det, per kg egg'!P51</f>
        <v>6.559167107232898E-2</v>
      </c>
      <c r="H7">
        <f>'GHG det, per kg egg'!R51</f>
        <v>1.4379836532459413E-2</v>
      </c>
      <c r="I7">
        <f>'GHG det, per kg egg'!S51</f>
        <v>0</v>
      </c>
      <c r="J7">
        <f>'GHG det, per kg egg'!T51</f>
        <v>5.4156646831670513E-2</v>
      </c>
      <c r="K7">
        <f>'GHG det, per kg egg'!W51</f>
        <v>0.10362621395994066</v>
      </c>
      <c r="L7">
        <f>'GHG det, per kg egg'!X51</f>
        <v>0.3354457505453004</v>
      </c>
      <c r="M7">
        <f t="shared" ref="M7:M17" si="0">SUM(B7:L7)</f>
        <v>1.5509606333452008</v>
      </c>
    </row>
    <row r="8" spans="1:18" ht="15" customHeight="1" x14ac:dyDescent="0.35">
      <c r="A8" t="s">
        <v>32</v>
      </c>
      <c r="B8">
        <f>'GHG det, per kg egg'!H46</f>
        <v>0.14373342107404907</v>
      </c>
      <c r="C8">
        <f>'GHG det, per kg egg'!I46</f>
        <v>6.8740876175708052E-2</v>
      </c>
      <c r="D8">
        <f>'GHG det, per kg egg'!J46+'GHG det, per kg egg'!K46</f>
        <v>0.33152278179019795</v>
      </c>
      <c r="E8">
        <f>'GHG det, per kg egg'!L46</f>
        <v>6.4298640181058964E-2</v>
      </c>
      <c r="F8">
        <f>'GHG det, per kg egg'!O46</f>
        <v>0.10282131327061624</v>
      </c>
      <c r="G8">
        <f>'GHG det, per kg egg'!P46</f>
        <v>5.2232875382168927E-2</v>
      </c>
      <c r="H8">
        <f>'GHG det, per kg egg'!R46</f>
        <v>5.138357527838544E-2</v>
      </c>
      <c r="I8">
        <f>'GHG det, per kg egg'!S46</f>
        <v>0</v>
      </c>
      <c r="J8">
        <f>'GHG det, per kg egg'!T46</f>
        <v>5.0489021770238063E-2</v>
      </c>
      <c r="K8">
        <f>'GHG det, per kg egg'!W46</f>
        <v>5.3148365626410336E-2</v>
      </c>
      <c r="L8">
        <f>'GHG det, per kg egg'!X46</f>
        <v>0.20433445617249438</v>
      </c>
      <c r="M8">
        <f t="shared" si="0"/>
        <v>1.1227053267213276</v>
      </c>
      <c r="P8" t="s">
        <v>30</v>
      </c>
      <c r="R8" t="s">
        <v>31</v>
      </c>
    </row>
    <row r="9" spans="1:18" ht="15" customHeight="1" x14ac:dyDescent="0.35">
      <c r="A9" t="s">
        <v>33</v>
      </c>
      <c r="B9">
        <f>'GHG det, per kg egg'!H21</f>
        <v>0.15738442261079602</v>
      </c>
      <c r="C9">
        <f>'GHG det, per kg egg'!I21</f>
        <v>6.9028480188487479E-2</v>
      </c>
      <c r="D9">
        <f>'GHG det, per kg egg'!J21+'GHG det, per kg egg'!K21</f>
        <v>0.36644984963568528</v>
      </c>
      <c r="E9">
        <f>'GHG det, per kg egg'!L21</f>
        <v>6.2720890322331191E-2</v>
      </c>
      <c r="F9">
        <f>'GHG det, per kg egg'!O21</f>
        <v>0.10206319399191345</v>
      </c>
      <c r="G9">
        <f>'GHG det, per kg egg'!P21</f>
        <v>5.2704927909311243E-2</v>
      </c>
      <c r="H9">
        <f>'GHG det, per kg egg'!R21</f>
        <v>4.8481418401685683E-2</v>
      </c>
      <c r="I9">
        <f>'GHG det, per kg egg'!S21</f>
        <v>0</v>
      </c>
      <c r="J9">
        <f>'GHG det, per kg egg'!T21</f>
        <v>4.5352890912164191E-2</v>
      </c>
      <c r="K9">
        <f>'GHG det, per kg egg'!W21</f>
        <v>4.9559220951342312E-2</v>
      </c>
      <c r="L9">
        <f>'GHG det, per kg egg'!X21</f>
        <v>0.19501200247101899</v>
      </c>
      <c r="M9">
        <f t="shared" si="0"/>
        <v>1.1487572973947358</v>
      </c>
      <c r="P9" t="s">
        <v>32</v>
      </c>
      <c r="R9" t="s">
        <v>32</v>
      </c>
    </row>
    <row r="10" spans="1:18" ht="15" customHeight="1" x14ac:dyDescent="0.35">
      <c r="A10" s="17" t="s">
        <v>34</v>
      </c>
      <c r="B10">
        <f>'GHG det, per kg egg'!H61</f>
        <v>0.181801010548305</v>
      </c>
      <c r="C10">
        <f>'GHG det, per kg egg'!I61</f>
        <v>6.9714784227990073E-2</v>
      </c>
      <c r="D10">
        <f>'GHG det, per kg egg'!J61+'GHG det, per kg egg'!K61</f>
        <v>0.44795079365000812</v>
      </c>
      <c r="E10">
        <f>'GHG det, per kg egg'!L61</f>
        <v>8.5329483132923295E-2</v>
      </c>
      <c r="F10">
        <f>'GHG det, per kg egg'!O61</f>
        <v>8.3956516039177559E-2</v>
      </c>
      <c r="G10">
        <f>'GHG det, per kg egg'!P61</f>
        <v>7.4353186177003802E-2</v>
      </c>
      <c r="H10">
        <f>'GHG det, per kg egg'!R61</f>
        <v>2.636667838949518E-2</v>
      </c>
      <c r="I10">
        <f>'GHG det, per kg egg'!S61</f>
        <v>0</v>
      </c>
      <c r="J10">
        <f>'GHG det, per kg egg'!T61</f>
        <v>5.2545830082210997E-2</v>
      </c>
      <c r="K10">
        <f>'GHG det, per kg egg'!W61</f>
        <v>9.3610105902267021E-3</v>
      </c>
      <c r="L10">
        <f>'GHG det, per kg egg'!X61</f>
        <v>4.6084424607465091E-2</v>
      </c>
      <c r="M10">
        <f t="shared" si="0"/>
        <v>1.0774637174448056</v>
      </c>
      <c r="P10" s="110" t="s">
        <v>33</v>
      </c>
      <c r="R10" t="s">
        <v>30</v>
      </c>
    </row>
    <row r="11" spans="1:18" ht="15" customHeight="1" x14ac:dyDescent="0.35">
      <c r="A11" t="s">
        <v>155</v>
      </c>
      <c r="B11">
        <f>'GHG det, per kg egg'!H11</f>
        <v>0.17108128964820823</v>
      </c>
      <c r="C11" s="204">
        <f>'GHG det, per kg egg'!I11</f>
        <v>6.8319832405661834E-2</v>
      </c>
      <c r="D11" s="204">
        <f>'GHG det, per kg egg'!J11+'GHG det, per kg egg'!K11</f>
        <v>0.40468264886885613</v>
      </c>
      <c r="E11" s="204">
        <f>'GHG det, per kg egg'!L11</f>
        <v>6.6030462289698943E-2</v>
      </c>
      <c r="F11" s="204">
        <f>'GHG det, per kg egg'!O11</f>
        <v>9.6049675559241779E-2</v>
      </c>
      <c r="G11" s="204">
        <f>'GHG det, per kg egg'!P11</f>
        <v>3.8249403873874439E-2</v>
      </c>
      <c r="H11" s="204">
        <f>'GHG det, per kg egg'!R11</f>
        <v>3.2433879248606079E-2</v>
      </c>
      <c r="I11" s="204">
        <f>'GHG det, per kg egg'!S11</f>
        <v>0</v>
      </c>
      <c r="J11" s="204">
        <f>'GHG det, per kg egg'!T11</f>
        <v>3.0299276613614024E-2</v>
      </c>
      <c r="K11" s="204">
        <f>'GHG det, per kg egg'!W11</f>
        <v>9.7389846101688712E-3</v>
      </c>
      <c r="L11" s="204">
        <f>'GHG det, per kg egg'!X11</f>
        <v>9.158281716926979E-2</v>
      </c>
      <c r="M11" s="204">
        <f t="shared" si="0"/>
        <v>1.0084682702872001</v>
      </c>
      <c r="P11" s="110" t="s">
        <v>34</v>
      </c>
      <c r="R11" t="s">
        <v>35</v>
      </c>
    </row>
    <row r="12" spans="1:18" ht="15" customHeight="1" x14ac:dyDescent="0.35">
      <c r="A12" t="s">
        <v>31</v>
      </c>
      <c r="B12">
        <f>'GHG det, per kg egg'!H26</f>
        <v>0.15871438243086142</v>
      </c>
      <c r="C12">
        <f>'GHG det, per kg egg'!I26</f>
        <v>6.6967212705270757E-2</v>
      </c>
      <c r="D12">
        <f>'GHG det, per kg egg'!J26+'GHG det, per kg egg'!K26</f>
        <v>0.30572191159661127</v>
      </c>
      <c r="E12">
        <f>'GHG det, per kg egg'!L26</f>
        <v>9.5449883560564691E-2</v>
      </c>
      <c r="F12">
        <f>'GHG det, per kg egg'!O26</f>
        <v>0.10401129028805239</v>
      </c>
      <c r="G12">
        <f>'GHG det, per kg egg'!P26</f>
        <v>9.5424384007588445E-2</v>
      </c>
      <c r="H12">
        <f>'GHG det, per kg egg'!R26</f>
        <v>7.0067522786461334E-2</v>
      </c>
      <c r="I12">
        <f>'GHG det, per kg egg'!S26</f>
        <v>0</v>
      </c>
      <c r="J12">
        <f>'GHG det, per kg egg'!T26</f>
        <v>5.6401489349818548E-2</v>
      </c>
      <c r="K12">
        <f>'GHG det, per kg egg'!W26</f>
        <v>6.8383359838018007E-2</v>
      </c>
      <c r="L12">
        <f>'GHG det, per kg egg'!X26</f>
        <v>0.24390586970913766</v>
      </c>
      <c r="M12">
        <f t="shared" si="0"/>
        <v>1.2650473062723846</v>
      </c>
      <c r="P12" t="s">
        <v>155</v>
      </c>
      <c r="R12" t="s">
        <v>37</v>
      </c>
    </row>
    <row r="13" spans="1:18" ht="15" customHeight="1" x14ac:dyDescent="0.35">
      <c r="A13" t="s">
        <v>36</v>
      </c>
      <c r="B13">
        <f>'GHG det, per kg egg'!H16</f>
        <v>0.15699804527614886</v>
      </c>
      <c r="C13">
        <f>'GHG det, per kg egg'!I16</f>
        <v>6.8319832405661834E-2</v>
      </c>
      <c r="D13">
        <f>'GHG det, per kg egg'!J16+'GHG det, per kg egg'!K16</f>
        <v>0.37978255568509667</v>
      </c>
      <c r="E13">
        <f>'GHG det, per kg egg'!L16</f>
        <v>6.5536274949361845E-2</v>
      </c>
      <c r="F13">
        <f>'GHG det, per kg egg'!O16</f>
        <v>8.3536209744859133E-2</v>
      </c>
      <c r="G13">
        <f>'GHG det, per kg egg'!P16</f>
        <v>3.74521988808336E-2</v>
      </c>
      <c r="H13">
        <f>'GHG det, per kg egg'!R16</f>
        <v>3.2433879248606079E-2</v>
      </c>
      <c r="I13">
        <f>'GHG det, per kg egg'!S16</f>
        <v>0</v>
      </c>
      <c r="J13">
        <f>'GHG det, per kg egg'!T16</f>
        <v>3.012745711438326E-2</v>
      </c>
      <c r="K13">
        <f>'GHG det, per kg egg'!W16</f>
        <v>9.7389846101688712E-3</v>
      </c>
      <c r="L13">
        <f>'GHG det, per kg egg'!X16</f>
        <v>9.158281716926979E-2</v>
      </c>
      <c r="M13">
        <f t="shared" si="0"/>
        <v>0.95550825508438986</v>
      </c>
      <c r="P13" t="s">
        <v>31</v>
      </c>
      <c r="R13" t="s">
        <v>39</v>
      </c>
    </row>
    <row r="14" spans="1:18" ht="15" customHeight="1" x14ac:dyDescent="0.35">
      <c r="A14" t="s">
        <v>38</v>
      </c>
      <c r="B14">
        <f>'GHG det, per kg egg'!H56</f>
        <v>0.20616948940378155</v>
      </c>
      <c r="C14">
        <f>'GHG det, per kg egg'!I56</f>
        <v>7.0512406879205611E-2</v>
      </c>
      <c r="D14">
        <f>'GHG det, per kg egg'!J56+'GHG det, per kg egg'!K56</f>
        <v>0.38418544099675334</v>
      </c>
      <c r="E14">
        <f>'GHG det, per kg egg'!L56</f>
        <v>0.10732138951543327</v>
      </c>
      <c r="F14">
        <f>'GHG det, per kg egg'!O56</f>
        <v>9.3303902861144719E-2</v>
      </c>
      <c r="G14">
        <f>'GHG det, per kg egg'!P56</f>
        <v>7.0871921171981433E-2</v>
      </c>
      <c r="H14">
        <f>'GHG det, per kg egg'!R56</f>
        <v>5.8458754607718919E-2</v>
      </c>
      <c r="I14">
        <f>'GHG det, per kg egg'!S56</f>
        <v>0</v>
      </c>
      <c r="J14">
        <f>'GHG det, per kg egg'!T56</f>
        <v>4.4388543993779707E-2</v>
      </c>
      <c r="K14">
        <f>'GHG det, per kg egg'!W56</f>
        <v>2.9612656825806084E-2</v>
      </c>
      <c r="L14">
        <f>'GHG det, per kg egg'!X56</f>
        <v>0.14320274500209373</v>
      </c>
      <c r="M14">
        <f t="shared" si="0"/>
        <v>1.2080272512576982</v>
      </c>
      <c r="P14" s="110" t="s">
        <v>36</v>
      </c>
      <c r="R14" t="s">
        <v>33</v>
      </c>
    </row>
    <row r="15" spans="1:18" ht="15" customHeight="1" x14ac:dyDescent="0.35">
      <c r="A15" t="s">
        <v>39</v>
      </c>
      <c r="B15">
        <f>'GHG det, per kg egg'!H41</f>
        <v>0.13100937251088335</v>
      </c>
      <c r="C15">
        <f>'GHG det, per kg egg'!I41</f>
        <v>6.5787257801004084E-2</v>
      </c>
      <c r="D15">
        <f>'GHG det, per kg egg'!J41+'GHG det, per kg egg'!K41</f>
        <v>0.32874754643760373</v>
      </c>
      <c r="E15">
        <f>'GHG det, per kg egg'!L41</f>
        <v>6.5325241468444373E-2</v>
      </c>
      <c r="F15">
        <f>'GHG det, per kg egg'!O41</f>
        <v>9.2453677231942158E-2</v>
      </c>
      <c r="G15">
        <f>'GHG det, per kg egg'!P41</f>
        <v>6.7969851197177883E-2</v>
      </c>
      <c r="H15">
        <f>'GHG det, per kg egg'!R41</f>
        <v>5.9190211960295648E-2</v>
      </c>
      <c r="I15">
        <f>'GHG det, per kg egg'!S41</f>
        <v>0</v>
      </c>
      <c r="J15">
        <f>'GHG det, per kg egg'!T41</f>
        <v>4.8798559260302646E-2</v>
      </c>
      <c r="K15">
        <f>'GHG det, per kg egg'!W41</f>
        <v>4.3143256987221247E-2</v>
      </c>
      <c r="L15">
        <f>'GHG det, per kg egg'!X41</f>
        <v>0.17834716100576947</v>
      </c>
      <c r="M15">
        <f t="shared" si="0"/>
        <v>1.0807721358606446</v>
      </c>
      <c r="P15" t="s">
        <v>486</v>
      </c>
      <c r="R15" t="s">
        <v>36</v>
      </c>
    </row>
    <row r="16" spans="1:18" ht="15" customHeight="1" x14ac:dyDescent="0.35">
      <c r="A16" t="s">
        <v>40</v>
      </c>
      <c r="B16">
        <f>'GHG det, per kg egg'!H31</f>
        <v>0.15956254177325771</v>
      </c>
      <c r="C16">
        <f>'GHG det, per kg egg'!I31</f>
        <v>6.7789637468362723E-2</v>
      </c>
      <c r="D16">
        <f>'GHG det, per kg egg'!J31+'GHG det, per kg egg'!K31</f>
        <v>0.39720620461124567</v>
      </c>
      <c r="E16">
        <f>'GHG det, per kg egg'!L31</f>
        <v>7.7263825184937449E-2</v>
      </c>
      <c r="F16">
        <f>'GHG det, per kg egg'!O31</f>
        <v>9.6902579099045386E-2</v>
      </c>
      <c r="G16">
        <f>'GHG det, per kg egg'!P31</f>
        <v>7.4700237192472707E-2</v>
      </c>
      <c r="H16">
        <f>'GHG det, per kg egg'!R31</f>
        <v>4.7563306782144994E-2</v>
      </c>
      <c r="I16">
        <f>'GHG det, per kg egg'!S31</f>
        <v>0</v>
      </c>
      <c r="J16">
        <f>'GHG det, per kg egg'!T31</f>
        <v>3.817735503980494E-2</v>
      </c>
      <c r="K16">
        <f>'GHG det, per kg egg'!W31</f>
        <v>4.7422491295135871E-2</v>
      </c>
      <c r="L16">
        <f>'GHG det, per kg egg'!X31</f>
        <v>0.18946205531204124</v>
      </c>
      <c r="M16">
        <f t="shared" si="0"/>
        <v>1.1960502337584487</v>
      </c>
      <c r="P16" t="s">
        <v>39</v>
      </c>
      <c r="R16" t="s">
        <v>38</v>
      </c>
    </row>
    <row r="17" spans="1:18" ht="15" customHeight="1" x14ac:dyDescent="0.35">
      <c r="A17" t="s">
        <v>37</v>
      </c>
      <c r="B17">
        <f>'GHG det, per kg egg'!H36</f>
        <v>0.12039666647563808</v>
      </c>
      <c r="C17">
        <f>'GHG det, per kg egg'!I36</f>
        <v>6.5670826267877166E-2</v>
      </c>
      <c r="D17">
        <f>'GHG det, per kg egg'!J36+'GHG det, per kg egg'!K36</f>
        <v>0.26684664828882404</v>
      </c>
      <c r="E17">
        <f>'GHG det, per kg egg'!L36</f>
        <v>7.5167474501395035E-2</v>
      </c>
      <c r="F17">
        <f>'GHG det, per kg egg'!O36</f>
        <v>9.2436647819109374E-2</v>
      </c>
      <c r="G17">
        <f>'GHG det, per kg egg'!P36</f>
        <v>1.6189852056718787E-2</v>
      </c>
      <c r="H17">
        <f>'GHG det, per kg egg'!R36</f>
        <v>1.6006185691050286E-2</v>
      </c>
      <c r="I17">
        <f>'GHG det, per kg egg'!S36</f>
        <v>0</v>
      </c>
      <c r="J17">
        <f>'GHG det, per kg egg'!T36</f>
        <v>2.970352060907135E-2</v>
      </c>
      <c r="K17">
        <f>'GHG det, per kg egg'!W36</f>
        <v>4.0838708515026745E-2</v>
      </c>
      <c r="L17">
        <f>'GHG det, per kg egg'!X36</f>
        <v>0.17236132081825128</v>
      </c>
      <c r="M17">
        <f t="shared" si="0"/>
        <v>0.89561785104296199</v>
      </c>
      <c r="P17" s="16" t="s">
        <v>40</v>
      </c>
      <c r="R17" t="s">
        <v>155</v>
      </c>
    </row>
    <row r="18" spans="1:18" ht="15" customHeight="1" x14ac:dyDescent="0.35">
      <c r="A18" s="212"/>
      <c r="P18" t="s">
        <v>37</v>
      </c>
      <c r="R18" t="s">
        <v>34</v>
      </c>
    </row>
    <row r="19" spans="1:18" ht="15" customHeight="1" x14ac:dyDescent="0.35">
      <c r="A19" s="211"/>
    </row>
    <row r="20" spans="1:18" ht="15" customHeight="1" x14ac:dyDescent="0.35">
      <c r="A20" s="211"/>
    </row>
    <row r="23" spans="1:18" x14ac:dyDescent="0.35">
      <c r="A23" t="s">
        <v>41</v>
      </c>
    </row>
    <row r="24" spans="1:18" x14ac:dyDescent="0.35">
      <c r="A24" t="s">
        <v>42</v>
      </c>
    </row>
    <row r="25" spans="1:18" x14ac:dyDescent="0.35">
      <c r="A25" t="s">
        <v>43</v>
      </c>
    </row>
    <row r="30" spans="1:18" ht="18.5" x14ac:dyDescent="0.45">
      <c r="A30" s="1" t="s">
        <v>44</v>
      </c>
    </row>
    <row r="33" spans="1:2" x14ac:dyDescent="0.35">
      <c r="A33" t="s">
        <v>45</v>
      </c>
      <c r="B33">
        <v>0.34945446776871281</v>
      </c>
    </row>
    <row r="34" spans="1:2" x14ac:dyDescent="0.35">
      <c r="A34" t="s">
        <v>36</v>
      </c>
      <c r="B34">
        <v>0.47801158608010952</v>
      </c>
    </row>
    <row r="35" spans="1:2" x14ac:dyDescent="0.35">
      <c r="A35" t="s">
        <v>33</v>
      </c>
      <c r="B35">
        <v>0.35489832798949456</v>
      </c>
    </row>
    <row r="36" spans="1:2" x14ac:dyDescent="0.35">
      <c r="A36" t="s">
        <v>31</v>
      </c>
      <c r="B36">
        <v>0.38101451541952891</v>
      </c>
    </row>
    <row r="37" spans="1:2" x14ac:dyDescent="0.35">
      <c r="A37" t="s">
        <v>40</v>
      </c>
      <c r="B37">
        <v>0.34634087786915252</v>
      </c>
    </row>
    <row r="38" spans="1:2" x14ac:dyDescent="0.35">
      <c r="A38" t="s">
        <v>37</v>
      </c>
      <c r="B38">
        <v>0.33400348040348815</v>
      </c>
    </row>
    <row r="39" spans="1:2" x14ac:dyDescent="0.35">
      <c r="A39" t="s">
        <v>39</v>
      </c>
      <c r="B39">
        <v>0.68514743622479901</v>
      </c>
    </row>
    <row r="40" spans="1:2" x14ac:dyDescent="0.35">
      <c r="A40" t="s">
        <v>32</v>
      </c>
      <c r="B40">
        <v>0.47153366234734401</v>
      </c>
    </row>
    <row r="41" spans="1:2" x14ac:dyDescent="0.35">
      <c r="A41" t="s">
        <v>30</v>
      </c>
      <c r="B41">
        <v>0.34636615899915602</v>
      </c>
    </row>
    <row r="42" spans="1:2" x14ac:dyDescent="0.35">
      <c r="A42" t="s">
        <v>38</v>
      </c>
      <c r="B42">
        <v>1.2637785926789111</v>
      </c>
    </row>
    <row r="43" spans="1:2" x14ac:dyDescent="0.35">
      <c r="A43" s="17" t="s">
        <v>34</v>
      </c>
      <c r="B43">
        <v>0.33340768901182843</v>
      </c>
    </row>
  </sheetData>
  <autoFilter ref="A6:M6" xr:uid="{F47B862B-2B35-42F9-850E-EE56BE0A680F}">
    <sortState xmlns:xlrd2="http://schemas.microsoft.com/office/spreadsheetml/2017/richdata2" ref="A7:M17">
      <sortCondition descending="1" ref="M6"/>
    </sortState>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tabColor theme="9" tint="0.59999389629810485"/>
  </sheetPr>
  <dimension ref="A2:V20"/>
  <sheetViews>
    <sheetView topLeftCell="D6" zoomScale="64" zoomScaleNormal="100" workbookViewId="0">
      <selection activeCell="T7" sqref="T7"/>
    </sheetView>
  </sheetViews>
  <sheetFormatPr defaultColWidth="8.90625" defaultRowHeight="14.5" x14ac:dyDescent="0.35"/>
  <cols>
    <col min="1" max="1" width="8.90625" style="30" customWidth="1"/>
    <col min="2" max="2" width="22.90625" customWidth="1"/>
    <col min="3" max="3" width="25.453125" customWidth="1"/>
    <col min="4" max="4" width="16.453125" customWidth="1"/>
    <col min="5" max="11" width="10.453125" customWidth="1"/>
    <col min="12" max="13" width="14.54296875" customWidth="1"/>
    <col min="14" max="14" width="14.54296875" style="12" customWidth="1"/>
    <col min="15" max="20" width="14.54296875" customWidth="1"/>
    <col min="21" max="21" width="15.90625" customWidth="1"/>
  </cols>
  <sheetData>
    <row r="2" spans="1:21" ht="21" customHeight="1" x14ac:dyDescent="0.5">
      <c r="A2" s="63" t="s">
        <v>46</v>
      </c>
      <c r="M2" s="159" t="s">
        <v>47</v>
      </c>
    </row>
    <row r="3" spans="1:21" x14ac:dyDescent="0.35">
      <c r="P3" s="7"/>
      <c r="R3" s="7"/>
      <c r="S3" s="8"/>
      <c r="T3" s="8"/>
      <c r="U3" s="8"/>
    </row>
    <row r="4" spans="1:21" x14ac:dyDescent="0.35">
      <c r="A4" s="83"/>
      <c r="B4" s="84"/>
      <c r="C4" s="84"/>
      <c r="D4" s="84"/>
      <c r="E4" s="84"/>
      <c r="F4" s="84"/>
      <c r="G4" s="84"/>
      <c r="H4" s="84"/>
      <c r="I4" s="84"/>
      <c r="J4" s="84"/>
      <c r="K4" s="84"/>
      <c r="L4" s="84"/>
      <c r="M4" s="84"/>
      <c r="N4" s="85"/>
      <c r="O4" s="84"/>
      <c r="P4" s="86"/>
      <c r="Q4" s="84"/>
      <c r="R4" s="86"/>
      <c r="S4" s="87"/>
      <c r="T4" s="87"/>
      <c r="U4" s="87"/>
    </row>
    <row r="5" spans="1:21" x14ac:dyDescent="0.35">
      <c r="A5" s="65" t="s">
        <v>48</v>
      </c>
      <c r="B5" s="46"/>
      <c r="C5" s="46"/>
      <c r="D5" s="52"/>
      <c r="E5" s="52"/>
      <c r="F5" s="170" t="s">
        <v>49</v>
      </c>
      <c r="G5" s="52"/>
      <c r="H5" s="52"/>
      <c r="I5" s="52"/>
      <c r="J5" s="52"/>
      <c r="K5" s="52"/>
      <c r="L5" s="39" t="s">
        <v>50</v>
      </c>
      <c r="M5" s="39" t="s">
        <v>51</v>
      </c>
      <c r="N5" s="39" t="s">
        <v>52</v>
      </c>
      <c r="O5" s="39" t="s">
        <v>53</v>
      </c>
      <c r="P5" s="40" t="s">
        <v>54</v>
      </c>
      <c r="Q5" s="40" t="s">
        <v>55</v>
      </c>
      <c r="R5" s="40" t="s">
        <v>56</v>
      </c>
      <c r="S5" s="40" t="s">
        <v>57</v>
      </c>
      <c r="T5" s="57" t="s">
        <v>58</v>
      </c>
      <c r="U5" s="57" t="s">
        <v>59</v>
      </c>
    </row>
    <row r="6" spans="1:21" s="9" customFormat="1" ht="43.5" customHeight="1" x14ac:dyDescent="0.35">
      <c r="A6" s="67" t="s">
        <v>60</v>
      </c>
      <c r="B6" s="66" t="s">
        <v>61</v>
      </c>
      <c r="C6" s="66" t="s">
        <v>62</v>
      </c>
      <c r="D6" s="68" t="s">
        <v>63</v>
      </c>
      <c r="E6" s="69" t="s">
        <v>64</v>
      </c>
      <c r="F6" s="169" t="s">
        <v>65</v>
      </c>
      <c r="G6" s="168" t="s">
        <v>66</v>
      </c>
      <c r="H6" s="168" t="s">
        <v>67</v>
      </c>
      <c r="I6" s="169" t="s">
        <v>68</v>
      </c>
      <c r="J6" s="169" t="s">
        <v>69</v>
      </c>
      <c r="K6" s="168" t="s">
        <v>70</v>
      </c>
      <c r="L6" s="72" t="s">
        <v>71</v>
      </c>
      <c r="M6" s="72" t="s">
        <v>72</v>
      </c>
      <c r="N6" s="72" t="s">
        <v>73</v>
      </c>
      <c r="O6" s="73" t="s">
        <v>74</v>
      </c>
      <c r="P6" s="74" t="s">
        <v>75</v>
      </c>
      <c r="Q6" s="75" t="s">
        <v>76</v>
      </c>
      <c r="R6" s="75" t="s">
        <v>77</v>
      </c>
      <c r="S6" s="75" t="s">
        <v>78</v>
      </c>
      <c r="T6" s="51" t="s">
        <v>79</v>
      </c>
      <c r="U6" s="71" t="s">
        <v>80</v>
      </c>
    </row>
    <row r="7" spans="1:21" x14ac:dyDescent="0.35">
      <c r="A7" s="206" t="s">
        <v>81</v>
      </c>
      <c r="B7" s="12" t="s">
        <v>82</v>
      </c>
      <c r="C7" s="16" t="s">
        <v>83</v>
      </c>
      <c r="D7" t="s">
        <v>155</v>
      </c>
      <c r="E7" t="s">
        <v>482</v>
      </c>
      <c r="F7" s="11">
        <f>'GHG det, per kg egg'!G11</f>
        <v>1.0255663518882283</v>
      </c>
      <c r="G7" s="11">
        <f>'GHG det, per kg egg'!G7</f>
        <v>0.54071427077964629</v>
      </c>
      <c r="H7" s="47">
        <f>'GHG det, per kg egg'!G8</f>
        <v>7.524367548946728E-4</v>
      </c>
      <c r="I7" s="47">
        <f>'GHG det, per kg egg'!G9</f>
        <v>1.1044964048642022E-3</v>
      </c>
      <c r="J7" s="47">
        <f>'GHG det, per kg egg'!G10</f>
        <v>1.5846449189794406E-3</v>
      </c>
      <c r="L7" s="18">
        <f>'EFP per kg feed'!F28*FCR_bonefree_incl_parents_DK</f>
        <v>5.6166879695172529</v>
      </c>
      <c r="M7" s="19">
        <f>'EFP per kg feed'!G28*FCR_bonefree_incl_parents_DK-Manure_repl_factor_DK*Excreted_N_after_losses_DK</f>
        <v>6.3176072750090559E-2</v>
      </c>
      <c r="N7" s="19">
        <f>'EFP per kg feed'!H28*FCR_bonefree_incl_parents_DK</f>
        <v>5.9161782606229505E-3</v>
      </c>
      <c r="O7" s="32">
        <f>'EFP per kg feed'!I28*FCR_bonefree_incl_parents_DK+(Production!B5*(Water_drinking_hens_DK+Water_service_hens_DK)*365+Production!B6*(Water_drinking_recruit_DK+Water_service_recruit_DK)*365)/1000/Production!B14</f>
        <v>5.6879173369614858E-2</v>
      </c>
      <c r="P7" s="32">
        <f>'EFP per kg feed'!J28*FCR_bonefree_incl_parents_DK</f>
        <v>0.94916172262857945</v>
      </c>
      <c r="Q7" s="32">
        <f>'EFP per kg feed'!K28*FCR_bonefree_incl_parents_DK</f>
        <v>9.6900239831579609E-11</v>
      </c>
      <c r="R7" s="32">
        <f>'EFP per kg feed'!L28*FCR_bonefree_incl_parents_DK+NH3_per_kg_DK</f>
        <v>2.9654015010951431E-3</v>
      </c>
      <c r="S7" s="210" t="e">
        <f>'Parameters, country spec'!#REF!*Production!C15</f>
        <v>#REF!</v>
      </c>
      <c r="T7" s="5">
        <v>6.7130158850058992</v>
      </c>
      <c r="U7" s="11">
        <v>0.24294592243684901</v>
      </c>
    </row>
    <row r="8" spans="1:21" x14ac:dyDescent="0.35">
      <c r="A8" s="206" t="s">
        <v>81</v>
      </c>
      <c r="B8" s="12" t="s">
        <v>82</v>
      </c>
      <c r="C8" s="16" t="s">
        <v>83</v>
      </c>
      <c r="D8" t="s">
        <v>36</v>
      </c>
      <c r="E8" t="s">
        <v>84</v>
      </c>
      <c r="F8" s="11">
        <f>'GHG det, per kg egg'!G16</f>
        <v>0.97468591153761464</v>
      </c>
      <c r="G8" s="11">
        <f>'GHG det, per kg egg'!G12</f>
        <v>0.52147342066600721</v>
      </c>
      <c r="H8" s="47">
        <f>'GHG det, per kg egg'!G13</f>
        <v>7.4753640405836211E-4</v>
      </c>
      <c r="I8" s="47">
        <f>'GHG det, per kg egg'!G14</f>
        <v>1.0990285626760225E-3</v>
      </c>
      <c r="J8" s="47">
        <f>'GHG det, per kg egg'!G15</f>
        <v>1.4698246697377861E-3</v>
      </c>
      <c r="L8" s="18">
        <f>'EFP per kg feed'!F29*FCR_bonefree_incl_parents_FR</f>
        <v>3.5335153568137554</v>
      </c>
      <c r="M8" s="19">
        <f>'EFP per kg feed'!G29*FCR_bonefree_incl_parents_FR-Manure_repl_factor_FR*Excreted_N_after_losses_FR</f>
        <v>4.7190605018059585E-2</v>
      </c>
      <c r="N8" s="19">
        <f>'EFP per kg feed'!H29*FCR_bonefree_incl_parents_FR</f>
        <v>6.13763958287151E-3</v>
      </c>
      <c r="O8" s="32">
        <f>'EFP per kg feed'!I29*FCR_bonefree_incl_parents_FR+(Production!C5*(Water_drinking_hens_FR+Water_service_hens_FR)*365+Production!C6*(Water_drinking_recruit_FR+Water_service_recruit_FR)*365)/1000/Production!C14</f>
        <v>3.5796233325818202E-2</v>
      </c>
      <c r="P8" s="32">
        <f>'EFP per kg feed'!J29*FCR_bonefree_incl_parents_FR</f>
        <v>0.75523227550218186</v>
      </c>
      <c r="Q8" s="32">
        <f>'EFP per kg feed'!K29*FCR_bonefree_incl_parents_FR</f>
        <v>5.3612845154990858E-11</v>
      </c>
      <c r="R8" s="32">
        <f>'EFP per kg feed'!L29*FCR_bonefree_incl_parents_FR+NH3_per_kg_FR</f>
        <v>4.0961693836864613E-3</v>
      </c>
      <c r="S8" s="210" t="e">
        <f>'Parameters, country spec'!#REF!*Production!C16</f>
        <v>#REF!</v>
      </c>
      <c r="T8" s="5">
        <v>6.8052206520011511</v>
      </c>
      <c r="U8" s="11">
        <v>0.35528488830290972</v>
      </c>
    </row>
    <row r="9" spans="1:21" x14ac:dyDescent="0.35">
      <c r="A9" s="206" t="s">
        <v>81</v>
      </c>
      <c r="B9" s="12" t="s">
        <v>82</v>
      </c>
      <c r="C9" s="16" t="s">
        <v>83</v>
      </c>
      <c r="D9" t="s">
        <v>33</v>
      </c>
      <c r="E9" t="s">
        <v>85</v>
      </c>
      <c r="F9" s="11">
        <f>'GHG det, per kg egg'!G21</f>
        <v>1.1753966678268164</v>
      </c>
      <c r="G9" s="11">
        <f>'GHG det, per kg egg'!G17</f>
        <v>0.70744124166310918</v>
      </c>
      <c r="H9" s="47">
        <f>'GHG det, per kg egg'!G18</f>
        <v>1.0247773758790975E-3</v>
      </c>
      <c r="I9" s="47">
        <f>'GHG det, per kg egg'!G19</f>
        <v>1.6549102682371613E-3</v>
      </c>
      <c r="J9" s="47">
        <f>'GHG det, per kg egg'!G20</f>
        <v>1.4385878502568021E-3</v>
      </c>
      <c r="L9" s="18">
        <f>'EFP per kg feed'!F41*FCR_bonefree_incl_parents_DE</f>
        <v>3.3708652182586327</v>
      </c>
      <c r="M9" s="19">
        <f>'EFP per kg feed'!G41*FCR_bonefree_incl_parents_DE-Manure_repl_factor_DE*Excreted_N_after_losses_DE</f>
        <v>4.6972313519851164E-2</v>
      </c>
      <c r="N9" s="19">
        <f>'EFP per kg feed'!H41*FCR_bonefree_incl_parents_DE</f>
        <v>5.5151775063962951E-3</v>
      </c>
      <c r="O9" s="32">
        <f>'EFP per kg feed'!I41*FCR_bonefree_incl_parents_DE+(Production!D5*(Water_drinking_hens_DE+Water_service_hens_DE)*365+Production!D6*(Water_drinking_recruit_DE+Water_service_recruit_DE)*365)/1000/Production!D14</f>
        <v>1.1097036255003998E-2</v>
      </c>
      <c r="P9" s="32">
        <f>'EFP per kg feed'!J41*FCR_bonefree_incl_parents_DE</f>
        <v>0.60904943173468062</v>
      </c>
      <c r="Q9" s="32">
        <f>'EFP per kg feed'!K41*FCR_bonefree_incl_parents_DE</f>
        <v>4.8671923029060694E-11</v>
      </c>
      <c r="R9" s="32">
        <f>'EFP per kg feed'!L41*FCR_bonefree_incl_parents_DE+NH3_per_kg_DE</f>
        <v>3.4408338206297871E-3</v>
      </c>
      <c r="S9" s="210" t="e">
        <f>'Parameters, country spec'!#REF!*Production!D16</f>
        <v>#REF!</v>
      </c>
      <c r="T9" s="5">
        <v>6.9023384425879382</v>
      </c>
      <c r="U9" s="11">
        <v>0.59524888123672648</v>
      </c>
    </row>
    <row r="10" spans="1:21" x14ac:dyDescent="0.35">
      <c r="A10" s="206" t="s">
        <v>81</v>
      </c>
      <c r="B10" s="12" t="s">
        <v>82</v>
      </c>
      <c r="C10" s="16" t="s">
        <v>83</v>
      </c>
      <c r="D10" t="s">
        <v>31</v>
      </c>
      <c r="E10" t="s">
        <v>86</v>
      </c>
      <c r="F10" s="11">
        <f>'GHG det, per kg egg'!G26</f>
        <v>1.4138090822598768</v>
      </c>
      <c r="G10" s="11">
        <f>'GHG det, per kg egg'!G22</f>
        <v>0.99482437799278334</v>
      </c>
      <c r="H10" s="47">
        <f>'GHG det, per kg egg'!G23</f>
        <v>1.4439605649903967E-3</v>
      </c>
      <c r="I10" s="47">
        <f>'GHG det, per kg egg'!G24</f>
        <v>2.071545178863475E-3</v>
      </c>
      <c r="J10" s="47">
        <f>'GHG det, per kg egg'!G25</f>
        <v>1.1722452732639778E-3</v>
      </c>
      <c r="L10" s="18">
        <f>'EFP per kg feed'!F42*FCR_bonefree_incl_parents_GR</f>
        <v>8.5177177032477811</v>
      </c>
      <c r="M10" s="19">
        <f>'EFP per kg feed'!G42*FCR_bonefree_incl_parents_GR-Manure_repl_factor_GR*Excreted_N_after_losses_GR</f>
        <v>7.9982430628026346E-2</v>
      </c>
      <c r="N10" s="19">
        <f>'EFP per kg feed'!H42*FCR_bonefree_incl_parents_GR</f>
        <v>5.9624023922734545E-3</v>
      </c>
      <c r="O10" s="32">
        <f>'EFP per kg feed'!I42*FCR_bonefree_incl_parents_GR+(Production!E5*(Water_drinking_hens_GR+Water_service_hens_GR)*365+Production!E6*(Water_drinking_recruit_GR+Water_service_recruit_GR)*365)/1000/Production!E14</f>
        <v>8.4280637020579547E-3</v>
      </c>
      <c r="P10" s="32">
        <f>'EFP per kg feed'!J42*FCR_bonefree_incl_parents_GR</f>
        <v>0.89997864543808004</v>
      </c>
      <c r="Q10" s="32">
        <f>'EFP per kg feed'!K42*FCR_bonefree_incl_parents_GR</f>
        <v>4.0102462149202148E-10</v>
      </c>
      <c r="R10" s="32">
        <f>'EFP per kg feed'!L53*FCR_bonefree_incl_parents_GR+NH3_per_kg_GR</f>
        <v>5.9379150937124868E-3</v>
      </c>
      <c r="S10" s="210" t="e">
        <f>'Parameters, country spec'!#REF!*Production!E16</f>
        <v>#REF!</v>
      </c>
      <c r="T10" s="5">
        <v>9.9243983745060671</v>
      </c>
      <c r="U10" s="11">
        <v>1.1614202379455161</v>
      </c>
    </row>
    <row r="11" spans="1:21" x14ac:dyDescent="0.35">
      <c r="A11" s="206" t="s">
        <v>81</v>
      </c>
      <c r="B11" s="12" t="s">
        <v>82</v>
      </c>
      <c r="C11" s="16" t="s">
        <v>83</v>
      </c>
      <c r="D11" t="s">
        <v>40</v>
      </c>
      <c r="E11" t="s">
        <v>87</v>
      </c>
      <c r="F11" s="11">
        <f>'GHG det, per kg egg'!G31</f>
        <v>1.2816417096889368</v>
      </c>
      <c r="G11" s="11">
        <f>'GHG det, per kg egg'!G27</f>
        <v>0.78711452698044537</v>
      </c>
      <c r="H11" s="47">
        <f>'GHG det, per kg egg'!G28</f>
        <v>1.2309276591579983E-3</v>
      </c>
      <c r="I11" s="47">
        <f>'GHG det, per kg egg'!G29</f>
        <v>1.3810301192423166E-3</v>
      </c>
      <c r="J11" s="47">
        <f>'GHG det, per kg egg'!G30</f>
        <v>1.5405044880807345E-3</v>
      </c>
      <c r="L11" s="18">
        <f>'EFP per kg feed'!F65*FCR_bonefree_incl_parents_HU</f>
        <v>4.3933215144403004</v>
      </c>
      <c r="M11" s="19">
        <f>'EFP per kg feed'!G65*FCR_bonefree_incl_parents_HU-Manure_repl_factor_HU*Excreted_N_after_losses_HU</f>
        <v>5.4141474485335059E-2</v>
      </c>
      <c r="N11" s="19">
        <f>'EFP per kg feed'!H65*FCR_bonefree_incl_parents_HU</f>
        <v>1.0468686079155021E-2</v>
      </c>
      <c r="O11" s="32">
        <f>'EFP per kg feed'!I65*FCR_bonefree_incl_parents_HU+(Production!F5*(Water_drinking_hens_HU+Water_service_hens_HU)*365+Production!F6*(Water_drinking_recruit_HU+Water_service_recruit_HU)*365)/1000/Production!F14</f>
        <v>2.1804262665711442E-2</v>
      </c>
      <c r="P11" s="32">
        <f>'EFP per kg feed'!J65*FCR_bonefree_incl_parents_HU</f>
        <v>0.5156905727069544</v>
      </c>
      <c r="Q11" s="32">
        <f>'EFP per kg feed'!K65*FCR_bonefree_incl_parents_HU</f>
        <v>7.7125060985166811E-11</v>
      </c>
      <c r="R11" s="32">
        <f>'EFP per kg feed'!L65*FCR_bonefree_incl_parents_HU+NH3_per_kg_HU</f>
        <v>3.4455066354435776E-3</v>
      </c>
      <c r="S11" s="210" t="e">
        <f>'Parameters, country spec'!#REF!*Production!F16</f>
        <v>#REF!</v>
      </c>
      <c r="T11" s="5">
        <v>10.424279398078831</v>
      </c>
      <c r="U11" s="11">
        <v>0.90521123496696643</v>
      </c>
    </row>
    <row r="12" spans="1:21" x14ac:dyDescent="0.35">
      <c r="A12" s="206" t="s">
        <v>81</v>
      </c>
      <c r="B12" s="12" t="s">
        <v>82</v>
      </c>
      <c r="C12" s="16" t="s">
        <v>83</v>
      </c>
      <c r="D12" t="s">
        <v>37</v>
      </c>
      <c r="E12" t="s">
        <v>88</v>
      </c>
      <c r="F12" s="11">
        <f>'GHG det, per kg egg'!G36</f>
        <v>0.92191889619568013</v>
      </c>
      <c r="G12" s="11">
        <f>'GHG det, per kg egg'!G32</f>
        <v>0.57527213068768246</v>
      </c>
      <c r="H12" s="47">
        <f>'GHG det, per kg egg'!G33</f>
        <v>8.0107369536667659E-4</v>
      </c>
      <c r="I12" s="47">
        <f>'GHG det, per kg egg'!G34</f>
        <v>1.080483047975178E-3</v>
      </c>
      <c r="J12" s="47">
        <f>'GHG det, per kg egg'!G35</f>
        <v>1.0754642017975866E-3</v>
      </c>
      <c r="L12" s="18">
        <f>'EFP per kg feed'!F77*FCR_bonefree_incl_parents_IE</f>
        <v>4.1427031245801142</v>
      </c>
      <c r="M12" s="19">
        <f>'EFP per kg feed'!G77*FCR_bonefree_incl_parents_IE-Manure_repl_factor_IE*Excreted_N_after_losses_IE</f>
        <v>5.7635782994337512E-2</v>
      </c>
      <c r="N12" s="19">
        <f>'EFP per kg feed'!H77*FCR_bonefree_incl_parents_IE</f>
        <v>4.8210897833998335E-3</v>
      </c>
      <c r="O12" s="32">
        <f>'EFP per kg feed'!I77*FCR_bonefree_incl_parents_IE+(Production!G5*(Water_drinking_hens_IE+Water_service_hens_IE)*365+Production!G6*(Water_drinking_recruit_IE+Water_service_recruit_IE)*365)/1000/Production!G14</f>
        <v>1.7817802087174157E-2</v>
      </c>
      <c r="P12" s="32">
        <f>'EFP per kg feed'!J77*FCR_bonefree_incl_parents_IE</f>
        <v>0.84458898179305453</v>
      </c>
      <c r="Q12" s="32">
        <f>'EFP per kg feed'!K77*FCR_bonefree_incl_parents_IE</f>
        <v>6.6637680458904146E-11</v>
      </c>
      <c r="R12" s="32">
        <f>'EFP per kg feed'!L77*FCR_bonefree_incl_parents_IE+NH3_per_kg_IE</f>
        <v>2.3084451898668949E-3</v>
      </c>
      <c r="S12" s="210" t="e">
        <f>'Parameters, country spec'!#REF!*Production!G16</f>
        <v>#REF!</v>
      </c>
      <c r="T12" s="5">
        <v>7.356566919808893</v>
      </c>
      <c r="U12" s="11">
        <v>0.39407225780763722</v>
      </c>
    </row>
    <row r="13" spans="1:21" x14ac:dyDescent="0.35">
      <c r="A13" s="206" t="s">
        <v>81</v>
      </c>
      <c r="B13" s="12" t="s">
        <v>82</v>
      </c>
      <c r="C13" s="16" t="s">
        <v>83</v>
      </c>
      <c r="D13" t="s">
        <v>39</v>
      </c>
      <c r="E13" t="s">
        <v>89</v>
      </c>
      <c r="F13" s="11">
        <f>'GHG det, per kg egg'!G41</f>
        <v>1.1943312546383931</v>
      </c>
      <c r="G13" s="11">
        <f>'GHG det, per kg egg'!G37</f>
        <v>0.75633565964517846</v>
      </c>
      <c r="H13" s="47">
        <f>'GHG det, per kg egg'!G38</f>
        <v>1.6813686322106466E-3</v>
      </c>
      <c r="I13" s="47">
        <f>'GHG det, per kg egg'!G39</f>
        <v>1.7878153345280605E-3</v>
      </c>
      <c r="J13" s="47">
        <f>'GHG det, per kg egg'!G40</f>
        <v>1.2440285557548704E-3</v>
      </c>
      <c r="L13" s="18">
        <f>'EFP per kg feed'!F89*FCR_bonefree_incl_parents_IT</f>
        <v>3.6595185064160005</v>
      </c>
      <c r="M13" s="19">
        <f>'EFP per kg feed'!G89*FCR_bonefree_incl_parents_IT-Manure_repl_factor_IT*Excreted_N_after_losses_IT</f>
        <v>4.6694888786923114E-2</v>
      </c>
      <c r="N13" s="19">
        <f>'EFP per kg feed'!H89*FCR_bonefree_incl_parents_IT</f>
        <v>7.6833135128937195E-3</v>
      </c>
      <c r="O13" s="32">
        <f>'EFP per kg feed'!I89*FCR_bonefree_incl_parents_IT+(Production!H5*(Water_drinking_hens_IT+Water_service_hens_IT)*365+Production!H6*(Water_drinking_recruit_IT+Water_service_recruit_IT)*365)/1000/Production!H14</f>
        <v>5.951731160209324E-2</v>
      </c>
      <c r="P13" s="32">
        <f>'EFP per kg feed'!J89*FCR_bonefree_incl_parents_IT</f>
        <v>0.4671020645644583</v>
      </c>
      <c r="Q13" s="32">
        <f>'EFP per kg feed'!K89*FCR_bonefree_incl_parents_IT</f>
        <v>1.9689925314482192E-10</v>
      </c>
      <c r="R13" s="32">
        <f>'EFP per kg feed'!L89*FCR_bonefree_incl_parents_IT+NH3_per_kg_IT</f>
        <v>5.6661515789416042E-3</v>
      </c>
      <c r="S13" s="210" t="e">
        <f>'Parameters, country spec'!#REF!*Production!H16</f>
        <v>#REF!</v>
      </c>
      <c r="T13" s="5">
        <v>8.5079712509203809</v>
      </c>
      <c r="U13" s="11">
        <v>1.4643901184098009</v>
      </c>
    </row>
    <row r="14" spans="1:21" x14ac:dyDescent="0.35">
      <c r="A14" s="206" t="s">
        <v>81</v>
      </c>
      <c r="B14" s="12" t="s">
        <v>82</v>
      </c>
      <c r="C14" s="16" t="s">
        <v>83</v>
      </c>
      <c r="D14" t="s">
        <v>32</v>
      </c>
      <c r="E14" t="s">
        <v>90</v>
      </c>
      <c r="F14" s="11">
        <f>'GHG det, per kg egg'!G46</f>
        <v>1.1437212415926616</v>
      </c>
      <c r="G14" s="11">
        <f>'GHG det, per kg egg'!G42</f>
        <v>0.70349585992947883</v>
      </c>
      <c r="H14" s="47">
        <f>'GHG det, per kg egg'!G43</f>
        <v>1.0587777096407662E-3</v>
      </c>
      <c r="I14" s="47">
        <f>'GHG det, per kg egg'!G44</f>
        <v>1.8438079300369756E-3</v>
      </c>
      <c r="J14" s="47">
        <f>'GHG det, per kg egg'!G45</f>
        <v>1.3146190176003285E-3</v>
      </c>
      <c r="L14" s="18">
        <f>'EFP per kg feed'!F101*FCR_bonefree_incl_parents_NL</f>
        <v>3.5412688605842835</v>
      </c>
      <c r="M14" s="19">
        <f>'EFP per kg feed'!G101*FCR_bonefree_incl_parents_NL-Manure_repl_factor_NL*Excreted_N_after_losses_NL</f>
        <v>4.7811606524057117E-2</v>
      </c>
      <c r="N14" s="19">
        <f>'EFP per kg feed'!H101*FCR_bonefree_incl_parents_NL</f>
        <v>6.1450558945125447E-3</v>
      </c>
      <c r="O14" s="32">
        <f>'EFP per kg feed'!I101*FCR_bonefree_incl_parents_NL+(Production!I5*(Water_drinking_hens_NL+Water_service_hens_NL)*365+Production!I6*(Water_drinking_recruit_NL+Water_service_recruit_NL)*365)/1000/Production!I14</f>
        <v>1.8275486484813197E-2</v>
      </c>
      <c r="P14" s="32">
        <f>'EFP per kg feed'!J101*FCR_bonefree_incl_parents_NL</f>
        <v>0.482652670190372</v>
      </c>
      <c r="Q14" s="32">
        <f>'EFP per kg feed'!K101*FCR_bonefree_incl_parents_NL</f>
        <v>5.4888891031900928E-11</v>
      </c>
      <c r="R14" s="32">
        <f>'EFP per kg feed'!L101*FCR_bonefree_incl_parents_NL+NH3_per_kg_NL</f>
        <v>2.3889134251873822E-3</v>
      </c>
      <c r="S14" s="210" t="e">
        <f>'Parameters, country spec'!#REF!*Production!I16</f>
        <v>#REF!</v>
      </c>
      <c r="T14" s="5">
        <v>8.1386212206224702</v>
      </c>
      <c r="U14" s="11">
        <v>0.30037527114179952</v>
      </c>
    </row>
    <row r="15" spans="1:21" x14ac:dyDescent="0.35">
      <c r="A15" s="206" t="s">
        <v>81</v>
      </c>
      <c r="B15" s="12" t="s">
        <v>82</v>
      </c>
      <c r="C15" s="16" t="s">
        <v>83</v>
      </c>
      <c r="D15" t="s">
        <v>30</v>
      </c>
      <c r="E15" t="s">
        <v>91</v>
      </c>
      <c r="F15" s="11">
        <f>'GHG det, per kg egg'!G51</f>
        <v>1.5825568511981891</v>
      </c>
      <c r="G15" s="11">
        <f>'GHG det, per kg egg'!G47</f>
        <v>0.96791835495234624</v>
      </c>
      <c r="H15" s="47">
        <f>'GHG det, per kg egg'!G48</f>
        <v>1.4022256397127721E-3</v>
      </c>
      <c r="I15" s="47">
        <f>'GHG det, per kg egg'!G49</f>
        <v>1.9754369654128856E-3</v>
      </c>
      <c r="J15" s="47">
        <f>'GHG det, per kg egg'!G50</f>
        <v>1.9029867183745584E-3</v>
      </c>
      <c r="L15" s="18">
        <f>'EFP per kg feed'!F113*FCR_bonefree_incl_parents_PL</f>
        <v>4.7509534093545716</v>
      </c>
      <c r="M15" s="19">
        <f>'EFP per kg feed'!G113*FCR_bonefree_incl_parents_PL-Manure_repl_factor_PL*Excreted_N_after_losses_PL</f>
        <v>5.898285181574655E-2</v>
      </c>
      <c r="N15" s="19">
        <f>'EFP per kg feed'!H113*FCR_bonefree_incl_parents_PL</f>
        <v>7.6481330850930417E-3</v>
      </c>
      <c r="O15" s="32">
        <f>'EFP per kg feed'!I113*FCR_bonefree_incl_parents_PL+(Production!J5*(Water_drinking_hens_PL+Water_service_hens_PL)*365+Production!J6*(Water_drinking_recruit_PL+Water_service_recruit_PL)*365)/1000/Production!J14</f>
        <v>8.9062693773258716E-3</v>
      </c>
      <c r="P15" s="32">
        <f>'EFP per kg feed'!J113*FCR_bonefree_incl_parents_PL</f>
        <v>0.45792900688294563</v>
      </c>
      <c r="Q15" s="32">
        <f>'EFP per kg feed'!K113*FCR_bonefree_incl_parents_PL</f>
        <v>2.6371719046146593E-11</v>
      </c>
      <c r="R15" s="32">
        <f>'EFP per kg feed'!L113*FCR_bonefree_incl_parents_PL+NH3_per_kg_PL</f>
        <v>4.2752691432227175E-3</v>
      </c>
      <c r="S15" s="210" t="e">
        <f>'Parameters, country spec'!#REF!*Production!J16</f>
        <v>#REF!</v>
      </c>
      <c r="T15" s="5">
        <v>9.9991268803719375</v>
      </c>
      <c r="U15" s="11">
        <v>1.8816485692333691</v>
      </c>
    </row>
    <row r="16" spans="1:21" x14ac:dyDescent="0.35">
      <c r="A16" s="206" t="s">
        <v>81</v>
      </c>
      <c r="B16" s="12" t="s">
        <v>82</v>
      </c>
      <c r="C16" s="16" t="s">
        <v>83</v>
      </c>
      <c r="D16" t="s">
        <v>38</v>
      </c>
      <c r="E16" t="s">
        <v>92</v>
      </c>
      <c r="F16" s="11">
        <f>'GHG det, per kg egg'!G56</f>
        <v>1.2511572214948172</v>
      </c>
      <c r="G16" s="11">
        <f>'GHG det, per kg egg'!G52</f>
        <v>0.77371719362324076</v>
      </c>
      <c r="H16" s="47">
        <f>'GHG det, per kg egg'!G53</f>
        <v>1.072795936881201E-3</v>
      </c>
      <c r="I16" s="47">
        <f>'GHG det, per kg egg'!G54</f>
        <v>1.6184060376076902E-3</v>
      </c>
      <c r="J16" s="47">
        <f>'GHG det, per kg egg'!G55</f>
        <v>1.4716987030663324E-3</v>
      </c>
      <c r="L16" s="18">
        <f>'EFP per kg feed'!F125*FCR_bonefree_incl_parents_ES</f>
        <v>5.6926673196865902</v>
      </c>
      <c r="M16" s="19">
        <f>'EFP per kg feed'!G125*FCR_bonefree_incl_parents_ES-Manure_repl_factor_ES*Excreted_N_after_losses_ES</f>
        <v>6.7539252570841118E-2</v>
      </c>
      <c r="N16" s="19">
        <f>'EFP per kg feed'!H125*FCR_bonefree_incl_parents_ES</f>
        <v>7.8670928089991324E-3</v>
      </c>
      <c r="O16" s="32">
        <f>'EFP per kg feed'!I125*FCR_bonefree_incl_parents_ES+(Production!K5*(Water_drinking_hens_ES+Water_service_hens_ES)*365+Production!K6*(Water_drinking_recruit_ES+Water_service_recruit_ES)*365)/1000/Production!K14</f>
        <v>0.27254959949248453</v>
      </c>
      <c r="P16" s="32">
        <f>'EFP per kg feed'!J125*FCR_bonefree_incl_parents_ES</f>
        <v>0.41329672244204024</v>
      </c>
      <c r="Q16" s="32">
        <f>'EFP per kg feed'!K125*FCR_bonefree_incl_parents_ES</f>
        <v>3.8029224177961823E-10</v>
      </c>
      <c r="R16" s="32">
        <f>'EFP per kg feed'!L125*FCR_bonefree_incl_parents_ES+NH3_per_kg_ES</f>
        <v>6.6204288376264745E-3</v>
      </c>
      <c r="S16" s="210" t="e">
        <f>'Parameters, country spec'!#REF!*Production!K16</f>
        <v>#REF!</v>
      </c>
      <c r="T16" s="5">
        <v>8.8451275384823447</v>
      </c>
      <c r="U16" s="11">
        <v>0.97322376971162439</v>
      </c>
    </row>
    <row r="17" spans="1:22" x14ac:dyDescent="0.35">
      <c r="A17" s="206" t="s">
        <v>81</v>
      </c>
      <c r="B17" s="12" t="s">
        <v>82</v>
      </c>
      <c r="C17" s="16" t="s">
        <v>83</v>
      </c>
      <c r="D17" s="17" t="s">
        <v>34</v>
      </c>
      <c r="E17" s="17" t="s">
        <v>93</v>
      </c>
      <c r="F17" s="10">
        <f>'GHG det, per kg egg'!G61</f>
        <v>1.0898618670120541</v>
      </c>
      <c r="G17" s="11">
        <f>'GHG det, per kg egg'!G57</f>
        <v>0.54734416574231903</v>
      </c>
      <c r="H17" s="47">
        <f>'GHG det, per kg egg'!G58</f>
        <v>4.2443778040897123E-4</v>
      </c>
      <c r="I17" s="47">
        <f>'GHG det, per kg egg'!G59</f>
        <v>1.9210430956131054E-3</v>
      </c>
      <c r="J17" s="47">
        <f>'GHG det, per kg egg'!G60</f>
        <v>1.7509204829010772E-3</v>
      </c>
      <c r="K17" s="17"/>
      <c r="L17" s="18">
        <f>'EFP per kg feed'!F137*FCR_bonefree_incl_parents_SE</f>
        <v>4.4530698506937636</v>
      </c>
      <c r="M17" s="19">
        <f>'EFP per kg feed'!G137*FCR_bonefree_incl_parents_SE-Manure_repl_factor_SE*Excreted_N_after_losses_SE</f>
        <v>5.5344767239969402E-2</v>
      </c>
      <c r="N17" s="19">
        <f>'EFP per kg feed'!H137*FCR_bonefree_incl_parents_SE</f>
        <v>5.7137865225558816E-3</v>
      </c>
      <c r="O17" s="32">
        <f>'EFP per kg feed'!I137*FCR_bonefree_incl_parents_SE+(Production!L5*(Water_drinking_hens_SE+Water_service_hens_SE)*365+Production!L6*(Water_drinking_recruit_SE+Water_service_recruit_SE)*365)/1000/Production!L14</f>
        <v>9.5730765485684648E-3</v>
      </c>
      <c r="P17" s="32">
        <f>'EFP per kg feed'!J137*FCR_bonefree_incl_parents_SE</f>
        <v>0.23700608595960607</v>
      </c>
      <c r="Q17" s="32">
        <f>'EFP per kg feed'!K137*FCR_bonefree_incl_parents_SE</f>
        <v>2.2731493771174302E-11</v>
      </c>
      <c r="R17" s="32">
        <f>'EFP per kg feed'!L137*FCR_bonefree_incl_parents_SE+NH3_per_kg_SE</f>
        <v>2.7464936709628079E-3</v>
      </c>
      <c r="S17" s="210" t="e">
        <f>'Parameters, country spec'!#REF!*Production!L16</f>
        <v>#REF!</v>
      </c>
      <c r="T17" s="5">
        <v>7.7115565897106508</v>
      </c>
      <c r="U17" s="18">
        <v>0.1177246773710762</v>
      </c>
      <c r="V17" s="17"/>
    </row>
    <row r="18" spans="1:22" x14ac:dyDescent="0.35">
      <c r="A18" s="12"/>
      <c r="B18" s="12"/>
      <c r="C18" s="16"/>
      <c r="T18" s="5"/>
    </row>
    <row r="19" spans="1:22" x14ac:dyDescent="0.35">
      <c r="J19" s="47"/>
      <c r="M19" s="47"/>
    </row>
    <row r="20" spans="1:22" x14ac:dyDescent="0.35">
      <c r="Q20" s="33"/>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theme="9" tint="0.59999389629810485"/>
  </sheetPr>
  <dimension ref="A1:AA61"/>
  <sheetViews>
    <sheetView tabSelected="1" zoomScale="80" zoomScaleNormal="80" workbookViewId="0">
      <selection activeCell="M1" sqref="M1"/>
    </sheetView>
  </sheetViews>
  <sheetFormatPr defaultColWidth="8.90625" defaultRowHeight="14.5" x14ac:dyDescent="0.35"/>
  <cols>
    <col min="1" max="1" width="8.08984375" style="30" customWidth="1"/>
    <col min="2" max="2" width="22.453125" customWidth="1"/>
    <col min="3" max="3" width="27.453125" customWidth="1"/>
    <col min="4" max="5" width="10.08984375" customWidth="1"/>
    <col min="6" max="6" width="7.54296875" customWidth="1"/>
    <col min="7" max="7" width="9.453125" style="12" customWidth="1"/>
    <col min="8" max="20" width="14.54296875" customWidth="1"/>
    <col min="21" max="22" width="14.54296875" style="8" customWidth="1"/>
    <col min="23" max="24" width="14.54296875" customWidth="1"/>
    <col min="26" max="26" width="16" customWidth="1"/>
    <col min="27" max="27" width="19.453125" customWidth="1"/>
  </cols>
  <sheetData>
    <row r="1" spans="1:27" x14ac:dyDescent="0.35">
      <c r="H1" s="159" t="s">
        <v>94</v>
      </c>
    </row>
    <row r="2" spans="1:27" ht="21" customHeight="1" x14ac:dyDescent="0.5">
      <c r="A2" s="63" t="s">
        <v>95</v>
      </c>
      <c r="E2" s="47">
        <f>'CH4 per kg feed'!G17*FCR_bonefree_incl_parents_DK</f>
        <v>2.0698116838705236E-5</v>
      </c>
      <c r="H2" s="159" t="s">
        <v>96</v>
      </c>
    </row>
    <row r="3" spans="1:27" x14ac:dyDescent="0.35">
      <c r="E3" s="47">
        <f>'CH4 per kg feed'!G29*FCR_bonefree_incl_parents_FR</f>
        <v>2.0698116838705236E-5</v>
      </c>
      <c r="H3" s="159" t="s">
        <v>97</v>
      </c>
      <c r="J3" s="7"/>
      <c r="K3" s="8"/>
      <c r="L3" s="8"/>
      <c r="M3" s="8"/>
      <c r="N3" s="8"/>
      <c r="O3" s="8"/>
      <c r="P3" s="8"/>
      <c r="Q3" s="8"/>
      <c r="R3" s="8"/>
      <c r="S3" s="8"/>
      <c r="T3" s="8"/>
    </row>
    <row r="4" spans="1:27" x14ac:dyDescent="0.35">
      <c r="A4" s="64"/>
      <c r="B4" s="48"/>
      <c r="C4" s="48"/>
      <c r="D4" s="48"/>
      <c r="E4" s="48"/>
      <c r="F4" s="48"/>
      <c r="G4" s="48"/>
      <c r="H4" s="49"/>
      <c r="I4" s="49"/>
      <c r="J4" s="50"/>
      <c r="K4" s="50"/>
      <c r="L4" s="50"/>
      <c r="M4" s="50"/>
      <c r="N4" s="50"/>
      <c r="O4" s="50"/>
      <c r="P4" s="50"/>
      <c r="Q4" s="50"/>
      <c r="R4" s="50"/>
      <c r="S4" s="49" t="s">
        <v>98</v>
      </c>
      <c r="T4" s="49"/>
      <c r="U4" s="60"/>
      <c r="V4" s="60"/>
      <c r="W4" s="50" t="s">
        <v>99</v>
      </c>
      <c r="X4" s="50" t="s">
        <v>100</v>
      </c>
      <c r="Z4" s="49" t="s">
        <v>101</v>
      </c>
      <c r="AA4" s="49"/>
    </row>
    <row r="5" spans="1:27" x14ac:dyDescent="0.35">
      <c r="A5" s="65" t="s">
        <v>48</v>
      </c>
      <c r="B5" s="46"/>
      <c r="C5" s="46"/>
      <c r="D5" s="52"/>
      <c r="E5" s="52"/>
      <c r="F5" s="53"/>
      <c r="G5" s="54" t="s">
        <v>102</v>
      </c>
      <c r="H5" s="54" t="s">
        <v>103</v>
      </c>
      <c r="I5" s="55"/>
      <c r="J5" s="54" t="s">
        <v>104</v>
      </c>
      <c r="K5" s="56"/>
      <c r="L5" s="57" t="s">
        <v>105</v>
      </c>
      <c r="M5" s="56"/>
      <c r="N5" s="56"/>
      <c r="O5" s="56"/>
      <c r="P5" s="57" t="s">
        <v>106</v>
      </c>
      <c r="Q5" s="57" t="s">
        <v>107</v>
      </c>
      <c r="R5" s="57" t="s">
        <v>108</v>
      </c>
      <c r="S5" s="58"/>
      <c r="T5" s="58"/>
      <c r="U5" s="61"/>
      <c r="V5" s="61"/>
      <c r="W5" s="59"/>
      <c r="X5" s="59"/>
      <c r="Z5" s="54"/>
      <c r="AA5" s="54"/>
    </row>
    <row r="6" spans="1:27" ht="58" customHeight="1" x14ac:dyDescent="0.35">
      <c r="A6" s="67" t="s">
        <v>109</v>
      </c>
      <c r="B6" s="66" t="s">
        <v>110</v>
      </c>
      <c r="C6" s="66" t="s">
        <v>111</v>
      </c>
      <c r="D6" s="68" t="s">
        <v>63</v>
      </c>
      <c r="E6" s="69" t="s">
        <v>64</v>
      </c>
      <c r="F6" s="68" t="s">
        <v>112</v>
      </c>
      <c r="G6" s="69" t="s">
        <v>113</v>
      </c>
      <c r="H6" s="51" t="s">
        <v>114</v>
      </c>
      <c r="I6" s="51" t="s">
        <v>17</v>
      </c>
      <c r="J6" s="51" t="s">
        <v>115</v>
      </c>
      <c r="K6" s="51" t="s">
        <v>116</v>
      </c>
      <c r="L6" s="51" t="s">
        <v>117</v>
      </c>
      <c r="M6" s="51" t="s">
        <v>118</v>
      </c>
      <c r="N6" s="51" t="s">
        <v>119</v>
      </c>
      <c r="O6" s="51" t="s">
        <v>120</v>
      </c>
      <c r="P6" s="51" t="s">
        <v>121</v>
      </c>
      <c r="Q6" s="51" t="s">
        <v>107</v>
      </c>
      <c r="R6" s="51" t="s">
        <v>22</v>
      </c>
      <c r="S6" s="69" t="s">
        <v>122</v>
      </c>
      <c r="T6" s="69" t="s">
        <v>123</v>
      </c>
      <c r="U6" s="205" t="s">
        <v>124</v>
      </c>
      <c r="V6" s="205" t="s">
        <v>125</v>
      </c>
      <c r="W6" s="51" t="s">
        <v>25</v>
      </c>
      <c r="X6" s="51" t="s">
        <v>26</v>
      </c>
      <c r="Z6" s="69" t="s">
        <v>126</v>
      </c>
      <c r="AA6" s="69" t="s">
        <v>127</v>
      </c>
    </row>
    <row r="7" spans="1:27" x14ac:dyDescent="0.35">
      <c r="A7" s="12" t="s">
        <v>128</v>
      </c>
      <c r="B7" s="12" t="s">
        <v>129</v>
      </c>
      <c r="C7" s="16"/>
      <c r="D7" s="17" t="s">
        <v>155</v>
      </c>
      <c r="E7" s="17" t="s">
        <v>482</v>
      </c>
      <c r="F7" s="36" t="s">
        <v>130</v>
      </c>
      <c r="G7" s="19">
        <f>SUM(H7:X7)</f>
        <v>0.54071427077964629</v>
      </c>
      <c r="H7" s="19">
        <f>'CO2 per kg feed'!G17*FCR_bonefree_incl_parents_DK-Excreted_N_after_losses_DK*Manure_repl_factor_DK*EF_min_fert_CO2_DK</f>
        <v>0.14745118381618993</v>
      </c>
      <c r="I7" s="19">
        <f>'CO2 per kg feed'!H17*FCR_bonefree_incl_parents_DK</f>
        <v>6.1219910025550488E-2</v>
      </c>
      <c r="J7" s="19">
        <f>'CO2 per kg feed'!I17*FCR_bonefree_incl_parents_DK</f>
        <v>0</v>
      </c>
      <c r="K7" s="19"/>
      <c r="L7" s="19">
        <f>'CO2 per kg feed'!K17*FCR_bonefree_incl_parents_DK</f>
        <v>6.4701746474138483E-2</v>
      </c>
      <c r="M7" s="19"/>
      <c r="N7" s="19">
        <f>'CO2 per kg feed'!M17*FCR_bonefree_incl_parents_DK</f>
        <v>4.1975752489038223E-4</v>
      </c>
      <c r="O7" s="19">
        <f>'CO2 per kg feed'!N17*FCR_bonefree_incl_parents_DK</f>
        <v>9.3485789401982905E-2</v>
      </c>
      <c r="P7" s="19">
        <f>'CO2 per kg feed'!O17*FCR_bonefree_incl_parents_DK</f>
        <v>3.8249403873874439E-2</v>
      </c>
      <c r="Q7" s="19">
        <f>'CO2 per kg feed'!P17*FCR_bonefree_incl_parents_DK</f>
        <v>1.4632478165529648E-2</v>
      </c>
      <c r="R7" s="19">
        <f>'CO2 per kg feed'!Q17*FCR_bonefree_incl_parents_DK</f>
        <v>3.1242031865285437E-2</v>
      </c>
      <c r="S7" s="4"/>
      <c r="W7" s="4">
        <f t="array" ref="W7">Energy_stables_DK*(Share_heating_DK*(Share_biofuels_DK*EF_biofuels_CO2+(1-Share_biofuels_DK)*EF_oil_CO2)+(1-Share_heating_DK)*EF_el_CO2_DK)</f>
        <v>8.7112695367499993E-3</v>
      </c>
      <c r="X7" s="4">
        <f>(Energy_slaughter_el_DK*EF_el_CO2_DK+Energy_slaughter_heat_DK*EF_gas_CO2)/'Parameters, country spec'!B$10</f>
        <v>8.0600700095454544E-2</v>
      </c>
      <c r="Z7" s="19"/>
      <c r="AA7" s="19"/>
    </row>
    <row r="8" spans="1:27" x14ac:dyDescent="0.35">
      <c r="A8" s="12" t="s">
        <v>128</v>
      </c>
      <c r="B8" s="12" t="s">
        <v>129</v>
      </c>
      <c r="C8" s="16"/>
      <c r="D8" s="17" t="s">
        <v>155</v>
      </c>
      <c r="E8" s="17" t="s">
        <v>482</v>
      </c>
      <c r="F8" s="12" t="s">
        <v>131</v>
      </c>
      <c r="G8" s="19">
        <f>SUM(H8:X8)</f>
        <v>7.524367548946728E-4</v>
      </c>
      <c r="H8" s="33">
        <f>'CH4 per kg feed'!G17*FCR_bonefree_incl_parents_DK-Excreted_N_after_losses_DK*Manure_repl_factor_DK*EF_min_fert_CH4_DK</f>
        <v>2.0698116838705236E-5</v>
      </c>
      <c r="I8" s="33">
        <f>'CH4 per kg feed'!H17*FCR_bonefree_incl_parents_DK</f>
        <v>2.154033871269369E-4</v>
      </c>
      <c r="J8" s="33"/>
      <c r="K8" s="33"/>
      <c r="L8" s="33">
        <f>'CH4 per kg feed'!K17*FCR_bonefree_incl_parents_DK</f>
        <v>2.8660691964242321E-5</v>
      </c>
      <c r="M8" s="33"/>
      <c r="N8" s="33">
        <f>'CH4 per kg feed'!M17*FCR_bonefree_incl_parents_DK</f>
        <v>1.2558275542099773E-6</v>
      </c>
      <c r="O8" s="33">
        <f>'CH4 per kg feed'!N17*FCR_bonefree_incl_parents_DK</f>
        <v>5.3375454817764176E-5</v>
      </c>
      <c r="P8" s="33">
        <f>'CH4 per kg feed'!O17*FCR_bonefree_incl_parents_DK</f>
        <v>0</v>
      </c>
      <c r="Q8" s="33">
        <f>'CH4 per kg feed'!P17*FCR_bonefree_incl_parents_DK</f>
        <v>4.4091052151148033E-5</v>
      </c>
      <c r="R8" s="33">
        <f>'CH4 per kg feed'!Q17*FCR_bonefree_incl_parents_DK</f>
        <v>2.9976755543941774E-5</v>
      </c>
      <c r="S8" s="4"/>
      <c r="W8" s="4">
        <f t="array" ref="W8">Energy_stables_DK*(Share_heating_DK*(Share_biofuels_DK*EF_biofuel_CH4+(1-Share_biofuels_DK)*EF_oil_CH4)+(1-Share_heating_DK)*EF_el_CH4_DK)</f>
        <v>2.7007621318140001E-5</v>
      </c>
      <c r="X8" s="4">
        <f>(Energy_slaughter_el_DK*EF_el_CH4_DK+Energy_slaughter_heat_DK*EF_gas_CH4)/'Parameters, country spec'!B$10</f>
        <v>3.3196784757958444E-4</v>
      </c>
      <c r="Z8" s="32"/>
      <c r="AA8" s="32"/>
    </row>
    <row r="9" spans="1:27" x14ac:dyDescent="0.35">
      <c r="A9" s="12" t="s">
        <v>128</v>
      </c>
      <c r="B9" s="12" t="s">
        <v>129</v>
      </c>
      <c r="C9" s="16"/>
      <c r="D9" s="17" t="s">
        <v>155</v>
      </c>
      <c r="E9" s="17" t="s">
        <v>482</v>
      </c>
      <c r="F9" s="12" t="s">
        <v>132</v>
      </c>
      <c r="G9" s="19">
        <f>SUM(H9:T9)+SUM(W9:X9)</f>
        <v>1.1044964048642022E-3</v>
      </c>
      <c r="H9" s="33"/>
      <c r="I9" s="33"/>
      <c r="J9" s="33"/>
      <c r="K9" s="33"/>
      <c r="L9" s="33"/>
      <c r="M9" s="33"/>
      <c r="N9" s="33"/>
      <c r="O9" s="33"/>
      <c r="P9" s="33"/>
      <c r="Q9" s="33"/>
      <c r="R9" s="33"/>
      <c r="S9" s="4"/>
      <c r="T9" s="47">
        <f>SUM(U9:V9)</f>
        <v>1.1044964048642022E-3</v>
      </c>
      <c r="U9" s="62">
        <f>Manure!B12*Production!B16</f>
        <v>1.1044964048642022E-3</v>
      </c>
      <c r="W9" s="4"/>
      <c r="X9" s="4"/>
      <c r="Z9" s="32"/>
      <c r="AA9" s="32"/>
    </row>
    <row r="10" spans="1:27" ht="15" customHeight="1" thickBot="1" x14ac:dyDescent="0.4">
      <c r="A10" s="12" t="s">
        <v>128</v>
      </c>
      <c r="B10" s="12" t="s">
        <v>129</v>
      </c>
      <c r="C10" s="16"/>
      <c r="D10" s="17" t="s">
        <v>155</v>
      </c>
      <c r="E10" s="17" t="s">
        <v>482</v>
      </c>
      <c r="F10" s="34" t="s">
        <v>133</v>
      </c>
      <c r="G10" s="19">
        <f>SUM(H10:T10)+SUM(W10:X10)</f>
        <v>1.5846449189794406E-3</v>
      </c>
      <c r="H10" s="33">
        <f>'N2O per kg feed'!G17*FCR_bonefree_incl_parents_DK-Excreted_N_after_losses_DK*Manure_repl_factor_DK*EF_min_fert_N2O_DK</f>
        <v>8.429780934148307E-5</v>
      </c>
      <c r="I10" s="32">
        <f>'N2O per kg feed'!H17*FCR_bonefree_incl_parents_DK</f>
        <v>2.4941444825224268E-6</v>
      </c>
      <c r="J10" s="32">
        <f>'N2O per kg feed'!I17*FCR_bonefree_incl_parents_DK-Excreted_N_after_losses_DK*Manure_repl_factor_DK*EF_N2O_diff_DK</f>
        <v>1.3475945683278593E-3</v>
      </c>
      <c r="K10" s="32">
        <f t="array" ref="K10">J10*EF_indirect_N2O_DK</f>
        <v>1.3475945683278593E-4</v>
      </c>
      <c r="L10" s="32">
        <f>'N2O per kg feed'!K17*FCR_bonefree_incl_parents_DK</f>
        <v>1.7385611539415514E-6</v>
      </c>
      <c r="M10" s="32"/>
      <c r="N10" s="32">
        <f>'N2O per kg feed'!M17*FCR_bonefree_incl_parents_DK</f>
        <v>1.7970158527657946E-8</v>
      </c>
      <c r="O10" s="32">
        <f>'N2O per kg feed'!N17*FCR_bonefree_incl_parents_DK</f>
        <v>3.5651926875072991E-6</v>
      </c>
      <c r="P10" s="32">
        <f>'N2O per kg feed'!O17*FCR_bonefree_incl_parents_DK</f>
        <v>0</v>
      </c>
      <c r="Q10" s="32">
        <f>'N2O per kg feed'!P17*FCR_bonefree_incl_parents_DK</f>
        <v>2.5260184692686628E-6</v>
      </c>
      <c r="R10" s="32">
        <f>'N2O per kg feed'!Q17*FCR_bonefree_incl_parents_DK</f>
        <v>1.0935533630445896E-6</v>
      </c>
      <c r="S10" s="4"/>
      <c r="T10" s="47">
        <f>SUM(U10:V10)</f>
        <v>1.7504530486467553E-6</v>
      </c>
      <c r="U10" s="186">
        <f>Manure!B68*44/28</f>
        <v>4.5681971305183402E-7</v>
      </c>
      <c r="V10" s="186">
        <f>NH3_per_kg_DK*17/14*Manure!B97</f>
        <v>1.2936333355949213E-6</v>
      </c>
      <c r="W10" s="4">
        <f t="array" ref="W10">Energy_stables_DK*(Share_heating_DK*(Share_biofuels_DK*EF_biofuel_N2O+(1-Share_biofuels_DK)*EF_oil_N2O)+(1-Share_heating_DK)*EF_el_N2O_DK)</f>
        <v>8.1643940709999991E-7</v>
      </c>
      <c r="X10" s="4">
        <f>(Energy_slaughter_el_DK*EF_el_N2O_DK+Energy_slaughter_heat_DK*EF_gas_N2O)/'Parameters, country spec'!B$10</f>
        <v>3.9907517067532468E-6</v>
      </c>
      <c r="Z10" s="32"/>
      <c r="AA10" s="32"/>
    </row>
    <row r="11" spans="1:27" ht="15.5" customHeight="1" thickTop="1" thickBot="1" x14ac:dyDescent="0.4">
      <c r="A11" s="125" t="s">
        <v>128</v>
      </c>
      <c r="B11" s="125" t="s">
        <v>129</v>
      </c>
      <c r="C11" s="126"/>
      <c r="D11" s="127" t="s">
        <v>155</v>
      </c>
      <c r="E11" s="127" t="s">
        <v>482</v>
      </c>
      <c r="F11" s="131" t="s">
        <v>134</v>
      </c>
      <c r="G11" s="132">
        <f>SUM(H11:X11)</f>
        <v>1.0255663518882283</v>
      </c>
      <c r="H11" s="129">
        <f>SUMPRODUCT(H7:H10,'Parameters, general'!$B$14:$B$17)</f>
        <v>0.17108128964820823</v>
      </c>
      <c r="I11" s="129">
        <f>SUMPRODUCT(I7:I10,'Parameters, general'!$B$14:$B$17)</f>
        <v>6.8319832405661834E-2</v>
      </c>
      <c r="J11" s="129">
        <f>SUMPRODUCT(J7:J10,'Parameters, general'!$B$14:$B$17)</f>
        <v>0.36789331715350559</v>
      </c>
      <c r="K11" s="129">
        <f>SUMPRODUCT(K7:K10,'Parameters, general'!$B$14:$B$17)</f>
        <v>3.6789331715350558E-2</v>
      </c>
      <c r="L11" s="129">
        <f>SUMPRODUCT(L7:L10,'Parameters, general'!$B$14:$B$17)</f>
        <v>6.6030462289698943E-2</v>
      </c>
      <c r="M11" s="129">
        <f>SUMPRODUCT(M7:M10,'Parameters, general'!$B$14:$B$17)</f>
        <v>0</v>
      </c>
      <c r="N11" s="129">
        <f>SUMPRODUCT(N7:N10,'Parameters, general'!$B$14:$B$17)</f>
        <v>4.6208703928389018E-4</v>
      </c>
      <c r="O11" s="129">
        <f>SUMPRODUCT(O7:O10,'Parameters, general'!$B$14:$B$17)</f>
        <v>9.6049675559241779E-2</v>
      </c>
      <c r="P11" s="129">
        <f>SUMPRODUCT(P7:P10,'Parameters, general'!$B$14:$B$17)</f>
        <v>3.8249403873874439E-2</v>
      </c>
      <c r="Q11" s="129">
        <f>SUMPRODUCT(Q7:Q10,'Parameters, general'!$B$14:$B$17)</f>
        <v>1.6635994561744204E-2</v>
      </c>
      <c r="R11" s="129">
        <f>SUMPRODUCT(R7:R10,'Parameters, general'!$B$14:$B$17)</f>
        <v>3.2433879248606079E-2</v>
      </c>
      <c r="S11" s="129"/>
      <c r="T11" s="129">
        <f>SUMPRODUCT(T7:T10,'Parameters, general'!$B$14:$B$17)</f>
        <v>3.0299276613614024E-2</v>
      </c>
      <c r="U11" s="130"/>
      <c r="V11" s="130"/>
      <c r="W11" s="129">
        <f>SUMPRODUCT(W7:W10,'Parameters, general'!$B$14:$B$17)</f>
        <v>9.7389846101688712E-3</v>
      </c>
      <c r="X11" s="129">
        <f>SUMPRODUCT(X7:X10,'Parameters, general'!$B$14:$B$17)</f>
        <v>9.158281716926979E-2</v>
      </c>
      <c r="Z11" s="108">
        <f>SUM(H11:R11)</f>
        <v>0.89394527349517572</v>
      </c>
      <c r="AA11" s="146">
        <f>'CO2 per kg feed'!F24+'CH4 per kg feed'!F24*CF_GWP_CH4_fossil+'N2O per kg feed'!F24*CF_GWP_N2O</f>
        <v>0.24668394367396435</v>
      </c>
    </row>
    <row r="12" spans="1:27" ht="15" customHeight="1" thickTop="1" x14ac:dyDescent="0.35">
      <c r="A12" s="12" t="s">
        <v>128</v>
      </c>
      <c r="B12" s="12" t="s">
        <v>129</v>
      </c>
      <c r="C12" s="16"/>
      <c r="D12" s="17" t="s">
        <v>36</v>
      </c>
      <c r="E12" s="17" t="s">
        <v>84</v>
      </c>
      <c r="F12" s="36" t="s">
        <v>130</v>
      </c>
      <c r="G12" s="19">
        <f>SUM(H12:X12)</f>
        <v>0.52147342066600721</v>
      </c>
      <c r="H12" s="19">
        <f>'CO2 per kg feed'!G29*FCR_bonefree_incl_parents_FR-Excreted_N_after_losses_FR*Manure_repl_factor_FR*EF_min_fert_CO2_FR</f>
        <v>0.13968139603367219</v>
      </c>
      <c r="I12" s="19">
        <f>'CO2 per kg feed'!H29*FCR_bonefree_incl_parents_FR</f>
        <v>6.1219910025550488E-2</v>
      </c>
      <c r="J12" s="19">
        <f>'CO2 per kg feed'!I29*FCR_bonefree_incl_parents_FR</f>
        <v>0</v>
      </c>
      <c r="K12" s="19"/>
      <c r="L12" s="19">
        <f>'CO2 per kg feed'!K29*FCR_bonefree_incl_parents_FR</f>
        <v>6.4217503552062072E-2</v>
      </c>
      <c r="M12" s="19"/>
      <c r="N12" s="19">
        <f>'CO2 per kg feed'!M29*FCR_bonefree_incl_parents_FR</f>
        <v>2.3106644342262761E-3</v>
      </c>
      <c r="O12" s="19">
        <f>'CO2 per kg feed'!N29*FCR_bonefree_incl_parents_FR</f>
        <v>8.1405268076642959E-2</v>
      </c>
      <c r="P12" s="19">
        <f>'CO2 per kg feed'!O29*FCR_bonefree_incl_parents_FR</f>
        <v>3.74521988808336E-2</v>
      </c>
      <c r="Q12" s="19">
        <f>'CO2 per kg feed'!P29*FCR_bonefree_incl_parents_FR</f>
        <v>1.4632478165529648E-2</v>
      </c>
      <c r="R12" s="19">
        <f>'CO2 per kg feed'!Q29*FCR_bonefree_incl_parents_FR</f>
        <v>3.1242031865285437E-2</v>
      </c>
      <c r="S12" s="4"/>
      <c r="W12" s="4">
        <f>Energy_stables_FR*(Share_heating_FR*(Share_biofuels_FR*EF_biofuels_CO2+(1-Share_biofuels_FR)*EF_oil_CO2)+(1-Share_heating_FR)*EF_el_CO2_FR)</f>
        <v>8.7112695367499993E-3</v>
      </c>
      <c r="X12" s="4">
        <f>(Energy_slaughter_el_FR*EF_el_CO2_FR+Energy_slaughter_heat_FR*EF_gas_CO2)/'Parameters, country spec'!C$10</f>
        <v>8.0600700095454544E-2</v>
      </c>
      <c r="Z12" s="19"/>
      <c r="AA12" s="19"/>
    </row>
    <row r="13" spans="1:27" x14ac:dyDescent="0.35">
      <c r="A13" s="12" t="s">
        <v>128</v>
      </c>
      <c r="B13" s="12" t="s">
        <v>129</v>
      </c>
      <c r="C13" s="16"/>
      <c r="D13" s="17" t="s">
        <v>36</v>
      </c>
      <c r="E13" s="17" t="s">
        <v>84</v>
      </c>
      <c r="F13" s="12" t="s">
        <v>131</v>
      </c>
      <c r="G13" s="19">
        <f>SUM(H13:X13)</f>
        <v>7.4753640405836211E-4</v>
      </c>
      <c r="H13" s="33">
        <f>'CH4 per kg feed'!G29*FCR_bonefree_incl_parents_FR-Excreted_N_after_losses_FR*Manure_repl_factor_FR*EF_min_fert_CH4_FR</f>
        <v>2.0698116838705236E-5</v>
      </c>
      <c r="I13" s="33">
        <f>'CH4 per kg feed'!H29*FCR_bonefree_incl_parents_FR</f>
        <v>2.154033871269369E-4</v>
      </c>
      <c r="J13" s="33"/>
      <c r="K13" s="33"/>
      <c r="L13" s="33">
        <f>'CH4 per kg feed'!K29*FCR_bonefree_incl_parents_FR</f>
        <v>2.8446188678290858E-5</v>
      </c>
      <c r="M13" s="33"/>
      <c r="N13" s="33">
        <f>'CH4 per kg feed'!M29*FCR_bonefree_incl_parents_FR</f>
        <v>6.8423345144515323E-6</v>
      </c>
      <c r="O13" s="33">
        <f>'CH4 per kg feed'!N29*FCR_bonefree_incl_parents_FR</f>
        <v>4.3103100307163241E-5</v>
      </c>
      <c r="P13" s="33">
        <f>'CH4 per kg feed'!O29*FCR_bonefree_incl_parents_FR</f>
        <v>0</v>
      </c>
      <c r="Q13" s="33">
        <f>'CH4 per kg feed'!P29*FCR_bonefree_incl_parents_FR</f>
        <v>4.4091052151148033E-5</v>
      </c>
      <c r="R13" s="33">
        <f>'CH4 per kg feed'!Q29*FCR_bonefree_incl_parents_FR</f>
        <v>2.9976755543941774E-5</v>
      </c>
      <c r="S13" s="4"/>
      <c r="W13" s="4">
        <f>Energy_stables_FR*(Share_heating_FR*(Share_biofuels_FR*EF_biofuel_CH4+(1-Share_biofuels_FR)*EF_oil_CH4)+(1-Share_heating_FR)*EF_el_CH4_FR)</f>
        <v>2.7007621318140001E-5</v>
      </c>
      <c r="X13" s="4">
        <f>(Energy_slaughter_el_FR*EF_el_CH4_FR+Energy_slaughter_heat_FR*EF_gas_CH4)/'Parameters, country spec'!C$10</f>
        <v>3.3196784757958444E-4</v>
      </c>
      <c r="Z13" s="32"/>
      <c r="AA13" s="32"/>
    </row>
    <row r="14" spans="1:27" x14ac:dyDescent="0.35">
      <c r="A14" s="12" t="s">
        <v>128</v>
      </c>
      <c r="B14" s="12" t="s">
        <v>129</v>
      </c>
      <c r="C14" s="16"/>
      <c r="D14" s="17" t="s">
        <v>36</v>
      </c>
      <c r="E14" s="17" t="s">
        <v>84</v>
      </c>
      <c r="F14" s="12" t="s">
        <v>132</v>
      </c>
      <c r="G14" s="19">
        <f>SUM(H14:T14)+SUM(W14:X14)</f>
        <v>1.0990285626760225E-3</v>
      </c>
      <c r="H14" s="33"/>
      <c r="I14" s="33"/>
      <c r="J14" s="33"/>
      <c r="K14" s="33"/>
      <c r="L14" s="33"/>
      <c r="M14" s="33"/>
      <c r="N14" s="33"/>
      <c r="O14" s="33"/>
      <c r="P14" s="33"/>
      <c r="Q14" s="33"/>
      <c r="R14" s="33"/>
      <c r="S14" s="4"/>
      <c r="T14" s="47">
        <f>SUM(U14:V14)</f>
        <v>1.0990285626760225E-3</v>
      </c>
      <c r="U14" s="62">
        <f>Manure!C12*Production!C16</f>
        <v>1.0990285626760225E-3</v>
      </c>
      <c r="W14" s="4"/>
      <c r="X14" s="4"/>
      <c r="Z14" s="32"/>
      <c r="AA14" s="32"/>
    </row>
    <row r="15" spans="1:27" ht="15" customHeight="1" thickBot="1" x14ac:dyDescent="0.4">
      <c r="A15" s="12" t="s">
        <v>128</v>
      </c>
      <c r="B15" s="12" t="s">
        <v>129</v>
      </c>
      <c r="C15" s="16"/>
      <c r="D15" s="17" t="s">
        <v>36</v>
      </c>
      <c r="E15" s="17" t="s">
        <v>84</v>
      </c>
      <c r="F15" s="34" t="s">
        <v>133</v>
      </c>
      <c r="G15" s="19">
        <f>SUM(H15:T15)+SUM(W15:X15)</f>
        <v>1.4698246697377861E-3</v>
      </c>
      <c r="H15" s="33">
        <f>'N2O per kg feed'!G29*FCR_bonefree_incl_parents_FR-Excreted_N_after_losses_FR*Manure_repl_factor_FR*EF_min_fert_N2O_FR</f>
        <v>6.117159472777747E-5</v>
      </c>
      <c r="I15" s="32">
        <f>'N2O per kg feed'!H29*FCR_bonefree_incl_parents_FR</f>
        <v>2.4941444825224268E-6</v>
      </c>
      <c r="J15" s="32">
        <f>'N2O per kg feed'!I29*FCR_bonefree_incl_parents_FR-Excreted_N_after_losses_FR*Manure_repl_factor_FR*EF_N2O_diff_FR</f>
        <v>1.2646771751085471E-3</v>
      </c>
      <c r="K15" s="32">
        <f>J15*EF_indirect_N2O_FR</f>
        <v>1.2646771751085472E-4</v>
      </c>
      <c r="L15" s="32">
        <f>'N2O per kg feed'!K29*FCR_bonefree_incl_parents_FR</f>
        <v>1.7255493578267461E-6</v>
      </c>
      <c r="M15" s="32"/>
      <c r="N15" s="32">
        <f>'N2O per kg feed'!M29*FCR_bonefree_incl_parents_FR</f>
        <v>9.9252339646798971E-8</v>
      </c>
      <c r="O15" s="32">
        <f>'N2O per kg feed'!N29*FCR_bonefree_incl_parents_FR</f>
        <v>3.1006200698267769E-6</v>
      </c>
      <c r="P15" s="32">
        <f>'N2O per kg feed'!O29*FCR_bonefree_incl_parents_FR</f>
        <v>0</v>
      </c>
      <c r="Q15" s="32">
        <f>'N2O per kg feed'!P29*FCR_bonefree_incl_parents_FR</f>
        <v>2.5260184692686628E-6</v>
      </c>
      <c r="R15" s="32">
        <f>'N2O per kg feed'!Q29*FCR_bonefree_incl_parents_FR</f>
        <v>1.0935533630445896E-6</v>
      </c>
      <c r="S15" s="4"/>
      <c r="T15" s="47">
        <f>SUM(U15:V15)</f>
        <v>1.6618531946177686E-6</v>
      </c>
      <c r="U15" s="186">
        <f>Manure!C68*44/28</f>
        <v>4.3369760764875225E-7</v>
      </c>
      <c r="V15" s="186">
        <f>NH3_per_kg_FR*17/14*Manure!C97</f>
        <v>1.2281555869690163E-6</v>
      </c>
      <c r="W15" s="4">
        <f>Energy_stables_FR*(Share_heating_FR*(Share_biofuels_FR*EF_biofuel_N2O+(1-Share_biofuels_FR)*EF_oil_N2O)+(1-Share_heating_FR)*EF_el_N2O_FR)</f>
        <v>8.1643940709999991E-7</v>
      </c>
      <c r="X15" s="4">
        <f>(Energy_slaughter_el_FR*EF_el_N2O_FR+Energy_slaughter_heat_FR*EF_gas_N2O)/'Parameters, country spec'!C$10</f>
        <v>3.9907517067532468E-6</v>
      </c>
      <c r="Z15" s="32"/>
      <c r="AA15" s="32"/>
    </row>
    <row r="16" spans="1:27" ht="15.5" customHeight="1" thickTop="1" thickBot="1" x14ac:dyDescent="0.4">
      <c r="A16" s="125" t="s">
        <v>128</v>
      </c>
      <c r="B16" s="125" t="s">
        <v>129</v>
      </c>
      <c r="C16" s="126"/>
      <c r="D16" s="37" t="s">
        <v>36</v>
      </c>
      <c r="E16" s="37" t="s">
        <v>84</v>
      </c>
      <c r="F16" s="131" t="s">
        <v>134</v>
      </c>
      <c r="G16" s="132">
        <f>SUM(H16:X16)</f>
        <v>0.97468591153761464</v>
      </c>
      <c r="H16" s="129">
        <f>SUMPRODUCT(H12:H15,'Parameters, general'!$B$14:$B$17)</f>
        <v>0.15699804527614886</v>
      </c>
      <c r="I16" s="129">
        <f>SUMPRODUCT(I12:I15,'Parameters, general'!$B$14:$B$17)</f>
        <v>6.8319832405661834E-2</v>
      </c>
      <c r="J16" s="129">
        <f>SUMPRODUCT(J12:J15,'Parameters, general'!$B$14:$B$17)</f>
        <v>0.34525686880463335</v>
      </c>
      <c r="K16" s="129">
        <f>SUMPRODUCT(K12:K15,'Parameters, general'!$B$14:$B$17)</f>
        <v>3.4525686880463341E-2</v>
      </c>
      <c r="L16" s="129">
        <f>SUMPRODUCT(L12:L15,'Parameters, general'!$B$14:$B$17)</f>
        <v>6.5536274949361845E-2</v>
      </c>
      <c r="M16" s="129">
        <f>SUMPRODUCT(M12:M15,'Parameters, general'!$B$14:$B$17)</f>
        <v>0</v>
      </c>
      <c r="N16" s="129">
        <f>SUMPRODUCT(N12:N15,'Parameters, general'!$B$14:$B$17)</f>
        <v>2.5416618914805077E-3</v>
      </c>
      <c r="O16" s="129">
        <f>SUMPRODUCT(O12:O15,'Parameters, general'!$B$14:$B$17)</f>
        <v>8.3536209744859133E-2</v>
      </c>
      <c r="P16" s="129">
        <f>SUMPRODUCT(P12:P15,'Parameters, general'!$B$14:$B$17)</f>
        <v>3.74521988808336E-2</v>
      </c>
      <c r="Q16" s="129">
        <f>SUMPRODUCT(Q12:Q15,'Parameters, general'!$B$14:$B$17)</f>
        <v>1.6635994561744204E-2</v>
      </c>
      <c r="R16" s="129">
        <f>SUMPRODUCT(R12:R15,'Parameters, general'!$B$14:$B$17)</f>
        <v>3.2433879248606079E-2</v>
      </c>
      <c r="S16" s="129"/>
      <c r="T16" s="129">
        <f>SUMPRODUCT(T12:T15,'Parameters, general'!$B$14:$B$17)</f>
        <v>3.012745711438326E-2</v>
      </c>
      <c r="U16" s="130"/>
      <c r="V16" s="130"/>
      <c r="W16" s="129">
        <f>SUMPRODUCT(W12:W15,'Parameters, general'!$B$14:$B$17)</f>
        <v>9.7389846101688712E-3</v>
      </c>
      <c r="X16" s="129">
        <f>SUMPRODUCT(X12:X15,'Parameters, general'!$B$14:$B$17)</f>
        <v>9.158281716926979E-2</v>
      </c>
      <c r="Z16" s="108">
        <f>SUM(H16:R16)</f>
        <v>0.84323665264379277</v>
      </c>
      <c r="AA16" s="146">
        <f>'CO2 per kg feed'!F29+'CH4 per kg feed'!F29*CF_GWP_CH4_fossil+'N2O per kg feed'!F29*CF_GWP_N2O</f>
        <v>0.34743475632603216</v>
      </c>
    </row>
    <row r="17" spans="1:27" ht="15" customHeight="1" thickTop="1" x14ac:dyDescent="0.35">
      <c r="A17" s="260" t="s">
        <v>128</v>
      </c>
      <c r="B17" s="260" t="s">
        <v>129</v>
      </c>
      <c r="C17" s="261"/>
      <c r="D17" s="262" t="s">
        <v>33</v>
      </c>
      <c r="E17" s="262" t="s">
        <v>85</v>
      </c>
      <c r="F17" s="263" t="s">
        <v>130</v>
      </c>
      <c r="G17" s="19">
        <f>SUM(H17:X17)</f>
        <v>0.70744124166310918</v>
      </c>
      <c r="H17" s="264">
        <f>'CO2 per kg feed'!G41*FCR_bonefree_incl_parents_DE-Excreted_N_after_losses_DE*Manure_repl_factor_DE*EF_min_fert_CO2_DE</f>
        <v>0.13696325100842277</v>
      </c>
      <c r="I17" s="264">
        <f>'CO2 per kg feed'!H41*FCR_bonefree_incl_parents_DE</f>
        <v>6.1854913830108958E-2</v>
      </c>
      <c r="J17" s="264">
        <f>'CO2 per kg feed'!I41*FCR_bonefree_incl_parents_DE</f>
        <v>0</v>
      </c>
      <c r="K17" s="264"/>
      <c r="L17" s="264">
        <f>'CO2 per kg feed'!K41*FCR_bonefree_incl_parents_DE</f>
        <v>6.1458772262765284E-2</v>
      </c>
      <c r="M17" s="264"/>
      <c r="N17" s="264">
        <f>'CO2 per kg feed'!M41*FCR_bonefree_incl_parents_DE</f>
        <v>3.6241286332448352E-4</v>
      </c>
      <c r="O17" s="264">
        <f>'CO2 per kg feed'!N41*FCR_bonefree_incl_parents_DE</f>
        <v>9.8959777232921334E-2</v>
      </c>
      <c r="P17" s="264">
        <f>'CO2 per kg feed'!O41*FCR_bonefree_incl_parents_DE</f>
        <v>5.2704927909311243E-2</v>
      </c>
      <c r="Q17" s="264">
        <f>'CO2 per kg feed'!P41*FCR_bonefree_incl_parents_DE</f>
        <v>2.3713405244746993E-2</v>
      </c>
      <c r="R17" s="264">
        <f>'CO2 per kg feed'!Q41*FCR_bonefree_incl_parents_DE</f>
        <v>4.6708923042018187E-2</v>
      </c>
      <c r="S17" s="265"/>
      <c r="T17" s="266"/>
      <c r="U17" s="267"/>
      <c r="V17" s="267"/>
      <c r="W17" s="265">
        <f>Energy_stables_DE*(Share_heating_DE*(Share_biofuels_DE*EF_biofuels_CO2+(1-Share_biofuels_DE)*EF_oil_CO2)+(1-Share_heating_DE)*EF_el_CO2_DE)</f>
        <v>4.6350339663360003E-2</v>
      </c>
      <c r="X17" s="265">
        <f>(Energy_slaughter_el_DE*EF_el_CO2_DE+Energy_slaughter_heat_DE*EF_gas_CO2)/'Parameters, country spec'!D$10</f>
        <v>0.17836451860612987</v>
      </c>
      <c r="Z17" s="19"/>
      <c r="AA17" s="19"/>
    </row>
    <row r="18" spans="1:27" x14ac:dyDescent="0.35">
      <c r="A18" s="12" t="s">
        <v>128</v>
      </c>
      <c r="B18" s="12" t="s">
        <v>129</v>
      </c>
      <c r="C18" s="16"/>
      <c r="D18" s="17" t="s">
        <v>33</v>
      </c>
      <c r="E18" s="17" t="s">
        <v>85</v>
      </c>
      <c r="F18" s="12" t="s">
        <v>131</v>
      </c>
      <c r="G18" s="19">
        <f>SUM(H18:X18)</f>
        <v>1.0247773758790975E-3</v>
      </c>
      <c r="H18" s="33">
        <f>'CH4 per kg feed'!G41*FCR_bonefree_incl_parents_DE-Excreted_N_after_losses_DE*Manure_repl_factor_DE*EF_min_fert_CH4_DE</f>
        <v>2.8121108572872878E-5</v>
      </c>
      <c r="I18" s="33">
        <f>'CH4 per kg feed'!H41*FCR_bonefree_incl_parents_DE</f>
        <v>2.176376597726056E-4</v>
      </c>
      <c r="J18" s="33"/>
      <c r="K18" s="33"/>
      <c r="L18" s="33">
        <f>'CH4 per kg feed'!K41*FCR_bonefree_incl_parents_DE</f>
        <v>2.7224163740737622E-5</v>
      </c>
      <c r="M18" s="33"/>
      <c r="N18" s="33">
        <f>'CH4 per kg feed'!M41*FCR_bonefree_incl_parents_DE</f>
        <v>1.0925153939444051E-6</v>
      </c>
      <c r="O18" s="33">
        <f>'CH4 per kg feed'!N41*FCR_bonefree_incl_parents_DE</f>
        <v>7.034478007219273E-5</v>
      </c>
      <c r="P18" s="33">
        <f>'CH4 per kg feed'!O41*FCR_bonefree_incl_parents_DE</f>
        <v>0</v>
      </c>
      <c r="Q18" s="33">
        <f>'CH4 per kg feed'!P41*FCR_bonefree_incl_parents_DE</f>
        <v>5.5027348156771886E-5</v>
      </c>
      <c r="R18" s="33">
        <f>'CH4 per kg feed'!Q41*FCR_bonefree_incl_parents_DE</f>
        <v>4.4554727999454577E-5</v>
      </c>
      <c r="S18" s="4"/>
      <c r="W18" s="4">
        <f>Energy_stables_DE*(Share_heating_DE*(Share_biofuels_DE*EF_biofuel_CH4+(1-Share_biofuels_DE)*EF_oil_CH4)+(1-Share_heating_DE)*EF_el_CH4_DE)</f>
        <v>8.866310670443999E-5</v>
      </c>
      <c r="X18" s="4">
        <f>(Energy_slaughter_el_DE*EF_el_CH4_DE+Energy_slaughter_heat_DE*EF_gas_CH4)/'Parameters, country spec'!D$10</f>
        <v>4.921119654660779E-4</v>
      </c>
      <c r="Z18" s="32"/>
      <c r="AA18" s="32"/>
    </row>
    <row r="19" spans="1:27" x14ac:dyDescent="0.35">
      <c r="A19" s="12" t="s">
        <v>128</v>
      </c>
      <c r="B19" s="12" t="s">
        <v>129</v>
      </c>
      <c r="C19" s="16"/>
      <c r="D19" s="17" t="s">
        <v>33</v>
      </c>
      <c r="E19" s="17" t="s">
        <v>85</v>
      </c>
      <c r="F19" s="12" t="s">
        <v>132</v>
      </c>
      <c r="G19" s="19">
        <f>SUM(H19:T19)+SUM(W19:X19)</f>
        <v>1.6549102682371613E-3</v>
      </c>
      <c r="H19" s="33"/>
      <c r="I19" s="33"/>
      <c r="J19" s="33"/>
      <c r="K19" s="33"/>
      <c r="L19" s="33"/>
      <c r="M19" s="33"/>
      <c r="N19" s="33"/>
      <c r="O19" s="33"/>
      <c r="P19" s="33"/>
      <c r="Q19" s="33"/>
      <c r="R19" s="33"/>
      <c r="S19" s="4"/>
      <c r="T19" s="47">
        <f>SUM(U19:V19)</f>
        <v>1.6549102682371613E-3</v>
      </c>
      <c r="U19" s="62">
        <f>Manure!D12*Production!D16</f>
        <v>1.6549102682371613E-3</v>
      </c>
      <c r="W19" s="4"/>
      <c r="X19" s="4"/>
      <c r="Z19" s="32"/>
      <c r="AA19" s="32"/>
    </row>
    <row r="20" spans="1:27" ht="15" customHeight="1" thickBot="1" x14ac:dyDescent="0.4">
      <c r="A20" s="12" t="s">
        <v>128</v>
      </c>
      <c r="B20" s="12" t="s">
        <v>129</v>
      </c>
      <c r="C20" s="16"/>
      <c r="D20" s="17" t="s">
        <v>33</v>
      </c>
      <c r="E20" s="17" t="s">
        <v>85</v>
      </c>
      <c r="F20" s="34" t="s">
        <v>133</v>
      </c>
      <c r="G20" s="19">
        <f>SUM(H20:T20)+SUM(W20:X20)</f>
        <v>1.4385878502568021E-3</v>
      </c>
      <c r="H20" s="33">
        <f>'N2O per kg feed'!G41*FCR_bonefree_incl_parents_DE-Excreted_N_after_losses_DE*Manure_repl_factor_DE*EF_min_fert_N2O_DE</f>
        <v>7.1733196215756966E-5</v>
      </c>
      <c r="I20" s="32">
        <f>'N2O per kg feed'!H41*FCR_bonefree_incl_parents_DE</f>
        <v>2.5200150078933279E-6</v>
      </c>
      <c r="J20" s="32">
        <f>'N2O per kg feed'!I41*FCR_bonefree_incl_parents_DE-Excreted_N_after_losses_DE*Manure_repl_factor_DE*EF_N2O_diff_DE</f>
        <v>1.2202792195660514E-3</v>
      </c>
      <c r="K20" s="32">
        <f>J20*EF_indirect_N2O_DE</f>
        <v>1.2202792195660515E-4</v>
      </c>
      <c r="L20" s="32">
        <f>'N2O per kg feed'!K41*FCR_bonefree_incl_parents_DE</f>
        <v>1.6514211724979085E-6</v>
      </c>
      <c r="M20" s="32"/>
      <c r="N20" s="32">
        <f>'N2O per kg feed'!M41*FCR_bonefree_incl_parents_DE</f>
        <v>1.547656259007646E-8</v>
      </c>
      <c r="O20" s="32">
        <f>'N2O per kg feed'!N41*FCR_bonefree_incl_parents_DE</f>
        <v>3.6891659811017239E-6</v>
      </c>
      <c r="P20" s="32">
        <f>'N2O per kg feed'!O41*FCR_bonefree_incl_parents_DE</f>
        <v>0</v>
      </c>
      <c r="Q20" s="32">
        <f>'N2O per kg feed'!P41*FCR_bonefree_incl_parents_DE</f>
        <v>3.2489204711016382E-6</v>
      </c>
      <c r="R20" s="32">
        <f>'N2O per kg feed'!Q41*FCR_bonefree_incl_parents_DE</f>
        <v>1.6291738655082434E-6</v>
      </c>
      <c r="S20" s="4"/>
      <c r="T20" s="47">
        <f>SUM(U20:V20)</f>
        <v>2.4553614276953579E-6</v>
      </c>
      <c r="U20" s="186">
        <f>Manure!D68*44/28</f>
        <v>6.4078125586142896E-7</v>
      </c>
      <c r="V20" s="186">
        <f>NH3_per_kg_DE*17/14*Manure!D97</f>
        <v>1.8145801718339291E-6</v>
      </c>
      <c r="W20" s="4">
        <f>Energy_stables_DE*(Share_heating_DE*(Share_biofuels_DE*EF_biofuel_N2O+(1-Share_biofuels_DE)*EF_oil_N2O)+(1-Share_heating_DE)*EF_el_N2O_DE)</f>
        <v>2.0759000300000002E-6</v>
      </c>
      <c r="X20" s="4">
        <f>(Energy_slaughter_el_DE*EF_el_N2O_DE+Energy_slaughter_heat_DE*EF_gas_N2O)/'Parameters, country spec'!D$10</f>
        <v>7.2620780000000001E-6</v>
      </c>
      <c r="Z20" s="32"/>
      <c r="AA20" s="32"/>
    </row>
    <row r="21" spans="1:27" ht="15.5" customHeight="1" thickTop="1" thickBot="1" x14ac:dyDescent="0.4">
      <c r="A21" s="125" t="s">
        <v>128</v>
      </c>
      <c r="B21" s="125" t="s">
        <v>129</v>
      </c>
      <c r="C21" s="126"/>
      <c r="D21" s="127" t="s">
        <v>33</v>
      </c>
      <c r="E21" s="127" t="s">
        <v>85</v>
      </c>
      <c r="F21" s="128" t="s">
        <v>134</v>
      </c>
      <c r="G21" s="132">
        <f>SUM(H21:X21)</f>
        <v>1.1753966678268164</v>
      </c>
      <c r="H21" s="129">
        <f>SUMPRODUCT(H17:H20,'Parameters, general'!$B$14:$B$17)</f>
        <v>0.15738442261079602</v>
      </c>
      <c r="I21" s="129">
        <f>SUMPRODUCT(I17:I20,'Parameters, general'!$B$14:$B$17)</f>
        <v>6.9028480188487479E-2</v>
      </c>
      <c r="J21" s="129">
        <f>SUMPRODUCT(J17:J20,'Parameters, general'!$B$14:$B$17)</f>
        <v>0.33313622694153205</v>
      </c>
      <c r="K21" s="129">
        <f>SUMPRODUCT(K17:K20,'Parameters, general'!$B$14:$B$17)</f>
        <v>3.3313622694153208E-2</v>
      </c>
      <c r="L21" s="129">
        <f>SUMPRODUCT(L17:L20,'Parameters, general'!$B$14:$B$17)</f>
        <v>6.2720890322331191E-2</v>
      </c>
      <c r="M21" s="129">
        <f>SUMPRODUCT(M17:M20,'Parameters, general'!$B$14:$B$17)</f>
        <v>0</v>
      </c>
      <c r="N21" s="129">
        <f>SUMPRODUCT(N17:N20,'Parameters, general'!$B$14:$B$17)</f>
        <v>3.9919492365111763E-4</v>
      </c>
      <c r="O21" s="129">
        <f>SUMPRODUCT(O17:O20,'Parameters, general'!$B$14:$B$17)</f>
        <v>0.10206319399191345</v>
      </c>
      <c r="P21" s="129">
        <f>SUMPRODUCT(P17:P20,'Parameters, general'!$B$14:$B$17)</f>
        <v>5.2704927909311243E-2</v>
      </c>
      <c r="Q21" s="129">
        <f>SUMPRODUCT(Q17:Q20,'Parameters, general'!$B$14:$B$17)</f>
        <v>2.6240175508429543E-2</v>
      </c>
      <c r="R21" s="129">
        <f>SUMPRODUCT(R17:R20,'Parameters, general'!$B$14:$B$17)</f>
        <v>4.8481418401685683E-2</v>
      </c>
      <c r="S21" s="129"/>
      <c r="T21" s="129">
        <f>SUMPRODUCT(T17:T20,'Parameters, general'!$B$14:$B$17)</f>
        <v>4.5352890912164191E-2</v>
      </c>
      <c r="U21" s="130"/>
      <c r="V21" s="130"/>
      <c r="W21" s="129">
        <f>SUMPRODUCT(W17:W20,'Parameters, general'!$B$14:$B$17)</f>
        <v>4.9559220951342312E-2</v>
      </c>
      <c r="X21" s="129">
        <f>SUMPRODUCT(X17:X20,'Parameters, general'!$B$14:$B$17)</f>
        <v>0.19501200247101899</v>
      </c>
      <c r="Z21" s="108">
        <f>SUM(H21:R21)</f>
        <v>0.88547255349229093</v>
      </c>
      <c r="AA21" s="146">
        <f>'CO2 per kg feed'!F41+'CH4 per kg feed'!F41*CF_GWP_CH4_fossil+'N2O per kg feed'!F41*CF_GWP_N2O</f>
        <v>0.36485235273111383</v>
      </c>
    </row>
    <row r="22" spans="1:27" ht="15" customHeight="1" thickTop="1" x14ac:dyDescent="0.35">
      <c r="A22" s="12" t="s">
        <v>128</v>
      </c>
      <c r="B22" s="12" t="s">
        <v>129</v>
      </c>
      <c r="C22" s="16"/>
      <c r="D22" s="17" t="s">
        <v>31</v>
      </c>
      <c r="E22" s="17" t="s">
        <v>86</v>
      </c>
      <c r="F22" s="36" t="s">
        <v>130</v>
      </c>
      <c r="G22" s="19">
        <f>SUM(H22:X22)</f>
        <v>0.99482437799278334</v>
      </c>
      <c r="H22" s="264">
        <f>'CO2 per kg feed'!G53*FCR_bonefree_incl_parents_GR-Excreted_N_after_losses_GR*Manure_repl_factor_GR*EF_min_fert_CO2_GR</f>
        <v>0.15251312495255726</v>
      </c>
      <c r="I22" s="264">
        <f>'CO2 per kg feed'!H53*FCR_bonefree_incl_parents_GR</f>
        <v>6.0007857047067681E-2</v>
      </c>
      <c r="J22" s="264">
        <f>'CO2 per kg feed'!I53*FCR_bonefree_incl_parents_GR</f>
        <v>0</v>
      </c>
      <c r="K22" s="264"/>
      <c r="L22" s="264">
        <f>'CO2 per kg feed'!K53*FCR_bonefree_incl_parents_GR</f>
        <v>9.3529167492821627E-2</v>
      </c>
      <c r="M22" s="264"/>
      <c r="N22" s="264">
        <f>'CO2 per kg feed'!M53*FCR_bonefree_incl_parents_GR</f>
        <v>1.7035410283649417E-2</v>
      </c>
      <c r="O22" s="264">
        <f>'CO2 per kg feed'!N53*FCR_bonefree_incl_parents_GR</f>
        <v>0.1005821336123678</v>
      </c>
      <c r="P22" s="264">
        <f>'CO2 per kg feed'!O53*FCR_bonefree_incl_parents_GR</f>
        <v>9.5424384007588445E-2</v>
      </c>
      <c r="Q22" s="264">
        <f>'CO2 per kg feed'!P53*FCR_bonefree_incl_parents_GR</f>
        <v>0.12054471805383374</v>
      </c>
      <c r="R22" s="264">
        <f>'CO2 per kg feed'!Q53*FCR_bonefree_incl_parents_GR</f>
        <v>6.6993107846817168E-2</v>
      </c>
      <c r="S22" s="265"/>
      <c r="T22" s="266"/>
      <c r="U22" s="267"/>
      <c r="V22" s="267"/>
      <c r="W22" s="265">
        <f>Energy_stables_GR*(Share_heating_GR*(Share_biofuels_GR*EF_biofuels_CO2+(1-Share_biofuels_GR)*EF_oil_CO2)+(1-Share_heating_GR)*EF_el_CO2_GR)</f>
        <v>6.3996298020209993E-2</v>
      </c>
      <c r="X22" s="265">
        <f>(Energy_slaughter_el_GR*EF_el_CO2_GR+Energy_slaughter_heat_GR*EF_gas_CO2)/'Parameters, country spec'!E$10</f>
        <v>0.22419817667587014</v>
      </c>
      <c r="Z22" s="19"/>
      <c r="AA22" s="19"/>
    </row>
    <row r="23" spans="1:27" x14ac:dyDescent="0.35">
      <c r="A23" s="12" t="s">
        <v>128</v>
      </c>
      <c r="B23" s="12" t="s">
        <v>129</v>
      </c>
      <c r="C23" s="16"/>
      <c r="D23" s="17" t="s">
        <v>31</v>
      </c>
      <c r="E23" s="17" t="s">
        <v>86</v>
      </c>
      <c r="F23" s="12" t="s">
        <v>131</v>
      </c>
      <c r="G23" s="19">
        <f>SUM(H23:X23)</f>
        <v>1.4439605649903967E-3</v>
      </c>
      <c r="H23" s="33">
        <f>'CH4 per kg feed'!G53*FCR_bonefree_incl_parents_GR-Excreted_N_after_losses_GR*Manure_repl_factor_GR*EF_min_fert_CH4_GR</f>
        <v>7.2514505882366371E-6</v>
      </c>
      <c r="I23" s="33">
        <f>'CH4 per kg feed'!H53*FCR_bonefree_incl_parents_GR</f>
        <v>2.1113875627671959E-4</v>
      </c>
      <c r="J23" s="33"/>
      <c r="K23" s="33"/>
      <c r="L23" s="33">
        <f>'CH4 per kg feed'!K53*FCR_bonefree_incl_parents_GR</f>
        <v>4.1430267423387682E-5</v>
      </c>
      <c r="M23" s="33"/>
      <c r="N23" s="33">
        <f>'CH4 per kg feed'!M53*FCR_bonefree_incl_parents_GR</f>
        <v>5.0349204966493866E-5</v>
      </c>
      <c r="O23" s="33">
        <f>'CH4 per kg feed'!N53*FCR_bonefree_incl_parents_GR</f>
        <v>8.2582262936798002E-5</v>
      </c>
      <c r="P23" s="33">
        <f>'CH4 per kg feed'!O53*FCR_bonefree_incl_parents_GR</f>
        <v>0</v>
      </c>
      <c r="Q23" s="33">
        <f>'CH4 per kg feed'!P53*FCR_bonefree_incl_parents_GR</f>
        <v>2.526850446122058E-4</v>
      </c>
      <c r="R23" s="33">
        <f>'CH4 per kg feed'!Q53*FCR_bonefree_incl_parents_GR</f>
        <v>7.9685533146402521E-5</v>
      </c>
      <c r="S23" s="4"/>
      <c r="W23" s="4">
        <f>Energy_stables_GR*(Share_heating_GR*(Share_biofuels_GR*EF_biofuel_CH4+(1-Share_biofuels_GR)*EF_oil_CH4)+(1-Share_heating_GR)*EF_el_CH4_GR)</f>
        <v>1.2704162262849002E-4</v>
      </c>
      <c r="X23" s="4">
        <f>(Energy_slaughter_el_GR*EF_el_CH4_GR+Energy_slaughter_heat_GR*EF_gas_CH4)/'Parameters, country spec'!E$10</f>
        <v>5.9179642241166241E-4</v>
      </c>
      <c r="Z23" s="32"/>
      <c r="AA23" s="32"/>
    </row>
    <row r="24" spans="1:27" x14ac:dyDescent="0.35">
      <c r="A24" s="12" t="s">
        <v>128</v>
      </c>
      <c r="B24" s="12" t="s">
        <v>129</v>
      </c>
      <c r="C24" s="16"/>
      <c r="D24" s="17" t="s">
        <v>31</v>
      </c>
      <c r="E24" s="17" t="s">
        <v>86</v>
      </c>
      <c r="F24" s="12" t="s">
        <v>132</v>
      </c>
      <c r="G24" s="19">
        <f>SUM(H24:T24)+SUM(W24:X24)</f>
        <v>2.071545178863475E-3</v>
      </c>
      <c r="H24" s="33"/>
      <c r="I24" s="33"/>
      <c r="J24" s="33"/>
      <c r="K24" s="33"/>
      <c r="L24" s="33"/>
      <c r="M24" s="33"/>
      <c r="N24" s="33"/>
      <c r="O24" s="33"/>
      <c r="P24" s="33"/>
      <c r="Q24" s="33"/>
      <c r="R24" s="33"/>
      <c r="S24" s="4"/>
      <c r="T24" s="47">
        <f>SUM(U24:V24)</f>
        <v>2.071545178863475E-3</v>
      </c>
      <c r="U24" s="62">
        <f>Manure!E12*Production!E16</f>
        <v>2.071545178863475E-3</v>
      </c>
      <c r="W24" s="4"/>
      <c r="X24" s="4"/>
      <c r="Z24" s="32"/>
      <c r="AA24" s="32"/>
    </row>
    <row r="25" spans="1:27" ht="15" customHeight="1" thickBot="1" x14ac:dyDescent="0.4">
      <c r="A25" s="12" t="s">
        <v>128</v>
      </c>
      <c r="B25" s="12" t="s">
        <v>129</v>
      </c>
      <c r="C25" s="16"/>
      <c r="D25" s="17" t="s">
        <v>31</v>
      </c>
      <c r="E25" s="17" t="s">
        <v>86</v>
      </c>
      <c r="F25" s="34" t="s">
        <v>133</v>
      </c>
      <c r="G25" s="19">
        <f>SUM(H25:T25)+SUM(W25:X25)</f>
        <v>1.1722452732639778E-3</v>
      </c>
      <c r="H25" s="33">
        <f>'N2O per kg feed'!G53*FCR_bonefree_incl_parents_GR-Excreted_N_after_losses_GR*Manure_repl_factor_GR*EF_min_fert_N2O_GR</f>
        <v>2.1923678574266422E-5</v>
      </c>
      <c r="I25" s="32">
        <f>'N2O per kg feed'!H53*FCR_bonefree_incl_parents_GR</f>
        <v>2.4447645463620162E-6</v>
      </c>
      <c r="J25" s="32">
        <f>'N2O per kg feed'!I53*FCR_bonefree_incl_parents_GR-Excreted_N_after_losses_GR*Manure_repl_factor_GR*EF_N2O_diff_GR</f>
        <v>1.0180549836716992E-3</v>
      </c>
      <c r="K25" s="32">
        <f>J25*EF_indirect_N2O_GR</f>
        <v>1.0180549836716993E-4</v>
      </c>
      <c r="L25" s="32">
        <f>'N2O per kg feed'!K53*FCR_bonefree_incl_parents_GR</f>
        <v>2.5131651960663353E-6</v>
      </c>
      <c r="M25" s="32"/>
      <c r="N25" s="32">
        <f>'N2O per kg feed'!M53*FCR_bonefree_incl_parents_GR</f>
        <v>7.3218890883955084E-7</v>
      </c>
      <c r="O25" s="32">
        <f>'N2O per kg feed'!N53*FCR_bonefree_incl_parents_GR</f>
        <v>3.5465393412747387E-6</v>
      </c>
      <c r="P25" s="32">
        <f>'N2O per kg feed'!O53*FCR_bonefree_incl_parents_GR</f>
        <v>0</v>
      </c>
      <c r="Q25" s="32">
        <f>'N2O per kg feed'!P53*FCR_bonefree_incl_parents_GR</f>
        <v>7.1477635181346812E-6</v>
      </c>
      <c r="R25" s="32">
        <f>'N2O per kg feed'!Q53*FCR_bonefree_incl_parents_GR</f>
        <v>2.5633188713603024E-6</v>
      </c>
      <c r="S25" s="4"/>
      <c r="T25" s="47">
        <f>SUM(U25:V25)</f>
        <v>1.7207674743762674E-6</v>
      </c>
      <c r="U25" s="186">
        <f>Manure!DE68*44/28</f>
        <v>0</v>
      </c>
      <c r="V25" s="186">
        <f>NH3_per_kg_GR*17/14*Manure!E97</f>
        <v>1.7207674743762674E-6</v>
      </c>
      <c r="W25" s="4">
        <f>Energy_stables_GR*(Share_heating_GR*(Share_biofuels_GR*EF_biofuel_N2O+(1-Share_biofuels_GR)*EF_oil_N2O)+(1-Share_heating_GR)*EF_el_N2O_GR)</f>
        <v>2.2022764230000002E-6</v>
      </c>
      <c r="X25" s="4">
        <f>(Energy_slaughter_el_GR*EF_el_N2O_GR+Energy_slaughter_heat_GR*EF_gas_N2O)/'Parameters, country spec'!E$10</f>
        <v>7.5903283714285712E-6</v>
      </c>
      <c r="Z25" s="32"/>
      <c r="AA25" s="32"/>
    </row>
    <row r="26" spans="1:27" ht="15.5" customHeight="1" thickTop="1" thickBot="1" x14ac:dyDescent="0.4">
      <c r="A26" s="125" t="s">
        <v>128</v>
      </c>
      <c r="B26" s="125" t="s">
        <v>129</v>
      </c>
      <c r="C26" s="126"/>
      <c r="D26" s="37" t="s">
        <v>31</v>
      </c>
      <c r="E26" s="37" t="s">
        <v>86</v>
      </c>
      <c r="F26" s="128" t="s">
        <v>134</v>
      </c>
      <c r="G26" s="132">
        <f>SUM(H26:X26)</f>
        <v>1.4138090822598768</v>
      </c>
      <c r="H26" s="129">
        <f>SUMPRODUCT(H22:H25,'Parameters, general'!$B$14:$B$17)</f>
        <v>0.15871438243086142</v>
      </c>
      <c r="I26" s="129">
        <f>SUMPRODUCT(I22:I25,'Parameters, general'!$B$14:$B$17)</f>
        <v>6.6967212705270757E-2</v>
      </c>
      <c r="J26" s="129">
        <f>SUMPRODUCT(J22:J25,'Parameters, general'!$B$14:$B$17)</f>
        <v>0.2779290105423739</v>
      </c>
      <c r="K26" s="129">
        <f>SUMPRODUCT(K22:K25,'Parameters, general'!$B$14:$B$17)</f>
        <v>2.7792901054237391E-2</v>
      </c>
      <c r="L26" s="129">
        <f>SUMPRODUCT(L22:L25,'Parameters, general'!$B$14:$B$17)</f>
        <v>9.5449883560564691E-2</v>
      </c>
      <c r="M26" s="129">
        <f>SUMPRODUCT(M22:M25,'Parameters, general'!$B$14:$B$17)</f>
        <v>0</v>
      </c>
      <c r="N26" s="129">
        <f>SUMPRODUCT(N22:N25,'Parameters, general'!$B$14:$B$17)</f>
        <v>1.873570416376413E-2</v>
      </c>
      <c r="O26" s="129">
        <f>SUMPRODUCT(O22:O25,'Parameters, general'!$B$14:$B$17)</f>
        <v>0.10401129028805239</v>
      </c>
      <c r="P26" s="129">
        <f>SUMPRODUCT(P22:P25,'Parameters, general'!$B$14:$B$17)</f>
        <v>9.5424384007588445E-2</v>
      </c>
      <c r="Q26" s="129">
        <f>SUMPRODUCT(Q22:Q25,'Parameters, general'!$B$14:$B$17)</f>
        <v>0.13002607182372822</v>
      </c>
      <c r="R26" s="129">
        <f>SUMPRODUCT(R22:R25,'Parameters, general'!$B$14:$B$17)</f>
        <v>7.0067522786461334E-2</v>
      </c>
      <c r="S26" s="129"/>
      <c r="T26" s="129">
        <f>SUMPRODUCT(T22:T25,'Parameters, general'!$B$14:$B$17)</f>
        <v>5.6401489349818548E-2</v>
      </c>
      <c r="U26" s="130"/>
      <c r="V26" s="130"/>
      <c r="W26" s="129">
        <f>SUMPRODUCT(W22:W25,'Parameters, general'!$B$14:$B$17)</f>
        <v>6.8383359838018007E-2</v>
      </c>
      <c r="X26" s="129">
        <f>SUMPRODUCT(X22:X25,'Parameters, general'!$B$14:$B$17)</f>
        <v>0.24390586970913766</v>
      </c>
      <c r="Z26" s="108">
        <f>SUM(H26:R26)</f>
        <v>1.0451183633629026</v>
      </c>
      <c r="AA26" s="146">
        <f>'CO2 per kg feed'!F53+'CH4 per kg feed'!F53*CF_GWP_CH4_fossil+'N2O per kg feed'!F53*CF_GWP_N2O</f>
        <v>0.43043589548027966</v>
      </c>
    </row>
    <row r="27" spans="1:27" ht="15" customHeight="1" thickTop="1" x14ac:dyDescent="0.35">
      <c r="A27" s="260" t="s">
        <v>128</v>
      </c>
      <c r="B27" s="260" t="s">
        <v>129</v>
      </c>
      <c r="C27" s="261"/>
      <c r="D27" s="262" t="s">
        <v>35</v>
      </c>
      <c r="E27" s="262" t="s">
        <v>87</v>
      </c>
      <c r="F27" s="263" t="s">
        <v>130</v>
      </c>
      <c r="G27" s="19">
        <f>SUM(H27:X27)</f>
        <v>0.78711452698044537</v>
      </c>
      <c r="H27" s="264">
        <f>'CO2 per kg feed'!G65*FCR_bonefree_incl_parents_HU-Excreted_N_after_losses_HU*Manure_repl_factor_HU*EF_min_fert_CO2_HU</f>
        <v>0.14290016415455273</v>
      </c>
      <c r="I27" s="264">
        <f>'CO2 per kg feed'!H65*FCR_bonefree_incl_parents_HU</f>
        <v>6.0744813919273097E-2</v>
      </c>
      <c r="J27" s="264">
        <f>'CO2 per kg feed'!I65*FCR_bonefree_incl_parents_HU</f>
        <v>0</v>
      </c>
      <c r="K27" s="264"/>
      <c r="L27" s="264">
        <f>'CO2 per kg feed'!K65*FCR_bonefree_incl_parents_HU</f>
        <v>7.5709062989823439E-2</v>
      </c>
      <c r="M27" s="264"/>
      <c r="N27" s="264">
        <f>'CO2 per kg feed'!M65*FCR_bonefree_incl_parents_HU</f>
        <v>1.0556005907046595E-3</v>
      </c>
      <c r="O27" s="264">
        <f>'CO2 per kg feed'!N65*FCR_bonefree_incl_parents_HU</f>
        <v>9.3698432370855969E-2</v>
      </c>
      <c r="P27" s="264">
        <f>'CO2 per kg feed'!O65*FCR_bonefree_incl_parents_HU</f>
        <v>7.4700237192472707E-2</v>
      </c>
      <c r="Q27" s="264">
        <f>'CO2 per kg feed'!P65*FCR_bonefree_incl_parents_HU</f>
        <v>7.7112975289352487E-2</v>
      </c>
      <c r="R27" s="264">
        <f>'CO2 per kg feed'!Q65*FCR_bonefree_incl_parents_HU</f>
        <v>4.5958095225697958E-2</v>
      </c>
      <c r="S27" s="265"/>
      <c r="T27" s="266"/>
      <c r="U27" s="267"/>
      <c r="V27" s="267"/>
      <c r="W27" s="265">
        <f>Energy_stables_HU*(Share_heating_HU*(Share_biofuels_HU*EF_biofuels_CO2+(1-Share_biofuels_HU)*EF_oil_CO2)+(1-Share_heating_HU)*EF_el_CO2_HU)</f>
        <v>4.3715184780050001E-2</v>
      </c>
      <c r="X27" s="265">
        <f>(Energy_slaughter_el_HU*EF_el_CO2_HU+Energy_slaughter_heat_HU*EF_gas_CO2)/'Parameters, country spec'!F$10</f>
        <v>0.17151996046766235</v>
      </c>
      <c r="Z27" s="19"/>
      <c r="AA27" s="19"/>
    </row>
    <row r="28" spans="1:27" x14ac:dyDescent="0.35">
      <c r="A28" s="12" t="s">
        <v>128</v>
      </c>
      <c r="B28" s="12" t="s">
        <v>129</v>
      </c>
      <c r="C28" s="16"/>
      <c r="D28" s="17" t="s">
        <v>35</v>
      </c>
      <c r="E28" s="17" t="s">
        <v>87</v>
      </c>
      <c r="F28" s="12" t="s">
        <v>131</v>
      </c>
      <c r="G28" s="19">
        <f>SUM(H28:X28)</f>
        <v>1.2309276591579983E-3</v>
      </c>
      <c r="H28" s="33">
        <f>'CH4 per kg feed'!G65*FCR_bonefree_incl_parents_HU-Excreted_N_after_losses_HU*Manure_repl_factor_HU*EF_min_fert_CH4_HU</f>
        <v>5.4485208863416679E-6</v>
      </c>
      <c r="I28" s="33">
        <f>'CH4 per kg feed'!H65*FCR_bonefree_incl_parents_HU</f>
        <v>2.1373175267892382E-4</v>
      </c>
      <c r="J28" s="33"/>
      <c r="K28" s="33"/>
      <c r="L28" s="33">
        <f>'CH4 per kg feed'!K65*FCR_bonefree_incl_parents_HU</f>
        <v>3.3536562017225529E-5</v>
      </c>
      <c r="M28" s="33"/>
      <c r="N28" s="33">
        <f>'CH4 per kg feed'!M65*FCR_bonefree_incl_parents_HU</f>
        <v>3.1332746677965771E-6</v>
      </c>
      <c r="O28" s="33">
        <f>'CH4 per kg feed'!N65*FCR_bonefree_incl_parents_HU</f>
        <v>7.7117875951591549E-5</v>
      </c>
      <c r="P28" s="33">
        <f>'CH4 per kg feed'!O65*FCR_bonefree_incl_parents_HU</f>
        <v>0</v>
      </c>
      <c r="Q28" s="33">
        <f>'CH4 per kg feed'!P65*FCR_bonefree_incl_parents_HU</f>
        <v>2.0056527742307094E-4</v>
      </c>
      <c r="R28" s="33">
        <f>'CH4 per kg feed'!Q65*FCR_bonefree_incl_parents_HU</f>
        <v>3.85129060677329E-5</v>
      </c>
      <c r="S28" s="4"/>
      <c r="W28" s="4">
        <f>Energy_stables_HU*(Share_heating_HU*(Share_biofuels_HU*EF_biofuel_CH4+(1-Share_biofuels_HU)*EF_oil_CH4)+(1-Share_heating_HU)*EF_el_CH4_HU)</f>
        <v>1.1037499887664E-4</v>
      </c>
      <c r="X28" s="4">
        <f>(Energy_slaughter_el_HU*EF_el_CH4_HU+Energy_slaughter_heat_HU*EF_gas_CH4)/'Parameters, country spec'!F$10</f>
        <v>5.485064905886753E-4</v>
      </c>
      <c r="Z28" s="32"/>
      <c r="AA28" s="32"/>
    </row>
    <row r="29" spans="1:27" x14ac:dyDescent="0.35">
      <c r="A29" s="12" t="s">
        <v>128</v>
      </c>
      <c r="B29" s="12" t="s">
        <v>129</v>
      </c>
      <c r="C29" s="16"/>
      <c r="D29" s="17" t="s">
        <v>35</v>
      </c>
      <c r="E29" s="17" t="s">
        <v>87</v>
      </c>
      <c r="F29" s="12" t="s">
        <v>132</v>
      </c>
      <c r="G29" s="19">
        <f>SUM(H29:T29)+SUM(W29:X29)</f>
        <v>1.3810301192423166E-3</v>
      </c>
      <c r="H29" s="33"/>
      <c r="I29" s="33"/>
      <c r="J29" s="33"/>
      <c r="K29" s="33"/>
      <c r="L29" s="33"/>
      <c r="M29" s="33"/>
      <c r="N29" s="33"/>
      <c r="O29" s="33"/>
      <c r="P29" s="33"/>
      <c r="Q29" s="33"/>
      <c r="R29" s="33"/>
      <c r="S29" s="4"/>
      <c r="T29" s="47">
        <f>SUM(U29:V29)</f>
        <v>1.3810301192423166E-3</v>
      </c>
      <c r="U29" s="62">
        <f>Manure!F12*Production!F16</f>
        <v>1.3810301192423166E-3</v>
      </c>
      <c r="W29" s="4"/>
      <c r="X29" s="4"/>
      <c r="Z29" s="32"/>
      <c r="AA29" s="32"/>
    </row>
    <row r="30" spans="1:27" ht="15" customHeight="1" thickBot="1" x14ac:dyDescent="0.4">
      <c r="A30" s="12" t="s">
        <v>128</v>
      </c>
      <c r="B30" s="12" t="s">
        <v>129</v>
      </c>
      <c r="C30" s="16"/>
      <c r="D30" s="17" t="s">
        <v>35</v>
      </c>
      <c r="E30" s="17" t="s">
        <v>87</v>
      </c>
      <c r="F30" s="34" t="s">
        <v>133</v>
      </c>
      <c r="G30" s="19">
        <f>SUM(H30:T30)+SUM(W30:X30)</f>
        <v>1.5405044880807345E-3</v>
      </c>
      <c r="H30" s="33">
        <f>'N2O per kg feed'!G65*FCR_bonefree_incl_parents_HU-Excreted_N_after_losses_HU*Manure_repl_factor_HU*EF_min_fert_N2O_HU</f>
        <v>6.0439603283120937E-5</v>
      </c>
      <c r="I30" s="32">
        <f>'N2O per kg feed'!H65*FCR_bonefree_incl_parents_HU</f>
        <v>2.474788715229644E-6</v>
      </c>
      <c r="J30" s="32">
        <f>'N2O per kg feed'!I65*FCR_bonefree_incl_parents_HU-Excreted_N_after_losses_HU*Manure_repl_factor_HU*EF_N2O_diff_HU</f>
        <v>1.3226979840534321E-3</v>
      </c>
      <c r="K30" s="32">
        <f>J30*EF_indirect_N2O_HU</f>
        <v>1.3226979840534321E-4</v>
      </c>
      <c r="L30" s="32">
        <f>'N2O per kg feed'!K65*FCR_bonefree_incl_parents_HU</f>
        <v>2.0343320402955721E-6</v>
      </c>
      <c r="M30" s="32"/>
      <c r="N30" s="32">
        <f>'N2O per kg feed'!M65*FCR_bonefree_incl_parents_HU</f>
        <v>4.5307502717785564E-8</v>
      </c>
      <c r="O30" s="32">
        <f>'N2O per kg feed'!N65*FCR_bonefree_incl_parents_HU</f>
        <v>3.3188059517654895E-6</v>
      </c>
      <c r="P30" s="32">
        <f>'N2O per kg feed'!O65*FCR_bonefree_incl_parents_HU</f>
        <v>0</v>
      </c>
      <c r="Q30" s="32">
        <f>'N2O per kg feed'!P65*FCR_bonefree_incl_parents_HU</f>
        <v>4.9095760068909245E-6</v>
      </c>
      <c r="R30" s="32">
        <f>'N2O per kg feed'!Q65*FCR_bonefree_incl_parents_HU</f>
        <v>1.6759229143904589E-6</v>
      </c>
      <c r="S30" s="4"/>
      <c r="T30" s="47">
        <f>SUM(U30:V30)</f>
        <v>3.2583949460161013E-6</v>
      </c>
      <c r="U30" s="186">
        <f>Manure!F68*44/28</f>
        <v>8.5065050648327189E-7</v>
      </c>
      <c r="V30" s="186">
        <f>NH3_per_kg_HU*17/14*Manure!F97</f>
        <v>2.4077444395328297E-6</v>
      </c>
      <c r="W30" s="4">
        <f>Energy_stables_HU*(Share_heating_HU*(Share_biofuels_HU*EF_biofuel_N2O+(1-Share_biofuels_HU)*EF_oil_N2O)+(1-Share_heating_HU)*EF_el_N2O_HU)</f>
        <v>1.5316173940000001E-6</v>
      </c>
      <c r="X30" s="4">
        <f>(Energy_slaughter_el_HU*EF_el_N2O_HU+Energy_slaughter_heat_HU*EF_gas_N2O)/'Parameters, country spec'!F$10</f>
        <v>5.848356867532467E-6</v>
      </c>
      <c r="Z30" s="32"/>
      <c r="AA30" s="32"/>
    </row>
    <row r="31" spans="1:27" ht="15.5" customHeight="1" thickTop="1" thickBot="1" x14ac:dyDescent="0.4">
      <c r="A31" s="125" t="s">
        <v>128</v>
      </c>
      <c r="B31" s="125" t="s">
        <v>129</v>
      </c>
      <c r="C31" s="126"/>
      <c r="D31" s="127" t="s">
        <v>35</v>
      </c>
      <c r="E31" s="127" t="s">
        <v>87</v>
      </c>
      <c r="F31" s="128" t="s">
        <v>134</v>
      </c>
      <c r="G31" s="132">
        <f>SUM(H31:X31)</f>
        <v>1.2816417096889368</v>
      </c>
      <c r="H31" s="129">
        <f>SUMPRODUCT(H27:H30,'Parameters, general'!$B$14:$B$17)</f>
        <v>0.15956254177325771</v>
      </c>
      <c r="I31" s="129">
        <f>SUMPRODUCT(I27:I30,'Parameters, general'!$B$14:$B$17)</f>
        <v>6.7789637468362723E-2</v>
      </c>
      <c r="J31" s="129">
        <f>SUMPRODUCT(J27:J30,'Parameters, general'!$B$14:$B$17)</f>
        <v>0.361096549646587</v>
      </c>
      <c r="K31" s="129">
        <f>SUMPRODUCT(K27:K30,'Parameters, general'!$B$14:$B$17)</f>
        <v>3.6109654964658698E-2</v>
      </c>
      <c r="L31" s="129">
        <f>SUMPRODUCT(L27:L30,'Parameters, general'!$B$14:$B$17)</f>
        <v>7.7263825184937449E-2</v>
      </c>
      <c r="M31" s="129">
        <f>SUMPRODUCT(M27:M30,'Parameters, general'!$B$14:$B$17)</f>
        <v>0</v>
      </c>
      <c r="N31" s="129">
        <f>SUMPRODUCT(N27:N30,'Parameters, general'!$B$14:$B$17)</f>
        <v>1.161341124046953E-3</v>
      </c>
      <c r="O31" s="129">
        <f>SUMPRODUCT(O27:O30,'Parameters, general'!$B$14:$B$17)</f>
        <v>9.6902579099045386E-2</v>
      </c>
      <c r="P31" s="129">
        <f>SUMPRODUCT(P27:P30,'Parameters, general'!$B$14:$B$17)</f>
        <v>7.4700237192472707E-2</v>
      </c>
      <c r="Q31" s="129">
        <f>SUMPRODUCT(Q27:Q30,'Parameters, general'!$B$14:$B$17)</f>
        <v>8.4430134806441223E-2</v>
      </c>
      <c r="R31" s="129">
        <f>SUMPRODUCT(R27:R30,'Parameters, general'!$B$14:$B$17)</f>
        <v>4.7563306782144994E-2</v>
      </c>
      <c r="S31" s="129"/>
      <c r="T31" s="129">
        <f>SUMPRODUCT(T27:T30,'Parameters, general'!$B$14:$B$17)</f>
        <v>3.817735503980494E-2</v>
      </c>
      <c r="U31" s="130"/>
      <c r="V31" s="130"/>
      <c r="W31" s="129">
        <f>SUMPRODUCT(W27:W30,'Parameters, general'!$B$14:$B$17)</f>
        <v>4.7422491295135871E-2</v>
      </c>
      <c r="X31" s="129">
        <f>SUMPRODUCT(X27:X30,'Parameters, general'!$B$14:$B$17)</f>
        <v>0.18946205531204124</v>
      </c>
      <c r="Z31" s="108">
        <f>SUM(H31:R31)</f>
        <v>1.0065798080419548</v>
      </c>
      <c r="AA31" s="146">
        <f>'CO2 per kg feed'!F65+'CH4 per kg feed'!F65*CF_GWP_CH4_fossil+'N2O per kg feed'!F65*CF_GWP_N2O</f>
        <v>0.41481926147486203</v>
      </c>
    </row>
    <row r="32" spans="1:27" ht="15" customHeight="1" thickTop="1" x14ac:dyDescent="0.35">
      <c r="A32" s="260" t="s">
        <v>128</v>
      </c>
      <c r="B32" s="260" t="s">
        <v>129</v>
      </c>
      <c r="C32" s="261"/>
      <c r="D32" s="262" t="s">
        <v>135</v>
      </c>
      <c r="E32" s="262" t="s">
        <v>88</v>
      </c>
      <c r="F32" s="263" t="s">
        <v>130</v>
      </c>
      <c r="G32" s="19">
        <f>SUM(H32:X32)</f>
        <v>0.57527213068768246</v>
      </c>
      <c r="H32" s="264">
        <f>'CO2 per kg feed'!G77*FCR_bonefree_incl_parents_IE-Excreted_N_after_losses_IE*Manure_repl_factor_IE*EF_min_fert_CO2_IE</f>
        <v>9.7260001531443041E-2</v>
      </c>
      <c r="I32" s="264">
        <f>'CO2 per kg feed'!H77*FCR_bonefree_incl_parents_IE</f>
        <v>5.8846193467679241E-2</v>
      </c>
      <c r="J32" s="264">
        <f>'CO2 per kg feed'!I77*FCR_bonefree_incl_parents_IE</f>
        <v>0</v>
      </c>
      <c r="K32" s="264"/>
      <c r="L32" s="264">
        <f>'CO2 per kg feed'!K77*FCR_bonefree_incl_parents_IE</f>
        <v>7.3654896689239954E-2</v>
      </c>
      <c r="M32" s="264"/>
      <c r="N32" s="264">
        <f>'CO2 per kg feed'!M77*FCR_bonefree_incl_parents_IE</f>
        <v>9.4253351604083524E-4</v>
      </c>
      <c r="O32" s="264">
        <f>'CO2 per kg feed'!N77*FCR_bonefree_incl_parents_IE</f>
        <v>9.0075944727077403E-2</v>
      </c>
      <c r="P32" s="264">
        <f>'CO2 per kg feed'!O77*FCR_bonefree_incl_parents_IE</f>
        <v>1.6189852056718787E-2</v>
      </c>
      <c r="Q32" s="264">
        <f>'CO2 per kg feed'!P77*FCR_bonefree_incl_parents_IE</f>
        <v>2.3922924721454492E-2</v>
      </c>
      <c r="R32" s="264">
        <f>'CO2 per kg feed'!Q77*FCR_bonefree_incl_parents_IE</f>
        <v>1.5433619296790909E-2</v>
      </c>
      <c r="S32" s="265"/>
      <c r="T32" s="266"/>
      <c r="U32" s="267"/>
      <c r="V32" s="267"/>
      <c r="W32" s="265">
        <f>Energy_stables_IE*(Share_heating_IE*(Share_biofuels_IE*EF_biofuels_CO2+(1-Share_biofuels_IE)*EF_oil_CO2)+(1-Share_heating_IE)*EF_el_CO2_IE)</f>
        <v>3.9187201012474013E-2</v>
      </c>
      <c r="X32" s="265">
        <f>(Energy_slaughter_el_IE*EF_el_CO2_IE+Energy_slaughter_heat_IE*EF_gas_CO2)/'Parameters, country spec'!G$10</f>
        <v>0.15975896366876369</v>
      </c>
      <c r="Z32" s="19"/>
      <c r="AA32" s="19"/>
    </row>
    <row r="33" spans="1:27" x14ac:dyDescent="0.35">
      <c r="A33" s="12" t="s">
        <v>128</v>
      </c>
      <c r="B33" s="12" t="s">
        <v>129</v>
      </c>
      <c r="C33" s="16"/>
      <c r="D33" s="17" t="s">
        <v>135</v>
      </c>
      <c r="E33" s="17" t="s">
        <v>88</v>
      </c>
      <c r="F33" s="12" t="s">
        <v>131</v>
      </c>
      <c r="G33" s="19">
        <f>SUM(H33:X33)</f>
        <v>8.0107369536667659E-4</v>
      </c>
      <c r="H33" s="33">
        <f>'CH4 per kg feed'!G77*FCR_bonefree_incl_parents_IE-Excreted_N_after_losses_IE*Manure_repl_factor_IE*EF_min_fert_CH4_IE</f>
        <v>5.0850671594599007E-5</v>
      </c>
      <c r="I33" s="33">
        <f>'CH4 per kg feed'!H77*FCR_bonefree_incl_parents_IE</f>
        <v>2.070514214603529E-4</v>
      </c>
      <c r="J33" s="33"/>
      <c r="K33" s="33"/>
      <c r="L33" s="33">
        <f>'CH4 per kg feed'!K77*FCR_bonefree_incl_parents_IE</f>
        <v>3.2626635611948622E-5</v>
      </c>
      <c r="M33" s="33"/>
      <c r="N33" s="33">
        <f>'CH4 per kg feed'!M77*FCR_bonefree_incl_parents_IE</f>
        <v>2.8260051858751585E-6</v>
      </c>
      <c r="O33" s="33">
        <f>'CH4 per kg feed'!N77*FCR_bonefree_incl_parents_IE</f>
        <v>4.9348574832399998E-5</v>
      </c>
      <c r="P33" s="33">
        <f>'CH4 per kg feed'!O77*FCR_bonefree_incl_parents_IE</f>
        <v>0</v>
      </c>
      <c r="Q33" s="33">
        <f>'CH4 per kg feed'!P77*FCR_bonefree_incl_parents_IE</f>
        <v>3.071113296022984E-5</v>
      </c>
      <c r="R33" s="33">
        <f>'CH4 per kg feed'!Q77*FCR_bonefree_incl_parents_IE</f>
        <v>1.3917706908614679E-5</v>
      </c>
      <c r="S33" s="4"/>
      <c r="W33" s="4">
        <f>Energy_stables_IE*(Share_heating_IE*(Share_biofuels_IE*EF_biofuel_CH4+(1-Share_biofuels_IE)*EF_oil_CH4)+(1-Share_heating_IE)*EF_el_CH4_IE)</f>
        <v>4.2231404709655406E-5</v>
      </c>
      <c r="X33" s="4">
        <f>(Energy_slaughter_el_IE*EF_el_CH4_IE+Energy_slaughter_heat_IE*EF_gas_CH4)/'Parameters, country spec'!G$10</f>
        <v>3.7151014210300105E-4</v>
      </c>
      <c r="Z33" s="32"/>
      <c r="AA33" s="32"/>
    </row>
    <row r="34" spans="1:27" x14ac:dyDescent="0.35">
      <c r="A34" s="12" t="s">
        <v>128</v>
      </c>
      <c r="B34" s="12" t="s">
        <v>129</v>
      </c>
      <c r="C34" s="16"/>
      <c r="D34" s="17" t="s">
        <v>135</v>
      </c>
      <c r="E34" s="17" t="s">
        <v>88</v>
      </c>
      <c r="F34" s="12" t="s">
        <v>132</v>
      </c>
      <c r="G34" s="19">
        <f>SUM(H34:T34)+SUM(W34:X34)</f>
        <v>1.080483047975178E-3</v>
      </c>
      <c r="H34" s="33"/>
      <c r="I34" s="33"/>
      <c r="J34" s="33"/>
      <c r="K34" s="33"/>
      <c r="L34" s="33"/>
      <c r="M34" s="33"/>
      <c r="N34" s="33"/>
      <c r="O34" s="33"/>
      <c r="P34" s="33"/>
      <c r="Q34" s="33"/>
      <c r="R34" s="33"/>
      <c r="S34" s="4"/>
      <c r="T34" s="47">
        <f>SUM(U34:V34)</f>
        <v>1.080483047975178E-3</v>
      </c>
      <c r="U34" s="62">
        <f>Manure!G12*Production!G16</f>
        <v>1.080483047975178E-3</v>
      </c>
      <c r="W34" s="4"/>
      <c r="X34" s="4"/>
      <c r="Z34" s="32"/>
      <c r="AA34" s="32"/>
    </row>
    <row r="35" spans="1:27" ht="15" customHeight="1" thickBot="1" x14ac:dyDescent="0.4">
      <c r="A35" s="12" t="s">
        <v>128</v>
      </c>
      <c r="B35" s="12" t="s">
        <v>129</v>
      </c>
      <c r="C35" s="16"/>
      <c r="D35" s="17" t="s">
        <v>135</v>
      </c>
      <c r="E35" s="17" t="s">
        <v>88</v>
      </c>
      <c r="F35" s="34" t="s">
        <v>133</v>
      </c>
      <c r="G35" s="19">
        <f>SUM(H35:T35)+SUM(W35:X35)</f>
        <v>1.0754642017975866E-3</v>
      </c>
      <c r="H35" s="33">
        <f>'N2O per kg feed'!G77*FCR_bonefree_incl_parents_IE-Excreted_N_after_losses_IE*Manure_repl_factor_IE*EF_min_fert_N2O_IE</f>
        <v>7.9198955790021953E-5</v>
      </c>
      <c r="I35" s="32">
        <f>'N2O per kg feed'!H77*FCR_bonefree_incl_parents_IE</f>
        <v>2.3974375116461912E-6</v>
      </c>
      <c r="J35" s="32">
        <f>'N2O per kg feed'!I77*FCR_bonefree_incl_parents_IE-Excreted_N_after_losses_IE*Manure_repl_factor_IE*EF_N2O_diff_IE</f>
        <v>8.8860022740201142E-4</v>
      </c>
      <c r="K35" s="32">
        <f>J35*EF_indirect_N2O_IE</f>
        <v>8.8860022740201147E-5</v>
      </c>
      <c r="L35" s="32">
        <f>'N2O per kg feed'!K77*FCR_bonefree_incl_parents_IE</f>
        <v>1.9791357909121357E-6</v>
      </c>
      <c r="M35" s="32"/>
      <c r="N35" s="32">
        <f>'N2O per kg feed'!M77*FCR_bonefree_incl_parents_IE</f>
        <v>4.0321877988995695E-8</v>
      </c>
      <c r="O35" s="32">
        <f>'N2O per kg feed'!N77*FCR_bonefree_incl_parents_IE</f>
        <v>3.2604965641994659E-6</v>
      </c>
      <c r="P35" s="32">
        <f>'N2O per kg feed'!O77*FCR_bonefree_incl_parents_IE</f>
        <v>0</v>
      </c>
      <c r="Q35" s="32">
        <f>'N2O per kg feed'!P77*FCR_bonefree_incl_parents_IE</f>
        <v>1.5574077867320791E-6</v>
      </c>
      <c r="R35" s="32">
        <f>'N2O per kg feed'!Q77*FCR_bonefree_incl_parents_IE</f>
        <v>5.7809058015625995E-7</v>
      </c>
      <c r="S35" s="4"/>
      <c r="T35" s="47">
        <f>SUM(U35:V35)</f>
        <v>1.9431440063792775E-6</v>
      </c>
      <c r="U35" s="186">
        <f>Manure!G68*44/28</f>
        <v>5.0710671051635009E-7</v>
      </c>
      <c r="V35" s="186">
        <f>NH3_per_kg_IE*17/14*Manure!G97</f>
        <v>1.4360372958629273E-6</v>
      </c>
      <c r="W35" s="4">
        <f>Energy_stables_IE*(Share_heating_IE*(Share_biofuels_IE*EF_biofuel_N2O+(1-Share_biofuels_IE)*EF_oil_N2O)+(1-Share_heating_IE)*EF_el_N2O_IE)</f>
        <v>1.439603085E-6</v>
      </c>
      <c r="X35" s="4">
        <f>(Energy_slaughter_el_IE*EF_el_N2O_IE+Energy_slaughter_heat_IE*EF_gas_N2O)/'Parameters, country spec'!G$10</f>
        <v>5.6093586623376623E-6</v>
      </c>
      <c r="Z35" s="32"/>
      <c r="AA35" s="32"/>
    </row>
    <row r="36" spans="1:27" ht="15.5" customHeight="1" thickTop="1" thickBot="1" x14ac:dyDescent="0.4">
      <c r="A36" s="125" t="s">
        <v>128</v>
      </c>
      <c r="B36" s="125" t="s">
        <v>129</v>
      </c>
      <c r="C36" s="126"/>
      <c r="D36" s="37" t="s">
        <v>135</v>
      </c>
      <c r="E36" s="37" t="s">
        <v>88</v>
      </c>
      <c r="F36" s="128" t="s">
        <v>134</v>
      </c>
      <c r="G36" s="132">
        <f>SUM(H36:X36)</f>
        <v>0.92191889619568013</v>
      </c>
      <c r="H36" s="129">
        <f>SUMPRODUCT(H32:H35,'Parameters, general'!$B$14:$B$17)</f>
        <v>0.12039666647563808</v>
      </c>
      <c r="I36" s="129">
        <f>SUMPRODUCT(I32:I35,'Parameters, general'!$B$14:$B$17)</f>
        <v>6.5670826267877166E-2</v>
      </c>
      <c r="J36" s="129">
        <f>SUMPRODUCT(J32:J35,'Parameters, general'!$B$14:$B$17)</f>
        <v>0.24258786208074912</v>
      </c>
      <c r="K36" s="129">
        <f>SUMPRODUCT(K32:K35,'Parameters, general'!$B$14:$B$17)</f>
        <v>2.4258786208074912E-2</v>
      </c>
      <c r="L36" s="129">
        <f>SUMPRODUCT(L32:L35,'Parameters, general'!$B$14:$B$17)</f>
        <v>7.5167474501395035E-2</v>
      </c>
      <c r="M36" s="129">
        <f>SUMPRODUCT(M32:M35,'Parameters, general'!$B$14:$B$17)</f>
        <v>0</v>
      </c>
      <c r="N36" s="129">
        <f>SUMPRODUCT(N32:N35,'Parameters, general'!$B$14:$B$17)</f>
        <v>1.0377563432709107E-3</v>
      </c>
      <c r="O36" s="129">
        <f>SUMPRODUCT(O32:O35,'Parameters, general'!$B$14:$B$17)</f>
        <v>9.2436647819109374E-2</v>
      </c>
      <c r="P36" s="129">
        <f>SUMPRODUCT(P32:P35,'Parameters, general'!$B$14:$B$17)</f>
        <v>1.6189852056718787E-2</v>
      </c>
      <c r="Q36" s="129">
        <f>SUMPRODUCT(Q32:Q35,'Parameters, general'!$B$14:$B$17)</f>
        <v>2.5263288809447199E-2</v>
      </c>
      <c r="R36" s="129">
        <f>SUMPRODUCT(R32:R35,'Parameters, general'!$B$14:$B$17)</f>
        <v>1.6006185691050286E-2</v>
      </c>
      <c r="S36" s="129"/>
      <c r="T36" s="129">
        <f>SUMPRODUCT(T32:T35,'Parameters, general'!$B$14:$B$17)</f>
        <v>2.970352060907135E-2</v>
      </c>
      <c r="U36" s="130"/>
      <c r="V36" s="130"/>
      <c r="W36" s="129">
        <f>SUMPRODUCT(W32:W35,'Parameters, general'!$B$14:$B$17)</f>
        <v>4.0838708515026745E-2</v>
      </c>
      <c r="X36" s="129">
        <f>SUMPRODUCT(X32:X35,'Parameters, general'!$B$14:$B$17)</f>
        <v>0.17236132081825128</v>
      </c>
      <c r="Z36" s="108">
        <f>SUM(H36:R36)</f>
        <v>0.67901534625333071</v>
      </c>
      <c r="AA36" s="146">
        <f>'CO2 per kg feed'!F77+'CH4 per kg feed'!F77*CF_GWP_CH4_fossil+'N2O per kg feed'!F77*CF_GWP_N2O</f>
        <v>0.27987242667230944</v>
      </c>
    </row>
    <row r="37" spans="1:27" ht="15" customHeight="1" thickTop="1" x14ac:dyDescent="0.35">
      <c r="A37" s="260" t="s">
        <v>128</v>
      </c>
      <c r="B37" s="260" t="s">
        <v>129</v>
      </c>
      <c r="C37" s="261"/>
      <c r="D37" s="262" t="s">
        <v>39</v>
      </c>
      <c r="E37" s="262" t="s">
        <v>89</v>
      </c>
      <c r="F37" s="263" t="s">
        <v>130</v>
      </c>
      <c r="G37" s="19">
        <f>SUM(H37:X37)</f>
        <v>0.75633565964517846</v>
      </c>
      <c r="H37" s="264">
        <f>'CO2 per kg feed'!G89*FCR_bonefree_incl_parents_IT-Excreted_N_after_losses_IT*Manure_repl_factor_IT*EF_min_fert_CO2_IT</f>
        <v>0.12700223058903518</v>
      </c>
      <c r="I37" s="264">
        <f>'CO2 per kg feed'!H89*FCR_bonefree_incl_parents_IT</f>
        <v>5.8950525222181256E-2</v>
      </c>
      <c r="J37" s="264">
        <f>'CO2 per kg feed'!I89*FCR_bonefree_incl_parents_IT</f>
        <v>0</v>
      </c>
      <c r="K37" s="264"/>
      <c r="L37" s="264">
        <f>'CO2 per kg feed'!K89*FCR_bonefree_incl_parents_IT</f>
        <v>6.4010716649375077E-2</v>
      </c>
      <c r="M37" s="264"/>
      <c r="N37" s="264">
        <f>'CO2 per kg feed'!M89*FCR_bonefree_incl_parents_IT</f>
        <v>4.1265247503196028E-3</v>
      </c>
      <c r="O37" s="264">
        <f>'CO2 per kg feed'!N89*FCR_bonefree_incl_parents_IT</f>
        <v>8.8687692226326151E-2</v>
      </c>
      <c r="P37" s="264">
        <f>'CO2 per kg feed'!O89*FCR_bonefree_incl_parents_IT</f>
        <v>6.7969851197177883E-2</v>
      </c>
      <c r="Q37" s="264">
        <f>'CO2 per kg feed'!P89*FCR_bonefree_incl_parents_IT</f>
        <v>9.5183554652891619E-2</v>
      </c>
      <c r="R37" s="264">
        <f>'CO2 per kg feed'!Q89*FCR_bonefree_incl_parents_IT</f>
        <v>5.6457233686155628E-2</v>
      </c>
      <c r="S37" s="265"/>
      <c r="T37" s="266"/>
      <c r="U37" s="267"/>
      <c r="V37" s="267"/>
      <c r="W37" s="265">
        <f>Energy_stables_IT*(Share_heating_IT*(Share_biofuels_IT*EF_biofuels_CO2+(1-Share_biofuels_IT)*EF_oil_CO2)+(1-Share_heating_IT)*EF_el_CO2_IT)</f>
        <v>3.7797633435820002E-2</v>
      </c>
      <c r="X37" s="265">
        <f>(Energy_slaughter_el_IT*EF_el_CO2_IT+Energy_slaughter_heat_IT*EF_gas_CO2)/'Parameters, country spec'!H$10</f>
        <v>0.15614969723589611</v>
      </c>
      <c r="Z37" s="19"/>
      <c r="AA37" s="19"/>
    </row>
    <row r="38" spans="1:27" x14ac:dyDescent="0.35">
      <c r="A38" s="12" t="s">
        <v>128</v>
      </c>
      <c r="B38" s="12" t="s">
        <v>129</v>
      </c>
      <c r="C38" s="16"/>
      <c r="D38" s="17" t="s">
        <v>39</v>
      </c>
      <c r="E38" s="17" t="s">
        <v>89</v>
      </c>
      <c r="F38" s="12" t="s">
        <v>131</v>
      </c>
      <c r="G38" s="19">
        <f>SUM(H38:X38)</f>
        <v>1.6813686322106466E-3</v>
      </c>
      <c r="H38" s="33">
        <f>'CH4 per kg feed'!G89*FCR_bonefree_incl_parents_IT-Excreted_N_after_losses_IT*Manure_repl_factor_IT*EF_min_fert_CH4_IT</f>
        <v>7.5830470047015177E-6</v>
      </c>
      <c r="I38" s="33">
        <f>'CH4 per kg feed'!H89*FCR_bonefree_incl_parents_IT</f>
        <v>2.0741851467063783E-4</v>
      </c>
      <c r="J38" s="33"/>
      <c r="K38" s="33"/>
      <c r="L38" s="33">
        <f>'CH4 per kg feed'!K89*FCR_bonefree_incl_parents_IT</f>
        <v>2.8354589053193931E-5</v>
      </c>
      <c r="M38" s="33"/>
      <c r="N38" s="33">
        <f>'CH4 per kg feed'!M89*FCR_bonefree_incl_parents_IT</f>
        <v>1.220809753585592E-5</v>
      </c>
      <c r="O38" s="33">
        <f>'CH4 per kg feed'!N89*FCR_bonefree_incl_parents_IT</f>
        <v>9.6405477931048615E-5</v>
      </c>
      <c r="P38" s="33">
        <f>'CH4 per kg feed'!O89*FCR_bonefree_incl_parents_IT</f>
        <v>0</v>
      </c>
      <c r="Q38" s="33">
        <f>'CH4 per kg feed'!P89*FCR_bonefree_incl_parents_IT</f>
        <v>4.0504130086208348E-4</v>
      </c>
      <c r="R38" s="33">
        <f>'CH4 per kg feed'!Q89*FCR_bonefree_incl_parents_IT</f>
        <v>7.1432776698761028E-5</v>
      </c>
      <c r="S38" s="4"/>
      <c r="W38" s="4">
        <f>Energy_stables_IT*(Share_heating_IT*(Share_biofuels_IT*EF_biofuel_CH4+(1-Share_biofuels_IT)*EF_oil_CH4)+(1-Share_heating_IT)*EF_el_CH4_IT)</f>
        <v>1.6431484401078001E-4</v>
      </c>
      <c r="X38" s="4">
        <f>(Energy_slaughter_el_IT*EF_el_CH4_IT+Energy_slaughter_heat_IT*EF_gas_CH4)/'Parameters, country spec'!H$10</f>
        <v>6.8860998444358434E-4</v>
      </c>
      <c r="Z38" s="32"/>
      <c r="AA38" s="32"/>
    </row>
    <row r="39" spans="1:27" x14ac:dyDescent="0.35">
      <c r="A39" s="12" t="s">
        <v>128</v>
      </c>
      <c r="B39" s="12" t="s">
        <v>129</v>
      </c>
      <c r="C39" s="16"/>
      <c r="D39" s="17" t="s">
        <v>39</v>
      </c>
      <c r="E39" s="17" t="s">
        <v>89</v>
      </c>
      <c r="F39" s="12" t="s">
        <v>132</v>
      </c>
      <c r="G39" s="19">
        <f>SUM(H39:T39)+SUM(W39:X39)</f>
        <v>1.7878153345280605E-3</v>
      </c>
      <c r="H39" s="33"/>
      <c r="I39" s="33"/>
      <c r="J39" s="33"/>
      <c r="K39" s="33"/>
      <c r="L39" s="33"/>
      <c r="M39" s="33"/>
      <c r="N39" s="33"/>
      <c r="O39" s="33"/>
      <c r="P39" s="33"/>
      <c r="Q39" s="33"/>
      <c r="R39" s="33"/>
      <c r="S39" s="4"/>
      <c r="T39" s="47">
        <f>SUM(U39:V39)</f>
        <v>1.7878153345280605E-3</v>
      </c>
      <c r="U39" s="62">
        <f>Manure!H12*Production!H16</f>
        <v>1.7878153345280605E-3</v>
      </c>
      <c r="W39" s="4"/>
      <c r="X39" s="4"/>
      <c r="Z39" s="32"/>
      <c r="AA39" s="32"/>
    </row>
    <row r="40" spans="1:27" ht="15" customHeight="1" thickBot="1" x14ac:dyDescent="0.4">
      <c r="A40" s="12" t="s">
        <v>128</v>
      </c>
      <c r="B40" s="12" t="s">
        <v>129</v>
      </c>
      <c r="C40" s="16"/>
      <c r="D40" s="17" t="s">
        <v>39</v>
      </c>
      <c r="E40" s="17" t="s">
        <v>89</v>
      </c>
      <c r="F40" s="34" t="s">
        <v>133</v>
      </c>
      <c r="G40" s="19">
        <f>SUM(H40:T40)+SUM(W40:X40)</f>
        <v>1.2440285557548704E-3</v>
      </c>
      <c r="H40" s="33">
        <f>'N2O per kg feed'!G89*FCR_bonefree_incl_parents_IT-Excreted_N_after_losses_IT*Manure_repl_factor_IT*EF_min_fert_N2O_IT</f>
        <v>1.3850429015047833E-5</v>
      </c>
      <c r="I40" s="32">
        <f>'N2O per kg feed'!H89*FCR_bonefree_incl_parents_IT</f>
        <v>2.4016880646073854E-6</v>
      </c>
      <c r="J40" s="32">
        <f>'N2O per kg feed'!I89*FCR_bonefree_incl_parents_IT-Excreted_N_after_losses_IT*Manure_repl_factor_IT*EF_N2O_diff_IT</f>
        <v>1.0947304243676449E-3</v>
      </c>
      <c r="K40" s="32">
        <f>J40*EF_indirect_N2O_IT</f>
        <v>1.094730424367645E-4</v>
      </c>
      <c r="L40" s="32">
        <f>'N2O per kg feed'!K89*FCR_bonefree_incl_parents_IT</f>
        <v>1.7199929131286231E-6</v>
      </c>
      <c r="M40" s="32"/>
      <c r="N40" s="32">
        <f>'N2O per kg feed'!M89*FCR_bonefree_incl_parents_IT</f>
        <v>1.7730402131180861E-7</v>
      </c>
      <c r="O40" s="32">
        <f>'N2O per kg feed'!N89*FCR_bonefree_incl_parents_IT</f>
        <v>3.2714350302958156E-6</v>
      </c>
      <c r="P40" s="32">
        <f>'N2O per kg feed'!O89*FCR_bonefree_incl_parents_IT</f>
        <v>0</v>
      </c>
      <c r="Q40" s="32">
        <f>'N2O per kg feed'!P89*FCR_bonefree_incl_parents_IT</f>
        <v>6.4710743753129783E-6</v>
      </c>
      <c r="R40" s="32">
        <f>'N2O per kg feed'!Q89*FCR_bonefree_incl_parents_IT</f>
        <v>2.2134854524430256E-6</v>
      </c>
      <c r="S40" s="4"/>
      <c r="T40" s="47">
        <f>SUM(U40:V40)</f>
        <v>1.9324001027289668E-6</v>
      </c>
      <c r="U40" s="186">
        <f>Manure!H68*44/28</f>
        <v>5.0719781525168293E-7</v>
      </c>
      <c r="V40" s="186">
        <f>NH3_per_kg_IT*17/14*Manure!H97</f>
        <v>1.4252022874772837E-6</v>
      </c>
      <c r="W40" s="4">
        <f>Energy_stables_IT*(Share_heating_IT*(Share_biofuels_IT*EF_biofuel_N2O+(1-Share_biofuels_IT)*EF_oil_N2O)+(1-Share_heating_IT)*EF_el_N2O_IT)</f>
        <v>1.64483956E-6</v>
      </c>
      <c r="X40" s="4">
        <f>(Energy_slaughter_el_IT*EF_el_N2O_IT+Energy_slaughter_heat_IT*EF_gas_N2O)/'Parameters, country spec'!H$10</f>
        <v>6.1424404155844159E-6</v>
      </c>
      <c r="Z40" s="32"/>
      <c r="AA40" s="32"/>
    </row>
    <row r="41" spans="1:27" ht="15.5" customHeight="1" thickTop="1" thickBot="1" x14ac:dyDescent="0.4">
      <c r="A41" s="125" t="s">
        <v>128</v>
      </c>
      <c r="B41" s="125" t="s">
        <v>129</v>
      </c>
      <c r="C41" s="126"/>
      <c r="D41" s="127" t="s">
        <v>39</v>
      </c>
      <c r="E41" s="127" t="s">
        <v>89</v>
      </c>
      <c r="F41" s="128" t="s">
        <v>134</v>
      </c>
      <c r="G41" s="132">
        <f>SUM(H41:X41)</f>
        <v>1.1943312546383931</v>
      </c>
      <c r="H41" s="129">
        <f>SUMPRODUCT(H37:H40,'Parameters, general'!$B$14:$B$17)</f>
        <v>0.13100937251088335</v>
      </c>
      <c r="I41" s="129">
        <f>SUMPRODUCT(I37:I40,'Parameters, general'!$B$14:$B$17)</f>
        <v>6.5787257801004084E-2</v>
      </c>
      <c r="J41" s="129">
        <f>SUMPRODUCT(J37:J40,'Parameters, general'!$B$14:$B$17)</f>
        <v>0.29886140585236703</v>
      </c>
      <c r="K41" s="129">
        <f>SUMPRODUCT(K37:K40,'Parameters, general'!$B$14:$B$17)</f>
        <v>2.9886140585236708E-2</v>
      </c>
      <c r="L41" s="129">
        <f>SUMPRODUCT(L37:L40,'Parameters, general'!$B$14:$B$17)</f>
        <v>6.5325241468444373E-2</v>
      </c>
      <c r="M41" s="129">
        <f>SUMPRODUCT(M37:M40,'Parameters, general'!$B$14:$B$17)</f>
        <v>0</v>
      </c>
      <c r="N41" s="129">
        <f>SUMPRODUCT(N37:N40,'Parameters, general'!$B$14:$B$17)</f>
        <v>4.538730054706233E-3</v>
      </c>
      <c r="O41" s="129">
        <f>SUMPRODUCT(O37:O40,'Parameters, general'!$B$14:$B$17)</f>
        <v>9.2453677231942158E-2</v>
      </c>
      <c r="P41" s="129">
        <f>SUMPRODUCT(P37:P40,'Parameters, general'!$B$14:$B$17)</f>
        <v>6.7969851197177883E-2</v>
      </c>
      <c r="Q41" s="129">
        <f>SUMPRODUCT(Q37:Q40,'Parameters, general'!$B$14:$B$17)</f>
        <v>0.10902038872304216</v>
      </c>
      <c r="R41" s="129">
        <f>SUMPRODUCT(R37:R40,'Parameters, general'!$B$14:$B$17)</f>
        <v>5.9190211960295648E-2</v>
      </c>
      <c r="S41" s="129"/>
      <c r="T41" s="129">
        <f>SUMPRODUCT(T37:T40,'Parameters, general'!$B$14:$B$17)</f>
        <v>4.8798559260302646E-2</v>
      </c>
      <c r="U41" s="130"/>
      <c r="V41" s="130"/>
      <c r="W41" s="129">
        <f>SUMPRODUCT(W37:W40,'Parameters, general'!$B$14:$B$17)</f>
        <v>4.3143256987221247E-2</v>
      </c>
      <c r="X41" s="129">
        <f>SUMPRODUCT(X37:X40,'Parameters, general'!$B$14:$B$17)</f>
        <v>0.17834716100576947</v>
      </c>
      <c r="Z41" s="108">
        <f>SUM(H41:R41)</f>
        <v>0.9240422773850997</v>
      </c>
      <c r="AA41" s="146">
        <f>'CO2 per kg feed'!F89+'CH4 per kg feed'!F89*CF_GWP_CH4_fossil+'N2O per kg feed'!F89*CF_GWP_N2O</f>
        <v>0.38067544624296956</v>
      </c>
    </row>
    <row r="42" spans="1:27" ht="15" customHeight="1" thickTop="1" x14ac:dyDescent="0.35">
      <c r="A42" s="260" t="s">
        <v>128</v>
      </c>
      <c r="B42" s="260" t="s">
        <v>129</v>
      </c>
      <c r="C42" s="261"/>
      <c r="D42" t="s">
        <v>136</v>
      </c>
      <c r="E42" s="17" t="s">
        <v>90</v>
      </c>
      <c r="F42" s="263" t="s">
        <v>130</v>
      </c>
      <c r="G42" s="19">
        <f>SUM(H42:X42)</f>
        <v>0.70349585992947883</v>
      </c>
      <c r="H42" s="264">
        <f>'CO2 per kg feed'!G101*FCR_bonefree_incl_parents_NL-Excreted_N_after_losses_NL*Manure_repl_factor_NL*EF_min_fert_CO2_NL</f>
        <v>0.1220775352958976</v>
      </c>
      <c r="I42" s="264">
        <f>'CO2 per kg feed'!H101*FCR_bonefree_incl_parents_NL</f>
        <v>6.1597198154215632E-2</v>
      </c>
      <c r="J42" s="264">
        <f>'CO2 per kg feed'!I101*FCR_bonefree_incl_parents_NL</f>
        <v>0</v>
      </c>
      <c r="K42" s="264"/>
      <c r="L42" s="264">
        <f>'CO2 per kg feed'!K101*FCR_bonefree_incl_parents_NL</f>
        <v>6.3004773423731522E-2</v>
      </c>
      <c r="M42" s="264"/>
      <c r="N42" s="264">
        <f>'CO2 per kg feed'!M101*FCR_bonefree_incl_parents_NL</f>
        <v>8.449808932528564E-4</v>
      </c>
      <c r="O42" s="264">
        <f>'CO2 per kg feed'!N101*FCR_bonefree_incl_parents_NL</f>
        <v>9.9640571301414932E-2</v>
      </c>
      <c r="P42" s="264">
        <f>'CO2 per kg feed'!O101*FCR_bonefree_incl_parents_NL</f>
        <v>5.2232875382168927E-2</v>
      </c>
      <c r="Q42" s="264">
        <f>'CO2 per kg feed'!P101*FCR_bonefree_incl_parents_NL</f>
        <v>1.7892218800973116E-2</v>
      </c>
      <c r="R42" s="264">
        <f>'CO2 per kg feed'!Q101*FCR_bonefree_incl_parents_NL</f>
        <v>4.9537220418658219E-2</v>
      </c>
      <c r="S42" s="265"/>
      <c r="T42" s="266"/>
      <c r="U42" s="267"/>
      <c r="V42" s="267"/>
      <c r="W42" s="265">
        <f>Energy_stables_NL*(Share_heating_NL*(Share_biofuels_NL*EF_biofuels_CO2+(1-Share_biofuels_NL)*EF_oil_CO2)+(1-Share_heating_NL)*EF_el_CO2_NL)</f>
        <v>4.9673189321139989E-2</v>
      </c>
      <c r="X42" s="265">
        <f>(Energy_slaughter_el_NL*EF_el_CO2_NL+Energy_slaughter_heat_NL*EF_gas_CO2)/'Parameters, country spec'!I$10</f>
        <v>0.18699529693802594</v>
      </c>
      <c r="Z42" s="19"/>
      <c r="AA42" s="19"/>
    </row>
    <row r="43" spans="1:27" x14ac:dyDescent="0.35">
      <c r="A43" s="12" t="s">
        <v>128</v>
      </c>
      <c r="B43" s="12" t="s">
        <v>129</v>
      </c>
      <c r="C43" s="16"/>
      <c r="D43" t="s">
        <v>136</v>
      </c>
      <c r="E43" s="17" t="s">
        <v>90</v>
      </c>
      <c r="F43" s="12" t="s">
        <v>131</v>
      </c>
      <c r="G43" s="19">
        <f>SUM(H43:X43)</f>
        <v>1.0587777096407662E-3</v>
      </c>
      <c r="H43" s="33">
        <f>'CH4 per kg feed'!G101*FCR_bonefree_incl_parents_NL-Excreted_N_after_losses_NL*Manure_repl_factor_NL*EF_min_fert_CH4_NL</f>
        <v>3.1557360777680242E-5</v>
      </c>
      <c r="I43" s="33">
        <f>'CH4 per kg feed'!H101*FCR_bonefree_incl_parents_NL</f>
        <v>2.1673088239446242E-4</v>
      </c>
      <c r="J43" s="33"/>
      <c r="K43" s="33"/>
      <c r="L43" s="33">
        <f>'CH4 per kg feed'!K101*FCR_bonefree_incl_parents_NL</f>
        <v>2.790899012434262E-5</v>
      </c>
      <c r="M43" s="33"/>
      <c r="N43" s="33">
        <f>'CH4 per kg feed'!M101*FCR_bonefree_incl_parents_NL</f>
        <v>2.523391593638533E-6</v>
      </c>
      <c r="O43" s="33">
        <f>'CH4 per kg feed'!N101*FCR_bonefree_incl_parents_NL</f>
        <v>7.347336679370582E-5</v>
      </c>
      <c r="P43" s="33">
        <f>'CH4 per kg feed'!O101*FCR_bonefree_incl_parents_NL</f>
        <v>0</v>
      </c>
      <c r="Q43" s="33">
        <f>'CH4 per kg feed'!P101*FCR_bonefree_incl_parents_NL</f>
        <v>4.4952326076158329E-5</v>
      </c>
      <c r="R43" s="33">
        <f>'CH4 per kg feed'!Q101*FCR_bonefree_incl_parents_NL</f>
        <v>4.6018574328881584E-5</v>
      </c>
      <c r="S43" s="4"/>
      <c r="W43" s="4">
        <f>Energy_stables_NL*(Share_heating_NL*(Share_biofuels_NL*EF_biofuel_CH4+(1-Share_biofuels_NL)*EF_oil_CH4)+(1-Share_heating_NL)*EF_el_CH4_NL)</f>
        <v>9.8347245312260006E-5</v>
      </c>
      <c r="X43" s="4">
        <f>(Energy_slaughter_el_NL*EF_el_CH4_NL+Energy_slaughter_heat_NL*EF_gas_CH4)/'Parameters, country spec'!I$10</f>
        <v>5.1726557223963647E-4</v>
      </c>
      <c r="Z43" s="32"/>
      <c r="AA43" s="32"/>
    </row>
    <row r="44" spans="1:27" x14ac:dyDescent="0.35">
      <c r="A44" s="12" t="s">
        <v>128</v>
      </c>
      <c r="B44" s="12" t="s">
        <v>129</v>
      </c>
      <c r="C44" s="16"/>
      <c r="D44" t="s">
        <v>136</v>
      </c>
      <c r="E44" s="17" t="s">
        <v>90</v>
      </c>
      <c r="F44" s="12" t="s">
        <v>132</v>
      </c>
      <c r="G44" s="19">
        <f>SUM(H44:T44)+SUM(W44:X44)</f>
        <v>1.8438079300369756E-3</v>
      </c>
      <c r="H44" s="33"/>
      <c r="I44" s="33"/>
      <c r="J44" s="33"/>
      <c r="K44" s="33"/>
      <c r="L44" s="33"/>
      <c r="M44" s="33"/>
      <c r="N44" s="33"/>
      <c r="O44" s="33"/>
      <c r="P44" s="33"/>
      <c r="Q44" s="33"/>
      <c r="R44" s="33"/>
      <c r="S44" s="4"/>
      <c r="T44" s="47">
        <f>SUM(U44:V44)</f>
        <v>1.8438079300369756E-3</v>
      </c>
      <c r="U44" s="62">
        <f>Manure!I12*Production!I16</f>
        <v>1.8438079300369756E-3</v>
      </c>
      <c r="W44" s="4"/>
      <c r="X44" s="4"/>
      <c r="Z44" s="32"/>
      <c r="AA44" s="32"/>
    </row>
    <row r="45" spans="1:27" ht="15" customHeight="1" thickBot="1" x14ac:dyDescent="0.4">
      <c r="A45" s="12" t="s">
        <v>128</v>
      </c>
      <c r="B45" s="12" t="s">
        <v>129</v>
      </c>
      <c r="C45" s="16"/>
      <c r="D45" t="s">
        <v>136</v>
      </c>
      <c r="E45" s="17" t="s">
        <v>90</v>
      </c>
      <c r="F45" s="34" t="s">
        <v>133</v>
      </c>
      <c r="G45" s="19">
        <f>SUM(H45:T45)+SUM(W45:X45)</f>
        <v>1.3146190176003285E-3</v>
      </c>
      <c r="H45" s="33">
        <f>'N2O per kg feed'!G101*FCR_bonefree_incl_parents_NL-Excreted_N_after_losses_NL*Manure_repl_factor_NL*EF_min_fert_N2O_NL</f>
        <v>7.5880866032881285E-5</v>
      </c>
      <c r="I45" s="32">
        <f>'N2O per kg feed'!H101*FCR_bonefree_incl_parents_NL</f>
        <v>2.5095154803569339E-6</v>
      </c>
      <c r="J45" s="32">
        <f>'N2O per kg feed'!I101*FCR_bonefree_incl_parents_NL-Excreted_N_after_losses_NL*Manure_repl_factor_NL*EF_N2O_diff_NL</f>
        <v>1.1039719673333265E-3</v>
      </c>
      <c r="K45" s="32">
        <f>J45*EF_indirect_N2O_NL</f>
        <v>1.1039719673333266E-4</v>
      </c>
      <c r="L45" s="32">
        <f>'N2O per kg feed'!K101*FCR_bonefree_incl_parents_NL</f>
        <v>1.6929628264543247E-6</v>
      </c>
      <c r="M45" s="32"/>
      <c r="N45" s="32">
        <f>'N2O per kg feed'!M101*FCR_bonefree_incl_parents_NL</f>
        <v>3.6195923082233175E-8</v>
      </c>
      <c r="O45" s="32">
        <f>'N2O per kg feed'!N101*FCR_bonefree_incl_parents_NL</f>
        <v>3.6308997756368595E-6</v>
      </c>
      <c r="P45" s="32">
        <f>'N2O per kg feed'!O101*FCR_bonefree_incl_parents_NL</f>
        <v>0</v>
      </c>
      <c r="Q45" s="32">
        <f>'N2O per kg feed'!P101*FCR_bonefree_incl_parents_NL</f>
        <v>3.1284150313070325E-6</v>
      </c>
      <c r="R45" s="32">
        <f>'N2O per kg feed'!Q101*FCR_bonefree_incl_parents_NL</f>
        <v>1.7399316656650098E-6</v>
      </c>
      <c r="S45" s="4"/>
      <c r="T45" s="47">
        <f>SUM(U45:V45)</f>
        <v>2.5868412426363316E-6</v>
      </c>
      <c r="U45" s="186">
        <f>Manure!I68*44/28</f>
        <v>6.7509384218294017E-7</v>
      </c>
      <c r="V45" s="186">
        <f>NH3_per_kg_NL*17/14*Manure!I97</f>
        <v>1.9117474004533916E-6</v>
      </c>
      <c r="W45" s="4">
        <f>Energy_stables_NL*(Share_heating_NL*(Share_biofuels_NL*EF_biofuel_N2O+(1-Share_biofuels_NL)*EF_oil_N2O)+(1-Share_heating_NL)*EF_el_N2O_NL)</f>
        <v>1.9942432050000002E-6</v>
      </c>
      <c r="X45" s="4">
        <f>(Energy_slaughter_el_NL*EF_el_N2O_NL+Energy_slaughter_heat_NL*EF_gas_N2O)/'Parameters, country spec'!I$10</f>
        <v>7.0499823506493507E-6</v>
      </c>
      <c r="Z45" s="32"/>
      <c r="AA45" s="32"/>
    </row>
    <row r="46" spans="1:27" ht="15.5" customHeight="1" thickTop="1" thickBot="1" x14ac:dyDescent="0.4">
      <c r="A46" s="125" t="s">
        <v>128</v>
      </c>
      <c r="B46" s="125" t="s">
        <v>129</v>
      </c>
      <c r="C46" s="126"/>
      <c r="D46" s="147" t="s">
        <v>136</v>
      </c>
      <c r="E46" s="127" t="s">
        <v>90</v>
      </c>
      <c r="F46" s="128" t="s">
        <v>134</v>
      </c>
      <c r="G46" s="132">
        <f>SUM(H46:X46)</f>
        <v>1.1437212415926616</v>
      </c>
      <c r="H46" s="129">
        <f>SUMPRODUCT(H42:H45,'Parameters, general'!$B$14:$B$17)</f>
        <v>0.14373342107404907</v>
      </c>
      <c r="I46" s="129">
        <f>SUMPRODUCT(I42:I45,'Parameters, general'!$B$14:$B$17)</f>
        <v>6.8740876175708052E-2</v>
      </c>
      <c r="J46" s="129">
        <f>SUMPRODUCT(J42:J45,'Parameters, general'!$B$14:$B$17)</f>
        <v>0.30138434708199813</v>
      </c>
      <c r="K46" s="129">
        <f>SUMPRODUCT(K42:K45,'Parameters, general'!$B$14:$B$17)</f>
        <v>3.0138434708199817E-2</v>
      </c>
      <c r="L46" s="129">
        <f>SUMPRODUCT(L42:L45,'Parameters, general'!$B$14:$B$17)</f>
        <v>6.4298640181058964E-2</v>
      </c>
      <c r="M46" s="129">
        <f>SUMPRODUCT(M42:M45,'Parameters, general'!$B$14:$B$17)</f>
        <v>0</v>
      </c>
      <c r="N46" s="129">
        <f>SUMPRODUCT(N42:N45,'Parameters, general'!$B$14:$B$17)</f>
        <v>9.3005944974473441E-4</v>
      </c>
      <c r="O46" s="129">
        <f>SUMPRODUCT(O42:O45,'Parameters, general'!$B$14:$B$17)</f>
        <v>0.10282131327061624</v>
      </c>
      <c r="P46" s="129">
        <f>SUMPRODUCT(P42:P45,'Parameters, general'!$B$14:$B$17)</f>
        <v>5.2232875382168927E-2</v>
      </c>
      <c r="Q46" s="129">
        <f>SUMPRODUCT(Q42:Q45,'Parameters, general'!$B$14:$B$17)</f>
        <v>2.0085855421589454E-2</v>
      </c>
      <c r="R46" s="129">
        <f>SUMPRODUCT(R42:R45,'Parameters, general'!$B$14:$B$17)</f>
        <v>5.138357527838544E-2</v>
      </c>
      <c r="S46" s="129"/>
      <c r="T46" s="129">
        <f>SUMPRODUCT(T42:T45,'Parameters, general'!$B$14:$B$17)</f>
        <v>5.0489021770238063E-2</v>
      </c>
      <c r="U46" s="130"/>
      <c r="V46" s="130"/>
      <c r="W46" s="129">
        <f>SUMPRODUCT(W42:W45,'Parameters, general'!$B$14:$B$17)</f>
        <v>5.3148365626410336E-2</v>
      </c>
      <c r="X46" s="129">
        <f>SUMPRODUCT(X42:X45,'Parameters, general'!$B$14:$B$17)</f>
        <v>0.20433445617249438</v>
      </c>
      <c r="Z46" s="108">
        <f>SUM(H46:R46)</f>
        <v>0.83574939802351877</v>
      </c>
      <c r="AA46" s="146">
        <f>'CO2 per kg feed'!F101+'CH4 per kg feed'!F101*CF_GWP_CH4_fossil+'N2O per kg feed'!F101*CF_GWP_N2O</f>
        <v>0.34436689616326699</v>
      </c>
    </row>
    <row r="47" spans="1:27" ht="15" customHeight="1" thickTop="1" x14ac:dyDescent="0.35">
      <c r="A47" s="260" t="s">
        <v>128</v>
      </c>
      <c r="B47" s="260" t="s">
        <v>129</v>
      </c>
      <c r="C47" s="261"/>
      <c r="D47" t="s">
        <v>30</v>
      </c>
      <c r="E47" s="17" t="s">
        <v>91</v>
      </c>
      <c r="F47" s="263" t="s">
        <v>130</v>
      </c>
      <c r="G47" s="19">
        <f>SUM(H47:X47)</f>
        <v>0.96791835495234624</v>
      </c>
      <c r="H47" s="264">
        <f>'CO2 per kg feed'!G113*FCR_bonefree_incl_parents_PL-Excreted_N_after_losses_PL*Manure_repl_factor_PL*EF_min_fert_CO2_PL</f>
        <v>0.17337141158361732</v>
      </c>
      <c r="I47" s="264">
        <f>'CO2 per kg feed'!H113*FCR_bonefree_incl_parents_PL</f>
        <v>6.4373414144174051E-2</v>
      </c>
      <c r="J47" s="264">
        <f>'CO2 per kg feed'!I113*FCR_bonefree_incl_parents_PL</f>
        <v>0</v>
      </c>
      <c r="K47" s="264"/>
      <c r="L47" s="264">
        <f>'CO2 per kg feed'!K113*FCR_bonefree_incl_parents_PL</f>
        <v>8.7614622124364203E-2</v>
      </c>
      <c r="M47" s="264"/>
      <c r="N47" s="264">
        <f>'CO2 per kg feed'!M113*FCR_bonefree_incl_parents_PL</f>
        <v>7.0220069372572006E-5</v>
      </c>
      <c r="O47" s="264">
        <f>'CO2 per kg feed'!N113*FCR_bonefree_incl_parents_PL</f>
        <v>0.12486110440771873</v>
      </c>
      <c r="P47" s="264">
        <f>'CO2 per kg feed'!O113*FCR_bonefree_incl_parents_PL</f>
        <v>6.559167107232898E-2</v>
      </c>
      <c r="Q47" s="264">
        <f>'CO2 per kg feed'!P113*FCR_bonefree_incl_parents_PL</f>
        <v>2.9404577727117902E-2</v>
      </c>
      <c r="R47" s="264">
        <f>'CO2 per kg feed'!Q113*FCR_bonefree_incl_parents_PL</f>
        <v>1.3748289941333588E-2</v>
      </c>
      <c r="S47" s="265"/>
      <c r="T47" s="266"/>
      <c r="U47" s="267"/>
      <c r="V47" s="267"/>
      <c r="W47" s="265">
        <f>Energy_stables_PL*(Share_heating_PL*(Share_biofuels_PL*EF_biofuels_CO2+(1-Share_biofuels_PL)*EF_oil_CO2)+(1-Share_heating_PL)*EF_el_CO2_PL)</f>
        <v>9.7545106061150008E-2</v>
      </c>
      <c r="X47" s="265">
        <f>(Energy_slaughter_el_PL*EF_el_CO2_PL+Energy_slaughter_heat_PL*EF_gas_CO2)/'Parameters, country spec'!J$10</f>
        <v>0.31133793782116886</v>
      </c>
      <c r="Z47" s="19"/>
      <c r="AA47" s="19"/>
    </row>
    <row r="48" spans="1:27" x14ac:dyDescent="0.35">
      <c r="A48" s="12" t="s">
        <v>128</v>
      </c>
      <c r="B48" s="12" t="s">
        <v>129</v>
      </c>
      <c r="C48" s="16"/>
      <c r="D48" t="s">
        <v>30</v>
      </c>
      <c r="E48" s="17" t="s">
        <v>91</v>
      </c>
      <c r="F48" s="12" t="s">
        <v>131</v>
      </c>
      <c r="G48" s="19">
        <f>SUM(H48:X48)</f>
        <v>1.4022256397127721E-3</v>
      </c>
      <c r="H48" s="33">
        <f>'CH4 per kg feed'!G113*FCR_bonefree_incl_parents_PL-Excreted_N_after_losses_PL*Manure_repl_factor_PL*EF_min_fert_CH4_PL</f>
        <v>3.8756221253755569E-6</v>
      </c>
      <c r="I48" s="33">
        <f>'CH4 per kg feed'!H113*FCR_bonefree_incl_parents_PL</f>
        <v>2.2649904976653837E-4</v>
      </c>
      <c r="J48" s="33"/>
      <c r="K48" s="33"/>
      <c r="L48" s="33">
        <f>'CH4 per kg feed'!K113*FCR_bonefree_incl_parents_PL</f>
        <v>3.8810323261885761E-5</v>
      </c>
      <c r="M48" s="33"/>
      <c r="N48" s="33">
        <f>'CH4 per kg feed'!M113*FCR_bonefree_incl_parents_PL</f>
        <v>2.125827628493372E-7</v>
      </c>
      <c r="O48" s="33">
        <f>'CH4 per kg feed'!N113*FCR_bonefree_incl_parents_PL</f>
        <v>1.1858587122448159E-4</v>
      </c>
      <c r="P48" s="33">
        <f>'CH4 per kg feed'!O113*FCR_bonefree_incl_parents_PL</f>
        <v>0</v>
      </c>
      <c r="Q48" s="33">
        <f>'CH4 per kg feed'!P113*FCR_bonefree_incl_parents_PL</f>
        <v>5.9659010264262509E-5</v>
      </c>
      <c r="R48" s="33">
        <f>'CH4 per kg feed'!Q113*FCR_bonefree_incl_parents_PL</f>
        <v>1.6668859827082486E-5</v>
      </c>
      <c r="S48" s="4"/>
      <c r="W48" s="4">
        <f>Energy_stables_PL*(Share_heating_PL*(Share_biofuels_PL*EF_biofuel_CH4+(1-Share_biofuels_PL)*EF_oil_CH4)+(1-Share_heating_PL)*EF_el_CH4_PL)</f>
        <v>1.87940081866364E-4</v>
      </c>
      <c r="X48" s="4">
        <f>(Energy_slaughter_el_PL*EF_el_CH4_PL+Energy_slaughter_heat_PL*EF_gas_CH4)/'Parameters, country spec'!J$10</f>
        <v>7.4997423861393247E-4</v>
      </c>
      <c r="Z48" s="32"/>
      <c r="AA48" s="32"/>
    </row>
    <row r="49" spans="1:27" x14ac:dyDescent="0.35">
      <c r="A49" s="12" t="s">
        <v>128</v>
      </c>
      <c r="B49" s="12" t="s">
        <v>129</v>
      </c>
      <c r="C49" s="16"/>
      <c r="D49" t="s">
        <v>30</v>
      </c>
      <c r="E49" s="17" t="s">
        <v>91</v>
      </c>
      <c r="F49" s="12" t="s">
        <v>132</v>
      </c>
      <c r="G49" s="19">
        <f>SUM(H49:T49)+SUM(W49:X49)</f>
        <v>1.9754369654128856E-3</v>
      </c>
      <c r="H49" s="33"/>
      <c r="I49" s="33"/>
      <c r="J49" s="33"/>
      <c r="K49" s="33"/>
      <c r="L49" s="33"/>
      <c r="M49" s="33"/>
      <c r="N49" s="33"/>
      <c r="O49" s="33"/>
      <c r="P49" s="33"/>
      <c r="Q49" s="33"/>
      <c r="R49" s="33"/>
      <c r="S49" s="4"/>
      <c r="T49" s="47">
        <f>SUM(U49:V49)</f>
        <v>1.9754369654128856E-3</v>
      </c>
      <c r="U49" s="62">
        <f>Manure!J12*Production!J16</f>
        <v>1.9754369654128856E-3</v>
      </c>
      <c r="W49" s="4"/>
      <c r="X49" s="4"/>
      <c r="Z49" s="32"/>
      <c r="AA49" s="32"/>
    </row>
    <row r="50" spans="1:27" ht="15" customHeight="1" thickBot="1" x14ac:dyDescent="0.4">
      <c r="A50" s="12" t="s">
        <v>128</v>
      </c>
      <c r="B50" s="12" t="s">
        <v>129</v>
      </c>
      <c r="C50" s="16"/>
      <c r="D50" t="s">
        <v>30</v>
      </c>
      <c r="E50" s="17" t="s">
        <v>91</v>
      </c>
      <c r="F50" s="34" t="s">
        <v>133</v>
      </c>
      <c r="G50" s="19">
        <f>SUM(H50:T50)+SUM(W50:X50)</f>
        <v>1.9029867183745584E-3</v>
      </c>
      <c r="H50" s="33">
        <f>'N2O per kg feed'!G113*FCR_bonefree_incl_parents_PL-Excreted_N_after_losses_PL*Manure_repl_factor_PL*EF_min_fert_N2O_PL</f>
        <v>7.2118992005734857E-5</v>
      </c>
      <c r="I50" s="32">
        <f>'N2O per kg feed'!H113*FCR_bonefree_incl_parents_PL</f>
        <v>2.6226205762441286E-6</v>
      </c>
      <c r="J50" s="32">
        <f>'N2O per kg feed'!I113*FCR_bonefree_incl_parents_PL-Excreted_N_after_losses_PL*Manure_repl_factor_PL*EF_N2O_diff_PL</f>
        <v>1.6448400133519012E-3</v>
      </c>
      <c r="K50" s="32">
        <f>J50*EF_indirect_N2O_PL</f>
        <v>1.6448400133519013E-4</v>
      </c>
      <c r="L50" s="32">
        <f>'N2O per kg feed'!K113*FCR_bonefree_incl_parents_PL</f>
        <v>2.3542390560287547E-6</v>
      </c>
      <c r="M50" s="32"/>
      <c r="N50" s="32">
        <f>'N2O per kg feed'!M113*FCR_bonefree_incl_parents_PL</f>
        <v>2.9944804212316062E-9</v>
      </c>
      <c r="O50" s="32">
        <f>'N2O per kg feed'!N113*FCR_bonefree_incl_parents_PL</f>
        <v>3.632845490116314E-6</v>
      </c>
      <c r="P50" s="32">
        <f>'N2O per kg feed'!O113*FCR_bonefree_incl_parents_PL</f>
        <v>0</v>
      </c>
      <c r="Q50" s="32">
        <f>'N2O per kg feed'!P113*FCR_bonefree_incl_parents_PL</f>
        <v>1.232340993168049E-6</v>
      </c>
      <c r="R50" s="32">
        <f>'N2O per kg feed'!Q113*FCR_bonefree_incl_parents_PL</f>
        <v>4.9382625743138594E-7</v>
      </c>
      <c r="S50" s="4"/>
      <c r="T50" s="47">
        <f>SUM(U50:V50)</f>
        <v>3.0031090312183189E-6</v>
      </c>
      <c r="U50" s="186">
        <f>Manure!J68*44/28</f>
        <v>8.3046993182438245E-7</v>
      </c>
      <c r="V50" s="186">
        <f>NH3_per_kg_PL*17/14*Manure!J97</f>
        <v>2.1726390993939366E-6</v>
      </c>
      <c r="W50" s="4">
        <f>Energy_stables_PL*(Share_heating_PL*(Share_biofuels_PL*EF_biofuel_N2O+(1-Share_biofuels_PL)*EF_oil_N2O)+(1-Share_heating_PL)*EF_el_N2O_PL)</f>
        <v>1.7600493010000001E-6</v>
      </c>
      <c r="X50" s="4">
        <f>(Energy_slaughter_el_PL*EF_el_N2O_PL+Energy_slaughter_heat_PL*EF_gas_N2O)/'Parameters, country spec'!J$10</f>
        <v>6.441686496103896E-6</v>
      </c>
      <c r="Z50" s="32"/>
      <c r="AA50" s="32"/>
    </row>
    <row r="51" spans="1:27" ht="15.5" customHeight="1" thickTop="1" thickBot="1" x14ac:dyDescent="0.4">
      <c r="A51" s="125" t="s">
        <v>128</v>
      </c>
      <c r="B51" s="125" t="s">
        <v>129</v>
      </c>
      <c r="C51" s="126"/>
      <c r="D51" s="147" t="s">
        <v>30</v>
      </c>
      <c r="E51" s="37" t="s">
        <v>91</v>
      </c>
      <c r="F51" s="128" t="s">
        <v>134</v>
      </c>
      <c r="G51" s="132">
        <f>SUM(H51:X51)</f>
        <v>1.5825568511981891</v>
      </c>
      <c r="H51" s="129">
        <f>SUMPRODUCT(H47:H50,'Parameters, general'!$B$14:$B$17)</f>
        <v>0.19317538994051911</v>
      </c>
      <c r="I51" s="129">
        <f>SUMPRODUCT(I47:I50,'Parameters, general'!$B$14:$B$17)</f>
        <v>7.1839061244531544E-2</v>
      </c>
      <c r="J51" s="129">
        <f>SUMPRODUCT(J47:J50,'Parameters, general'!$B$14:$B$17)</f>
        <v>0.44904132364506905</v>
      </c>
      <c r="K51" s="129">
        <f>SUMPRODUCT(K47:K50,'Parameters, general'!$B$14:$B$17)</f>
        <v>4.4904132364506903E-2</v>
      </c>
      <c r="L51" s="129">
        <f>SUMPRODUCT(L47:L50,'Parameters, general'!$B$14:$B$17)</f>
        <v>8.9413877019864238E-2</v>
      </c>
      <c r="M51" s="129">
        <f>SUMPRODUCT(M47:M50,'Parameters, general'!$B$14:$B$17)</f>
        <v>0</v>
      </c>
      <c r="N51" s="129">
        <f>SUMPRODUCT(N47:N50,'Parameters, general'!$B$14:$B$17)</f>
        <v>7.7372528860478486E-5</v>
      </c>
      <c r="O51" s="129">
        <f>SUMPRODUCT(O47:O50,'Parameters, general'!$B$14:$B$17)</f>
        <v>0.12938673018901004</v>
      </c>
      <c r="P51" s="129">
        <f>SUMPRODUCT(P47:P50,'Parameters, general'!$B$14:$B$17)</f>
        <v>6.559167107232898E-2</v>
      </c>
      <c r="Q51" s="129">
        <f>SUMPRODUCT(Q47:Q50,'Parameters, general'!$B$14:$B$17)</f>
        <v>3.1518845324127805E-2</v>
      </c>
      <c r="R51" s="129">
        <f>SUMPRODUCT(R47:R50,'Parameters, general'!$B$14:$B$17)</f>
        <v>1.4379836532459413E-2</v>
      </c>
      <c r="S51" s="129"/>
      <c r="T51" s="129">
        <f>SUMPRODUCT(T47:T50,'Parameters, general'!$B$14:$B$17)</f>
        <v>5.4156646831670513E-2</v>
      </c>
      <c r="U51" s="130"/>
      <c r="V51" s="130"/>
      <c r="W51" s="129">
        <f>SUMPRODUCT(W47:W50,'Parameters, general'!$B$14:$B$17)</f>
        <v>0.10362621395994066</v>
      </c>
      <c r="X51" s="129">
        <f>SUMPRODUCT(X47:X50,'Parameters, general'!$B$14:$B$17)</f>
        <v>0.3354457505453004</v>
      </c>
      <c r="Z51" s="108">
        <f>SUM(H51:R51)</f>
        <v>1.0893282398612776</v>
      </c>
      <c r="AA51" s="146">
        <f>'CO2 per kg feed'!F113+'CH4 per kg feed'!F113*CF_GWP_CH4_fossil+'N2O per kg feed'!F113*CF_GWP_N2O</f>
        <v>0.44906214404890665</v>
      </c>
    </row>
    <row r="52" spans="1:27" ht="15" customHeight="1" thickTop="1" x14ac:dyDescent="0.35">
      <c r="A52" s="260" t="s">
        <v>128</v>
      </c>
      <c r="B52" s="260" t="s">
        <v>129</v>
      </c>
      <c r="C52" s="261"/>
      <c r="D52" t="s">
        <v>38</v>
      </c>
      <c r="E52" s="262" t="s">
        <v>92</v>
      </c>
      <c r="F52" s="263" t="s">
        <v>130</v>
      </c>
      <c r="G52" s="19">
        <f>SUM(H52:X52)</f>
        <v>0.77371719362324076</v>
      </c>
      <c r="H52" s="264">
        <f>'CO2 per kg feed'!G125*FCR_bonefree_incl_parents_ES-Excreted_N_after_losses_ES*Manure_repl_factor_ES*EF_min_fert_CO2_ES</f>
        <v>0.1948414448887324</v>
      </c>
      <c r="I52" s="264">
        <f>'CO2 per kg feed'!H125*FCR_bonefree_incl_parents_ES</f>
        <v>6.3184628135478774E-2</v>
      </c>
      <c r="J52" s="264">
        <f>'CO2 per kg feed'!I125*FCR_bonefree_incl_parents_ES</f>
        <v>0</v>
      </c>
      <c r="K52" s="264"/>
      <c r="L52" s="264">
        <f>'CO2 per kg feed'!K125*FCR_bonefree_incl_parents_ES</f>
        <v>0.10516178586202483</v>
      </c>
      <c r="M52" s="264"/>
      <c r="N52" s="264">
        <f>'CO2 per kg feed'!M125*FCR_bonefree_incl_parents_ES</f>
        <v>2.0952205595537402E-2</v>
      </c>
      <c r="O52" s="264">
        <f>'CO2 per kg feed'!N125*FCR_bonefree_incl_parents_ES</f>
        <v>9.0359560008412373E-2</v>
      </c>
      <c r="P52" s="264">
        <f>'CO2 per kg feed'!O125*FCR_bonefree_incl_parents_ES</f>
        <v>7.0871921171981433E-2</v>
      </c>
      <c r="Q52" s="264">
        <f>'CO2 per kg feed'!P125*FCR_bonefree_incl_parents_ES</f>
        <v>1.7475532746105953E-2</v>
      </c>
      <c r="R52" s="264">
        <f>'CO2 per kg feed'!Q125*FCR_bonefree_incl_parents_ES</f>
        <v>5.6444300219299623E-2</v>
      </c>
      <c r="S52" s="265"/>
      <c r="T52" s="266"/>
      <c r="U52" s="267"/>
      <c r="V52" s="267"/>
      <c r="W52" s="265">
        <f>Energy_stables_ES*(Share_heating_ES*(Share_biofuels_ES*EF_biofuels_CO2+(1-Share_biofuels_ES)*EF_oil_CO2)+(1-Share_heating_ES)*EF_el_CO2_ES)</f>
        <v>2.6811508139590004E-2</v>
      </c>
      <c r="X52" s="265">
        <f>(Energy_slaughter_el_ES*EF_el_CO2_ES+Energy_slaughter_heat_ES*EF_gas_CO2)/'Parameters, country spec'!K$10</f>
        <v>0.12761430685607794</v>
      </c>
      <c r="Z52" s="19"/>
      <c r="AA52" s="19"/>
    </row>
    <row r="53" spans="1:27" x14ac:dyDescent="0.35">
      <c r="A53" s="12" t="s">
        <v>128</v>
      </c>
      <c r="B53" s="12" t="s">
        <v>129</v>
      </c>
      <c r="C53" s="16"/>
      <c r="D53" t="s">
        <v>38</v>
      </c>
      <c r="E53" s="17" t="s">
        <v>92</v>
      </c>
      <c r="F53" s="12" t="s">
        <v>131</v>
      </c>
      <c r="G53" s="19">
        <f>SUM(H53:X53)</f>
        <v>1.072795936881201E-3</v>
      </c>
      <c r="H53" s="33">
        <f>'CH4 per kg feed'!G125*FCR_bonefree_incl_parents_ES-Excreted_N_after_losses_ES*Manure_repl_factor_ES*EF_min_fert_CH4_ES</f>
        <v>8.0441488030831802E-6</v>
      </c>
      <c r="I53" s="33">
        <f>'CH4 per kg feed'!H125*FCR_bonefree_incl_parents_ES</f>
        <v>2.2231628418038828E-4</v>
      </c>
      <c r="J53" s="33"/>
      <c r="K53" s="33"/>
      <c r="L53" s="33">
        <f>'CH4 per kg feed'!K125*FCR_bonefree_incl_parents_ES</f>
        <v>4.6583125112485426E-5</v>
      </c>
      <c r="M53" s="33"/>
      <c r="N53" s="33">
        <f>'CH4 per kg feed'!M125*FCR_bonefree_incl_parents_ES</f>
        <v>6.1918108663085351E-5</v>
      </c>
      <c r="O53" s="33">
        <f>'CH4 per kg feed'!N125*FCR_bonefree_incl_parents_ES</f>
        <v>6.837078446968959E-5</v>
      </c>
      <c r="P53" s="33">
        <f>'CH4 per kg feed'!O125*FCR_bonefree_incl_parents_ES</f>
        <v>0</v>
      </c>
      <c r="Q53" s="33">
        <f>'CH4 per kg feed'!P125*FCR_bonefree_incl_parents_ES</f>
        <v>5.7355558745537131E-5</v>
      </c>
      <c r="R53" s="33">
        <f>'CH4 per kg feed'!Q125*FCR_bonefree_incl_parents_ES</f>
        <v>4.8242476947851483E-5</v>
      </c>
      <c r="S53" s="4"/>
      <c r="W53" s="4">
        <f>Energy_stables_ES*(Share_heating_ES*(Share_biofuels_ES*EF_biofuel_CH4+(1-Share_biofuels_ES)*EF_oil_CH4)+(1-Share_heating_ES)*EF_el_CH4_ES)</f>
        <v>8.2878482479600002E-5</v>
      </c>
      <c r="X53" s="4">
        <f>(Energy_slaughter_el_ES*EF_el_CH4_ES+Energy_slaughter_heat_ES*EF_gas_CH4)/'Parameters, country spec'!K$10</f>
        <v>4.7708696747948053E-4</v>
      </c>
      <c r="Z53" s="32"/>
      <c r="AA53" s="32"/>
    </row>
    <row r="54" spans="1:27" x14ac:dyDescent="0.35">
      <c r="A54" s="12" t="s">
        <v>128</v>
      </c>
      <c r="B54" s="12" t="s">
        <v>129</v>
      </c>
      <c r="C54" s="16"/>
      <c r="D54" t="s">
        <v>38</v>
      </c>
      <c r="E54" s="17" t="s">
        <v>92</v>
      </c>
      <c r="F54" s="12" t="s">
        <v>132</v>
      </c>
      <c r="G54" s="19">
        <f>SUM(H54:T54)+SUM(W54:X54)</f>
        <v>1.6184060376076902E-3</v>
      </c>
      <c r="H54" s="33"/>
      <c r="I54" s="33"/>
      <c r="J54" s="33"/>
      <c r="K54" s="33"/>
      <c r="L54" s="33"/>
      <c r="M54" s="33"/>
      <c r="N54" s="33"/>
      <c r="O54" s="33"/>
      <c r="P54" s="33"/>
      <c r="Q54" s="33"/>
      <c r="R54" s="33"/>
      <c r="S54" s="4"/>
      <c r="T54" s="47">
        <f>SUM(U54:V54)</f>
        <v>1.6184060376076902E-3</v>
      </c>
      <c r="U54" s="62">
        <f>Manure!K12*Production!K16</f>
        <v>1.6184060376076902E-3</v>
      </c>
      <c r="W54" s="4"/>
      <c r="X54" s="4"/>
      <c r="Z54" s="32"/>
      <c r="AA54" s="32"/>
    </row>
    <row r="55" spans="1:27" ht="15" customHeight="1" thickBot="1" x14ac:dyDescent="0.4">
      <c r="A55" s="12" t="s">
        <v>128</v>
      </c>
      <c r="B55" s="12" t="s">
        <v>129</v>
      </c>
      <c r="C55" s="16"/>
      <c r="D55" t="s">
        <v>38</v>
      </c>
      <c r="E55" s="17" t="s">
        <v>92</v>
      </c>
      <c r="F55" s="34" t="s">
        <v>133</v>
      </c>
      <c r="G55" s="19">
        <f>SUM(H55:T55)+SUM(W55:X55)</f>
        <v>1.4716987030663324E-3</v>
      </c>
      <c r="H55" s="33">
        <f>'N2O per kg feed'!G125*FCR_bonefree_incl_parents_ES-Excreted_N_after_losses_ES*Manure_repl_factor_ES*EF_min_fert_N2O_ES</f>
        <v>4.0616589306656749E-5</v>
      </c>
      <c r="I55" s="32">
        <f>'N2O per kg feed'!H125*FCR_bonefree_incl_parents_ES</f>
        <v>2.5741885536676535E-6</v>
      </c>
      <c r="J55" s="32">
        <f>'N2O per kg feed'!I125*FCR_bonefree_incl_parents_ES-Excreted_N_after_losses_ES*Manure_repl_factor_ES*EF_N2O_diff_ES</f>
        <v>1.2793387978579864E-3</v>
      </c>
      <c r="K55" s="32">
        <f>J55*EF_indirect_N2O_ES</f>
        <v>1.2793387978579865E-4</v>
      </c>
      <c r="L55" s="32">
        <f>'N2O per kg feed'!K125*FCR_bonefree_incl_parents_ES</f>
        <v>2.8257381870196351E-6</v>
      </c>
      <c r="M55" s="32"/>
      <c r="N55" s="32">
        <f>'N2O per kg feed'!M125*FCR_bonefree_incl_parents_ES</f>
        <v>9.0056913800003268E-7</v>
      </c>
      <c r="O55" s="32">
        <f>'N2O per kg feed'!N125*FCR_bonefree_incl_parents_ES</f>
        <v>3.3219541228410012E-6</v>
      </c>
      <c r="P55" s="32">
        <f>'N2O per kg feed'!O125*FCR_bonefree_incl_parents_ES</f>
        <v>0</v>
      </c>
      <c r="Q55" s="32">
        <f>'N2O per kg feed'!P125*FCR_bonefree_incl_parents_ES</f>
        <v>3.3041070770120173E-6</v>
      </c>
      <c r="R55" s="32">
        <f>'N2O per kg feed'!Q125*FCR_bonefree_incl_parents_ES</f>
        <v>2.1129251845176574E-6</v>
      </c>
      <c r="T55" s="47">
        <f>SUM(U55:V55)</f>
        <v>2.5332636570405764E-6</v>
      </c>
      <c r="U55" s="186">
        <f>Manure!K68*44/28</f>
        <v>6.6947761245589569E-7</v>
      </c>
      <c r="V55" s="186">
        <f>NH3_per_kg_ES*17/14*Manure!K97</f>
        <v>1.8637860445846808E-6</v>
      </c>
      <c r="W55" s="4">
        <f>Energy_stables_ES*(Share_heating_ES*(Share_biofuels_ES*EF_biofuel_N2O+(1-Share_biofuels_ES)*EF_oil_N2O)+(1-Share_heating_ES)*EF_el_N2O_ES)</f>
        <v>1.213809188E-6</v>
      </c>
      <c r="X55" s="4">
        <f>(Energy_slaughter_el_ES*EF_el_N2O_ES+Energy_slaughter_heat_ES*EF_gas_N2O)/'Parameters, country spec'!K$10</f>
        <v>5.0228810077922071E-6</v>
      </c>
      <c r="Z55" s="32"/>
      <c r="AA55" s="32"/>
    </row>
    <row r="56" spans="1:27" ht="15.5" customHeight="1" thickTop="1" thickBot="1" x14ac:dyDescent="0.4">
      <c r="A56" s="125" t="s">
        <v>128</v>
      </c>
      <c r="B56" s="125" t="s">
        <v>129</v>
      </c>
      <c r="C56" s="126"/>
      <c r="D56" s="147" t="s">
        <v>38</v>
      </c>
      <c r="E56" s="127" t="s">
        <v>92</v>
      </c>
      <c r="F56" s="128" t="s">
        <v>134</v>
      </c>
      <c r="G56" s="132">
        <f>SUM(H56:X56)</f>
        <v>1.2511572214948172</v>
      </c>
      <c r="H56" s="129">
        <f>SUMPRODUCT(H52:H55,'Parameters, general'!$B$14:$B$17)</f>
        <v>0.20616948940378155</v>
      </c>
      <c r="I56" s="129">
        <f>SUMPRODUCT(I52:I55,'Parameters, general'!$B$14:$B$17)</f>
        <v>7.0512406879205611E-2</v>
      </c>
      <c r="J56" s="129">
        <f>SUMPRODUCT(J52:J55,'Parameters, general'!$B$14:$B$17)</f>
        <v>0.34925949181523031</v>
      </c>
      <c r="K56" s="129">
        <f>SUMPRODUCT(K52:K55,'Parameters, general'!$B$14:$B$17)</f>
        <v>3.4925949181523031E-2</v>
      </c>
      <c r="L56" s="129">
        <f>SUMPRODUCT(L52:L55,'Parameters, general'!$B$14:$B$17)</f>
        <v>0.10732138951543327</v>
      </c>
      <c r="M56" s="129">
        <f>SUMPRODUCT(M52:M55,'Parameters, general'!$B$14:$B$17)</f>
        <v>0</v>
      </c>
      <c r="N56" s="129">
        <f>SUMPRODUCT(N52:N55,'Parameters, general'!$B$14:$B$17)</f>
        <v>2.3043220608371356E-2</v>
      </c>
      <c r="O56" s="129">
        <f>SUMPRODUCT(O52:O55,'Parameters, general'!$B$14:$B$17)</f>
        <v>9.3303902861144719E-2</v>
      </c>
      <c r="P56" s="129">
        <f>SUMPRODUCT(P52:P55,'Parameters, general'!$B$14:$B$17)</f>
        <v>7.0871921171981433E-2</v>
      </c>
      <c r="Q56" s="129">
        <f>SUMPRODUCT(Q52:Q55,'Parameters, general'!$B$14:$B$17)</f>
        <v>2.0086749628747239E-2</v>
      </c>
      <c r="R56" s="129">
        <f>SUMPRODUCT(R52:R55,'Parameters, general'!$B$14:$B$17)</f>
        <v>5.8458754607718919E-2</v>
      </c>
      <c r="S56" s="129"/>
      <c r="T56" s="129">
        <f>SUMPRODUCT(T52:T55,'Parameters, general'!$B$14:$B$17)</f>
        <v>4.4388543993779707E-2</v>
      </c>
      <c r="U56" s="129"/>
      <c r="V56" s="129"/>
      <c r="W56" s="129">
        <f>SUMPRODUCT(W52:W55,'Parameters, general'!$B$14:$B$17)</f>
        <v>2.9612656825806084E-2</v>
      </c>
      <c r="X56" s="129">
        <f>SUMPRODUCT(X52:X55,'Parameters, general'!$B$14:$B$17)</f>
        <v>0.14320274500209373</v>
      </c>
      <c r="Z56" s="108">
        <f>SUM(H56:R56)</f>
        <v>1.0339532756731376</v>
      </c>
      <c r="AA56" s="146">
        <f>'CO2 per kg feed'!F125+'CH4 per kg feed'!F125*CF_GWP_CH4_fossil+'N2O per kg feed'!F125*CF_GWP_N2O</f>
        <v>0.42588699635103844</v>
      </c>
    </row>
    <row r="57" spans="1:27" ht="15" customHeight="1" thickTop="1" x14ac:dyDescent="0.35">
      <c r="A57" s="12" t="s">
        <v>128</v>
      </c>
      <c r="B57" s="12" t="s">
        <v>129</v>
      </c>
      <c r="C57" s="16"/>
      <c r="D57" s="17" t="s">
        <v>34</v>
      </c>
      <c r="E57" s="17" t="s">
        <v>93</v>
      </c>
      <c r="F57" s="36" t="s">
        <v>130</v>
      </c>
      <c r="G57" s="19">
        <f>SUM(H57:X57)</f>
        <v>0.54734416574231903</v>
      </c>
      <c r="H57" s="19">
        <f>'CO2 per kg feed'!G137*FCR_bonefree_incl_parents_SE-Excreted_N_after_losses_SE*Manure_repl_factor_SE*EF_min_fert_CO2_SE</f>
        <v>0.15624452709259534</v>
      </c>
      <c r="I57" s="19">
        <f>'CO2 per kg feed'!H137*FCR_bonefree_incl_parents_SE</f>
        <v>6.2469895894160951E-2</v>
      </c>
      <c r="J57" s="19">
        <f>'CO2 per kg feed'!I137*FCR_bonefree_incl_parents_SE</f>
        <v>0</v>
      </c>
      <c r="K57" s="19"/>
      <c r="L57" s="19">
        <f>'CO2 per kg feed'!K137*FCR_bonefree_incl_parents_SE</f>
        <v>8.3612417556812632E-2</v>
      </c>
      <c r="M57" s="19"/>
      <c r="N57" s="19">
        <f>'CO2 per kg feed'!M137*FCR_bonefree_incl_parents_SE</f>
        <v>1.4565786526543565E-4</v>
      </c>
      <c r="O57" s="19">
        <f>'CO2 per kg feed'!N137*FCR_bonefree_incl_parents_SE</f>
        <v>8.2041390430659819E-2</v>
      </c>
      <c r="P57" s="19">
        <f>'CO2 per kg feed'!O137*FCR_bonefree_incl_parents_SE</f>
        <v>7.4353186177003802E-2</v>
      </c>
      <c r="Q57" s="19">
        <f>'CO2 per kg feed'!P137*FCR_bonefree_incl_parents_SE</f>
        <v>1.1086535597823081E-2</v>
      </c>
      <c r="R57" s="19">
        <f>'CO2 per kg feed'!Q137*FCR_bonefree_incl_parents_SE</f>
        <v>2.5420570362435318E-2</v>
      </c>
      <c r="W57" s="4">
        <f>Energy_stables_SE*(Share_heating_SE*(Share_biofuels_SE*EF_biofuels_CO2+(1-Share_biofuels_SE)*EF_oil_CO2)+(1-Share_heating_SE)*EF_el_CO2_SE)</f>
        <v>8.8450339728460003E-3</v>
      </c>
      <c r="X57" s="4">
        <f>(Energy_slaughter_el_SE*EF_el_CO2_SE+Energy_slaughter_heat_SE*EF_gas_CO2)/'Parameters, country spec'!L$10</f>
        <v>4.3124950792716631E-2</v>
      </c>
    </row>
    <row r="58" spans="1:27" x14ac:dyDescent="0.35">
      <c r="A58" s="12" t="s">
        <v>128</v>
      </c>
      <c r="B58" s="12" t="s">
        <v>129</v>
      </c>
      <c r="C58" s="16"/>
      <c r="D58" s="17" t="s">
        <v>34</v>
      </c>
      <c r="E58" s="17" t="s">
        <v>93</v>
      </c>
      <c r="F58" s="12" t="s">
        <v>131</v>
      </c>
      <c r="G58" s="19">
        <f>SUM(H58:X58)</f>
        <v>4.2443778040897123E-4</v>
      </c>
      <c r="H58" s="33">
        <f>'CH4 per kg feed'!G137*FCR_bonefree_incl_parents_SE-Excreted_N_after_losses_SE*Manure_repl_factor_SE*EF_min_fert_CH4_SE</f>
        <v>1.2090159489467731E-5</v>
      </c>
      <c r="I58" s="33">
        <f>'CH4 per kg feed'!H137*FCR_bonefree_incl_parents_SE</f>
        <v>2.1980148555352926E-4</v>
      </c>
      <c r="J58" s="33"/>
      <c r="K58" s="33"/>
      <c r="L58" s="33">
        <f>'CH4 per kg feed'!K137*FCR_bonefree_incl_parents_SE</f>
        <v>3.7037481591617664E-5</v>
      </c>
      <c r="M58" s="33"/>
      <c r="N58" s="33">
        <f>'CH4 per kg feed'!M137*FCR_bonefree_incl_parents_SE</f>
        <v>4.4155186579678597E-7</v>
      </c>
      <c r="O58" s="33">
        <f>'CH4 per kg feed'!N137*FCR_bonefree_incl_parents_SE</f>
        <v>3.5590262752798052E-5</v>
      </c>
      <c r="P58" s="33">
        <f>'CH4 per kg feed'!O137*FCR_bonefree_incl_parents_SE</f>
        <v>0</v>
      </c>
      <c r="Q58" s="33">
        <f>'CH4 per kg feed'!P137*FCR_bonefree_incl_parents_SE</f>
        <v>2.0729445349767136E-5</v>
      </c>
      <c r="R58" s="33">
        <f>'CH4 per kg feed'!Q137*FCR_bonefree_incl_parents_SE</f>
        <v>2.3236524581361388E-5</v>
      </c>
      <c r="S58" s="4"/>
      <c r="W58" s="4">
        <f>Energy_stables_SE*(Share_heating_SE*(Share_biofuels_SE*EF_biofuel_CH4+(1-Share_biofuels_SE)*EF_oil_CH4)+(1-Share_heating_SE)*EF_el_CH4_SE)</f>
        <v>9.8278548655939992E-6</v>
      </c>
      <c r="X58" s="4">
        <f>(Energy_slaughter_el_SE*EF_el_CH4_SE+Energy_slaughter_heat_SE*EF_gas_CH4)/'Parameters, country spec'!L$10</f>
        <v>6.5683014359039214E-5</v>
      </c>
    </row>
    <row r="59" spans="1:27" x14ac:dyDescent="0.35">
      <c r="A59" s="12" t="s">
        <v>128</v>
      </c>
      <c r="B59" s="12" t="s">
        <v>129</v>
      </c>
      <c r="C59" s="16"/>
      <c r="D59" s="17" t="s">
        <v>34</v>
      </c>
      <c r="E59" s="17" t="s">
        <v>93</v>
      </c>
      <c r="F59" s="12" t="s">
        <v>132</v>
      </c>
      <c r="G59" s="19">
        <f>SUM(H59:T59)+SUM(W59:X59)</f>
        <v>1.9210430956131054E-3</v>
      </c>
      <c r="H59" s="33"/>
      <c r="I59" s="33"/>
      <c r="J59" s="33"/>
      <c r="K59" s="33"/>
      <c r="L59" s="33"/>
      <c r="M59" s="33"/>
      <c r="N59" s="33"/>
      <c r="O59" s="33"/>
      <c r="P59" s="33"/>
      <c r="Q59" s="33"/>
      <c r="R59" s="33"/>
      <c r="S59" s="4"/>
      <c r="T59" s="104">
        <f>SUM(U59:V59)</f>
        <v>1.9210430956131054E-3</v>
      </c>
      <c r="U59" s="183">
        <f>Manure!L12*Production!L16</f>
        <v>1.9210430956131054E-3</v>
      </c>
      <c r="W59" s="4"/>
      <c r="X59" s="4"/>
      <c r="Z59" s="32"/>
      <c r="AA59" s="32"/>
    </row>
    <row r="60" spans="1:27" ht="15" customHeight="1" thickBot="1" x14ac:dyDescent="0.4">
      <c r="A60" s="12" t="s">
        <v>128</v>
      </c>
      <c r="B60" s="12" t="s">
        <v>129</v>
      </c>
      <c r="C60" s="16"/>
      <c r="D60" s="17" t="s">
        <v>34</v>
      </c>
      <c r="E60" s="17" t="s">
        <v>93</v>
      </c>
      <c r="F60" s="34" t="s">
        <v>133</v>
      </c>
      <c r="G60" s="19">
        <f>SUM(H60:T60)+SUM(W60:X60)</f>
        <v>1.7509204829010772E-3</v>
      </c>
      <c r="H60" s="33">
        <f>'N2O per kg feed'!G137*FCR_bonefree_incl_parents_SE-Excreted_N_after_losses_SE*Manure_repl_factor_SE*EF_min_fert_N2O_SE</f>
        <v>9.2293760816569717E-5</v>
      </c>
      <c r="I60" s="32">
        <f>'N2O per kg feed'!H137*FCR_bonefree_incl_parents_SE</f>
        <v>2.5450698327250757E-6</v>
      </c>
      <c r="J60" s="32">
        <f>'N2O per kg feed'!I137*FCR_bonefree_incl_parents_SE-Excreted_N_after_losses_SE*Manure_repl_factor_SE*EF_N2O_diff_SE</f>
        <v>1.4916776345321617E-3</v>
      </c>
      <c r="K60" s="32">
        <f>J60*EF_indirect_N2O_SE</f>
        <v>1.4916776345321619E-4</v>
      </c>
      <c r="L60" s="32">
        <f>'N2O per kg feed'!K137*FCR_bonefree_incl_parents_SE</f>
        <v>2.2466982589027633E-6</v>
      </c>
      <c r="M60" s="32"/>
      <c r="N60" s="32">
        <f>'N2O per kg feed'!M137*FCR_bonefree_incl_parents_SE</f>
        <v>6.2087034674530718E-9</v>
      </c>
      <c r="O60" s="32">
        <f>'N2O per kg feed'!N137*FCR_bonefree_incl_parents_SE</f>
        <v>3.1301676867558943E-6</v>
      </c>
      <c r="P60" s="32">
        <f>'N2O per kg feed'!O137*FCR_bonefree_incl_parents_SE</f>
        <v>0</v>
      </c>
      <c r="Q60" s="32">
        <f>'N2O per kg feed'!P137*FCR_bonefree_incl_parents_SE</f>
        <v>1.9537194545404346E-6</v>
      </c>
      <c r="R60" s="32">
        <f>'N2O per kg feed'!Q137*FCR_bonefree_incl_parents_SE</f>
        <v>9.2915602393880417E-7</v>
      </c>
      <c r="T60" s="47">
        <f>SUM(U60:V60)</f>
        <v>2.4822948742019964E-6</v>
      </c>
      <c r="U60" s="186">
        <f>Manure!L68*44/28</f>
        <v>6.7120806665157201E-7</v>
      </c>
      <c r="V60" s="186">
        <f>NH3_per_kg_SE*17/14*Manure!L97</f>
        <v>1.8110868075504245E-6</v>
      </c>
      <c r="W60" s="4">
        <f>Energy_stables_SE*(Share_heating_SE*(Share_biofuels_SE*EF_biofuel_N2O+(1-Share_biofuels_SE)*EF_oil_N2O)+(1-Share_heating_SE)*EF_el_N2O_SE)</f>
        <v>8.172400819999999E-7</v>
      </c>
      <c r="X60" s="4">
        <f>(Energy_slaughter_el_SE*EF_el_N2O_SE+Energy_slaughter_heat_SE*EF_gas_N2O)/'Parameters, country spec'!L$10</f>
        <v>3.6707691825974021E-6</v>
      </c>
    </row>
    <row r="61" spans="1:27" ht="15" customHeight="1" thickTop="1" x14ac:dyDescent="0.35">
      <c r="A61" s="125" t="s">
        <v>128</v>
      </c>
      <c r="B61" s="125" t="s">
        <v>129</v>
      </c>
      <c r="C61" s="126"/>
      <c r="D61" s="127" t="s">
        <v>34</v>
      </c>
      <c r="E61" s="127" t="s">
        <v>93</v>
      </c>
      <c r="F61" s="128" t="s">
        <v>134</v>
      </c>
      <c r="G61" s="148">
        <f>SUM(H61:X61)</f>
        <v>1.0898618670120541</v>
      </c>
      <c r="H61" s="160">
        <f>SUMPRODUCT(H57:H60,'Parameters, general'!$B$14:$B$17)</f>
        <v>0.181801010548305</v>
      </c>
      <c r="I61" s="129">
        <f>SUMPRODUCT(I57:I60,'Parameters, general'!$B$14:$B$17)</f>
        <v>6.9714784227990073E-2</v>
      </c>
      <c r="J61" s="129">
        <f>SUMPRODUCT(J57:J60,'Parameters, general'!$B$14:$B$17)</f>
        <v>0.40722799422728012</v>
      </c>
      <c r="K61" s="129">
        <f>SUMPRODUCT(K57:K60,'Parameters, general'!$B$14:$B$17)</f>
        <v>4.0722799422728023E-2</v>
      </c>
      <c r="L61" s="129">
        <f>SUMPRODUCT(L57:L60,'Parameters, general'!$B$14:$B$17)</f>
        <v>8.5329483132923295E-2</v>
      </c>
      <c r="M61" s="129">
        <f>SUMPRODUCT(M57:M60,'Parameters, general'!$B$14:$B$17)</f>
        <v>0</v>
      </c>
      <c r="N61" s="129">
        <f>SUMPRODUCT(N57:N60,'Parameters, general'!$B$14:$B$17)</f>
        <v>1.6051108691279457E-4</v>
      </c>
      <c r="O61" s="129">
        <f>SUMPRODUCT(O57:O60,'Parameters, general'!$B$14:$B$17)</f>
        <v>8.3956516039177559E-2</v>
      </c>
      <c r="P61" s="129">
        <f>SUMPRODUCT(P57:P60,'Parameters, general'!$B$14:$B$17)</f>
        <v>7.4353186177003802E-2</v>
      </c>
      <c r="Q61" s="129">
        <f>SUMPRODUCT(Q57:Q60,'Parameters, general'!$B$14:$B$17)</f>
        <v>1.223763848033568E-2</v>
      </c>
      <c r="R61" s="129">
        <f>SUMPRODUCT(R57:R60,'Parameters, general'!$B$14:$B$17)</f>
        <v>2.636667838949518E-2</v>
      </c>
      <c r="S61" s="129"/>
      <c r="T61" s="129">
        <f>SUMPRODUCT(T57:T60,'Parameters, general'!$B$14:$B$17)</f>
        <v>5.2545830082210997E-2</v>
      </c>
      <c r="U61" s="130"/>
      <c r="V61" s="130"/>
      <c r="W61" s="129">
        <f>SUMPRODUCT(W57:W60,'Parameters, general'!$B$14:$B$17)</f>
        <v>9.3610105902267021E-3</v>
      </c>
      <c r="X61" s="129">
        <f>SUMPRODUCT(X57:X60,'Parameters, general'!$B$14:$B$17)</f>
        <v>4.6084424607465091E-2</v>
      </c>
      <c r="Z61" s="108">
        <f>SUM(H61:R61)</f>
        <v>0.98187060173215157</v>
      </c>
      <c r="AA61" s="146">
        <f>'CO2 per kg feed'!F137+'CH4 per kg feed'!F137*CF_GWP_CH4_fossil+'N2O per kg feed'!F137*CF_GWP_N2O</f>
        <v>0.40468110622866899</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2"/>
  <sheetViews>
    <sheetView zoomScale="68" zoomScaleNormal="110" workbookViewId="0">
      <selection activeCell="B16" sqref="B16"/>
    </sheetView>
  </sheetViews>
  <sheetFormatPr defaultColWidth="8.90625" defaultRowHeight="14.5" x14ac:dyDescent="0.35"/>
  <cols>
    <col min="1" max="1" width="59.453125" customWidth="1"/>
    <col min="2" max="2" width="11.54296875" customWidth="1"/>
    <col min="3" max="11" width="10.54296875" customWidth="1"/>
    <col min="12" max="12" width="10.54296875" style="171" customWidth="1"/>
  </cols>
  <sheetData>
    <row r="1" spans="1:21" x14ac:dyDescent="0.35">
      <c r="M1" s="17"/>
    </row>
    <row r="2" spans="1:21" ht="18.5" customHeight="1" x14ac:dyDescent="0.45">
      <c r="A2" s="1" t="s">
        <v>137</v>
      </c>
      <c r="B2" t="s">
        <v>482</v>
      </c>
      <c r="C2" t="s">
        <v>84</v>
      </c>
      <c r="D2" t="s">
        <v>85</v>
      </c>
      <c r="E2" t="s">
        <v>86</v>
      </c>
      <c r="F2" t="s">
        <v>87</v>
      </c>
      <c r="G2" t="s">
        <v>88</v>
      </c>
      <c r="H2" t="s">
        <v>89</v>
      </c>
      <c r="I2" t="s">
        <v>90</v>
      </c>
      <c r="J2" t="s">
        <v>91</v>
      </c>
      <c r="K2" t="s">
        <v>92</v>
      </c>
      <c r="L2" s="179" t="s">
        <v>93</v>
      </c>
    </row>
    <row r="3" spans="1:21" ht="18.5" customHeight="1" x14ac:dyDescent="0.45">
      <c r="A3" s="1"/>
      <c r="B3" s="119" t="s">
        <v>155</v>
      </c>
      <c r="C3" s="119" t="s">
        <v>36</v>
      </c>
      <c r="D3" s="119" t="s">
        <v>33</v>
      </c>
      <c r="E3" s="119" t="s">
        <v>31</v>
      </c>
      <c r="F3" s="119" t="s">
        <v>40</v>
      </c>
      <c r="G3" s="119" t="s">
        <v>37</v>
      </c>
      <c r="H3" s="119" t="s">
        <v>39</v>
      </c>
      <c r="I3" s="119" t="s">
        <v>32</v>
      </c>
      <c r="J3" s="119" t="s">
        <v>30</v>
      </c>
      <c r="K3" s="119" t="s">
        <v>38</v>
      </c>
      <c r="L3" s="188" t="s">
        <v>34</v>
      </c>
      <c r="U3" s="187"/>
    </row>
    <row r="4" spans="1:21" x14ac:dyDescent="0.35">
      <c r="A4" s="110" t="s">
        <v>138</v>
      </c>
      <c r="B4" s="124"/>
      <c r="C4" s="124"/>
      <c r="D4" s="124"/>
      <c r="E4" s="124"/>
      <c r="F4" s="124"/>
      <c r="G4" s="124"/>
      <c r="H4" s="124"/>
      <c r="I4" s="124"/>
      <c r="J4" s="124"/>
      <c r="K4" s="124"/>
      <c r="L4" s="180"/>
      <c r="U4" s="187"/>
    </row>
    <row r="5" spans="1:21" x14ac:dyDescent="0.35">
      <c r="A5" s="3" t="s">
        <v>139</v>
      </c>
      <c r="B5" s="184">
        <v>100</v>
      </c>
      <c r="C5" s="184">
        <v>100</v>
      </c>
      <c r="D5" s="184">
        <v>100</v>
      </c>
      <c r="E5" s="184">
        <v>100</v>
      </c>
      <c r="F5" s="184">
        <v>100</v>
      </c>
      <c r="G5" s="184">
        <v>100</v>
      </c>
      <c r="H5" s="184">
        <v>100</v>
      </c>
      <c r="I5" s="184">
        <v>100</v>
      </c>
      <c r="J5" s="184">
        <v>100</v>
      </c>
      <c r="K5" s="184">
        <v>100</v>
      </c>
      <c r="L5" s="184">
        <v>100</v>
      </c>
      <c r="N5" s="93" t="s">
        <v>140</v>
      </c>
      <c r="U5" s="187"/>
    </row>
    <row r="6" spans="1:21" x14ac:dyDescent="0.35">
      <c r="A6" s="3" t="s">
        <v>141</v>
      </c>
      <c r="B6" s="166">
        <f>No_laying_hens_DK*'Parameters, country spec'!B$6/'Parameters, country spec'!B$7</f>
        <v>31.03448275862069</v>
      </c>
      <c r="C6" s="166">
        <f>No_laying_hens_FR*'Parameters, country spec'!C$6/'Parameters, country spec'!C$7</f>
        <v>31.03448275862069</v>
      </c>
      <c r="D6" s="166">
        <f>No_laying_hens_DE*'Parameters, country spec'!D$6/'Parameters, country spec'!D$7</f>
        <v>31.03448275862069</v>
      </c>
      <c r="E6" s="166">
        <f>No_laying_hens_GR*'Parameters, country spec'!E$6/'Parameters, country spec'!E$7</f>
        <v>31.03448275862069</v>
      </c>
      <c r="F6" s="166">
        <f>No_laying_hens_HU*'Parameters, country spec'!F$6/'Parameters, country spec'!F$7</f>
        <v>31.03448275862069</v>
      </c>
      <c r="G6" s="166">
        <f>No_laying_hens_IE*'Parameters, country spec'!G$6/'Parameters, country spec'!G$7</f>
        <v>31.03448275862069</v>
      </c>
      <c r="H6" s="166">
        <f>No_laying_hens_IT*'Parameters, country spec'!H$6/'Parameters, country spec'!H$7</f>
        <v>31.03448275862069</v>
      </c>
      <c r="I6" s="166">
        <f>No_laying_hens_NL*'Parameters, country spec'!I$6/'Parameters, country spec'!I$7</f>
        <v>31.03448275862069</v>
      </c>
      <c r="J6" s="166">
        <f>No_laying_hens_PL*'Parameters, country spec'!J$6/'Parameters, country spec'!J$7</f>
        <v>31.03448275862069</v>
      </c>
      <c r="K6" s="166">
        <f>No_laying_hens_ES*'Parameters, country spec'!K$6/'Parameters, country spec'!K$7</f>
        <v>31.03448275862069</v>
      </c>
      <c r="L6" s="166">
        <f>No_laying_hens_SE*'Parameters, country spec'!L$6/'Parameters, country spec'!L$7</f>
        <v>31.03448275862069</v>
      </c>
      <c r="N6" s="174" t="s">
        <v>142</v>
      </c>
      <c r="U6" s="187"/>
    </row>
    <row r="7" spans="1:21" x14ac:dyDescent="0.35">
      <c r="A7" s="6" t="s">
        <v>143</v>
      </c>
      <c r="B7" s="181">
        <f t="shared" ref="B7:L7" si="0">SUM(B5:B6)</f>
        <v>131.0344827586207</v>
      </c>
      <c r="C7" s="181">
        <f t="shared" si="0"/>
        <v>131.0344827586207</v>
      </c>
      <c r="D7" s="181">
        <f t="shared" si="0"/>
        <v>131.0344827586207</v>
      </c>
      <c r="E7" s="181">
        <f t="shared" si="0"/>
        <v>131.0344827586207</v>
      </c>
      <c r="F7" s="181">
        <f t="shared" si="0"/>
        <v>131.0344827586207</v>
      </c>
      <c r="G7" s="181">
        <f t="shared" si="0"/>
        <v>131.0344827586207</v>
      </c>
      <c r="H7" s="181">
        <f t="shared" si="0"/>
        <v>131.0344827586207</v>
      </c>
      <c r="I7" s="181">
        <f t="shared" si="0"/>
        <v>131.0344827586207</v>
      </c>
      <c r="J7" s="181">
        <f t="shared" si="0"/>
        <v>131.0344827586207</v>
      </c>
      <c r="K7" s="181">
        <f t="shared" si="0"/>
        <v>131.0344827586207</v>
      </c>
      <c r="L7" s="181">
        <f t="shared" si="0"/>
        <v>131.0344827586207</v>
      </c>
      <c r="N7" s="93"/>
      <c r="U7" s="187"/>
    </row>
    <row r="8" spans="1:21" x14ac:dyDescent="0.35">
      <c r="A8" s="110" t="s">
        <v>144</v>
      </c>
      <c r="B8" s="70"/>
      <c r="C8" s="70"/>
      <c r="D8" s="70"/>
      <c r="E8" s="70"/>
      <c r="F8" s="70"/>
      <c r="G8" s="70"/>
      <c r="H8" s="70"/>
      <c r="I8" s="70"/>
      <c r="J8" s="70"/>
      <c r="K8" s="70"/>
      <c r="L8" s="70"/>
      <c r="N8" s="93"/>
      <c r="U8" s="187"/>
    </row>
    <row r="9" spans="1:21" x14ac:dyDescent="0.35">
      <c r="A9" s="3" t="s">
        <v>145</v>
      </c>
      <c r="B9" s="166">
        <f>No_laying_hens_DK*365/'Parameters, country spec'!B$5</f>
        <v>68.609022556390983</v>
      </c>
      <c r="C9" s="166">
        <f>No_laying_hens_FR*365/'Parameters, country spec'!C$5</f>
        <v>68.609022556390983</v>
      </c>
      <c r="D9" s="166">
        <f>No_laying_hens_DE*365/'Parameters, country spec'!D5</f>
        <v>68.609022556390983</v>
      </c>
      <c r="E9" s="166">
        <f>No_laying_hens_GR*365/'Parameters, country spec'!E5</f>
        <v>68.609022556390983</v>
      </c>
      <c r="F9" s="166">
        <f>No_laying_hens_HU*365/'Parameters, country spec'!F5</f>
        <v>68.609022556390983</v>
      </c>
      <c r="G9" s="166">
        <f>No_laying_hens_IE*365/'Parameters, country spec'!G5</f>
        <v>68.609022556390983</v>
      </c>
      <c r="H9" s="166">
        <f>No_laying_hens_IT*365/'Parameters, country spec'!H5</f>
        <v>68.609022556390983</v>
      </c>
      <c r="I9" s="166">
        <f>No_laying_hens_NL*365/'Parameters, country spec'!I5</f>
        <v>68.609022556390983</v>
      </c>
      <c r="J9" s="166">
        <f>No_laying_hens_PL*365/'Parameters, country spec'!J5</f>
        <v>68.609022556390983</v>
      </c>
      <c r="K9" s="166">
        <f>No_laying_hens_ES*365/'Parameters, country spec'!K5</f>
        <v>68.609022556390983</v>
      </c>
      <c r="L9" s="166">
        <f>No_laying_hens_SE*365/'Parameters, country spec'!L5</f>
        <v>68.609022556390983</v>
      </c>
      <c r="M9" s="16"/>
      <c r="N9" s="177"/>
      <c r="U9" s="187"/>
    </row>
    <row r="10" spans="1:21" x14ac:dyDescent="0.35">
      <c r="A10" s="6" t="s">
        <v>143</v>
      </c>
      <c r="B10" s="181">
        <f t="shared" ref="B10:L10" si="1">SUM(B9:B9)</f>
        <v>68.609022556390983</v>
      </c>
      <c r="C10" s="181">
        <f t="shared" si="1"/>
        <v>68.609022556390983</v>
      </c>
      <c r="D10" s="181">
        <f t="shared" si="1"/>
        <v>68.609022556390983</v>
      </c>
      <c r="E10" s="181">
        <f t="shared" si="1"/>
        <v>68.609022556390983</v>
      </c>
      <c r="F10" s="181">
        <f t="shared" si="1"/>
        <v>68.609022556390983</v>
      </c>
      <c r="G10" s="181">
        <f t="shared" si="1"/>
        <v>68.609022556390983</v>
      </c>
      <c r="H10" s="181">
        <f t="shared" si="1"/>
        <v>68.609022556390983</v>
      </c>
      <c r="I10" s="181">
        <f t="shared" si="1"/>
        <v>68.609022556390983</v>
      </c>
      <c r="J10" s="181">
        <f t="shared" si="1"/>
        <v>68.609022556390983</v>
      </c>
      <c r="K10" s="181">
        <f t="shared" si="1"/>
        <v>68.609022556390983</v>
      </c>
      <c r="L10" s="181">
        <f t="shared" si="1"/>
        <v>68.609022556390983</v>
      </c>
      <c r="N10" s="93"/>
    </row>
    <row r="11" spans="1:21" x14ac:dyDescent="0.35">
      <c r="A11" s="110" t="s">
        <v>146</v>
      </c>
      <c r="B11" s="182"/>
      <c r="C11" s="182"/>
      <c r="D11" s="182"/>
      <c r="E11" s="182"/>
      <c r="F11" s="182"/>
      <c r="G11" s="182"/>
      <c r="H11" s="182"/>
      <c r="I11" s="182"/>
      <c r="J11" s="182"/>
      <c r="K11" s="182"/>
      <c r="L11" s="182"/>
      <c r="N11" s="93"/>
    </row>
    <row r="12" spans="1:21" x14ac:dyDescent="0.35">
      <c r="A12" s="3" t="s">
        <v>147</v>
      </c>
      <c r="B12" s="179">
        <f>No_laying_hens_DK*'Parameters, country spec'!B$9*'Parameters, country spec'!B$10*'Parameters, country spec'!B$8/100</f>
        <v>10.78</v>
      </c>
      <c r="C12" s="179">
        <f>No_laying_hens_FR*'Parameters, country spec'!C$9*'Parameters, country spec'!C$10*'Parameters, country spec'!C$8/100</f>
        <v>10.78</v>
      </c>
      <c r="D12" s="179">
        <f>No_laying_hens_DE*'Parameters, country spec'!D$9*'Parameters, country spec'!D$10*'Parameters, country spec'!D$8/100</f>
        <v>10.78</v>
      </c>
      <c r="E12" s="179">
        <f>No_laying_hens_GR*'Parameters, country spec'!E$9*'Parameters, country spec'!E$10*'Parameters, country spec'!E$8/100</f>
        <v>10.78</v>
      </c>
      <c r="F12" s="179">
        <f>No_laying_hens_HU*'Parameters, country spec'!F$9*'Parameters, country spec'!F$10*'Parameters, country spec'!F$8/100</f>
        <v>10.78</v>
      </c>
      <c r="G12" s="179">
        <f>No_laying_hens_IE*'Parameters, country spec'!G$9*'Parameters, country spec'!G$10*'Parameters, country spec'!G$8/100</f>
        <v>10.78</v>
      </c>
      <c r="H12" s="179">
        <f>No_laying_hens_IT*'Parameters, country spec'!H$9*'Parameters, country spec'!H$10*'Parameters, country spec'!H$8/100</f>
        <v>10.78</v>
      </c>
      <c r="I12" s="179">
        <f>No_laying_hens_NL*'Parameters, country spec'!I$9*'Parameters, country spec'!I$10*'Parameters, country spec'!I$8/100</f>
        <v>10.78</v>
      </c>
      <c r="J12" s="179">
        <f>No_laying_hens_PL*'Parameters, country spec'!J$9*'Parameters, country spec'!J$10*'Parameters, country spec'!J$8/100</f>
        <v>10.78</v>
      </c>
      <c r="K12" s="179">
        <f>No_laying_hens_ES*'Parameters, country spec'!K$9*'Parameters, country spec'!K$10*'Parameters, country spec'!K$8/100</f>
        <v>10.78</v>
      </c>
      <c r="L12" s="179">
        <f>No_laying_hens_SE*'Parameters, country spec'!L$9*'Parameters, country spec'!L$10*'Parameters, country spec'!L$8/100</f>
        <v>10.78</v>
      </c>
      <c r="N12" s="93" t="s">
        <v>148</v>
      </c>
    </row>
    <row r="13" spans="1:21" x14ac:dyDescent="0.35">
      <c r="A13" s="3" t="s">
        <v>149</v>
      </c>
      <c r="B13" s="184">
        <f>No_laying_hens_DK*'Parameters, country spec'!B$11</f>
        <v>1800</v>
      </c>
      <c r="C13" s="184">
        <f>No_laying_hens_FR*'Parameters, country spec'!C$11</f>
        <v>1809.0089189796888</v>
      </c>
      <c r="D13" s="184">
        <f>No_laying_hens_DE*'Parameters, country spec'!D11</f>
        <v>1802.0071085093036</v>
      </c>
      <c r="E13" s="184">
        <f>No_laying_hens_GR*'Parameters, country spec'!E11</f>
        <v>1437.4143385110767</v>
      </c>
      <c r="F13" s="184">
        <f>No_laying_hens_HU*'Parameters, country spec'!F11</f>
        <v>1437.4143385110767</v>
      </c>
      <c r="G13" s="184">
        <f>No_laying_hens_IE*'Parameters, country spec'!G11</f>
        <v>1932.7951481112027</v>
      </c>
      <c r="H13" s="184">
        <f>No_laying_hens_IT*'Parameters, country spec'!H11</f>
        <v>1667.245656263837</v>
      </c>
      <c r="I13" s="184">
        <f>No_laying_hens_NL*'Parameters, country spec'!I11</f>
        <v>1550.8715875415814</v>
      </c>
      <c r="J13" s="184">
        <f>No_laying_hens_PL*'Parameters, country spec'!J11</f>
        <v>1507.8713427286052</v>
      </c>
      <c r="K13" s="184">
        <f>No_laying_hens_ES*'Parameters, country spec'!K11</f>
        <v>1667.245656263837</v>
      </c>
      <c r="L13" s="184">
        <f>No_laying_hens_SE*'Parameters, country spec'!L11</f>
        <v>1550.8715875415814</v>
      </c>
    </row>
    <row r="14" spans="1:21" x14ac:dyDescent="0.35">
      <c r="A14" s="6" t="s">
        <v>143</v>
      </c>
      <c r="B14" s="181">
        <f t="shared" ref="B14:L14" si="2">SUM(B12:B13)</f>
        <v>1810.78</v>
      </c>
      <c r="C14" s="181">
        <f t="shared" si="2"/>
        <v>1819.7889189796888</v>
      </c>
      <c r="D14" s="181">
        <f t="shared" si="2"/>
        <v>1812.7871085093036</v>
      </c>
      <c r="E14" s="181">
        <f t="shared" si="2"/>
        <v>1448.1943385110767</v>
      </c>
      <c r="F14" s="181">
        <f t="shared" si="2"/>
        <v>1448.1943385110767</v>
      </c>
      <c r="G14" s="181">
        <f t="shared" si="2"/>
        <v>1943.5751481112027</v>
      </c>
      <c r="H14" s="181">
        <f t="shared" si="2"/>
        <v>1678.0256562638369</v>
      </c>
      <c r="I14" s="181">
        <f t="shared" si="2"/>
        <v>1561.6515875415814</v>
      </c>
      <c r="J14" s="181">
        <f t="shared" si="2"/>
        <v>1518.6513427286052</v>
      </c>
      <c r="K14" s="181">
        <f t="shared" si="2"/>
        <v>1678.0256562638369</v>
      </c>
      <c r="L14" s="181">
        <f t="shared" si="2"/>
        <v>1561.6515875415814</v>
      </c>
    </row>
    <row r="15" spans="1:21" x14ac:dyDescent="0.35">
      <c r="A15" s="110" t="s">
        <v>150</v>
      </c>
      <c r="B15" s="180"/>
      <c r="C15" s="180"/>
      <c r="D15" s="180"/>
      <c r="E15" s="180"/>
      <c r="F15" s="180"/>
      <c r="G15" s="180"/>
      <c r="H15" s="180"/>
      <c r="I15" s="180"/>
      <c r="J15" s="180"/>
      <c r="K15" s="180"/>
      <c r="L15" s="180"/>
    </row>
    <row r="16" spans="1:21" x14ac:dyDescent="0.35">
      <c r="A16" s="3" t="s">
        <v>151</v>
      </c>
      <c r="B16" s="19">
        <f>No_laying_hens_DK/B$14</f>
        <v>5.5224820243210113E-2</v>
      </c>
      <c r="C16" s="19">
        <f>No_laying_hens_FR/C$14</f>
        <v>5.495142813380112E-2</v>
      </c>
      <c r="D16" s="19">
        <f>No_laying_hens_DE/D$14</f>
        <v>5.5163675607905381E-2</v>
      </c>
      <c r="E16" s="19">
        <f>No_laying_hens_GR/E$14</f>
        <v>6.9051505962115831E-2</v>
      </c>
      <c r="F16" s="19">
        <f>No_laying_hens_HU/F$14</f>
        <v>6.9051505962115831E-2</v>
      </c>
      <c r="G16" s="19">
        <f>No_laying_hens_IE/G$14</f>
        <v>5.1451573713103708E-2</v>
      </c>
      <c r="H16" s="19">
        <f>No_laying_hens_IT/H$14</f>
        <v>5.9593844484268688E-2</v>
      </c>
      <c r="I16" s="19">
        <f>No_laying_hens_NL/I$14</f>
        <v>6.4034769853770185E-2</v>
      </c>
      <c r="J16" s="19">
        <f>No_laying_hens_PL/J$14</f>
        <v>6.5847898847096187E-2</v>
      </c>
      <c r="K16" s="19">
        <f>No_laying_hens_ES/K$14</f>
        <v>5.9593844484268688E-2</v>
      </c>
      <c r="L16" s="19">
        <f>No_laying_hens_SE/L$14</f>
        <v>6.4034769853770185E-2</v>
      </c>
    </row>
    <row r="17" spans="1:12" x14ac:dyDescent="0.35">
      <c r="A17" s="3"/>
      <c r="B17" s="3"/>
      <c r="C17" s="19"/>
      <c r="D17" s="19"/>
      <c r="E17" s="19"/>
      <c r="F17" s="19"/>
      <c r="G17" s="19"/>
      <c r="H17" s="19"/>
      <c r="I17" s="19"/>
      <c r="J17" s="19"/>
      <c r="K17" s="19"/>
      <c r="L17" s="19"/>
    </row>
    <row r="18" spans="1:12" x14ac:dyDescent="0.35">
      <c r="A18" s="110" t="s">
        <v>477</v>
      </c>
      <c r="B18" s="110"/>
      <c r="C18" s="19"/>
      <c r="D18" s="19"/>
      <c r="E18" s="19"/>
      <c r="F18" s="19"/>
      <c r="G18" s="19"/>
      <c r="H18" s="19"/>
      <c r="I18" s="19"/>
      <c r="J18" s="19"/>
      <c r="K18" s="19"/>
      <c r="L18" s="19"/>
    </row>
    <row r="19" spans="1:12" x14ac:dyDescent="0.35">
      <c r="A19" s="3" t="s">
        <v>479</v>
      </c>
      <c r="B19" s="3"/>
      <c r="C19" s="179">
        <f>16*1000/60</f>
        <v>266.66666666666669</v>
      </c>
      <c r="D19" s="185"/>
      <c r="E19" s="185"/>
      <c r="F19" s="185"/>
      <c r="G19" s="185"/>
      <c r="H19" s="185"/>
      <c r="I19" s="185"/>
      <c r="J19" s="185"/>
      <c r="K19" s="185"/>
      <c r="L19" s="185"/>
    </row>
    <row r="20" spans="1:12" x14ac:dyDescent="0.35">
      <c r="A20" s="3" t="s">
        <v>478</v>
      </c>
      <c r="B20" s="3"/>
      <c r="C20" s="251">
        <f>C19/2</f>
        <v>133.33333333333334</v>
      </c>
      <c r="L20" s="16"/>
    </row>
    <row r="21" spans="1:12" x14ac:dyDescent="0.35">
      <c r="A21" s="3" t="s">
        <v>480</v>
      </c>
      <c r="B21" s="3"/>
      <c r="C21">
        <f>1/C20</f>
        <v>7.4999999999999997E-3</v>
      </c>
    </row>
    <row r="22" spans="1:12" x14ac:dyDescent="0.35">
      <c r="A22" s="3" t="s">
        <v>481</v>
      </c>
      <c r="B22" s="3"/>
      <c r="C22">
        <f>C21/18</f>
        <v>4.1666666666666664E-4</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4" tint="0.39997558519241921"/>
  </sheetPr>
  <dimension ref="A2:R66"/>
  <sheetViews>
    <sheetView topLeftCell="D1" zoomScale="80" zoomScaleNormal="80" workbookViewId="0">
      <selection activeCell="N12" sqref="N12"/>
    </sheetView>
  </sheetViews>
  <sheetFormatPr defaultColWidth="8.90625" defaultRowHeight="14.5" x14ac:dyDescent="0.35"/>
  <cols>
    <col min="1" max="1" width="55.90625" customWidth="1"/>
    <col min="2" max="2" width="10.6328125" customWidth="1"/>
    <col min="3" max="11" width="10.54296875" customWidth="1"/>
    <col min="12" max="12" width="10.54296875" style="171" customWidth="1"/>
    <col min="14" max="14" width="29.453125" customWidth="1"/>
    <col min="15" max="15" width="24.453125" customWidth="1"/>
  </cols>
  <sheetData>
    <row r="2" spans="1:16" ht="18.5" customHeight="1" x14ac:dyDescent="0.45">
      <c r="A2" s="1" t="s">
        <v>152</v>
      </c>
      <c r="B2" s="1"/>
    </row>
    <row r="3" spans="1:16" x14ac:dyDescent="0.35">
      <c r="B3" t="s">
        <v>482</v>
      </c>
      <c r="C3" t="s">
        <v>84</v>
      </c>
      <c r="D3" t="s">
        <v>85</v>
      </c>
      <c r="E3" t="s">
        <v>86</v>
      </c>
      <c r="F3" t="s">
        <v>87</v>
      </c>
      <c r="G3" t="s">
        <v>88</v>
      </c>
      <c r="H3" t="s">
        <v>89</v>
      </c>
      <c r="I3" t="s">
        <v>90</v>
      </c>
      <c r="J3" t="s">
        <v>91</v>
      </c>
      <c r="K3" t="s">
        <v>92</v>
      </c>
      <c r="L3" s="17" t="s">
        <v>93</v>
      </c>
      <c r="N3" t="s">
        <v>153</v>
      </c>
    </row>
    <row r="4" spans="1:16" x14ac:dyDescent="0.35">
      <c r="A4" s="123" t="s">
        <v>154</v>
      </c>
      <c r="B4" s="123" t="s">
        <v>155</v>
      </c>
      <c r="C4" s="123" t="s">
        <v>36</v>
      </c>
      <c r="D4" s="123" t="s">
        <v>33</v>
      </c>
      <c r="E4" s="123" t="s">
        <v>31</v>
      </c>
      <c r="F4" s="123" t="s">
        <v>40</v>
      </c>
      <c r="G4" s="123" t="s">
        <v>37</v>
      </c>
      <c r="H4" s="123" t="s">
        <v>39</v>
      </c>
      <c r="I4" s="123" t="s">
        <v>32</v>
      </c>
      <c r="J4" s="123" t="s">
        <v>30</v>
      </c>
      <c r="K4" s="123" t="s">
        <v>38</v>
      </c>
      <c r="L4" s="123" t="s">
        <v>34</v>
      </c>
      <c r="N4" s="123" t="s">
        <v>34</v>
      </c>
      <c r="O4" s="123" t="s">
        <v>41</v>
      </c>
      <c r="P4" s="123" t="s">
        <v>155</v>
      </c>
    </row>
    <row r="5" spans="1:16" x14ac:dyDescent="0.35">
      <c r="A5" s="3" t="s">
        <v>156</v>
      </c>
      <c r="B5" s="13">
        <v>532</v>
      </c>
      <c r="C5" s="13">
        <v>532</v>
      </c>
      <c r="D5" s="13">
        <v>532</v>
      </c>
      <c r="E5" s="13">
        <v>532</v>
      </c>
      <c r="F5" s="13">
        <v>532</v>
      </c>
      <c r="G5" s="13">
        <v>532</v>
      </c>
      <c r="H5" s="13">
        <v>532</v>
      </c>
      <c r="I5" s="13">
        <v>532</v>
      </c>
      <c r="J5" s="13">
        <v>532</v>
      </c>
      <c r="K5" s="13">
        <v>532</v>
      </c>
      <c r="L5" s="13">
        <v>532</v>
      </c>
      <c r="N5" s="92" t="s">
        <v>157</v>
      </c>
      <c r="O5" s="92"/>
    </row>
    <row r="6" spans="1:16" x14ac:dyDescent="0.35">
      <c r="A6" s="3" t="s">
        <v>499</v>
      </c>
      <c r="B6" s="301">
        <v>126</v>
      </c>
      <c r="C6" s="301">
        <v>126</v>
      </c>
      <c r="D6" s="301">
        <v>126</v>
      </c>
      <c r="E6" s="301">
        <v>126</v>
      </c>
      <c r="F6" s="301">
        <v>126</v>
      </c>
      <c r="G6" s="301">
        <v>126</v>
      </c>
      <c r="H6" s="301">
        <v>126</v>
      </c>
      <c r="I6" s="301">
        <v>126</v>
      </c>
      <c r="J6" s="301">
        <v>126</v>
      </c>
      <c r="K6" s="301">
        <v>126</v>
      </c>
      <c r="L6" s="301">
        <v>126</v>
      </c>
    </row>
    <row r="7" spans="1:16" x14ac:dyDescent="0.35">
      <c r="A7" s="3" t="s">
        <v>500</v>
      </c>
      <c r="B7">
        <f>'Parameters, country spec'!B5-'Parameters, country spec'!B6</f>
        <v>406</v>
      </c>
      <c r="C7">
        <f>'Parameters, country spec'!C5-'Parameters, country spec'!C6</f>
        <v>406</v>
      </c>
      <c r="D7">
        <f>'Parameters, country spec'!D5-'Parameters, country spec'!D6</f>
        <v>406</v>
      </c>
      <c r="E7">
        <f>'Parameters, country spec'!E5-'Parameters, country spec'!E6</f>
        <v>406</v>
      </c>
      <c r="F7">
        <f>'Parameters, country spec'!F5-'Parameters, country spec'!F6</f>
        <v>406</v>
      </c>
      <c r="G7">
        <f>'Parameters, country spec'!G5-'Parameters, country spec'!G6</f>
        <v>406</v>
      </c>
      <c r="H7">
        <f>'Parameters, country spec'!H5-'Parameters, country spec'!H6</f>
        <v>406</v>
      </c>
      <c r="I7">
        <f>'Parameters, country spec'!I5-'Parameters, country spec'!I6</f>
        <v>406</v>
      </c>
      <c r="J7">
        <f>'Parameters, country spec'!J5-'Parameters, country spec'!J6</f>
        <v>406</v>
      </c>
      <c r="K7">
        <f>'Parameters, country spec'!K5-'Parameters, country spec'!K6</f>
        <v>406</v>
      </c>
      <c r="L7">
        <f>'Parameters, country spec'!L5-'Parameters, country spec'!L6</f>
        <v>406</v>
      </c>
    </row>
    <row r="8" spans="1:16" x14ac:dyDescent="0.35">
      <c r="A8" s="3" t="s">
        <v>158</v>
      </c>
      <c r="B8" s="13">
        <v>10</v>
      </c>
      <c r="C8" s="13">
        <v>10</v>
      </c>
      <c r="D8" s="13">
        <v>10</v>
      </c>
      <c r="E8" s="13">
        <v>10</v>
      </c>
      <c r="F8" s="13">
        <v>10</v>
      </c>
      <c r="G8" s="13">
        <v>10</v>
      </c>
      <c r="H8" s="13">
        <v>10</v>
      </c>
      <c r="I8" s="13">
        <v>10</v>
      </c>
      <c r="J8" s="13">
        <v>10</v>
      </c>
      <c r="K8" s="13">
        <v>10</v>
      </c>
      <c r="L8" s="13">
        <v>10</v>
      </c>
      <c r="N8" s="198" t="s">
        <v>494</v>
      </c>
      <c r="O8" s="92"/>
    </row>
    <row r="9" spans="1:16" x14ac:dyDescent="0.35">
      <c r="A9" s="3" t="s">
        <v>159</v>
      </c>
      <c r="B9" s="13">
        <v>1.4</v>
      </c>
      <c r="C9" s="13">
        <v>1.4</v>
      </c>
      <c r="D9" s="13">
        <v>1.4</v>
      </c>
      <c r="E9" s="13">
        <v>1.4</v>
      </c>
      <c r="F9" s="13">
        <v>1.4</v>
      </c>
      <c r="G9" s="13">
        <v>1.4</v>
      </c>
      <c r="H9" s="13">
        <v>1.4</v>
      </c>
      <c r="I9" s="13">
        <v>1.4</v>
      </c>
      <c r="J9" s="13">
        <v>1.4</v>
      </c>
      <c r="K9" s="13">
        <v>1.4</v>
      </c>
      <c r="L9" s="13">
        <v>1.4</v>
      </c>
      <c r="N9" s="92" t="s">
        <v>160</v>
      </c>
      <c r="O9" s="92"/>
    </row>
    <row r="10" spans="1:16" x14ac:dyDescent="0.35">
      <c r="A10" s="3" t="s">
        <v>161</v>
      </c>
      <c r="B10" s="13">
        <v>0.77</v>
      </c>
      <c r="C10" s="13">
        <v>0.77</v>
      </c>
      <c r="D10" s="13">
        <v>0.77</v>
      </c>
      <c r="E10" s="13">
        <v>0.77</v>
      </c>
      <c r="F10" s="13">
        <v>0.77</v>
      </c>
      <c r="G10" s="13">
        <v>0.77</v>
      </c>
      <c r="H10" s="13">
        <v>0.77</v>
      </c>
      <c r="I10" s="13">
        <v>0.77</v>
      </c>
      <c r="J10" s="13">
        <v>0.77</v>
      </c>
      <c r="K10" s="13">
        <v>0.77</v>
      </c>
      <c r="L10" s="13">
        <v>0.77</v>
      </c>
      <c r="N10" s="92" t="s">
        <v>162</v>
      </c>
      <c r="O10" s="92"/>
    </row>
    <row r="11" spans="1:16" x14ac:dyDescent="0.35">
      <c r="A11" s="3" t="s">
        <v>163</v>
      </c>
      <c r="B11" s="291">
        <v>18</v>
      </c>
      <c r="C11" s="121">
        <f>'Egg yield'!X23</f>
        <v>18.090089189796888</v>
      </c>
      <c r="D11" s="121">
        <f>'Egg yield'!X19</f>
        <v>18.020071085093036</v>
      </c>
      <c r="E11" s="121">
        <f>F11</f>
        <v>14.374143385110767</v>
      </c>
      <c r="F11" s="121">
        <f>'Egg yield'!X29</f>
        <v>14.374143385110767</v>
      </c>
      <c r="G11" s="121">
        <f>'Egg yield'!X21</f>
        <v>19.327951481112027</v>
      </c>
      <c r="H11" s="121">
        <f>K11</f>
        <v>16.67245656263837</v>
      </c>
      <c r="I11" s="121">
        <f>L11</f>
        <v>15.508715875415815</v>
      </c>
      <c r="J11" s="121">
        <f>'Egg yield'!X31</f>
        <v>15.078713427286052</v>
      </c>
      <c r="K11" s="121">
        <f>'Egg yield'!X22</f>
        <v>16.67245656263837</v>
      </c>
      <c r="L11" s="121">
        <f>'Egg yield'!J55</f>
        <v>15.508715875415815</v>
      </c>
      <c r="N11" s="92" t="s">
        <v>164</v>
      </c>
      <c r="O11" s="92"/>
      <c r="P11" s="92" t="s">
        <v>484</v>
      </c>
    </row>
    <row r="12" spans="1:16" x14ac:dyDescent="0.35">
      <c r="A12" s="3" t="s">
        <v>165</v>
      </c>
      <c r="B12" s="292">
        <v>6.7</v>
      </c>
      <c r="C12" s="14">
        <v>3.5</v>
      </c>
      <c r="D12" s="14">
        <v>4</v>
      </c>
      <c r="E12" s="14">
        <v>3.5</v>
      </c>
      <c r="F12" s="14">
        <v>3</v>
      </c>
      <c r="G12" s="14">
        <v>3.5</v>
      </c>
      <c r="H12" s="14">
        <v>3.5</v>
      </c>
      <c r="I12" s="14">
        <v>4</v>
      </c>
      <c r="J12" s="14">
        <v>3</v>
      </c>
      <c r="K12" s="14">
        <v>3</v>
      </c>
      <c r="L12" s="14">
        <v>4</v>
      </c>
      <c r="N12" s="92" t="s">
        <v>166</v>
      </c>
      <c r="O12" s="92"/>
    </row>
    <row r="13" spans="1:16" x14ac:dyDescent="0.35">
      <c r="N13" s="93"/>
      <c r="O13" s="92"/>
    </row>
    <row r="14" spans="1:16" x14ac:dyDescent="0.35">
      <c r="A14" s="123" t="s">
        <v>167</v>
      </c>
      <c r="B14" s="123"/>
      <c r="C14" s="123"/>
      <c r="D14" s="123"/>
      <c r="E14" s="123"/>
      <c r="F14" s="123"/>
      <c r="G14" s="123"/>
      <c r="H14" s="123"/>
      <c r="I14" s="123"/>
      <c r="J14" s="123"/>
      <c r="K14" s="123"/>
      <c r="L14" s="175"/>
      <c r="N14" s="93"/>
      <c r="O14" s="92"/>
    </row>
    <row r="15" spans="1:16" x14ac:dyDescent="0.35">
      <c r="A15" s="88" t="s">
        <v>168</v>
      </c>
      <c r="B15" s="77">
        <v>0.16402988956347131</v>
      </c>
      <c r="C15" s="77">
        <v>0.16402988956347131</v>
      </c>
      <c r="D15" s="77">
        <v>0.1435440309091161</v>
      </c>
      <c r="E15" s="77">
        <v>0.17624165446480369</v>
      </c>
      <c r="F15" s="77">
        <v>9.4621646910172968E-2</v>
      </c>
      <c r="G15" s="77">
        <v>1.5696345190060228E-2</v>
      </c>
      <c r="H15" s="77">
        <v>8.7634739536272627E-2</v>
      </c>
      <c r="I15" s="77">
        <v>9.5526549752842554E-2</v>
      </c>
      <c r="J15" s="77">
        <v>0.2173795631525704</v>
      </c>
      <c r="K15" s="77">
        <v>0.25867404183720522</v>
      </c>
      <c r="L15" s="77">
        <v>0.1343058366954886</v>
      </c>
      <c r="N15" s="93" t="s">
        <v>169</v>
      </c>
      <c r="O15" s="92"/>
    </row>
    <row r="16" spans="1:16" x14ac:dyDescent="0.35">
      <c r="A16" s="89" t="s">
        <v>170</v>
      </c>
      <c r="B16" s="77">
        <v>0.26979047748052709</v>
      </c>
      <c r="C16" s="77">
        <v>0.26979047748052709</v>
      </c>
      <c r="D16" s="77">
        <v>0.2137111814189753</v>
      </c>
      <c r="E16" s="77">
        <v>0.52712316765456624</v>
      </c>
      <c r="F16" s="77">
        <v>0.56124001601073992</v>
      </c>
      <c r="G16" s="77">
        <v>4.3262189278547086E-3</v>
      </c>
      <c r="H16" s="77">
        <v>0.57303226549823605</v>
      </c>
      <c r="I16" s="77">
        <v>0.28688514594124209</v>
      </c>
      <c r="J16" s="77">
        <v>0.29778613267856158</v>
      </c>
      <c r="K16" s="77">
        <v>0.34116788941693649</v>
      </c>
      <c r="L16" s="77">
        <v>5.9748696560920867E-3</v>
      </c>
      <c r="N16" s="93"/>
      <c r="O16" s="92"/>
    </row>
    <row r="17" spans="1:18" x14ac:dyDescent="0.35">
      <c r="A17" s="89" t="s">
        <v>171</v>
      </c>
      <c r="B17" s="77">
        <v>1.8587387131106831E-2</v>
      </c>
      <c r="C17" s="77">
        <v>1.8587387131106831E-2</v>
      </c>
      <c r="D17" s="77">
        <v>2.857298319366468E-5</v>
      </c>
      <c r="E17" s="77">
        <v>4.7896893432639032E-2</v>
      </c>
      <c r="F17" s="77">
        <v>5.0680010317105902E-2</v>
      </c>
      <c r="G17" s="77">
        <v>9.0473725401480211E-4</v>
      </c>
      <c r="H17" s="77">
        <v>1.8199416246980429E-2</v>
      </c>
      <c r="I17" s="77">
        <v>3.1378297013894309E-3</v>
      </c>
      <c r="J17" s="77">
        <v>6.5103880953803588E-3</v>
      </c>
      <c r="K17" s="77">
        <v>4.0331815431012892E-2</v>
      </c>
      <c r="L17" s="77">
        <v>0.146104563813133</v>
      </c>
      <c r="N17" s="93"/>
      <c r="O17" s="92"/>
    </row>
    <row r="18" spans="1:18" x14ac:dyDescent="0.35">
      <c r="A18" s="89" t="s">
        <v>172</v>
      </c>
      <c r="B18" s="77">
        <v>2.85446978296886E-3</v>
      </c>
      <c r="C18" s="77">
        <v>2.85446978296886E-3</v>
      </c>
      <c r="D18" s="77">
        <v>2.344773715143467E-2</v>
      </c>
      <c r="E18" s="77">
        <v>1.056436574017274E-2</v>
      </c>
      <c r="F18" s="77">
        <v>1.9697569305132029E-2</v>
      </c>
      <c r="G18" s="77">
        <v>0</v>
      </c>
      <c r="H18" s="77">
        <v>1.4500630224108489E-3</v>
      </c>
      <c r="I18" s="77">
        <v>1.180760891727785E-2</v>
      </c>
      <c r="J18" s="77">
        <v>8.5001790646556635E-2</v>
      </c>
      <c r="K18" s="77">
        <v>1.0645865256161581E-2</v>
      </c>
      <c r="L18" s="77">
        <v>9.236749949865944E-5</v>
      </c>
      <c r="N18" s="93"/>
      <c r="O18" s="92"/>
    </row>
    <row r="19" spans="1:18" x14ac:dyDescent="0.35">
      <c r="A19" s="90" t="s">
        <v>173</v>
      </c>
      <c r="B19" s="77">
        <v>0.39960951046637888</v>
      </c>
      <c r="C19" s="77">
        <v>0.39960951046637888</v>
      </c>
      <c r="D19" s="77">
        <v>0.47946147932032229</v>
      </c>
      <c r="E19" s="77">
        <v>7.5759890638728566E-3</v>
      </c>
      <c r="F19" s="77">
        <v>8.8612672319940383E-2</v>
      </c>
      <c r="G19" s="77">
        <v>6.7415867076212046E-3</v>
      </c>
      <c r="H19" s="77">
        <v>8.3008572023096597E-2</v>
      </c>
      <c r="I19" s="77">
        <v>0.32323260195937931</v>
      </c>
      <c r="J19" s="77">
        <v>0.34177560689413961</v>
      </c>
      <c r="K19" s="77">
        <v>0.21912340485214171</v>
      </c>
      <c r="L19" s="77">
        <v>0.58258426025934973</v>
      </c>
      <c r="N19" s="93"/>
      <c r="O19" s="92"/>
    </row>
    <row r="20" spans="1:18" x14ac:dyDescent="0.35">
      <c r="A20" s="89" t="s">
        <v>174</v>
      </c>
      <c r="B20" s="77">
        <v>0</v>
      </c>
      <c r="C20" s="77">
        <v>0</v>
      </c>
      <c r="D20" s="77">
        <v>6.205919903371391E-4</v>
      </c>
      <c r="E20" s="77">
        <v>5.2541698729789991E-4</v>
      </c>
      <c r="F20" s="77">
        <v>9.055122364146367E-4</v>
      </c>
      <c r="G20" s="77">
        <v>1.991421252024156E-4</v>
      </c>
      <c r="H20" s="77">
        <v>1.927136550134527E-3</v>
      </c>
      <c r="I20" s="77">
        <v>0</v>
      </c>
      <c r="J20" s="77">
        <v>8.3086315099621146E-4</v>
      </c>
      <c r="K20" s="77">
        <v>3.4365153377819389E-3</v>
      </c>
      <c r="L20" s="77">
        <v>4.9593085693149293E-3</v>
      </c>
      <c r="N20" s="92"/>
      <c r="O20" s="92"/>
    </row>
    <row r="21" spans="1:18" x14ac:dyDescent="0.35">
      <c r="A21" s="89" t="s">
        <v>175</v>
      </c>
      <c r="B21" s="77">
        <v>0</v>
      </c>
      <c r="C21" s="77">
        <v>0</v>
      </c>
      <c r="D21" s="77">
        <v>6.0962584419075097E-4</v>
      </c>
      <c r="E21" s="77">
        <v>5.1613262720405463E-4</v>
      </c>
      <c r="F21" s="77">
        <v>8.8951141806825748E-4</v>
      </c>
      <c r="G21" s="77">
        <v>1.956231921202263E-4</v>
      </c>
      <c r="H21" s="77">
        <v>1.8930831597192171E-3</v>
      </c>
      <c r="I21" s="77">
        <v>0</v>
      </c>
      <c r="J21" s="77">
        <v>8.1618141653563262E-4</v>
      </c>
      <c r="K21" s="77">
        <v>3.3757905268185459E-3</v>
      </c>
      <c r="L21" s="77">
        <v>4.8716753013175436E-3</v>
      </c>
      <c r="N21" s="92"/>
      <c r="O21" s="92"/>
    </row>
    <row r="22" spans="1:18" x14ac:dyDescent="0.35">
      <c r="A22" s="89" t="s">
        <v>177</v>
      </c>
      <c r="B22" s="77">
        <v>4.3850784569502733E-2</v>
      </c>
      <c r="C22" s="77">
        <v>4.3850784569502733E-2</v>
      </c>
      <c r="D22" s="77">
        <v>6.2756108199759894E-2</v>
      </c>
      <c r="E22" s="77">
        <v>5.7339277577128883E-4</v>
      </c>
      <c r="F22" s="77">
        <v>3.9081132627509529E-4</v>
      </c>
      <c r="G22" s="77">
        <v>1.066163161801318E-2</v>
      </c>
      <c r="H22" s="77">
        <v>3.2461288333790871E-3</v>
      </c>
      <c r="I22" s="77">
        <v>5.2461984284283551E-2</v>
      </c>
      <c r="J22" s="77">
        <v>5.988480966048656E-3</v>
      </c>
      <c r="K22" s="77">
        <v>9.9524742143764257E-3</v>
      </c>
      <c r="L22" s="77">
        <v>2.1892083763360489E-2</v>
      </c>
      <c r="N22" s="92"/>
      <c r="O22" s="92"/>
    </row>
    <row r="23" spans="1:18" x14ac:dyDescent="0.35">
      <c r="A23" s="89" t="s">
        <v>179</v>
      </c>
      <c r="B23" s="77">
        <v>3.9507741172757453E-2</v>
      </c>
      <c r="C23" s="77">
        <v>3.9507741172757453E-2</v>
      </c>
      <c r="D23" s="77">
        <v>6.029992977299907E-2</v>
      </c>
      <c r="E23" s="77">
        <v>0.1010354992810391</v>
      </c>
      <c r="F23" s="77">
        <v>7.4520089695706837E-2</v>
      </c>
      <c r="G23" s="77">
        <v>2.0288138727708259E-2</v>
      </c>
      <c r="H23" s="77">
        <v>8.0143174333338049E-2</v>
      </c>
      <c r="I23" s="77">
        <v>6.7752088819631406E-2</v>
      </c>
      <c r="J23" s="77">
        <v>2.088761505982905E-2</v>
      </c>
      <c r="K23" s="77">
        <v>8.507721741542934E-2</v>
      </c>
      <c r="L23" s="77">
        <v>3.411102350419503E-2</v>
      </c>
      <c r="N23" s="92"/>
    </row>
    <row r="24" spans="1:18" x14ac:dyDescent="0.35">
      <c r="A24" s="89" t="s">
        <v>181</v>
      </c>
      <c r="B24" s="77">
        <v>3.6206796949373683E-2</v>
      </c>
      <c r="C24" s="77">
        <v>3.6206796949373683E-2</v>
      </c>
      <c r="D24" s="77">
        <v>1.202935742430772E-2</v>
      </c>
      <c r="E24" s="77">
        <v>6.3687941219233005E-2</v>
      </c>
      <c r="F24" s="77">
        <v>5.8765674595574857E-2</v>
      </c>
      <c r="G24" s="77">
        <v>2.0037841928894622E-2</v>
      </c>
      <c r="H24" s="77">
        <v>8.4604092546848059E-2</v>
      </c>
      <c r="I24" s="77">
        <v>7.382094479672017E-3</v>
      </c>
      <c r="J24" s="77">
        <v>1.0222176972034411E-2</v>
      </c>
      <c r="K24" s="77">
        <v>1.307108167649881E-2</v>
      </c>
      <c r="L24" s="77">
        <v>2.7931248345105159E-2</v>
      </c>
      <c r="N24" s="92"/>
      <c r="O24" s="4"/>
    </row>
    <row r="25" spans="1:18" x14ac:dyDescent="0.35">
      <c r="A25" s="89" t="s">
        <v>183</v>
      </c>
      <c r="B25" s="77">
        <v>2.556294288391299E-2</v>
      </c>
      <c r="C25" s="77">
        <v>2.556294288391299E-2</v>
      </c>
      <c r="D25" s="77">
        <v>3.491384985363475E-3</v>
      </c>
      <c r="E25" s="77">
        <v>6.4259546753399996E-2</v>
      </c>
      <c r="F25" s="77">
        <v>4.9676485864869203E-2</v>
      </c>
      <c r="G25" s="77">
        <v>0.92094873432851032</v>
      </c>
      <c r="H25" s="77">
        <v>6.4861328249584266E-2</v>
      </c>
      <c r="I25" s="77">
        <v>0.15181409614428171</v>
      </c>
      <c r="J25" s="77">
        <v>1.2801200967347369E-2</v>
      </c>
      <c r="K25" s="77">
        <v>1.5143904035636979E-2</v>
      </c>
      <c r="L25" s="77">
        <v>3.7172762593144858E-2</v>
      </c>
      <c r="N25" s="92"/>
      <c r="O25" s="4"/>
    </row>
    <row r="26" spans="1:18" x14ac:dyDescent="0.35">
      <c r="A26" s="3"/>
      <c r="B26" s="13"/>
      <c r="C26" s="13"/>
      <c r="D26" s="13"/>
      <c r="E26" s="13"/>
      <c r="F26" s="13"/>
      <c r="G26" s="13"/>
      <c r="H26" s="13"/>
      <c r="I26" s="13"/>
      <c r="J26" s="13"/>
      <c r="K26" s="13"/>
      <c r="N26" s="92"/>
    </row>
    <row r="27" spans="1:18" x14ac:dyDescent="0.35">
      <c r="A27" s="89" t="s">
        <v>186</v>
      </c>
      <c r="B27" s="11">
        <f t="shared" ref="B27:L27" si="0">SUM(B15:B19)</f>
        <v>0.85487173442445297</v>
      </c>
      <c r="C27" s="11">
        <f t="shared" si="0"/>
        <v>0.85487173442445297</v>
      </c>
      <c r="D27" s="11">
        <f t="shared" si="0"/>
        <v>0.86019300178304203</v>
      </c>
      <c r="E27" s="11">
        <f t="shared" si="0"/>
        <v>0.76940207035605446</v>
      </c>
      <c r="F27" s="11">
        <f t="shared" si="0"/>
        <v>0.81485191486309116</v>
      </c>
      <c r="G27" s="11">
        <f t="shared" si="0"/>
        <v>2.7668888079550945E-2</v>
      </c>
      <c r="H27" s="11">
        <f t="shared" si="0"/>
        <v>0.76332505632699654</v>
      </c>
      <c r="I27" s="11">
        <f t="shared" si="0"/>
        <v>0.72058973627213119</v>
      </c>
      <c r="J27" s="11">
        <f t="shared" si="0"/>
        <v>0.94845348146720854</v>
      </c>
      <c r="K27" s="11">
        <f t="shared" si="0"/>
        <v>0.86994301679345787</v>
      </c>
      <c r="L27" s="18">
        <f t="shared" si="0"/>
        <v>0.86906189792356203</v>
      </c>
    </row>
    <row r="28" spans="1:18" x14ac:dyDescent="0.35">
      <c r="L28" s="172"/>
    </row>
    <row r="29" spans="1:18" x14ac:dyDescent="0.35">
      <c r="A29" s="123" t="s">
        <v>187</v>
      </c>
      <c r="B29" s="123"/>
      <c r="C29" s="123"/>
      <c r="D29" s="123"/>
      <c r="E29" s="123"/>
      <c r="F29" s="123"/>
      <c r="G29" s="123"/>
      <c r="H29" s="123"/>
      <c r="I29" s="123"/>
      <c r="J29" s="123"/>
      <c r="K29" s="123"/>
      <c r="L29" s="175"/>
      <c r="N29" s="173" t="s">
        <v>188</v>
      </c>
      <c r="O29" s="173" t="s">
        <v>41</v>
      </c>
    </row>
    <row r="30" spans="1:18" x14ac:dyDescent="0.35">
      <c r="A30" s="3" t="s">
        <v>189</v>
      </c>
      <c r="B30" s="15">
        <v>2.4273110493299299</v>
      </c>
      <c r="C30" s="15">
        <v>2.4273110493299299</v>
      </c>
      <c r="D30" s="15">
        <v>2.4273110493299299</v>
      </c>
      <c r="E30" s="15">
        <v>2.4273110493299299</v>
      </c>
      <c r="F30" s="15">
        <v>2.4273110493299299</v>
      </c>
      <c r="G30" s="15">
        <v>2.4273110493299299</v>
      </c>
      <c r="H30" s="15">
        <v>2.4273110493299299</v>
      </c>
      <c r="I30" s="15">
        <v>2.4273110493299299</v>
      </c>
      <c r="J30" s="15">
        <v>2.4273110493299299</v>
      </c>
      <c r="K30" s="15">
        <v>2.4273110493299299</v>
      </c>
      <c r="L30" s="15">
        <v>2.4273110493299299</v>
      </c>
      <c r="N30" s="93" t="s">
        <v>190</v>
      </c>
      <c r="O30" s="93" t="s">
        <v>485</v>
      </c>
    </row>
    <row r="31" spans="1:18" x14ac:dyDescent="0.35">
      <c r="L31" s="17"/>
    </row>
    <row r="32" spans="1:18" x14ac:dyDescent="0.35">
      <c r="A32" s="123" t="s">
        <v>191</v>
      </c>
      <c r="B32" s="123"/>
      <c r="C32" s="123"/>
      <c r="D32" s="123"/>
      <c r="E32" s="123"/>
      <c r="F32" s="123"/>
      <c r="G32" s="123"/>
      <c r="H32" s="123"/>
      <c r="I32" s="123"/>
      <c r="J32" s="123"/>
      <c r="K32" s="123"/>
      <c r="L32" s="175"/>
      <c r="N32" s="92" t="s">
        <v>176</v>
      </c>
      <c r="R32" t="s">
        <v>192</v>
      </c>
    </row>
    <row r="33" spans="1:14" x14ac:dyDescent="0.35">
      <c r="A33" s="3" t="s">
        <v>193</v>
      </c>
      <c r="B33" s="13">
        <v>0.1</v>
      </c>
      <c r="C33" s="13">
        <v>0.1</v>
      </c>
      <c r="D33" s="13">
        <v>0.1</v>
      </c>
      <c r="E33" s="13">
        <v>0.1</v>
      </c>
      <c r="F33" s="13">
        <v>0.1</v>
      </c>
      <c r="G33" s="13">
        <v>0.1</v>
      </c>
      <c r="H33" s="13">
        <v>0.1</v>
      </c>
      <c r="I33" s="13">
        <v>0.1</v>
      </c>
      <c r="J33" s="13">
        <v>0.1</v>
      </c>
      <c r="K33" s="13">
        <v>0.1</v>
      </c>
      <c r="L33" s="13">
        <v>0.1</v>
      </c>
      <c r="N33" s="92" t="s">
        <v>178</v>
      </c>
    </row>
    <row r="34" spans="1:14" x14ac:dyDescent="0.35">
      <c r="A34" s="3" t="s">
        <v>194</v>
      </c>
      <c r="B34" s="13">
        <v>0</v>
      </c>
      <c r="C34" s="13">
        <v>0</v>
      </c>
      <c r="D34" s="13">
        <v>0</v>
      </c>
      <c r="E34" s="13">
        <v>0</v>
      </c>
      <c r="F34" s="13">
        <v>0</v>
      </c>
      <c r="G34" s="13">
        <v>0</v>
      </c>
      <c r="H34" s="13">
        <v>0</v>
      </c>
      <c r="I34" s="13">
        <v>0</v>
      </c>
      <c r="J34" s="13">
        <v>0</v>
      </c>
      <c r="K34" s="13">
        <v>0</v>
      </c>
      <c r="L34" s="13">
        <v>0</v>
      </c>
      <c r="N34" s="92" t="s">
        <v>180</v>
      </c>
    </row>
    <row r="35" spans="1:14" x14ac:dyDescent="0.35">
      <c r="A35" s="3" t="s">
        <v>195</v>
      </c>
      <c r="B35" s="13">
        <v>0</v>
      </c>
      <c r="C35" s="13">
        <v>0</v>
      </c>
      <c r="D35" s="13">
        <v>0</v>
      </c>
      <c r="E35" s="13">
        <v>0</v>
      </c>
      <c r="F35" s="13">
        <v>0</v>
      </c>
      <c r="G35" s="13">
        <v>0</v>
      </c>
      <c r="H35" s="13">
        <v>0</v>
      </c>
      <c r="I35" s="13">
        <v>0</v>
      </c>
      <c r="J35" s="13">
        <v>0</v>
      </c>
      <c r="K35" s="13">
        <v>0</v>
      </c>
      <c r="L35" s="13">
        <v>0</v>
      </c>
      <c r="N35" s="92" t="s">
        <v>182</v>
      </c>
    </row>
    <row r="36" spans="1:14" x14ac:dyDescent="0.35">
      <c r="N36" s="92" t="s">
        <v>184</v>
      </c>
    </row>
    <row r="37" spans="1:14" x14ac:dyDescent="0.35">
      <c r="A37" s="123" t="s">
        <v>196</v>
      </c>
      <c r="B37" s="123"/>
      <c r="C37" s="123"/>
      <c r="D37" s="123"/>
      <c r="E37" s="123"/>
      <c r="F37" s="123"/>
      <c r="G37" s="123"/>
      <c r="H37" s="123"/>
      <c r="I37" s="123"/>
      <c r="J37" s="123"/>
      <c r="K37" s="123"/>
      <c r="L37" s="175"/>
      <c r="N37" s="92" t="s">
        <v>185</v>
      </c>
    </row>
    <row r="38" spans="1:14" x14ac:dyDescent="0.35">
      <c r="A38" s="3" t="s">
        <v>197</v>
      </c>
      <c r="B38" s="207">
        <v>0.2</v>
      </c>
      <c r="C38" s="207">
        <v>0.2</v>
      </c>
      <c r="D38" s="207">
        <v>0.2</v>
      </c>
      <c r="E38" s="207">
        <v>0.2</v>
      </c>
      <c r="F38" s="207">
        <v>0.2</v>
      </c>
      <c r="G38" s="207">
        <v>0.2</v>
      </c>
      <c r="H38" s="207">
        <v>0.2</v>
      </c>
      <c r="I38" s="207">
        <v>0.2</v>
      </c>
      <c r="J38" s="207">
        <v>0.2</v>
      </c>
      <c r="K38" s="207">
        <v>0.2</v>
      </c>
      <c r="L38" s="298">
        <v>0.33</v>
      </c>
      <c r="M38" s="207"/>
      <c r="N38" s="197" t="s">
        <v>198</v>
      </c>
    </row>
    <row r="39" spans="1:14" x14ac:dyDescent="0.35">
      <c r="A39" s="3" t="s">
        <v>491</v>
      </c>
      <c r="B39" s="207">
        <v>0.2</v>
      </c>
      <c r="C39" s="207">
        <v>0.2</v>
      </c>
      <c r="D39" s="207">
        <v>0.2</v>
      </c>
      <c r="E39" s="207">
        <v>0.2</v>
      </c>
      <c r="F39" s="207">
        <v>0.2</v>
      </c>
      <c r="G39" s="207">
        <v>0.2</v>
      </c>
      <c r="H39" s="207">
        <v>0.2</v>
      </c>
      <c r="I39" s="207">
        <v>0.2</v>
      </c>
      <c r="J39" s="207">
        <v>0.2</v>
      </c>
      <c r="K39" s="207">
        <v>0.2</v>
      </c>
      <c r="L39" s="298">
        <f>0.018</f>
        <v>1.7999999999999999E-2</v>
      </c>
      <c r="M39" s="207"/>
      <c r="N39" s="197"/>
    </row>
    <row r="40" spans="1:14" x14ac:dyDescent="0.35">
      <c r="L40" s="172"/>
    </row>
    <row r="41" spans="1:14" x14ac:dyDescent="0.35">
      <c r="A41" s="123" t="s">
        <v>199</v>
      </c>
      <c r="B41" s="123"/>
      <c r="C41" s="123"/>
      <c r="D41" s="123"/>
      <c r="E41" s="123"/>
      <c r="F41" s="123"/>
      <c r="G41" s="123"/>
      <c r="H41" s="123"/>
      <c r="I41" s="123"/>
      <c r="J41" s="123"/>
      <c r="K41" s="123"/>
      <c r="L41" s="175"/>
      <c r="N41" s="93"/>
    </row>
    <row r="42" spans="1:14" x14ac:dyDescent="0.35">
      <c r="A42" s="3" t="s">
        <v>200</v>
      </c>
      <c r="B42" s="19">
        <f>SUMPRODUCT(B43:B46,'Parameters, general'!$B$14:$B$17)</f>
        <v>9.7389846101688715E-2</v>
      </c>
      <c r="C42" s="19">
        <f>SUMPRODUCT(C43:C46,'Parameters, general'!$B$14:$B$17)</f>
        <v>9.7389846101688715E-2</v>
      </c>
      <c r="D42" s="19">
        <f>SUMPRODUCT(D43:D46,'Parameters, general'!$B$14:$B$17)</f>
        <v>0.49559220951342314</v>
      </c>
      <c r="E42" s="19">
        <f>SUMPRODUCT(E43:E46,'Parameters, general'!$B$14:$B$17)</f>
        <v>0.68383359838017999</v>
      </c>
      <c r="F42" s="19">
        <f>SUMPRODUCT(F43:F46,'Parameters, general'!$B$14:$B$17)</f>
        <v>0.47422491295135871</v>
      </c>
      <c r="G42" s="19">
        <f>SUMPRODUCT(G43:G46,'Parameters, general'!$B$14:$B$17)</f>
        <v>0.40838708515026739</v>
      </c>
      <c r="H42" s="19">
        <f>SUMPRODUCT(H43:H46,'Parameters, general'!$B$14:$B$17)</f>
        <v>0.43143256987221246</v>
      </c>
      <c r="I42" s="19">
        <f>SUMPRODUCT(I43:I46,'Parameters, general'!$B$14:$B$17)</f>
        <v>0.53148365626410343</v>
      </c>
      <c r="J42" s="19">
        <f>SUMPRODUCT(J43:J46,'Parameters, general'!$B$14:$B$17)</f>
        <v>1.0362621395994065</v>
      </c>
      <c r="K42" s="19">
        <f>SUMPRODUCT(K43:K46,'Parameters, general'!$B$14:$B$17)</f>
        <v>0.29612656825806077</v>
      </c>
      <c r="L42" s="19">
        <f>SUMPRODUCT(L43:L46,'Parameters, general'!$B$14:$B$17)</f>
        <v>9.361010590226701E-2</v>
      </c>
      <c r="N42" s="93" t="s">
        <v>201</v>
      </c>
    </row>
    <row r="43" spans="1:14" x14ac:dyDescent="0.35">
      <c r="A43" s="3" t="s">
        <v>202</v>
      </c>
      <c r="B43" s="134">
        <v>8.7112695367499993E-2</v>
      </c>
      <c r="C43" s="134">
        <v>8.7112695367499993E-2</v>
      </c>
      <c r="D43" s="77">
        <v>0.46350339663360002</v>
      </c>
      <c r="E43" s="77">
        <v>0.63996298020209996</v>
      </c>
      <c r="F43" s="77">
        <v>0.43715184780049998</v>
      </c>
      <c r="G43" s="77">
        <v>0.3918720101247401</v>
      </c>
      <c r="H43" s="77">
        <v>0.37797633435819999</v>
      </c>
      <c r="I43" s="77">
        <v>0.49673189321139988</v>
      </c>
      <c r="J43" s="77">
        <v>0.9754510606115</v>
      </c>
      <c r="K43" s="77">
        <v>0.26811508139590001</v>
      </c>
      <c r="L43" s="77">
        <v>8.8450339728460003E-2</v>
      </c>
      <c r="N43" s="93"/>
    </row>
    <row r="44" spans="1:14" x14ac:dyDescent="0.35">
      <c r="A44" s="3" t="s">
        <v>203</v>
      </c>
      <c r="B44" s="133">
        <v>2.700762131814E-4</v>
      </c>
      <c r="C44" s="133">
        <v>2.700762131814E-4</v>
      </c>
      <c r="D44" s="133">
        <v>8.866310670443999E-4</v>
      </c>
      <c r="E44" s="133">
        <v>1.2704162262849E-3</v>
      </c>
      <c r="F44" s="133">
        <v>1.1037499887663999E-3</v>
      </c>
      <c r="G44" s="133">
        <v>4.22314047096554E-4</v>
      </c>
      <c r="H44" s="133">
        <v>1.6431484401077999E-3</v>
      </c>
      <c r="I44" s="133">
        <v>9.8347245312259998E-4</v>
      </c>
      <c r="J44" s="133">
        <v>1.87940081866364E-3</v>
      </c>
      <c r="K44" s="133">
        <v>8.28784824796E-4</v>
      </c>
      <c r="L44" s="133">
        <v>9.8278548655939986E-5</v>
      </c>
      <c r="N44" s="93"/>
    </row>
    <row r="45" spans="1:14" x14ac:dyDescent="0.35">
      <c r="A45" s="3" t="s">
        <v>204</v>
      </c>
      <c r="B45" s="133"/>
      <c r="C45" s="133"/>
      <c r="D45" s="133"/>
      <c r="E45" s="133"/>
      <c r="F45" s="133"/>
      <c r="G45" s="133"/>
      <c r="H45" s="133"/>
      <c r="I45" s="133"/>
      <c r="J45" s="133"/>
      <c r="K45" s="133"/>
      <c r="L45" s="133"/>
      <c r="N45" s="93"/>
    </row>
    <row r="46" spans="1:14" x14ac:dyDescent="0.35">
      <c r="A46" s="3" t="s">
        <v>205</v>
      </c>
      <c r="B46" s="96">
        <v>8.1643940709999986E-6</v>
      </c>
      <c r="C46" s="96">
        <v>8.1643940709999986E-6</v>
      </c>
      <c r="D46" s="96">
        <v>2.07590003E-5</v>
      </c>
      <c r="E46" s="96">
        <v>2.2022764229999999E-5</v>
      </c>
      <c r="F46" s="96">
        <v>1.5316173940000001E-5</v>
      </c>
      <c r="G46" s="96">
        <v>1.439603085E-5</v>
      </c>
      <c r="H46" s="96">
        <v>1.6448395599999999E-5</v>
      </c>
      <c r="I46" s="96">
        <v>1.9942432050000001E-5</v>
      </c>
      <c r="J46" s="96">
        <v>1.7600493009999999E-5</v>
      </c>
      <c r="K46" s="96">
        <v>1.213809188E-5</v>
      </c>
      <c r="L46" s="96">
        <v>8.172400819999999E-6</v>
      </c>
    </row>
    <row r="47" spans="1:14" x14ac:dyDescent="0.35">
      <c r="A47" s="3"/>
    </row>
    <row r="48" spans="1:14" x14ac:dyDescent="0.35">
      <c r="A48" s="123" t="s">
        <v>206</v>
      </c>
      <c r="B48" s="123" t="s">
        <v>155</v>
      </c>
      <c r="C48" s="123" t="s">
        <v>36</v>
      </c>
      <c r="D48" s="123" t="s">
        <v>33</v>
      </c>
      <c r="E48" s="123" t="s">
        <v>31</v>
      </c>
      <c r="F48" s="123" t="s">
        <v>40</v>
      </c>
      <c r="G48" s="123" t="s">
        <v>37</v>
      </c>
      <c r="H48" s="123" t="s">
        <v>39</v>
      </c>
      <c r="I48" s="123" t="s">
        <v>32</v>
      </c>
      <c r="J48" s="123" t="s">
        <v>30</v>
      </c>
      <c r="K48" s="123" t="s">
        <v>38</v>
      </c>
      <c r="L48" s="123" t="s">
        <v>34</v>
      </c>
      <c r="N48" s="93"/>
    </row>
    <row r="49" spans="1:15" x14ac:dyDescent="0.35">
      <c r="A49" s="3" t="s">
        <v>487</v>
      </c>
      <c r="B49" s="293">
        <v>3.1162677395757101</v>
      </c>
      <c r="C49" s="293">
        <v>3.1792442157854</v>
      </c>
      <c r="D49" s="293">
        <v>3.2077829821500399</v>
      </c>
      <c r="E49" s="293">
        <v>3.3911286486486398</v>
      </c>
      <c r="F49" s="293">
        <v>3.1523065430190602</v>
      </c>
      <c r="G49" s="293">
        <v>3.2030592553749302</v>
      </c>
      <c r="H49" s="293">
        <v>3.46067082188886</v>
      </c>
      <c r="I49" s="293">
        <v>3.1627724594992599</v>
      </c>
      <c r="J49" s="293">
        <v>3.0606571322894802</v>
      </c>
      <c r="K49" s="293">
        <v>3.3359411047220702</v>
      </c>
      <c r="L49" s="293">
        <v>3.0736425884123402</v>
      </c>
      <c r="M49" s="296"/>
      <c r="O49" s="93" t="s">
        <v>488</v>
      </c>
    </row>
    <row r="50" spans="1:15" x14ac:dyDescent="0.35">
      <c r="A50" s="3" t="s">
        <v>489</v>
      </c>
      <c r="B50" s="294">
        <v>0</v>
      </c>
      <c r="C50" s="294">
        <v>0</v>
      </c>
      <c r="D50" s="294">
        <v>0</v>
      </c>
      <c r="E50" s="294">
        <v>0</v>
      </c>
      <c r="F50" s="294">
        <v>0</v>
      </c>
      <c r="G50" s="294">
        <v>0</v>
      </c>
      <c r="H50" s="294">
        <v>0</v>
      </c>
      <c r="I50" s="294">
        <v>0</v>
      </c>
      <c r="J50" s="294">
        <v>0</v>
      </c>
      <c r="K50" s="294">
        <v>0</v>
      </c>
      <c r="L50" s="294">
        <v>0</v>
      </c>
      <c r="M50" s="297"/>
    </row>
    <row r="51" spans="1:15" x14ac:dyDescent="0.35">
      <c r="A51" s="3" t="s">
        <v>490</v>
      </c>
      <c r="B51" s="295">
        <v>1.40781530101208E-3</v>
      </c>
      <c r="C51" s="295">
        <v>9.4235970813619002E-4</v>
      </c>
      <c r="D51" s="295">
        <v>1.06652006786216E-3</v>
      </c>
      <c r="E51" s="295">
        <v>3.1944559944559902E-4</v>
      </c>
      <c r="F51" s="295">
        <v>1.22755160004E-3</v>
      </c>
      <c r="G51" s="295">
        <v>1.12337810764659E-3</v>
      </c>
      <c r="H51" s="295">
        <v>1.53739351711039E-4</v>
      </c>
      <c r="I51" s="295">
        <v>1.2356109771426401E-3</v>
      </c>
      <c r="J51" s="295">
        <v>1.2125413730641099E-3</v>
      </c>
      <c r="K51" s="295">
        <v>5.5574384377311695E-4</v>
      </c>
      <c r="L51" s="295">
        <v>1.6242541005520601E-3</v>
      </c>
      <c r="M51" s="296"/>
    </row>
    <row r="52" spans="1:15" x14ac:dyDescent="0.35">
      <c r="L52" s="13"/>
    </row>
    <row r="53" spans="1:15" x14ac:dyDescent="0.35">
      <c r="A53" s="123" t="s">
        <v>207</v>
      </c>
      <c r="B53" s="123"/>
      <c r="C53" s="123"/>
      <c r="D53" s="123"/>
      <c r="E53" s="123"/>
      <c r="F53" s="123"/>
      <c r="G53" s="123"/>
      <c r="H53" s="123"/>
      <c r="I53" s="123"/>
      <c r="J53" s="123"/>
      <c r="K53" s="123"/>
      <c r="L53" s="175"/>
    </row>
    <row r="54" spans="1:15" x14ac:dyDescent="0.35">
      <c r="A54" s="91" t="s">
        <v>208</v>
      </c>
      <c r="B54" s="299">
        <v>1.6E-2</v>
      </c>
      <c r="C54" s="299">
        <v>1.6E-2</v>
      </c>
      <c r="D54" s="299">
        <v>1.6E-2</v>
      </c>
      <c r="E54" s="299">
        <v>0.01</v>
      </c>
      <c r="F54" s="299">
        <v>1.6E-2</v>
      </c>
      <c r="G54" s="299">
        <v>1.6E-2</v>
      </c>
      <c r="H54" s="299">
        <v>1.6E-2</v>
      </c>
      <c r="I54" s="299">
        <v>1.6E-2</v>
      </c>
      <c r="J54" s="299">
        <v>1.6E-2</v>
      </c>
      <c r="K54" s="299">
        <v>0.01</v>
      </c>
      <c r="L54" s="299">
        <v>1.6E-2</v>
      </c>
      <c r="N54" s="300" t="s">
        <v>493</v>
      </c>
    </row>
    <row r="55" spans="1:15" x14ac:dyDescent="0.35">
      <c r="A55" s="91" t="s">
        <v>209</v>
      </c>
      <c r="B55" s="299">
        <v>6.0000000000000001E-3</v>
      </c>
      <c r="C55" s="299">
        <v>6.0000000000000001E-3</v>
      </c>
      <c r="D55" s="299">
        <v>6.0000000000000001E-3</v>
      </c>
      <c r="E55" s="299">
        <v>0.01</v>
      </c>
      <c r="F55" s="299">
        <v>6.0000000000000001E-3</v>
      </c>
      <c r="G55" s="299">
        <v>6.0000000000000001E-3</v>
      </c>
      <c r="H55" s="299">
        <v>6.0000000000000001E-3</v>
      </c>
      <c r="I55" s="299">
        <v>6.0000000000000001E-3</v>
      </c>
      <c r="J55" s="299">
        <v>6.0000000000000001E-3</v>
      </c>
      <c r="K55" s="299">
        <v>0.01</v>
      </c>
      <c r="L55" s="299">
        <v>6.0000000000000001E-3</v>
      </c>
    </row>
    <row r="56" spans="1:15" x14ac:dyDescent="0.35">
      <c r="A56" s="3" t="s">
        <v>210</v>
      </c>
      <c r="B56" s="4">
        <f t="shared" ref="B56:L56" si="1">B54-B55</f>
        <v>0.01</v>
      </c>
      <c r="C56" s="4">
        <f t="shared" si="1"/>
        <v>0.01</v>
      </c>
      <c r="D56" s="4">
        <f t="shared" si="1"/>
        <v>0.01</v>
      </c>
      <c r="E56" s="4">
        <f t="shared" si="1"/>
        <v>0</v>
      </c>
      <c r="F56" s="4">
        <f t="shared" si="1"/>
        <v>0.01</v>
      </c>
      <c r="G56" s="4">
        <f t="shared" si="1"/>
        <v>0.01</v>
      </c>
      <c r="H56" s="4">
        <f t="shared" si="1"/>
        <v>0.01</v>
      </c>
      <c r="I56" s="4">
        <f t="shared" si="1"/>
        <v>0.01</v>
      </c>
      <c r="J56" s="4">
        <f t="shared" si="1"/>
        <v>0.01</v>
      </c>
      <c r="K56" s="4">
        <f t="shared" si="1"/>
        <v>0</v>
      </c>
      <c r="L56" s="77">
        <f t="shared" si="1"/>
        <v>0.01</v>
      </c>
    </row>
    <row r="57" spans="1:15" x14ac:dyDescent="0.35">
      <c r="A57" s="91" t="s">
        <v>211</v>
      </c>
      <c r="B57" s="31">
        <v>0.1</v>
      </c>
      <c r="C57" s="31">
        <v>0.1</v>
      </c>
      <c r="D57" s="31">
        <v>0.1</v>
      </c>
      <c r="E57" s="31">
        <v>0.1</v>
      </c>
      <c r="F57" s="31">
        <v>0.1</v>
      </c>
      <c r="G57" s="31">
        <v>0.1</v>
      </c>
      <c r="H57" s="31">
        <v>0.1</v>
      </c>
      <c r="I57" s="31">
        <v>0.1</v>
      </c>
      <c r="J57" s="31">
        <v>0.1</v>
      </c>
      <c r="K57" s="31">
        <v>0.1</v>
      </c>
      <c r="L57" s="109">
        <v>0.1</v>
      </c>
    </row>
    <row r="58" spans="1:15" x14ac:dyDescent="0.35">
      <c r="A58" s="3"/>
      <c r="L58" s="13"/>
    </row>
    <row r="59" spans="1:15" x14ac:dyDescent="0.35">
      <c r="A59" s="123" t="s">
        <v>212</v>
      </c>
      <c r="B59" s="123"/>
      <c r="C59" s="123"/>
      <c r="D59" s="123"/>
      <c r="E59" s="123"/>
      <c r="F59" s="123"/>
      <c r="G59" s="123"/>
      <c r="H59" s="123"/>
      <c r="I59" s="123"/>
      <c r="J59" s="123"/>
      <c r="K59" s="123"/>
      <c r="L59" s="189"/>
      <c r="N59" s="93"/>
    </row>
    <row r="60" spans="1:15" x14ac:dyDescent="0.35">
      <c r="A60" s="91" t="s">
        <v>212</v>
      </c>
      <c r="B60" s="35">
        <v>0.5</v>
      </c>
      <c r="C60" s="35">
        <v>0.5</v>
      </c>
      <c r="D60" s="35">
        <v>0.5</v>
      </c>
      <c r="E60" s="35">
        <v>0.5</v>
      </c>
      <c r="F60" s="35">
        <v>0.5</v>
      </c>
      <c r="G60" s="35">
        <v>0.5</v>
      </c>
      <c r="H60" s="35">
        <v>0.5</v>
      </c>
      <c r="I60" s="35">
        <v>0.5</v>
      </c>
      <c r="J60" s="35">
        <v>0.5</v>
      </c>
      <c r="K60" s="35">
        <v>0.5</v>
      </c>
      <c r="L60" s="35">
        <v>0.5</v>
      </c>
      <c r="N60" s="93" t="s">
        <v>213</v>
      </c>
    </row>
    <row r="61" spans="1:15" x14ac:dyDescent="0.35">
      <c r="L61" s="13"/>
      <c r="N61" s="93"/>
    </row>
    <row r="62" spans="1:15" x14ac:dyDescent="0.35">
      <c r="A62" s="123" t="s">
        <v>214</v>
      </c>
      <c r="B62" s="123"/>
      <c r="C62" s="123"/>
      <c r="D62" s="123"/>
      <c r="E62" s="123"/>
      <c r="F62" s="123"/>
      <c r="G62" s="123"/>
      <c r="H62" s="123"/>
      <c r="I62" s="123"/>
      <c r="J62" s="123"/>
      <c r="K62" s="123"/>
      <c r="L62" s="175"/>
      <c r="N62" s="93"/>
    </row>
    <row r="63" spans="1:15" x14ac:dyDescent="0.35">
      <c r="A63" s="3" t="s">
        <v>495</v>
      </c>
      <c r="B63" s="301">
        <v>0.1925</v>
      </c>
      <c r="C63" s="301">
        <v>0.1925</v>
      </c>
      <c r="D63" s="301">
        <v>0.1925</v>
      </c>
      <c r="E63" s="301">
        <v>0.1925</v>
      </c>
      <c r="F63" s="301">
        <v>0.1925</v>
      </c>
      <c r="G63" s="301">
        <v>0.1925</v>
      </c>
      <c r="H63" s="301">
        <v>0.1925</v>
      </c>
      <c r="I63" s="301">
        <v>0.1925</v>
      </c>
      <c r="J63" s="301">
        <v>0.1925</v>
      </c>
      <c r="K63" s="301">
        <v>0.1925</v>
      </c>
      <c r="L63" s="301">
        <v>0.1925</v>
      </c>
      <c r="M63" s="301"/>
      <c r="N63" s="93" t="s">
        <v>501</v>
      </c>
    </row>
    <row r="64" spans="1:15" x14ac:dyDescent="0.35">
      <c r="A64" s="3" t="s">
        <v>496</v>
      </c>
      <c r="B64" s="301">
        <v>0.01</v>
      </c>
      <c r="C64" s="301">
        <v>0.01</v>
      </c>
      <c r="D64" s="301">
        <v>0.01</v>
      </c>
      <c r="E64" s="301">
        <v>0.01</v>
      </c>
      <c r="F64" s="301">
        <v>0.01</v>
      </c>
      <c r="G64" s="301">
        <v>0.01</v>
      </c>
      <c r="H64" s="301">
        <v>0.01</v>
      </c>
      <c r="I64" s="301">
        <v>0.01</v>
      </c>
      <c r="J64" s="301">
        <v>0.01</v>
      </c>
      <c r="K64" s="301">
        <v>0.01</v>
      </c>
      <c r="L64" s="301">
        <v>0.01</v>
      </c>
      <c r="M64" s="301"/>
    </row>
    <row r="65" spans="1:13" x14ac:dyDescent="0.35">
      <c r="A65" s="3" t="s">
        <v>497</v>
      </c>
      <c r="B65" s="301">
        <v>0.27500000000000002</v>
      </c>
      <c r="C65" s="301">
        <v>0.27500000000000002</v>
      </c>
      <c r="D65" s="301">
        <v>0.27500000000000002</v>
      </c>
      <c r="E65" s="301">
        <v>0.27500000000000002</v>
      </c>
      <c r="F65" s="301">
        <v>0.27500000000000002</v>
      </c>
      <c r="G65" s="301">
        <v>0.27500000000000002</v>
      </c>
      <c r="H65" s="301">
        <v>0.27500000000000002</v>
      </c>
      <c r="I65" s="301">
        <v>0.27500000000000002</v>
      </c>
      <c r="J65" s="301">
        <v>0.27500000000000002</v>
      </c>
      <c r="K65" s="301">
        <v>0.27500000000000002</v>
      </c>
      <c r="L65" s="301">
        <v>0.27500000000000002</v>
      </c>
      <c r="M65" s="301"/>
    </row>
    <row r="66" spans="1:13" x14ac:dyDescent="0.35">
      <c r="A66" s="3" t="s">
        <v>498</v>
      </c>
      <c r="B66" s="301">
        <v>0.15</v>
      </c>
      <c r="C66" s="301">
        <v>0.15</v>
      </c>
      <c r="D66" s="301">
        <v>0.15</v>
      </c>
      <c r="E66" s="301">
        <v>0.15</v>
      </c>
      <c r="F66" s="301">
        <v>0.15</v>
      </c>
      <c r="G66" s="301">
        <v>0.15</v>
      </c>
      <c r="H66" s="301">
        <v>0.15</v>
      </c>
      <c r="I66" s="301">
        <v>0.15</v>
      </c>
      <c r="J66" s="301">
        <v>0.15</v>
      </c>
      <c r="K66" s="301">
        <v>0.15</v>
      </c>
      <c r="L66" s="301">
        <v>0.15</v>
      </c>
      <c r="M66" s="30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66CB4-4C87-420B-ABD4-77EBBC07BACC}">
  <dimension ref="A2:Y56"/>
  <sheetViews>
    <sheetView topLeftCell="A14" workbookViewId="0">
      <selection activeCell="M24" sqref="M24"/>
    </sheetView>
  </sheetViews>
  <sheetFormatPr defaultRowHeight="14.5" x14ac:dyDescent="0.35"/>
  <cols>
    <col min="1" max="1" width="14" customWidth="1"/>
    <col min="2" max="2" width="10" customWidth="1"/>
    <col min="3" max="3" width="5" customWidth="1"/>
    <col min="4" max="4" width="10" customWidth="1"/>
    <col min="5" max="5" width="5" customWidth="1"/>
    <col min="6" max="6" width="10" customWidth="1"/>
    <col min="7" max="7" width="5" customWidth="1"/>
    <col min="8" max="8" width="10" customWidth="1"/>
    <col min="9" max="9" width="5" customWidth="1"/>
    <col min="21" max="21" width="14.90625" customWidth="1"/>
    <col min="22" max="22" width="12.453125" customWidth="1"/>
    <col min="24" max="24" width="10.453125" customWidth="1"/>
    <col min="25" max="25" width="12.90625" customWidth="1"/>
  </cols>
  <sheetData>
    <row r="2" spans="1:25" ht="21" x14ac:dyDescent="0.5">
      <c r="A2" s="2" t="s">
        <v>215</v>
      </c>
    </row>
    <row r="4" spans="1:25" x14ac:dyDescent="0.35">
      <c r="A4" s="240" t="s">
        <v>216</v>
      </c>
      <c r="K4" s="240" t="s">
        <v>217</v>
      </c>
    </row>
    <row r="5" spans="1:25" x14ac:dyDescent="0.35">
      <c r="A5" s="240" t="s">
        <v>218</v>
      </c>
      <c r="B5" s="241" t="s">
        <v>219</v>
      </c>
      <c r="K5" s="240" t="s">
        <v>218</v>
      </c>
    </row>
    <row r="6" spans="1:25" x14ac:dyDescent="0.35">
      <c r="A6" s="240" t="s">
        <v>220</v>
      </c>
      <c r="B6" s="240" t="s">
        <v>221</v>
      </c>
      <c r="K6" s="240" t="s">
        <v>220</v>
      </c>
    </row>
    <row r="8" spans="1:25" x14ac:dyDescent="0.35">
      <c r="A8" s="241" t="s">
        <v>222</v>
      </c>
      <c r="C8" s="240" t="s">
        <v>223</v>
      </c>
      <c r="K8" s="241" t="s">
        <v>222</v>
      </c>
    </row>
    <row r="9" spans="1:25" x14ac:dyDescent="0.35">
      <c r="A9" s="241" t="s">
        <v>224</v>
      </c>
      <c r="C9" s="240" t="s">
        <v>225</v>
      </c>
      <c r="K9" s="241" t="s">
        <v>224</v>
      </c>
    </row>
    <row r="10" spans="1:25" x14ac:dyDescent="0.35">
      <c r="A10" s="241" t="s">
        <v>226</v>
      </c>
      <c r="C10" s="240" t="s">
        <v>227</v>
      </c>
      <c r="K10" s="241" t="s">
        <v>226</v>
      </c>
    </row>
    <row r="11" spans="1:25" x14ac:dyDescent="0.35">
      <c r="A11" s="241" t="s">
        <v>228</v>
      </c>
      <c r="C11" s="240" t="s">
        <v>229</v>
      </c>
      <c r="K11" s="241" t="s">
        <v>228</v>
      </c>
    </row>
    <row r="13" spans="1:25" x14ac:dyDescent="0.35">
      <c r="A13" s="242" t="s">
        <v>230</v>
      </c>
      <c r="B13" s="250" t="s">
        <v>231</v>
      </c>
      <c r="C13" s="250" t="s">
        <v>232</v>
      </c>
      <c r="D13" s="250" t="s">
        <v>233</v>
      </c>
      <c r="E13" s="250" t="s">
        <v>232</v>
      </c>
      <c r="F13" s="250" t="s">
        <v>234</v>
      </c>
      <c r="G13" s="250" t="s">
        <v>232</v>
      </c>
      <c r="H13" s="250" t="s">
        <v>235</v>
      </c>
      <c r="I13" s="250" t="s">
        <v>232</v>
      </c>
      <c r="K13" s="242" t="s">
        <v>230</v>
      </c>
      <c r="L13" s="250" t="s">
        <v>231</v>
      </c>
      <c r="M13" s="250" t="s">
        <v>232</v>
      </c>
      <c r="N13" s="250" t="s">
        <v>233</v>
      </c>
      <c r="O13" s="250" t="s">
        <v>232</v>
      </c>
      <c r="P13" s="250" t="s">
        <v>234</v>
      </c>
      <c r="Q13" s="250" t="s">
        <v>232</v>
      </c>
      <c r="R13" s="250" t="s">
        <v>235</v>
      </c>
      <c r="S13" s="250" t="s">
        <v>232</v>
      </c>
      <c r="U13" s="268" t="s">
        <v>236</v>
      </c>
      <c r="V13" s="269"/>
      <c r="W13" s="269"/>
      <c r="X13" s="270"/>
    </row>
    <row r="14" spans="1:25" x14ac:dyDescent="0.35">
      <c r="A14" s="243" t="s">
        <v>237</v>
      </c>
      <c r="B14" s="244" t="s">
        <v>232</v>
      </c>
      <c r="C14" s="244" t="s">
        <v>232</v>
      </c>
      <c r="D14" s="244" t="s">
        <v>232</v>
      </c>
      <c r="E14" s="244" t="s">
        <v>232</v>
      </c>
      <c r="F14" s="244" t="s">
        <v>232</v>
      </c>
      <c r="G14" s="244" t="s">
        <v>232</v>
      </c>
      <c r="H14" s="244" t="s">
        <v>232</v>
      </c>
      <c r="I14" s="244" t="s">
        <v>232</v>
      </c>
      <c r="K14" s="243" t="s">
        <v>237</v>
      </c>
      <c r="L14" s="244" t="s">
        <v>232</v>
      </c>
      <c r="M14" s="244" t="s">
        <v>232</v>
      </c>
      <c r="N14" s="244" t="s">
        <v>232</v>
      </c>
      <c r="O14" s="244" t="s">
        <v>232</v>
      </c>
      <c r="P14" s="244" t="s">
        <v>232</v>
      </c>
      <c r="Q14" s="244" t="s">
        <v>232</v>
      </c>
      <c r="R14" s="244" t="s">
        <v>232</v>
      </c>
      <c r="S14" s="244" t="s">
        <v>232</v>
      </c>
      <c r="U14" s="252" t="s">
        <v>238</v>
      </c>
      <c r="V14" s="123" t="s">
        <v>239</v>
      </c>
      <c r="W14" s="123" t="s">
        <v>240</v>
      </c>
      <c r="X14" s="253" t="s">
        <v>241</v>
      </c>
      <c r="Y14" s="123" t="s">
        <v>242</v>
      </c>
    </row>
    <row r="15" spans="1:25" x14ac:dyDescent="0.35">
      <c r="A15" s="245" t="s">
        <v>243</v>
      </c>
      <c r="B15" s="246">
        <v>6908.9809999999998</v>
      </c>
      <c r="C15" s="247" t="s">
        <v>244</v>
      </c>
      <c r="D15" s="246">
        <v>7236.1390000000001</v>
      </c>
      <c r="E15" s="247" t="s">
        <v>244</v>
      </c>
      <c r="F15" s="247" t="s">
        <v>245</v>
      </c>
      <c r="G15" s="247" t="s">
        <v>232</v>
      </c>
      <c r="H15" s="246">
        <v>7594.4350000000004</v>
      </c>
      <c r="I15" s="247" t="s">
        <v>244</v>
      </c>
      <c r="K15" s="245" t="s">
        <v>243</v>
      </c>
      <c r="L15" s="246">
        <v>1569.93</v>
      </c>
      <c r="M15" s="247" t="s">
        <v>244</v>
      </c>
      <c r="N15" s="246">
        <v>1618.2639999999999</v>
      </c>
      <c r="O15" s="247" t="s">
        <v>244</v>
      </c>
      <c r="P15" s="247" t="s">
        <v>245</v>
      </c>
      <c r="Q15" s="247" t="s">
        <v>232</v>
      </c>
      <c r="R15" s="246">
        <v>1770.924</v>
      </c>
      <c r="S15" s="247" t="s">
        <v>244</v>
      </c>
      <c r="U15" s="254">
        <f>AVERAGE(B15:H15)</f>
        <v>7246.5183333333334</v>
      </c>
      <c r="V15" s="17">
        <f>AVERAGE(L15:R15)</f>
        <v>1653.0393333333334</v>
      </c>
      <c r="W15" s="251">
        <f>V15*1000000/(U15*1000)</f>
        <v>228.114972914579</v>
      </c>
      <c r="X15" s="255">
        <f>W15*0.06</f>
        <v>13.686898374874739</v>
      </c>
      <c r="Y15" s="4">
        <f>1/X15</f>
        <v>7.3062572148246255E-2</v>
      </c>
    </row>
    <row r="16" spans="1:25" x14ac:dyDescent="0.35">
      <c r="A16" s="245" t="s">
        <v>246</v>
      </c>
      <c r="B16" s="248">
        <v>4115</v>
      </c>
      <c r="C16" s="248" t="s">
        <v>232</v>
      </c>
      <c r="D16" s="248">
        <v>4211</v>
      </c>
      <c r="E16" s="248" t="s">
        <v>232</v>
      </c>
      <c r="F16" s="248">
        <v>4055</v>
      </c>
      <c r="G16" s="248" t="s">
        <v>232</v>
      </c>
      <c r="H16" s="248">
        <v>4640</v>
      </c>
      <c r="I16" s="248" t="s">
        <v>232</v>
      </c>
      <c r="K16" s="245" t="s">
        <v>246</v>
      </c>
      <c r="L16" s="249">
        <v>1058.2</v>
      </c>
      <c r="M16" s="248" t="s">
        <v>232</v>
      </c>
      <c r="N16" s="248">
        <v>1064</v>
      </c>
      <c r="O16" s="248" t="s">
        <v>232</v>
      </c>
      <c r="P16" s="248">
        <v>1024</v>
      </c>
      <c r="Q16" s="248" t="s">
        <v>232</v>
      </c>
      <c r="R16" s="248">
        <v>1127</v>
      </c>
      <c r="S16" s="248" t="s">
        <v>232</v>
      </c>
      <c r="U16" s="254">
        <f t="shared" ref="U16:U40" si="0">AVERAGE(B16:H16)</f>
        <v>4255.25</v>
      </c>
      <c r="V16" s="17">
        <f t="shared" ref="V16:V40" si="1">AVERAGE(L16:R16)</f>
        <v>1068.3</v>
      </c>
      <c r="W16" s="251">
        <f t="shared" ref="W16:W40" si="2">V16*1000000/(U16*1000)</f>
        <v>251.0545796369191</v>
      </c>
      <c r="X16" s="255">
        <f t="shared" ref="X16:X40" si="3">W16*0.06</f>
        <v>15.063274778215145</v>
      </c>
      <c r="Y16" s="4">
        <f t="shared" ref="Y16:Y40" si="4">1/X16</f>
        <v>6.6386626727823028E-2</v>
      </c>
    </row>
    <row r="17" spans="1:25" x14ac:dyDescent="0.35">
      <c r="A17" s="245" t="s">
        <v>247</v>
      </c>
      <c r="B17" s="246">
        <v>4984.4589999999998</v>
      </c>
      <c r="C17" s="247" t="s">
        <v>232</v>
      </c>
      <c r="D17" s="246">
        <v>5519.6220000000003</v>
      </c>
      <c r="E17" s="247" t="s">
        <v>232</v>
      </c>
      <c r="F17" s="246">
        <v>5031.0050000000001</v>
      </c>
      <c r="G17" s="247" t="s">
        <v>232</v>
      </c>
      <c r="H17" s="246">
        <v>4645.0879999999997</v>
      </c>
      <c r="I17" s="247" t="s">
        <v>232</v>
      </c>
      <c r="K17" s="245" t="s">
        <v>247</v>
      </c>
      <c r="L17" s="246">
        <v>1538.2460000000001</v>
      </c>
      <c r="M17" s="247" t="s">
        <v>232</v>
      </c>
      <c r="N17" s="246">
        <v>1573.85</v>
      </c>
      <c r="O17" s="247" t="s">
        <v>232</v>
      </c>
      <c r="P17" s="246">
        <v>1702.009</v>
      </c>
      <c r="Q17" s="247" t="s">
        <v>232</v>
      </c>
      <c r="R17" s="246">
        <v>1503.1980000000001</v>
      </c>
      <c r="S17" s="247" t="s">
        <v>232</v>
      </c>
      <c r="U17" s="254">
        <f>AVERAGE(B17:H17)</f>
        <v>5045.0434999999998</v>
      </c>
      <c r="V17" s="17">
        <f t="shared" si="1"/>
        <v>1579.32575</v>
      </c>
      <c r="W17" s="251">
        <f t="shared" si="2"/>
        <v>313.04502131646638</v>
      </c>
      <c r="X17" s="255">
        <f t="shared" si="3"/>
        <v>18.782701278987982</v>
      </c>
      <c r="Y17" s="4">
        <f t="shared" si="4"/>
        <v>5.3240478307488702E-2</v>
      </c>
    </row>
    <row r="18" spans="1:25" x14ac:dyDescent="0.35">
      <c r="A18" s="245" t="s">
        <v>155</v>
      </c>
      <c r="B18" s="248" t="s">
        <v>245</v>
      </c>
      <c r="C18" s="248" t="s">
        <v>232</v>
      </c>
      <c r="D18" s="248" t="s">
        <v>245</v>
      </c>
      <c r="E18" s="248" t="s">
        <v>232</v>
      </c>
      <c r="F18" s="248" t="s">
        <v>245</v>
      </c>
      <c r="G18" s="248" t="s">
        <v>232</v>
      </c>
      <c r="H18" s="248" t="s">
        <v>245</v>
      </c>
      <c r="I18" s="248" t="s">
        <v>232</v>
      </c>
      <c r="K18" s="245" t="s">
        <v>155</v>
      </c>
      <c r="L18" s="249">
        <v>1322.3</v>
      </c>
      <c r="M18" s="248" t="s">
        <v>232</v>
      </c>
      <c r="N18" s="248">
        <v>1436</v>
      </c>
      <c r="O18" s="248" t="s">
        <v>232</v>
      </c>
      <c r="P18" s="248" t="s">
        <v>245</v>
      </c>
      <c r="Q18" s="248" t="s">
        <v>232</v>
      </c>
      <c r="R18" s="248">
        <v>1425</v>
      </c>
      <c r="S18" s="248" t="s">
        <v>232</v>
      </c>
      <c r="U18" s="254"/>
      <c r="V18" s="17"/>
      <c r="W18" s="251"/>
      <c r="X18" s="255"/>
      <c r="Y18" s="4"/>
    </row>
    <row r="19" spans="1:25" x14ac:dyDescent="0.35">
      <c r="A19" s="245" t="s">
        <v>33</v>
      </c>
      <c r="B19" s="247">
        <v>42021</v>
      </c>
      <c r="C19" s="247" t="s">
        <v>232</v>
      </c>
      <c r="D19" s="247">
        <v>42944</v>
      </c>
      <c r="E19" s="247" t="s">
        <v>232</v>
      </c>
      <c r="F19" s="247">
        <v>43164</v>
      </c>
      <c r="G19" s="247" t="s">
        <v>232</v>
      </c>
      <c r="H19" s="247">
        <v>44059</v>
      </c>
      <c r="I19" s="247" t="s">
        <v>232</v>
      </c>
      <c r="K19" s="245" t="s">
        <v>33</v>
      </c>
      <c r="L19" s="247">
        <v>12511</v>
      </c>
      <c r="M19" s="247" t="s">
        <v>232</v>
      </c>
      <c r="N19" s="247">
        <v>12936</v>
      </c>
      <c r="O19" s="247" t="s">
        <v>232</v>
      </c>
      <c r="P19" s="247">
        <v>13043</v>
      </c>
      <c r="Q19" s="247" t="s">
        <v>232</v>
      </c>
      <c r="R19" s="247">
        <v>13224</v>
      </c>
      <c r="S19" s="247" t="s">
        <v>232</v>
      </c>
      <c r="U19" s="254">
        <f t="shared" si="0"/>
        <v>43047</v>
      </c>
      <c r="V19" s="17">
        <f t="shared" si="1"/>
        <v>12928.5</v>
      </c>
      <c r="W19" s="251">
        <f t="shared" si="2"/>
        <v>300.33451808488394</v>
      </c>
      <c r="X19" s="255">
        <f t="shared" si="3"/>
        <v>18.020071085093036</v>
      </c>
      <c r="Y19" s="4">
        <f t="shared" si="4"/>
        <v>5.5493676760645094E-2</v>
      </c>
    </row>
    <row r="20" spans="1:25" x14ac:dyDescent="0.35">
      <c r="A20" s="245" t="s">
        <v>248</v>
      </c>
      <c r="B20" s="248" t="s">
        <v>245</v>
      </c>
      <c r="C20" s="248" t="s">
        <v>232</v>
      </c>
      <c r="D20" s="249">
        <v>602.1</v>
      </c>
      <c r="E20" s="248" t="s">
        <v>232</v>
      </c>
      <c r="F20" s="248" t="s">
        <v>245</v>
      </c>
      <c r="G20" s="248" t="s">
        <v>232</v>
      </c>
      <c r="H20" s="248" t="s">
        <v>245</v>
      </c>
      <c r="I20" s="248" t="s">
        <v>232</v>
      </c>
      <c r="K20" s="245" t="s">
        <v>248</v>
      </c>
      <c r="L20" s="248" t="s">
        <v>245</v>
      </c>
      <c r="M20" s="248" t="s">
        <v>232</v>
      </c>
      <c r="N20" s="249">
        <v>144.19999999999999</v>
      </c>
      <c r="O20" s="248" t="s">
        <v>232</v>
      </c>
      <c r="P20" s="248" t="s">
        <v>245</v>
      </c>
      <c r="Q20" s="248" t="s">
        <v>232</v>
      </c>
      <c r="R20" s="248" t="s">
        <v>245</v>
      </c>
      <c r="S20" s="248" t="s">
        <v>232</v>
      </c>
      <c r="U20" s="254">
        <f t="shared" si="0"/>
        <v>602.1</v>
      </c>
      <c r="V20" s="17">
        <f t="shared" si="1"/>
        <v>144.19999999999999</v>
      </c>
      <c r="W20" s="251">
        <f t="shared" si="2"/>
        <v>239.49510048164757</v>
      </c>
      <c r="X20" s="255">
        <f t="shared" si="3"/>
        <v>14.369706028898854</v>
      </c>
      <c r="Y20" s="4">
        <f t="shared" si="4"/>
        <v>6.9590846047156721E-2</v>
      </c>
    </row>
    <row r="21" spans="1:25" x14ac:dyDescent="0.35">
      <c r="A21" s="245" t="s">
        <v>37</v>
      </c>
      <c r="B21" s="247" t="s">
        <v>245</v>
      </c>
      <c r="C21" s="247" t="s">
        <v>232</v>
      </c>
      <c r="D21" s="246">
        <v>3007.3</v>
      </c>
      <c r="E21" s="247" t="s">
        <v>232</v>
      </c>
      <c r="F21" s="246">
        <v>3195.636</v>
      </c>
      <c r="G21" s="247" t="s">
        <v>232</v>
      </c>
      <c r="H21" s="246">
        <v>3138.0859999999998</v>
      </c>
      <c r="I21" s="247" t="s">
        <v>232</v>
      </c>
      <c r="K21" s="245" t="s">
        <v>37</v>
      </c>
      <c r="L21" s="247" t="s">
        <v>245</v>
      </c>
      <c r="M21" s="247" t="s">
        <v>232</v>
      </c>
      <c r="N21" s="246">
        <v>995.2</v>
      </c>
      <c r="O21" s="247" t="s">
        <v>232</v>
      </c>
      <c r="P21" s="246">
        <v>999.14</v>
      </c>
      <c r="Q21" s="247" t="s">
        <v>232</v>
      </c>
      <c r="R21" s="246">
        <v>1014.707</v>
      </c>
      <c r="S21" s="247" t="s">
        <v>232</v>
      </c>
      <c r="U21" s="254">
        <f t="shared" si="0"/>
        <v>3113.6739999999995</v>
      </c>
      <c r="V21" s="17">
        <f t="shared" si="1"/>
        <v>1003.0156666666667</v>
      </c>
      <c r="W21" s="251">
        <f t="shared" si="2"/>
        <v>322.13252468520045</v>
      </c>
      <c r="X21" s="255">
        <f t="shared" si="3"/>
        <v>19.327951481112027</v>
      </c>
      <c r="Y21" s="4">
        <f t="shared" si="4"/>
        <v>5.1738540474774893E-2</v>
      </c>
    </row>
    <row r="22" spans="1:25" x14ac:dyDescent="0.35">
      <c r="A22" s="245" t="s">
        <v>38</v>
      </c>
      <c r="B22" s="249">
        <v>46562.716</v>
      </c>
      <c r="C22" s="248" t="s">
        <v>232</v>
      </c>
      <c r="D22" s="249">
        <v>49150.978000000003</v>
      </c>
      <c r="E22" s="248" t="s">
        <v>232</v>
      </c>
      <c r="F22" s="249">
        <v>47920.932999999997</v>
      </c>
      <c r="G22" s="248" t="s">
        <v>244</v>
      </c>
      <c r="H22" s="249">
        <v>48309.523999999998</v>
      </c>
      <c r="I22" s="248" t="s">
        <v>249</v>
      </c>
      <c r="K22" s="245" t="s">
        <v>38</v>
      </c>
      <c r="L22" s="249">
        <v>12871.182000000001</v>
      </c>
      <c r="M22" s="248" t="s">
        <v>232</v>
      </c>
      <c r="N22" s="249">
        <v>13647.441000000001</v>
      </c>
      <c r="O22" s="248" t="s">
        <v>232</v>
      </c>
      <c r="P22" s="249">
        <v>13341.311</v>
      </c>
      <c r="Q22" s="248" t="s">
        <v>244</v>
      </c>
      <c r="R22" s="249">
        <v>13476.407999999999</v>
      </c>
      <c r="S22" s="248" t="s">
        <v>249</v>
      </c>
      <c r="U22" s="254">
        <f t="shared" si="0"/>
        <v>47986.037750000003</v>
      </c>
      <c r="V22" s="17">
        <f t="shared" si="1"/>
        <v>13334.085500000001</v>
      </c>
      <c r="W22" s="251">
        <f t="shared" si="2"/>
        <v>277.87427604397283</v>
      </c>
      <c r="X22" s="255">
        <f t="shared" si="3"/>
        <v>16.67245656263837</v>
      </c>
      <c r="Y22" s="4">
        <f t="shared" si="4"/>
        <v>5.9979163612932679E-2</v>
      </c>
    </row>
    <row r="23" spans="1:25" x14ac:dyDescent="0.35">
      <c r="A23" s="245" t="s">
        <v>36</v>
      </c>
      <c r="B23" s="247">
        <v>41900</v>
      </c>
      <c r="C23" s="247" t="s">
        <v>232</v>
      </c>
      <c r="D23" s="247">
        <v>52310</v>
      </c>
      <c r="E23" s="247" t="s">
        <v>232</v>
      </c>
      <c r="F23" s="247">
        <v>52955</v>
      </c>
      <c r="G23" s="247" t="s">
        <v>232</v>
      </c>
      <c r="H23" s="247">
        <v>52970</v>
      </c>
      <c r="I23" s="247" t="s">
        <v>232</v>
      </c>
      <c r="K23" s="245" t="s">
        <v>36</v>
      </c>
      <c r="L23" s="247">
        <v>14250</v>
      </c>
      <c r="M23" s="247" t="s">
        <v>244</v>
      </c>
      <c r="N23" s="247">
        <v>15120</v>
      </c>
      <c r="O23" s="247" t="s">
        <v>232</v>
      </c>
      <c r="P23" s="247">
        <v>15608</v>
      </c>
      <c r="Q23" s="247" t="s">
        <v>232</v>
      </c>
      <c r="R23" s="247">
        <v>15363</v>
      </c>
      <c r="S23" s="247" t="s">
        <v>232</v>
      </c>
      <c r="U23" s="254">
        <f t="shared" si="0"/>
        <v>50033.75</v>
      </c>
      <c r="V23" s="17">
        <f t="shared" si="1"/>
        <v>15085.25</v>
      </c>
      <c r="W23" s="251">
        <f t="shared" si="2"/>
        <v>301.5014864966148</v>
      </c>
      <c r="X23" s="255">
        <f t="shared" si="3"/>
        <v>18.090089189796888</v>
      </c>
      <c r="Y23" s="4">
        <f t="shared" si="4"/>
        <v>5.5278887213227046E-2</v>
      </c>
    </row>
    <row r="24" spans="1:25" x14ac:dyDescent="0.35">
      <c r="A24" s="245" t="s">
        <v>250</v>
      </c>
      <c r="B24" s="249">
        <v>2688.4</v>
      </c>
      <c r="C24" s="248" t="s">
        <v>232</v>
      </c>
      <c r="D24" s="249">
        <v>2952.6</v>
      </c>
      <c r="E24" s="248" t="s">
        <v>232</v>
      </c>
      <c r="F24" s="249">
        <v>3229.3</v>
      </c>
      <c r="G24" s="248" t="s">
        <v>232</v>
      </c>
      <c r="H24" s="249">
        <v>2893.2</v>
      </c>
      <c r="I24" s="248" t="s">
        <v>232</v>
      </c>
      <c r="K24" s="245" t="s">
        <v>250</v>
      </c>
      <c r="L24" s="248">
        <v>548</v>
      </c>
      <c r="M24" s="248" t="s">
        <v>232</v>
      </c>
      <c r="N24" s="249">
        <v>615.20000000000005</v>
      </c>
      <c r="O24" s="248" t="s">
        <v>232</v>
      </c>
      <c r="P24" s="248">
        <v>679</v>
      </c>
      <c r="Q24" s="248" t="s">
        <v>232</v>
      </c>
      <c r="R24" s="249">
        <v>611.20000000000005</v>
      </c>
      <c r="S24" s="248" t="s">
        <v>232</v>
      </c>
      <c r="U24" s="254">
        <f t="shared" si="0"/>
        <v>2940.875</v>
      </c>
      <c r="V24" s="17">
        <f t="shared" si="1"/>
        <v>613.35</v>
      </c>
      <c r="W24" s="251">
        <f t="shared" si="2"/>
        <v>208.56037743868745</v>
      </c>
      <c r="X24" s="255">
        <f t="shared" si="3"/>
        <v>12.513622646321247</v>
      </c>
      <c r="Y24" s="4">
        <f t="shared" si="4"/>
        <v>7.9912909975272423E-2</v>
      </c>
    </row>
    <row r="25" spans="1:25" x14ac:dyDescent="0.35">
      <c r="A25" s="245" t="s">
        <v>251</v>
      </c>
      <c r="B25" s="247" t="s">
        <v>245</v>
      </c>
      <c r="C25" s="247" t="s">
        <v>232</v>
      </c>
      <c r="D25" s="246">
        <v>400.31700000000001</v>
      </c>
      <c r="E25" s="247" t="s">
        <v>232</v>
      </c>
      <c r="F25" s="247" t="s">
        <v>245</v>
      </c>
      <c r="G25" s="247" t="s">
        <v>232</v>
      </c>
      <c r="H25" s="247" t="s">
        <v>245</v>
      </c>
      <c r="I25" s="247" t="s">
        <v>232</v>
      </c>
      <c r="K25" s="245" t="s">
        <v>251</v>
      </c>
      <c r="L25" s="247" t="s">
        <v>245</v>
      </c>
      <c r="M25" s="247" t="s">
        <v>232</v>
      </c>
      <c r="N25" s="246">
        <v>150.73400000000001</v>
      </c>
      <c r="O25" s="247" t="s">
        <v>232</v>
      </c>
      <c r="P25" s="247" t="s">
        <v>245</v>
      </c>
      <c r="Q25" s="247" t="s">
        <v>232</v>
      </c>
      <c r="R25" s="247" t="s">
        <v>245</v>
      </c>
      <c r="S25" s="247" t="s">
        <v>232</v>
      </c>
      <c r="U25" s="254">
        <f t="shared" si="0"/>
        <v>400.31700000000001</v>
      </c>
      <c r="V25" s="17">
        <f t="shared" si="1"/>
        <v>150.73400000000001</v>
      </c>
      <c r="W25" s="251">
        <f t="shared" si="2"/>
        <v>376.53659474866168</v>
      </c>
      <c r="X25" s="255">
        <f t="shared" si="3"/>
        <v>22.592195684919702</v>
      </c>
      <c r="Y25" s="4">
        <f t="shared" si="4"/>
        <v>4.4263072697599742E-2</v>
      </c>
    </row>
    <row r="26" spans="1:25" x14ac:dyDescent="0.35">
      <c r="A26" s="245" t="s">
        <v>252</v>
      </c>
      <c r="B26" s="248" t="s">
        <v>245</v>
      </c>
      <c r="C26" s="248" t="s">
        <v>232</v>
      </c>
      <c r="D26" s="249">
        <v>3255.8</v>
      </c>
      <c r="E26" s="248" t="s">
        <v>232</v>
      </c>
      <c r="F26" s="248">
        <v>3308</v>
      </c>
      <c r="G26" s="248" t="s">
        <v>232</v>
      </c>
      <c r="H26" s="249">
        <v>3256.9</v>
      </c>
      <c r="I26" s="248" t="s">
        <v>232</v>
      </c>
      <c r="K26" s="245" t="s">
        <v>252</v>
      </c>
      <c r="L26" s="248" t="s">
        <v>245</v>
      </c>
      <c r="M26" s="248" t="s">
        <v>232</v>
      </c>
      <c r="N26" s="249">
        <v>758.6</v>
      </c>
      <c r="O26" s="248" t="s">
        <v>232</v>
      </c>
      <c r="P26" s="249">
        <v>766.3</v>
      </c>
      <c r="Q26" s="248" t="s">
        <v>232</v>
      </c>
      <c r="R26" s="249">
        <v>805.9</v>
      </c>
      <c r="S26" s="248" t="s">
        <v>232</v>
      </c>
      <c r="U26" s="254">
        <f t="shared" si="0"/>
        <v>3273.5666666666671</v>
      </c>
      <c r="V26" s="17">
        <f t="shared" si="1"/>
        <v>776.93333333333339</v>
      </c>
      <c r="W26" s="251">
        <f t="shared" si="2"/>
        <v>237.33542415510095</v>
      </c>
      <c r="X26" s="255">
        <f t="shared" si="3"/>
        <v>14.240125449306056</v>
      </c>
      <c r="Y26" s="4">
        <f t="shared" si="4"/>
        <v>7.0224100451919236E-2</v>
      </c>
    </row>
    <row r="27" spans="1:25" x14ac:dyDescent="0.35">
      <c r="A27" s="245" t="s">
        <v>253</v>
      </c>
      <c r="B27" s="246">
        <v>3655.2809999999999</v>
      </c>
      <c r="C27" s="247" t="s">
        <v>232</v>
      </c>
      <c r="D27" s="246">
        <v>3221.8780000000002</v>
      </c>
      <c r="E27" s="247" t="s">
        <v>232</v>
      </c>
      <c r="F27" s="246">
        <v>3026.087</v>
      </c>
      <c r="G27" s="247" t="s">
        <v>244</v>
      </c>
      <c r="H27" s="246">
        <v>3261.0149999999999</v>
      </c>
      <c r="I27" s="247" t="s">
        <v>232</v>
      </c>
      <c r="K27" s="245" t="s">
        <v>253</v>
      </c>
      <c r="L27" s="246">
        <v>721.98900000000003</v>
      </c>
      <c r="M27" s="247" t="s">
        <v>244</v>
      </c>
      <c r="N27" s="246">
        <v>725.24699999999996</v>
      </c>
      <c r="O27" s="247" t="s">
        <v>232</v>
      </c>
      <c r="P27" s="246">
        <v>851.66300000000001</v>
      </c>
      <c r="Q27" s="247" t="s">
        <v>244</v>
      </c>
      <c r="R27" s="246">
        <v>681.05600000000004</v>
      </c>
      <c r="S27" s="247" t="s">
        <v>232</v>
      </c>
      <c r="U27" s="254">
        <f t="shared" si="0"/>
        <v>3291.0652499999997</v>
      </c>
      <c r="V27" s="17">
        <f t="shared" si="1"/>
        <v>744.98874999999998</v>
      </c>
      <c r="W27" s="251">
        <f t="shared" si="2"/>
        <v>226.36705546934996</v>
      </c>
      <c r="X27" s="255">
        <f t="shared" si="3"/>
        <v>13.582023328160997</v>
      </c>
      <c r="Y27" s="4">
        <f t="shared" si="4"/>
        <v>7.3626732618445573E-2</v>
      </c>
    </row>
    <row r="28" spans="1:25" x14ac:dyDescent="0.35">
      <c r="A28" s="245" t="s">
        <v>254</v>
      </c>
      <c r="B28" s="249">
        <v>110.895</v>
      </c>
      <c r="C28" s="248" t="s">
        <v>232</v>
      </c>
      <c r="D28" s="249">
        <v>115.28700000000001</v>
      </c>
      <c r="E28" s="248" t="s">
        <v>232</v>
      </c>
      <c r="F28" s="249">
        <v>119.666</v>
      </c>
      <c r="G28" s="248" t="s">
        <v>232</v>
      </c>
      <c r="H28" s="248" t="s">
        <v>245</v>
      </c>
      <c r="I28" s="248" t="s">
        <v>232</v>
      </c>
      <c r="K28" s="245" t="s">
        <v>254</v>
      </c>
      <c r="L28" s="249">
        <v>32.67</v>
      </c>
      <c r="M28" s="248" t="s">
        <v>232</v>
      </c>
      <c r="N28" s="249">
        <v>33.850999999999999</v>
      </c>
      <c r="O28" s="248" t="s">
        <v>232</v>
      </c>
      <c r="P28" s="249">
        <v>35.207999999999998</v>
      </c>
      <c r="Q28" s="248" t="s">
        <v>232</v>
      </c>
      <c r="R28" s="248" t="s">
        <v>245</v>
      </c>
      <c r="S28" s="248" t="s">
        <v>232</v>
      </c>
      <c r="U28" s="254">
        <f t="shared" si="0"/>
        <v>115.28266666666667</v>
      </c>
      <c r="V28" s="17">
        <f t="shared" si="1"/>
        <v>33.909666666666666</v>
      </c>
      <c r="W28" s="251">
        <f t="shared" si="2"/>
        <v>294.14367005158334</v>
      </c>
      <c r="X28" s="255">
        <f t="shared" si="3"/>
        <v>17.648620203095</v>
      </c>
      <c r="Y28" s="4">
        <f t="shared" si="4"/>
        <v>5.6661653346964325E-2</v>
      </c>
    </row>
    <row r="29" spans="1:25" x14ac:dyDescent="0.35">
      <c r="A29" s="245" t="s">
        <v>35</v>
      </c>
      <c r="B29" s="246">
        <v>6376.4040000000005</v>
      </c>
      <c r="C29" s="247" t="s">
        <v>232</v>
      </c>
      <c r="D29" s="246">
        <v>6393.3530000000001</v>
      </c>
      <c r="E29" s="247" t="s">
        <v>232</v>
      </c>
      <c r="F29" s="246">
        <v>6302.1490000000003</v>
      </c>
      <c r="G29" s="247" t="s">
        <v>232</v>
      </c>
      <c r="H29" s="246">
        <v>6006.4579999999996</v>
      </c>
      <c r="I29" s="247" t="s">
        <v>232</v>
      </c>
      <c r="K29" s="245" t="s">
        <v>35</v>
      </c>
      <c r="L29" s="247">
        <v>1512</v>
      </c>
      <c r="M29" s="247" t="s">
        <v>232</v>
      </c>
      <c r="N29" s="247">
        <v>1496</v>
      </c>
      <c r="O29" s="247" t="s">
        <v>232</v>
      </c>
      <c r="P29" s="246">
        <v>1532.3</v>
      </c>
      <c r="Q29" s="247" t="s">
        <v>232</v>
      </c>
      <c r="R29" s="246">
        <v>1467.7</v>
      </c>
      <c r="S29" s="247" t="s">
        <v>232</v>
      </c>
      <c r="U29" s="254">
        <f t="shared" si="0"/>
        <v>6269.5910000000003</v>
      </c>
      <c r="V29" s="17">
        <f t="shared" si="1"/>
        <v>1502</v>
      </c>
      <c r="W29" s="251">
        <f t="shared" si="2"/>
        <v>239.56905641851279</v>
      </c>
      <c r="X29" s="255">
        <f t="shared" si="3"/>
        <v>14.374143385110767</v>
      </c>
      <c r="Y29" s="4">
        <f t="shared" si="4"/>
        <v>6.9569363071460277E-2</v>
      </c>
    </row>
    <row r="30" spans="1:25" x14ac:dyDescent="0.35">
      <c r="A30" s="245" t="s">
        <v>255</v>
      </c>
      <c r="B30" s="248" t="s">
        <v>245</v>
      </c>
      <c r="C30" s="248" t="s">
        <v>232</v>
      </c>
      <c r="D30" s="249">
        <v>354.47399999999999</v>
      </c>
      <c r="E30" s="248" t="s">
        <v>232</v>
      </c>
      <c r="F30" s="249">
        <v>368.56599999999997</v>
      </c>
      <c r="G30" s="248" t="s">
        <v>244</v>
      </c>
      <c r="H30" s="248" t="s">
        <v>245</v>
      </c>
      <c r="I30" s="248" t="s">
        <v>232</v>
      </c>
      <c r="K30" s="245" t="s">
        <v>255</v>
      </c>
      <c r="L30" s="248" t="s">
        <v>245</v>
      </c>
      <c r="M30" s="248" t="s">
        <v>232</v>
      </c>
      <c r="N30" s="249">
        <v>92.22</v>
      </c>
      <c r="O30" s="248" t="s">
        <v>232</v>
      </c>
      <c r="P30" s="249">
        <v>95.885999999999996</v>
      </c>
      <c r="Q30" s="248" t="s">
        <v>244</v>
      </c>
      <c r="R30" s="248" t="s">
        <v>245</v>
      </c>
      <c r="S30" s="248" t="s">
        <v>232</v>
      </c>
      <c r="U30" s="254">
        <f t="shared" si="0"/>
        <v>361.52</v>
      </c>
      <c r="V30" s="17">
        <f t="shared" si="1"/>
        <v>94.052999999999997</v>
      </c>
      <c r="W30" s="251">
        <f t="shared" si="2"/>
        <v>260.15988050453637</v>
      </c>
      <c r="X30" s="255">
        <f t="shared" si="3"/>
        <v>15.609592830272183</v>
      </c>
      <c r="Y30" s="4">
        <f t="shared" si="4"/>
        <v>6.4063170056599297E-2</v>
      </c>
    </row>
    <row r="31" spans="1:25" x14ac:dyDescent="0.35">
      <c r="A31" s="245" t="s">
        <v>30</v>
      </c>
      <c r="B31" s="247">
        <v>42887</v>
      </c>
      <c r="C31" s="247" t="s">
        <v>232</v>
      </c>
      <c r="D31" s="247">
        <v>39749</v>
      </c>
      <c r="E31" s="247" t="s">
        <v>232</v>
      </c>
      <c r="F31" s="247">
        <v>38253</v>
      </c>
      <c r="G31" s="247" t="s">
        <v>232</v>
      </c>
      <c r="H31" s="247">
        <v>36708</v>
      </c>
      <c r="I31" s="247" t="s">
        <v>232</v>
      </c>
      <c r="K31" s="245" t="s">
        <v>30</v>
      </c>
      <c r="L31" s="247">
        <v>10291</v>
      </c>
      <c r="M31" s="247" t="s">
        <v>232</v>
      </c>
      <c r="N31" s="247">
        <v>9968</v>
      </c>
      <c r="O31" s="247" t="s">
        <v>232</v>
      </c>
      <c r="P31" s="247">
        <v>9270</v>
      </c>
      <c r="Q31" s="247" t="s">
        <v>232</v>
      </c>
      <c r="R31" s="247">
        <v>10077</v>
      </c>
      <c r="S31" s="247" t="s">
        <v>232</v>
      </c>
      <c r="U31" s="254">
        <f t="shared" si="0"/>
        <v>39399.25</v>
      </c>
      <c r="V31" s="17">
        <f t="shared" si="1"/>
        <v>9901.5</v>
      </c>
      <c r="W31" s="251">
        <f t="shared" si="2"/>
        <v>251.31189045476754</v>
      </c>
      <c r="X31" s="255">
        <f t="shared" si="3"/>
        <v>15.078713427286052</v>
      </c>
      <c r="Y31" s="4">
        <f t="shared" si="4"/>
        <v>6.6318655422579073E-2</v>
      </c>
    </row>
    <row r="32" spans="1:25" x14ac:dyDescent="0.35">
      <c r="A32" s="245" t="s">
        <v>256</v>
      </c>
      <c r="B32" s="248">
        <v>7007</v>
      </c>
      <c r="C32" s="248" t="s">
        <v>232</v>
      </c>
      <c r="D32" s="248">
        <v>7351</v>
      </c>
      <c r="E32" s="248" t="s">
        <v>232</v>
      </c>
      <c r="F32" s="249">
        <v>7270.43</v>
      </c>
      <c r="G32" s="248" t="s">
        <v>244</v>
      </c>
      <c r="H32" s="249">
        <v>7473.7179999999998</v>
      </c>
      <c r="I32" s="248" t="s">
        <v>232</v>
      </c>
      <c r="K32" s="245" t="s">
        <v>256</v>
      </c>
      <c r="L32" s="248">
        <v>1775</v>
      </c>
      <c r="M32" s="248" t="s">
        <v>232</v>
      </c>
      <c r="N32" s="248">
        <v>1876</v>
      </c>
      <c r="O32" s="248" t="s">
        <v>232</v>
      </c>
      <c r="P32" s="249">
        <v>1805.5350000000001</v>
      </c>
      <c r="Q32" s="248" t="s">
        <v>244</v>
      </c>
      <c r="R32" s="249">
        <v>1915.7819999999999</v>
      </c>
      <c r="S32" s="248" t="s">
        <v>232</v>
      </c>
      <c r="U32" s="254">
        <f t="shared" si="0"/>
        <v>7275.5370000000003</v>
      </c>
      <c r="V32" s="17">
        <f t="shared" si="1"/>
        <v>1843.07925</v>
      </c>
      <c r="W32" s="251">
        <f t="shared" si="2"/>
        <v>253.32552772393296</v>
      </c>
      <c r="X32" s="255">
        <f t="shared" si="3"/>
        <v>15.199531663435977</v>
      </c>
      <c r="Y32" s="4">
        <f t="shared" si="4"/>
        <v>6.5791500826673621E-2</v>
      </c>
    </row>
    <row r="33" spans="1:25" x14ac:dyDescent="0.35">
      <c r="A33" s="245" t="s">
        <v>257</v>
      </c>
      <c r="B33" s="246">
        <v>38207.699999999997</v>
      </c>
      <c r="C33" s="247" t="s">
        <v>232</v>
      </c>
      <c r="D33" s="247">
        <v>34226</v>
      </c>
      <c r="E33" s="247" t="s">
        <v>232</v>
      </c>
      <c r="F33" s="246">
        <v>39352.209000000003</v>
      </c>
      <c r="G33" s="247" t="s">
        <v>232</v>
      </c>
      <c r="H33" s="246">
        <v>38761.550999999999</v>
      </c>
      <c r="I33" s="247" t="s">
        <v>232</v>
      </c>
      <c r="K33" s="245" t="s">
        <v>257</v>
      </c>
      <c r="L33" s="246">
        <v>4887.3999999999996</v>
      </c>
      <c r="M33" s="247" t="s">
        <v>232</v>
      </c>
      <c r="N33" s="246">
        <v>4957.6000000000004</v>
      </c>
      <c r="O33" s="247" t="s">
        <v>232</v>
      </c>
      <c r="P33" s="246">
        <v>5438.8869999999997</v>
      </c>
      <c r="Q33" s="247" t="s">
        <v>232</v>
      </c>
      <c r="R33" s="246">
        <v>5531.3779999999997</v>
      </c>
      <c r="S33" s="247" t="s">
        <v>232</v>
      </c>
      <c r="U33" s="254">
        <f t="shared" si="0"/>
        <v>37636.864999999998</v>
      </c>
      <c r="V33" s="17">
        <f t="shared" si="1"/>
        <v>5203.8162499999999</v>
      </c>
      <c r="W33" s="251">
        <f t="shared" si="2"/>
        <v>138.26380730701135</v>
      </c>
      <c r="X33" s="255">
        <f t="shared" si="3"/>
        <v>8.2958284384206813</v>
      </c>
      <c r="Y33" s="4">
        <f t="shared" si="4"/>
        <v>0.12054251210990267</v>
      </c>
    </row>
    <row r="34" spans="1:25" x14ac:dyDescent="0.35">
      <c r="A34" s="245" t="s">
        <v>258</v>
      </c>
      <c r="B34" s="248" t="s">
        <v>245</v>
      </c>
      <c r="C34" s="248" t="s">
        <v>232</v>
      </c>
      <c r="D34" s="249">
        <v>1272.204</v>
      </c>
      <c r="E34" s="248" t="s">
        <v>232</v>
      </c>
      <c r="F34" s="249">
        <v>1421.921</v>
      </c>
      <c r="G34" s="248" t="s">
        <v>232</v>
      </c>
      <c r="H34" s="248" t="s">
        <v>245</v>
      </c>
      <c r="I34" s="248" t="s">
        <v>232</v>
      </c>
      <c r="K34" s="245" t="s">
        <v>258</v>
      </c>
      <c r="L34" s="248" t="s">
        <v>245</v>
      </c>
      <c r="M34" s="248" t="s">
        <v>232</v>
      </c>
      <c r="N34" s="249">
        <v>325.19</v>
      </c>
      <c r="O34" s="248" t="s">
        <v>232</v>
      </c>
      <c r="P34" s="249">
        <v>340.47899999999998</v>
      </c>
      <c r="Q34" s="248" t="s">
        <v>232</v>
      </c>
      <c r="R34" s="248" t="s">
        <v>245</v>
      </c>
      <c r="S34" s="248" t="s">
        <v>232</v>
      </c>
      <c r="U34" s="254">
        <f t="shared" si="0"/>
        <v>1347.0625</v>
      </c>
      <c r="V34" s="17">
        <f t="shared" si="1"/>
        <v>332.83449999999999</v>
      </c>
      <c r="W34" s="251">
        <f t="shared" si="2"/>
        <v>247.08170556303068</v>
      </c>
      <c r="X34" s="255">
        <f t="shared" si="3"/>
        <v>14.824902333781841</v>
      </c>
      <c r="Y34" s="4">
        <f t="shared" si="4"/>
        <v>6.7454070015778606E-2</v>
      </c>
    </row>
    <row r="35" spans="1:25" x14ac:dyDescent="0.35">
      <c r="A35" s="245" t="s">
        <v>259</v>
      </c>
      <c r="B35" s="246">
        <v>2491.5909999999999</v>
      </c>
      <c r="C35" s="247" t="s">
        <v>232</v>
      </c>
      <c r="D35" s="246">
        <v>2392.3409999999999</v>
      </c>
      <c r="E35" s="247" t="s">
        <v>232</v>
      </c>
      <c r="F35" s="246">
        <v>2393.848</v>
      </c>
      <c r="G35" s="247" t="s">
        <v>232</v>
      </c>
      <c r="H35" s="246">
        <v>2321.1309999999999</v>
      </c>
      <c r="I35" s="247" t="s">
        <v>232</v>
      </c>
      <c r="K35" s="245" t="s">
        <v>259</v>
      </c>
      <c r="L35" s="246">
        <v>748.08500000000004</v>
      </c>
      <c r="M35" s="247" t="s">
        <v>232</v>
      </c>
      <c r="N35" s="246">
        <v>706.13499999999999</v>
      </c>
      <c r="O35" s="247" t="s">
        <v>232</v>
      </c>
      <c r="P35" s="246">
        <v>687.39599999999996</v>
      </c>
      <c r="Q35" s="247" t="s">
        <v>232</v>
      </c>
      <c r="R35" s="246">
        <v>663.92700000000002</v>
      </c>
      <c r="S35" s="247" t="s">
        <v>232</v>
      </c>
      <c r="U35" s="254">
        <f t="shared" si="0"/>
        <v>2399.72775</v>
      </c>
      <c r="V35" s="17">
        <f t="shared" si="1"/>
        <v>701.38575000000003</v>
      </c>
      <c r="W35" s="251">
        <f t="shared" si="2"/>
        <v>292.27721769688247</v>
      </c>
      <c r="X35" s="255">
        <f t="shared" si="3"/>
        <v>17.536633061812946</v>
      </c>
      <c r="Y35" s="4">
        <f t="shared" si="4"/>
        <v>5.7023488857593709E-2</v>
      </c>
    </row>
    <row r="36" spans="1:25" x14ac:dyDescent="0.35">
      <c r="A36" s="245" t="s">
        <v>260</v>
      </c>
      <c r="B36" s="248" t="s">
        <v>245</v>
      </c>
      <c r="C36" s="248" t="s">
        <v>232</v>
      </c>
      <c r="D36" s="248" t="s">
        <v>245</v>
      </c>
      <c r="E36" s="248" t="s">
        <v>232</v>
      </c>
      <c r="F36" s="248" t="s">
        <v>245</v>
      </c>
      <c r="G36" s="248" t="s">
        <v>232</v>
      </c>
      <c r="H36" s="248" t="s">
        <v>245</v>
      </c>
      <c r="I36" s="248" t="s">
        <v>232</v>
      </c>
      <c r="K36" s="245" t="s">
        <v>260</v>
      </c>
      <c r="L36" s="248">
        <v>1260</v>
      </c>
      <c r="M36" s="248" t="s">
        <v>232</v>
      </c>
      <c r="N36" s="248">
        <v>1264</v>
      </c>
      <c r="O36" s="248" t="s">
        <v>232</v>
      </c>
      <c r="P36" s="249">
        <v>1292.3330000000001</v>
      </c>
      <c r="Q36" s="248" t="s">
        <v>244</v>
      </c>
      <c r="R36" s="248">
        <v>1272</v>
      </c>
      <c r="S36" s="248" t="s">
        <v>232</v>
      </c>
      <c r="U36" s="254"/>
      <c r="V36" s="17"/>
      <c r="W36" s="251"/>
      <c r="X36" s="255"/>
      <c r="Y36" s="4"/>
    </row>
    <row r="37" spans="1:25" x14ac:dyDescent="0.35">
      <c r="A37" s="245" t="s">
        <v>34</v>
      </c>
      <c r="B37" s="247" t="s">
        <v>245</v>
      </c>
      <c r="C37" s="247" t="s">
        <v>232</v>
      </c>
      <c r="D37" s="247" t="s">
        <v>245</v>
      </c>
      <c r="E37" s="247" t="s">
        <v>232</v>
      </c>
      <c r="F37" s="247" t="s">
        <v>245</v>
      </c>
      <c r="G37" s="247" t="s">
        <v>232</v>
      </c>
      <c r="H37" s="247" t="s">
        <v>245</v>
      </c>
      <c r="I37" s="247" t="s">
        <v>232</v>
      </c>
      <c r="K37" s="245" t="s">
        <v>34</v>
      </c>
      <c r="L37" s="246">
        <v>2439.259</v>
      </c>
      <c r="M37" s="247" t="s">
        <v>232</v>
      </c>
      <c r="N37" s="246">
        <v>2428.8470000000002</v>
      </c>
      <c r="O37" s="247" t="s">
        <v>232</v>
      </c>
      <c r="P37" s="246">
        <v>2086.8420000000001</v>
      </c>
      <c r="Q37" s="247" t="s">
        <v>232</v>
      </c>
      <c r="R37" s="246">
        <v>2519.9899999999998</v>
      </c>
      <c r="S37" s="247" t="s">
        <v>232</v>
      </c>
      <c r="U37" s="254"/>
      <c r="V37" s="17"/>
      <c r="W37" s="251"/>
      <c r="X37" s="255"/>
      <c r="Y37" s="4"/>
    </row>
    <row r="38" spans="1:25" x14ac:dyDescent="0.35">
      <c r="A38" s="245" t="s">
        <v>261</v>
      </c>
      <c r="B38" s="248" t="s">
        <v>245</v>
      </c>
      <c r="C38" s="248" t="s">
        <v>232</v>
      </c>
      <c r="D38" s="248" t="s">
        <v>245</v>
      </c>
      <c r="E38" s="248" t="s">
        <v>232</v>
      </c>
      <c r="F38" s="248" t="s">
        <v>245</v>
      </c>
      <c r="G38" s="248" t="s">
        <v>232</v>
      </c>
      <c r="H38" s="248" t="s">
        <v>245</v>
      </c>
      <c r="I38" s="248" t="s">
        <v>232</v>
      </c>
      <c r="K38" s="245" t="s">
        <v>261</v>
      </c>
      <c r="L38" s="248" t="s">
        <v>245</v>
      </c>
      <c r="M38" s="248" t="s">
        <v>232</v>
      </c>
      <c r="N38" s="248" t="s">
        <v>245</v>
      </c>
      <c r="O38" s="248" t="s">
        <v>232</v>
      </c>
      <c r="P38" s="248" t="s">
        <v>245</v>
      </c>
      <c r="Q38" s="248" t="s">
        <v>232</v>
      </c>
      <c r="R38" s="248" t="s">
        <v>245</v>
      </c>
      <c r="S38" s="248" t="s">
        <v>232</v>
      </c>
      <c r="U38" s="254"/>
      <c r="V38" s="17"/>
      <c r="W38" s="251"/>
      <c r="X38" s="255"/>
      <c r="Y38" s="4"/>
    </row>
    <row r="39" spans="1:25" x14ac:dyDescent="0.35">
      <c r="A39" s="245" t="s">
        <v>262</v>
      </c>
      <c r="B39" s="246">
        <v>8862.89</v>
      </c>
      <c r="C39" s="247" t="s">
        <v>232</v>
      </c>
      <c r="D39" s="247">
        <v>8207</v>
      </c>
      <c r="E39" s="247" t="s">
        <v>232</v>
      </c>
      <c r="F39" s="247">
        <v>8292</v>
      </c>
      <c r="G39" s="247" t="s">
        <v>232</v>
      </c>
      <c r="H39" s="247">
        <v>7901</v>
      </c>
      <c r="I39" s="247" t="s">
        <v>232</v>
      </c>
      <c r="K39" s="245" t="s">
        <v>262</v>
      </c>
      <c r="L39" s="246">
        <v>1676.69</v>
      </c>
      <c r="M39" s="247" t="s">
        <v>232</v>
      </c>
      <c r="N39" s="247">
        <v>1612</v>
      </c>
      <c r="O39" s="247" t="s">
        <v>232</v>
      </c>
      <c r="P39" s="247">
        <v>1624</v>
      </c>
      <c r="Q39" s="247" t="s">
        <v>232</v>
      </c>
      <c r="R39" s="247">
        <v>1549</v>
      </c>
      <c r="S39" s="247" t="s">
        <v>232</v>
      </c>
      <c r="U39" s="254">
        <f t="shared" si="0"/>
        <v>8315.7224999999999</v>
      </c>
      <c r="V39" s="17">
        <f t="shared" si="1"/>
        <v>1615.4225000000001</v>
      </c>
      <c r="W39" s="251">
        <f t="shared" si="2"/>
        <v>194.2612322621396</v>
      </c>
      <c r="X39" s="255">
        <f t="shared" si="3"/>
        <v>11.655673935728375</v>
      </c>
      <c r="Y39" s="4">
        <f t="shared" si="4"/>
        <v>8.5795124804811121E-2</v>
      </c>
    </row>
    <row r="40" spans="1:25" x14ac:dyDescent="0.35">
      <c r="A40" s="245" t="s">
        <v>263</v>
      </c>
      <c r="B40" s="249">
        <v>77366.817999999999</v>
      </c>
      <c r="C40" s="248" t="s">
        <v>232</v>
      </c>
      <c r="D40" s="249">
        <v>75908.854000000007</v>
      </c>
      <c r="E40" s="248" t="s">
        <v>232</v>
      </c>
      <c r="F40" s="249">
        <v>74214.296000000002</v>
      </c>
      <c r="G40" s="248" t="s">
        <v>232</v>
      </c>
      <c r="H40" s="249">
        <v>76699.176999999996</v>
      </c>
      <c r="I40" s="248" t="s">
        <v>232</v>
      </c>
      <c r="K40" s="245" t="s">
        <v>263</v>
      </c>
      <c r="L40" s="249">
        <v>19898.126</v>
      </c>
      <c r="M40" s="248" t="s">
        <v>232</v>
      </c>
      <c r="N40" s="249">
        <v>19788.062999999998</v>
      </c>
      <c r="O40" s="248" t="s">
        <v>232</v>
      </c>
      <c r="P40" s="249">
        <v>19297.592000000001</v>
      </c>
      <c r="Q40" s="248" t="s">
        <v>232</v>
      </c>
      <c r="R40" s="249">
        <v>19808.539000000001</v>
      </c>
      <c r="S40" s="248" t="s">
        <v>232</v>
      </c>
      <c r="U40" s="256">
        <f t="shared" si="0"/>
        <v>76047.286250000005</v>
      </c>
      <c r="V40" s="257">
        <f t="shared" si="1"/>
        <v>19698.080000000002</v>
      </c>
      <c r="W40" s="258">
        <f t="shared" si="2"/>
        <v>259.02410159968071</v>
      </c>
      <c r="X40" s="259">
        <f t="shared" si="3"/>
        <v>15.541446095980842</v>
      </c>
      <c r="Y40" s="4">
        <f t="shared" si="4"/>
        <v>6.4344076723890517E-2</v>
      </c>
    </row>
    <row r="42" spans="1:25" x14ac:dyDescent="0.35">
      <c r="A42" s="241" t="s">
        <v>264</v>
      </c>
      <c r="K42" s="241" t="s">
        <v>264</v>
      </c>
    </row>
    <row r="43" spans="1:25" x14ac:dyDescent="0.35">
      <c r="A43" s="241" t="s">
        <v>245</v>
      </c>
      <c r="B43" s="240" t="s">
        <v>265</v>
      </c>
      <c r="K43" s="241" t="s">
        <v>245</v>
      </c>
    </row>
    <row r="44" spans="1:25" x14ac:dyDescent="0.35">
      <c r="A44" s="241" t="s">
        <v>266</v>
      </c>
      <c r="K44" s="241" t="s">
        <v>266</v>
      </c>
    </row>
    <row r="45" spans="1:25" x14ac:dyDescent="0.35">
      <c r="A45" s="241" t="s">
        <v>244</v>
      </c>
      <c r="B45" s="240" t="s">
        <v>267</v>
      </c>
      <c r="K45" s="241" t="s">
        <v>268</v>
      </c>
    </row>
    <row r="46" spans="1:25" x14ac:dyDescent="0.35">
      <c r="A46" s="241" t="s">
        <v>249</v>
      </c>
      <c r="B46" s="240" t="s">
        <v>269</v>
      </c>
      <c r="K46" s="241" t="s">
        <v>244</v>
      </c>
    </row>
    <row r="47" spans="1:25" x14ac:dyDescent="0.35">
      <c r="K47" s="241" t="s">
        <v>249</v>
      </c>
    </row>
    <row r="49" spans="1:10" x14ac:dyDescent="0.35">
      <c r="A49" s="241" t="s">
        <v>270</v>
      </c>
    </row>
    <row r="51" spans="1:10" x14ac:dyDescent="0.35">
      <c r="B51" s="167">
        <v>2017</v>
      </c>
      <c r="D51" s="167">
        <v>2018</v>
      </c>
      <c r="F51" s="167">
        <v>2019</v>
      </c>
      <c r="H51" s="167">
        <v>2020</v>
      </c>
      <c r="J51" s="167" t="s">
        <v>271</v>
      </c>
    </row>
    <row r="52" spans="1:10" x14ac:dyDescent="0.35">
      <c r="A52" t="s">
        <v>272</v>
      </c>
      <c r="B52">
        <v>118.19</v>
      </c>
      <c r="D52">
        <v>122.79</v>
      </c>
      <c r="F52">
        <v>130.30000000000001</v>
      </c>
      <c r="H52">
        <v>129.74</v>
      </c>
      <c r="J52">
        <f>AVERAGE(B52:H52)</f>
        <v>125.25500000000001</v>
      </c>
    </row>
    <row r="53" spans="1:10" x14ac:dyDescent="0.35">
      <c r="A53" t="s">
        <v>273</v>
      </c>
      <c r="B53">
        <v>7293848</v>
      </c>
      <c r="D53">
        <v>7699306</v>
      </c>
      <c r="F53">
        <v>8909127</v>
      </c>
      <c r="H53">
        <v>8403424</v>
      </c>
      <c r="J53">
        <f>AVERAGE(B53:H53)</f>
        <v>8076426.25</v>
      </c>
    </row>
    <row r="55" spans="1:10" x14ac:dyDescent="0.35">
      <c r="A55" t="s">
        <v>274</v>
      </c>
      <c r="J55" s="251">
        <f>J52*1000*1000/J53</f>
        <v>15.508715875415815</v>
      </c>
    </row>
    <row r="56" spans="1:10" x14ac:dyDescent="0.35">
      <c r="A56" t="s">
        <v>275</v>
      </c>
      <c r="J56">
        <f>1/J55</f>
        <v>6.4479871063031408E-2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4E27C-4BB4-4619-904B-D5310B1AC007}">
  <sheetPr>
    <tabColor theme="5" tint="0.39997558519241921"/>
  </sheetPr>
  <dimension ref="A2:AK125"/>
  <sheetViews>
    <sheetView topLeftCell="A47" zoomScale="74" zoomScaleNormal="80" workbookViewId="0">
      <selection activeCell="C68" sqref="C68"/>
    </sheetView>
  </sheetViews>
  <sheetFormatPr defaultColWidth="8.90625" defaultRowHeight="14.5" x14ac:dyDescent="0.35"/>
  <cols>
    <col min="1" max="1" width="65.453125" customWidth="1"/>
    <col min="2" max="15" width="8.54296875" customWidth="1"/>
  </cols>
  <sheetData>
    <row r="2" spans="1:26" ht="18.5" x14ac:dyDescent="0.45">
      <c r="A2" s="1" t="s">
        <v>276</v>
      </c>
    </row>
    <row r="3" spans="1:26" x14ac:dyDescent="0.35">
      <c r="B3" t="s">
        <v>482</v>
      </c>
      <c r="C3" t="s">
        <v>84</v>
      </c>
      <c r="D3" t="s">
        <v>85</v>
      </c>
      <c r="E3" t="s">
        <v>86</v>
      </c>
      <c r="F3" t="s">
        <v>87</v>
      </c>
      <c r="G3" t="s">
        <v>88</v>
      </c>
      <c r="H3" t="s">
        <v>89</v>
      </c>
      <c r="I3" t="s">
        <v>90</v>
      </c>
      <c r="J3" t="s">
        <v>91</v>
      </c>
      <c r="K3" t="s">
        <v>92</v>
      </c>
      <c r="L3" s="17" t="s">
        <v>93</v>
      </c>
    </row>
    <row r="4" spans="1:26" x14ac:dyDescent="0.35">
      <c r="A4" s="123"/>
      <c r="B4" s="123" t="s">
        <v>36</v>
      </c>
      <c r="C4" s="123" t="s">
        <v>36</v>
      </c>
      <c r="D4" s="123" t="s">
        <v>33</v>
      </c>
      <c r="E4" s="123" t="s">
        <v>31</v>
      </c>
      <c r="F4" s="123" t="s">
        <v>40</v>
      </c>
      <c r="G4" s="123" t="s">
        <v>37</v>
      </c>
      <c r="H4" s="123" t="s">
        <v>39</v>
      </c>
      <c r="I4" s="123" t="s">
        <v>32</v>
      </c>
      <c r="J4" s="123" t="s">
        <v>30</v>
      </c>
      <c r="K4" s="123" t="s">
        <v>38</v>
      </c>
      <c r="L4" s="123" t="s">
        <v>34</v>
      </c>
      <c r="N4" s="290" t="s">
        <v>153</v>
      </c>
      <c r="O4" t="s">
        <v>155</v>
      </c>
      <c r="P4" t="s">
        <v>36</v>
      </c>
      <c r="Q4" t="s">
        <v>33</v>
      </c>
      <c r="R4" t="s">
        <v>31</v>
      </c>
      <c r="S4" t="s">
        <v>35</v>
      </c>
      <c r="T4" t="s">
        <v>37</v>
      </c>
      <c r="U4" t="s">
        <v>39</v>
      </c>
      <c r="V4" t="s">
        <v>32</v>
      </c>
      <c r="W4" t="s">
        <v>30</v>
      </c>
      <c r="X4" t="s">
        <v>38</v>
      </c>
      <c r="Y4" t="s">
        <v>34</v>
      </c>
    </row>
    <row r="5" spans="1:26" x14ac:dyDescent="0.35">
      <c r="B5" s="178" t="s">
        <v>145</v>
      </c>
      <c r="C5" s="178" t="s">
        <v>145</v>
      </c>
      <c r="D5" s="178" t="s">
        <v>145</v>
      </c>
      <c r="E5" s="178" t="s">
        <v>145</v>
      </c>
      <c r="F5" s="178" t="s">
        <v>145</v>
      </c>
      <c r="G5" s="178" t="s">
        <v>145</v>
      </c>
      <c r="H5" s="178" t="s">
        <v>145</v>
      </c>
      <c r="I5" s="178" t="s">
        <v>145</v>
      </c>
      <c r="J5" s="178" t="s">
        <v>145</v>
      </c>
      <c r="K5" s="178" t="s">
        <v>145</v>
      </c>
      <c r="L5" s="178" t="s">
        <v>145</v>
      </c>
      <c r="Z5" t="s">
        <v>277</v>
      </c>
    </row>
    <row r="6" spans="1:26" x14ac:dyDescent="0.35">
      <c r="A6" s="143" t="s">
        <v>278</v>
      </c>
      <c r="B6" s="190">
        <v>0</v>
      </c>
      <c r="C6" s="190">
        <v>0</v>
      </c>
      <c r="D6" s="190">
        <v>1</v>
      </c>
      <c r="E6" s="190">
        <v>1</v>
      </c>
      <c r="F6" s="190">
        <v>0.20909455932543669</v>
      </c>
      <c r="G6" s="190">
        <v>0</v>
      </c>
      <c r="H6" s="207">
        <v>0.98863189143036634</v>
      </c>
      <c r="I6" s="190">
        <v>0.46151025920226302</v>
      </c>
      <c r="J6" s="190">
        <v>0.88909757547763846</v>
      </c>
      <c r="K6" s="190">
        <v>0</v>
      </c>
      <c r="L6" s="190">
        <v>0.89900000000000002</v>
      </c>
      <c r="N6" s="93"/>
      <c r="O6" t="s">
        <v>279</v>
      </c>
      <c r="P6" t="s">
        <v>279</v>
      </c>
      <c r="Q6" t="s">
        <v>279</v>
      </c>
      <c r="R6" t="s">
        <v>279</v>
      </c>
      <c r="S6" t="s">
        <v>279</v>
      </c>
      <c r="T6" t="s">
        <v>279</v>
      </c>
      <c r="U6" t="s">
        <v>279</v>
      </c>
      <c r="V6" t="s">
        <v>279</v>
      </c>
      <c r="W6" t="s">
        <v>279</v>
      </c>
      <c r="X6" t="s">
        <v>279</v>
      </c>
      <c r="Y6" s="93" t="s">
        <v>280</v>
      </c>
      <c r="Z6" t="s">
        <v>277</v>
      </c>
    </row>
    <row r="7" spans="1:26" x14ac:dyDescent="0.35">
      <c r="A7" s="88" t="s">
        <v>281</v>
      </c>
      <c r="B7" s="190">
        <v>0</v>
      </c>
      <c r="C7" s="190">
        <v>0</v>
      </c>
      <c r="D7" s="190">
        <v>0</v>
      </c>
      <c r="E7" s="190">
        <v>0</v>
      </c>
      <c r="F7" s="190">
        <v>7.0267014655691631E-4</v>
      </c>
      <c r="G7" s="190">
        <v>0</v>
      </c>
      <c r="H7" s="190">
        <v>1.1368108569633719E-2</v>
      </c>
      <c r="I7" s="190">
        <v>0</v>
      </c>
      <c r="J7" s="190">
        <v>0.1109024245223614</v>
      </c>
      <c r="K7" s="190">
        <v>2.4852900134046101E-2</v>
      </c>
      <c r="L7" s="190">
        <v>6.9000000000000006E-2</v>
      </c>
      <c r="O7" t="s">
        <v>279</v>
      </c>
      <c r="P7" t="s">
        <v>279</v>
      </c>
      <c r="Q7" t="s">
        <v>279</v>
      </c>
      <c r="R7" t="s">
        <v>279</v>
      </c>
      <c r="S7" t="s">
        <v>279</v>
      </c>
      <c r="T7" t="s">
        <v>279</v>
      </c>
      <c r="U7" t="s">
        <v>279</v>
      </c>
      <c r="V7" t="s">
        <v>279</v>
      </c>
      <c r="W7" t="s">
        <v>279</v>
      </c>
      <c r="X7" t="s">
        <v>279</v>
      </c>
      <c r="Y7" s="93" t="s">
        <v>282</v>
      </c>
      <c r="Z7" t="s">
        <v>277</v>
      </c>
    </row>
    <row r="8" spans="1:26" x14ac:dyDescent="0.35">
      <c r="A8" s="88" t="s">
        <v>283</v>
      </c>
      <c r="B8" s="190">
        <v>1</v>
      </c>
      <c r="C8" s="190">
        <v>1</v>
      </c>
      <c r="D8" s="190">
        <v>0</v>
      </c>
      <c r="E8" s="190">
        <v>0</v>
      </c>
      <c r="F8" s="190">
        <v>0.79020277052800647</v>
      </c>
      <c r="G8" s="190">
        <v>1</v>
      </c>
      <c r="H8" s="190">
        <v>0</v>
      </c>
      <c r="I8" s="190">
        <v>0.53848974079773704</v>
      </c>
      <c r="J8" s="190">
        <v>0</v>
      </c>
      <c r="K8" s="190">
        <v>0.97514709986595383</v>
      </c>
      <c r="L8" s="190">
        <v>3.2000000000000001E-2</v>
      </c>
      <c r="O8" t="s">
        <v>279</v>
      </c>
      <c r="P8" t="s">
        <v>279</v>
      </c>
      <c r="Q8" t="s">
        <v>279</v>
      </c>
      <c r="R8" t="s">
        <v>279</v>
      </c>
      <c r="S8" t="s">
        <v>279</v>
      </c>
      <c r="T8" t="s">
        <v>279</v>
      </c>
      <c r="U8" t="s">
        <v>279</v>
      </c>
      <c r="V8" t="s">
        <v>279</v>
      </c>
      <c r="W8" t="s">
        <v>279</v>
      </c>
      <c r="X8" t="s">
        <v>279</v>
      </c>
      <c r="Y8" s="93" t="s">
        <v>284</v>
      </c>
      <c r="Z8" t="s">
        <v>277</v>
      </c>
    </row>
    <row r="9" spans="1:26" x14ac:dyDescent="0.35">
      <c r="A9" s="88"/>
      <c r="B9" s="190"/>
      <c r="C9" s="190"/>
      <c r="D9" s="190"/>
      <c r="E9" s="190"/>
      <c r="F9" s="190"/>
      <c r="G9" s="190"/>
      <c r="H9" s="190"/>
      <c r="I9" s="190"/>
      <c r="J9" s="190"/>
      <c r="K9" s="190"/>
      <c r="L9" s="190"/>
      <c r="Z9" t="s">
        <v>277</v>
      </c>
    </row>
    <row r="10" spans="1:26" x14ac:dyDescent="0.35">
      <c r="A10" s="199" t="s">
        <v>285</v>
      </c>
      <c r="B10" s="150"/>
      <c r="C10" s="150"/>
      <c r="D10" s="150"/>
      <c r="E10" s="150"/>
      <c r="F10" s="150"/>
      <c r="G10" s="150"/>
      <c r="H10" s="150"/>
      <c r="I10" s="150"/>
      <c r="J10" s="150"/>
      <c r="K10" s="150"/>
      <c r="L10" s="150"/>
    </row>
    <row r="11" spans="1:26" x14ac:dyDescent="0.35">
      <c r="A11" s="110" t="s">
        <v>286</v>
      </c>
      <c r="B11" s="191"/>
      <c r="C11" s="191"/>
      <c r="D11" s="191"/>
      <c r="E11" s="191"/>
      <c r="F11" s="191"/>
      <c r="G11" s="191"/>
      <c r="H11" s="191"/>
      <c r="I11" s="191"/>
      <c r="J11" s="191"/>
      <c r="K11" s="191"/>
      <c r="L11" s="191"/>
    </row>
    <row r="12" spans="1:26" x14ac:dyDescent="0.35">
      <c r="A12" s="176" t="s">
        <v>287</v>
      </c>
      <c r="B12" s="190">
        <v>0.02</v>
      </c>
      <c r="C12" s="190">
        <v>0.02</v>
      </c>
      <c r="D12" s="190">
        <v>0.03</v>
      </c>
      <c r="E12" s="190">
        <v>0.03</v>
      </c>
      <c r="F12" s="190">
        <v>0.02</v>
      </c>
      <c r="G12" s="238">
        <v>2.1000000000000001E-2</v>
      </c>
      <c r="H12" s="190">
        <v>0.03</v>
      </c>
      <c r="I12" s="190">
        <v>2.879385581064E-2</v>
      </c>
      <c r="J12" s="190">
        <v>0.03</v>
      </c>
      <c r="K12" s="208">
        <v>2.7157268533580001E-2</v>
      </c>
      <c r="L12" s="190">
        <v>0.03</v>
      </c>
      <c r="O12" s="177" t="s">
        <v>483</v>
      </c>
      <c r="P12" t="s">
        <v>288</v>
      </c>
      <c r="Q12" t="s">
        <v>288</v>
      </c>
      <c r="R12" t="s">
        <v>289</v>
      </c>
      <c r="S12" t="s">
        <v>288</v>
      </c>
      <c r="T12" t="s">
        <v>290</v>
      </c>
      <c r="U12" t="s">
        <v>291</v>
      </c>
      <c r="V12" t="s">
        <v>288</v>
      </c>
      <c r="W12" t="s">
        <v>288</v>
      </c>
      <c r="X12" t="s">
        <v>292</v>
      </c>
      <c r="Y12" s="177" t="s">
        <v>293</v>
      </c>
      <c r="Z12" s="177" t="s">
        <v>277</v>
      </c>
    </row>
    <row r="13" spans="1:26" x14ac:dyDescent="0.35">
      <c r="Z13" t="s">
        <v>277</v>
      </c>
    </row>
    <row r="14" spans="1:26" x14ac:dyDescent="0.35">
      <c r="A14" s="199" t="s">
        <v>294</v>
      </c>
      <c r="B14" s="150"/>
      <c r="C14" s="150"/>
      <c r="D14" s="150"/>
      <c r="E14" s="150"/>
      <c r="F14" s="150"/>
      <c r="G14" s="150"/>
      <c r="H14" s="150"/>
      <c r="I14" s="150"/>
      <c r="J14" s="150"/>
      <c r="K14" s="150"/>
      <c r="L14" s="150"/>
    </row>
    <row r="15" spans="1:26" x14ac:dyDescent="0.35">
      <c r="A15" s="200" t="s">
        <v>295</v>
      </c>
      <c r="B15" s="110"/>
      <c r="C15" s="110"/>
      <c r="D15" s="110"/>
      <c r="E15" s="110"/>
      <c r="F15" s="110"/>
      <c r="G15" s="110"/>
      <c r="H15" s="110"/>
      <c r="I15" s="110"/>
      <c r="J15" s="110"/>
      <c r="K15" s="110"/>
      <c r="L15" s="110"/>
    </row>
    <row r="16" spans="1:26" x14ac:dyDescent="0.35">
      <c r="A16" s="178" t="s">
        <v>296</v>
      </c>
      <c r="B16" s="190">
        <v>0.47</v>
      </c>
      <c r="C16" s="190">
        <v>0.44843073897000002</v>
      </c>
      <c r="D16" s="190">
        <v>0.66</v>
      </c>
      <c r="E16" s="190">
        <v>0.5</v>
      </c>
      <c r="F16" s="190">
        <v>0.7</v>
      </c>
      <c r="G16" s="190">
        <v>0.56000000000000005</v>
      </c>
      <c r="H16" s="190">
        <v>0.4841641191162</v>
      </c>
      <c r="I16" s="190">
        <v>0.59901214226393995</v>
      </c>
      <c r="J16" s="190">
        <v>0.72520483323677998</v>
      </c>
      <c r="K16" s="190">
        <v>0.64</v>
      </c>
      <c r="L16" s="190">
        <v>0.6</v>
      </c>
      <c r="P16" t="s">
        <v>297</v>
      </c>
      <c r="Q16" t="s">
        <v>297</v>
      </c>
      <c r="R16" t="s">
        <v>297</v>
      </c>
      <c r="S16" t="s">
        <v>298</v>
      </c>
      <c r="T16" t="s">
        <v>297</v>
      </c>
      <c r="U16" t="s">
        <v>297</v>
      </c>
      <c r="V16" t="s">
        <v>297</v>
      </c>
      <c r="W16" t="s">
        <v>297</v>
      </c>
      <c r="X16" t="s">
        <v>297</v>
      </c>
      <c r="Y16" s="177" t="s">
        <v>299</v>
      </c>
      <c r="Z16" s="177" t="s">
        <v>277</v>
      </c>
    </row>
    <row r="17" spans="1:37" x14ac:dyDescent="0.35">
      <c r="A17" s="178" t="s">
        <v>300</v>
      </c>
      <c r="B17" s="193">
        <v>0.7</v>
      </c>
      <c r="C17" s="193">
        <v>0.7</v>
      </c>
      <c r="D17" s="193">
        <v>0.7</v>
      </c>
      <c r="E17" s="193">
        <v>0.7</v>
      </c>
      <c r="F17" s="193">
        <v>0.7</v>
      </c>
      <c r="G17" s="193">
        <v>0.7</v>
      </c>
      <c r="H17" s="193">
        <v>0.7</v>
      </c>
      <c r="I17" s="193">
        <v>0.7</v>
      </c>
      <c r="J17" s="193">
        <v>0.7</v>
      </c>
      <c r="K17" s="193">
        <v>0.7</v>
      </c>
      <c r="L17" s="193">
        <v>0.7</v>
      </c>
      <c r="N17" s="177" t="s">
        <v>301</v>
      </c>
      <c r="X17" s="190"/>
    </row>
    <row r="18" spans="1:37" x14ac:dyDescent="0.35">
      <c r="A18" s="178"/>
      <c r="B18" s="193"/>
      <c r="C18" s="193"/>
      <c r="D18" s="193"/>
      <c r="E18" s="193"/>
      <c r="F18" s="193"/>
      <c r="G18" s="193"/>
      <c r="H18" s="193"/>
      <c r="I18" s="193"/>
      <c r="J18" s="193"/>
      <c r="K18" s="193"/>
      <c r="L18" s="193"/>
      <c r="N18" s="177"/>
      <c r="X18" s="190"/>
    </row>
    <row r="19" spans="1:37" x14ac:dyDescent="0.35">
      <c r="A19" s="200" t="s">
        <v>302</v>
      </c>
      <c r="B19" s="110"/>
      <c r="C19" s="110"/>
      <c r="D19" s="110"/>
      <c r="E19" s="110"/>
      <c r="F19" s="110"/>
      <c r="G19" s="110"/>
      <c r="H19" s="110"/>
      <c r="I19" s="110"/>
      <c r="J19" s="110"/>
      <c r="K19" s="110"/>
      <c r="L19" s="110"/>
      <c r="X19" s="190"/>
    </row>
    <row r="20" spans="1:37" x14ac:dyDescent="0.35">
      <c r="A20" s="178" t="s">
        <v>303</v>
      </c>
      <c r="B20" s="18">
        <f t="shared" ref="B20" si="0">B6*B$16</f>
        <v>0</v>
      </c>
      <c r="C20" s="18">
        <f t="shared" ref="C20:L20" si="1">C6*C$16</f>
        <v>0</v>
      </c>
      <c r="D20" s="18">
        <f t="shared" si="1"/>
        <v>0.66</v>
      </c>
      <c r="E20" s="18">
        <f t="shared" si="1"/>
        <v>0.5</v>
      </c>
      <c r="F20" s="18">
        <f t="shared" si="1"/>
        <v>0.14636619152780567</v>
      </c>
      <c r="G20" s="18">
        <f t="shared" si="1"/>
        <v>0</v>
      </c>
      <c r="H20" s="18">
        <f t="shared" si="1"/>
        <v>0.47866008884456601</v>
      </c>
      <c r="I20" s="18">
        <f t="shared" si="1"/>
        <v>0.27645024904153376</v>
      </c>
      <c r="J20" s="18">
        <f t="shared" si="1"/>
        <v>0.64477785895548623</v>
      </c>
      <c r="K20" s="18">
        <f t="shared" si="1"/>
        <v>0</v>
      </c>
      <c r="L20" s="18">
        <f t="shared" si="1"/>
        <v>0.53939999999999999</v>
      </c>
      <c r="X20" s="104"/>
    </row>
    <row r="21" spans="1:37" x14ac:dyDescent="0.35">
      <c r="A21" s="178" t="s">
        <v>304</v>
      </c>
      <c r="B21" s="18">
        <f t="shared" ref="B21" si="2">B7*B$16</f>
        <v>0</v>
      </c>
      <c r="C21" s="18">
        <f t="shared" ref="C21:L21" si="3">C7*C$16</f>
        <v>0</v>
      </c>
      <c r="D21" s="18">
        <f t="shared" si="3"/>
        <v>0</v>
      </c>
      <c r="E21" s="18">
        <f t="shared" si="3"/>
        <v>0</v>
      </c>
      <c r="F21" s="18">
        <f>F7*F$16</f>
        <v>4.9186910258984138E-4</v>
      </c>
      <c r="G21" s="18">
        <f t="shared" si="3"/>
        <v>0</v>
      </c>
      <c r="H21" s="18">
        <f t="shared" si="3"/>
        <v>5.5040302716340339E-3</v>
      </c>
      <c r="I21" s="18">
        <f t="shared" si="3"/>
        <v>0</v>
      </c>
      <c r="J21" s="18">
        <f t="shared" si="3"/>
        <v>8.0426974281293681E-2</v>
      </c>
      <c r="K21" s="18">
        <f t="shared" si="3"/>
        <v>1.5905856085789503E-2</v>
      </c>
      <c r="L21" s="18">
        <f t="shared" si="3"/>
        <v>4.1399999999999999E-2</v>
      </c>
    </row>
    <row r="22" spans="1:37" x14ac:dyDescent="0.35">
      <c r="A22" s="178" t="s">
        <v>305</v>
      </c>
      <c r="B22" s="18">
        <f t="shared" ref="B22" si="4">B8*B$16</f>
        <v>0.47</v>
      </c>
      <c r="C22" s="18">
        <f t="shared" ref="C22:L22" si="5">C8*C$16</f>
        <v>0.44843073897000002</v>
      </c>
      <c r="D22" s="18">
        <f t="shared" si="5"/>
        <v>0</v>
      </c>
      <c r="E22" s="18">
        <f t="shared" si="5"/>
        <v>0</v>
      </c>
      <c r="F22" s="18">
        <f t="shared" si="5"/>
        <v>0.55314193936960454</v>
      </c>
      <c r="G22" s="18">
        <f t="shared" si="5"/>
        <v>0.56000000000000005</v>
      </c>
      <c r="H22" s="18">
        <f t="shared" si="5"/>
        <v>0</v>
      </c>
      <c r="I22" s="18">
        <f t="shared" si="5"/>
        <v>0.32256189322240619</v>
      </c>
      <c r="J22" s="18">
        <f t="shared" si="5"/>
        <v>0</v>
      </c>
      <c r="K22" s="18">
        <f t="shared" si="5"/>
        <v>0.62409414391421048</v>
      </c>
      <c r="L22" s="18">
        <f t="shared" si="5"/>
        <v>1.9199999999999998E-2</v>
      </c>
    </row>
    <row r="24" spans="1:37" x14ac:dyDescent="0.35">
      <c r="A24" s="200" t="s">
        <v>306</v>
      </c>
      <c r="B24" s="110"/>
      <c r="C24" s="110"/>
      <c r="D24" s="110"/>
      <c r="E24" s="110"/>
      <c r="F24" s="110"/>
      <c r="G24" s="110"/>
      <c r="H24" s="110"/>
      <c r="I24" s="110"/>
      <c r="J24" s="110"/>
      <c r="K24" s="110"/>
      <c r="L24" s="110"/>
    </row>
    <row r="25" spans="1:37" x14ac:dyDescent="0.35">
      <c r="A25" s="178" t="s">
        <v>303</v>
      </c>
      <c r="B25" s="11">
        <f t="shared" ref="B25" si="6">B20*B$17</f>
        <v>0</v>
      </c>
      <c r="C25" s="11">
        <f t="shared" ref="C25:L25" si="7">C20*C$17</f>
        <v>0</v>
      </c>
      <c r="D25" s="11">
        <f t="shared" si="7"/>
        <v>0.46199999999999997</v>
      </c>
      <c r="E25" s="11">
        <f t="shared" si="7"/>
        <v>0.35</v>
      </c>
      <c r="F25" s="11">
        <f t="shared" si="7"/>
        <v>0.10245633406946396</v>
      </c>
      <c r="G25" s="11">
        <f t="shared" si="7"/>
        <v>0</v>
      </c>
      <c r="H25" s="11">
        <f t="shared" si="7"/>
        <v>0.33506206219119616</v>
      </c>
      <c r="I25" s="11">
        <f t="shared" si="7"/>
        <v>0.19351517432907361</v>
      </c>
      <c r="J25" s="11">
        <f t="shared" si="7"/>
        <v>0.45134450126884035</v>
      </c>
      <c r="K25" s="11">
        <f>K20*K$17</f>
        <v>0</v>
      </c>
      <c r="L25" s="11">
        <f t="shared" si="7"/>
        <v>0.37757999999999997</v>
      </c>
    </row>
    <row r="26" spans="1:37" x14ac:dyDescent="0.35">
      <c r="A26" s="178" t="s">
        <v>304</v>
      </c>
      <c r="B26" s="11">
        <f t="shared" ref="B26" si="8">B21*B$18</f>
        <v>0</v>
      </c>
      <c r="C26" s="11">
        <f t="shared" ref="C26:L26" si="9">C21*C$18</f>
        <v>0</v>
      </c>
      <c r="D26" s="11">
        <f t="shared" si="9"/>
        <v>0</v>
      </c>
      <c r="E26" s="11">
        <f t="shared" si="9"/>
        <v>0</v>
      </c>
      <c r="F26" s="11">
        <f t="shared" si="9"/>
        <v>0</v>
      </c>
      <c r="G26" s="11">
        <f t="shared" si="9"/>
        <v>0</v>
      </c>
      <c r="H26" s="11">
        <f t="shared" si="9"/>
        <v>0</v>
      </c>
      <c r="I26" s="11">
        <f t="shared" si="9"/>
        <v>0</v>
      </c>
      <c r="J26" s="11">
        <f t="shared" si="9"/>
        <v>0</v>
      </c>
      <c r="K26" s="11">
        <f t="shared" si="9"/>
        <v>0</v>
      </c>
      <c r="L26" s="11">
        <f t="shared" si="9"/>
        <v>0</v>
      </c>
    </row>
    <row r="27" spans="1:37" x14ac:dyDescent="0.35">
      <c r="A27" s="178" t="s">
        <v>305</v>
      </c>
      <c r="B27" s="11">
        <f t="shared" ref="B27" si="10">B22*B$17</f>
        <v>0.32899999999999996</v>
      </c>
      <c r="C27" s="11">
        <f t="shared" ref="C27:L27" si="11">C22*C$17</f>
        <v>0.31390151727900001</v>
      </c>
      <c r="D27" s="11">
        <f t="shared" si="11"/>
        <v>0</v>
      </c>
      <c r="E27" s="11">
        <f t="shared" si="11"/>
        <v>0</v>
      </c>
      <c r="F27" s="11">
        <f t="shared" si="11"/>
        <v>0.38719935755872315</v>
      </c>
      <c r="G27" s="11">
        <f t="shared" si="11"/>
        <v>0.39200000000000002</v>
      </c>
      <c r="H27" s="11">
        <f t="shared" si="11"/>
        <v>0</v>
      </c>
      <c r="I27" s="11">
        <f t="shared" si="11"/>
        <v>0.22579332525568432</v>
      </c>
      <c r="J27" s="11">
        <f t="shared" si="11"/>
        <v>0</v>
      </c>
      <c r="K27" s="11">
        <f t="shared" si="11"/>
        <v>0.4368659007399473</v>
      </c>
      <c r="L27" s="11">
        <f t="shared" si="11"/>
        <v>1.3439999999999999E-2</v>
      </c>
      <c r="AK27" s="11"/>
    </row>
    <row r="28" spans="1:37" x14ac:dyDescent="0.35">
      <c r="AK28" s="11"/>
    </row>
    <row r="29" spans="1:37" x14ac:dyDescent="0.35">
      <c r="A29" s="200" t="s">
        <v>307</v>
      </c>
      <c r="B29" s="110"/>
      <c r="C29" s="110"/>
      <c r="D29" s="110"/>
      <c r="E29" s="110"/>
      <c r="F29" s="110"/>
      <c r="G29" s="110"/>
      <c r="H29" s="110"/>
      <c r="I29" s="110"/>
      <c r="J29" s="110"/>
      <c r="K29" s="110"/>
      <c r="L29" s="110"/>
      <c r="N29" s="167" t="s">
        <v>308</v>
      </c>
      <c r="AK29" s="11"/>
    </row>
    <row r="30" spans="1:37" x14ac:dyDescent="0.35">
      <c r="A30" s="178" t="s">
        <v>303</v>
      </c>
      <c r="B30" s="11">
        <f t="shared" ref="B30" si="12">B25*B36</f>
        <v>0</v>
      </c>
      <c r="C30" s="11">
        <f t="shared" ref="C30:L30" si="13">C25*C36</f>
        <v>0</v>
      </c>
      <c r="D30" s="11">
        <f t="shared" si="13"/>
        <v>9.2399999999999996E-2</v>
      </c>
      <c r="E30" s="11">
        <f t="shared" si="13"/>
        <v>6.9999999999999993E-2</v>
      </c>
      <c r="F30" s="11">
        <f t="shared" si="13"/>
        <v>2.0491266813892794E-2</v>
      </c>
      <c r="G30" s="11">
        <f t="shared" si="13"/>
        <v>0</v>
      </c>
      <c r="H30" s="11">
        <f t="shared" si="13"/>
        <v>6.701241243823923E-2</v>
      </c>
      <c r="I30" s="11">
        <f t="shared" si="13"/>
        <v>3.8703034865814723E-2</v>
      </c>
      <c r="J30" s="11">
        <f t="shared" si="13"/>
        <v>9.0268900253768075E-2</v>
      </c>
      <c r="K30" s="11">
        <f t="shared" si="13"/>
        <v>0</v>
      </c>
      <c r="L30" s="11">
        <f t="shared" si="13"/>
        <v>7.5516E-2</v>
      </c>
    </row>
    <row r="31" spans="1:37" x14ac:dyDescent="0.35">
      <c r="A31" s="178" t="s">
        <v>304</v>
      </c>
      <c r="B31" s="11">
        <f t="shared" ref="B31" si="14">B26*B37</f>
        <v>0</v>
      </c>
      <c r="C31" s="11">
        <f t="shared" ref="C31:L31" si="15">C26*C37</f>
        <v>0</v>
      </c>
      <c r="D31" s="11">
        <f t="shared" si="15"/>
        <v>0</v>
      </c>
      <c r="E31" s="11">
        <f t="shared" si="15"/>
        <v>0</v>
      </c>
      <c r="F31" s="11">
        <f t="shared" si="15"/>
        <v>0</v>
      </c>
      <c r="G31" s="11">
        <f t="shared" si="15"/>
        <v>0</v>
      </c>
      <c r="H31" s="11">
        <f t="shared" si="15"/>
        <v>0</v>
      </c>
      <c r="I31" s="11">
        <f t="shared" si="15"/>
        <v>0</v>
      </c>
      <c r="J31" s="11">
        <f t="shared" si="15"/>
        <v>0</v>
      </c>
      <c r="K31" s="11">
        <f t="shared" si="15"/>
        <v>0</v>
      </c>
      <c r="L31" s="11">
        <f t="shared" si="15"/>
        <v>0</v>
      </c>
    </row>
    <row r="32" spans="1:37" x14ac:dyDescent="0.35">
      <c r="A32" s="178" t="s">
        <v>305</v>
      </c>
      <c r="B32" s="11">
        <f>B27*B36</f>
        <v>6.5799999999999997E-2</v>
      </c>
      <c r="C32" s="11">
        <f>C27*C36</f>
        <v>6.2780303455800004E-2</v>
      </c>
      <c r="D32" s="11">
        <f t="shared" ref="D32:K32" si="16">D27*D36</f>
        <v>0</v>
      </c>
      <c r="E32" s="11">
        <f t="shared" si="16"/>
        <v>0</v>
      </c>
      <c r="F32" s="11">
        <f t="shared" si="16"/>
        <v>7.743987151174464E-2</v>
      </c>
      <c r="G32" s="11">
        <f t="shared" si="16"/>
        <v>7.8400000000000011E-2</v>
      </c>
      <c r="H32" s="11">
        <f t="shared" si="16"/>
        <v>0</v>
      </c>
      <c r="I32" s="11">
        <f t="shared" si="16"/>
        <v>4.5158665051136866E-2</v>
      </c>
      <c r="J32" s="11">
        <f t="shared" si="16"/>
        <v>0</v>
      </c>
      <c r="K32" s="11">
        <f t="shared" si="16"/>
        <v>8.7373180147989463E-2</v>
      </c>
      <c r="L32" s="11">
        <f t="shared" ref="L32" si="17">L27*L36</f>
        <v>2.6879999999999999E-3</v>
      </c>
      <c r="N32" s="93" t="s">
        <v>309</v>
      </c>
    </row>
    <row r="33" spans="1:14" x14ac:dyDescent="0.35">
      <c r="A33" s="178" t="s">
        <v>225</v>
      </c>
      <c r="B33" s="5">
        <f t="shared" ref="B33" si="18">SUM(B30:B32)</f>
        <v>6.5799999999999997E-2</v>
      </c>
      <c r="C33" s="5">
        <f t="shared" ref="C33:L33" si="19">SUM(C30:C32)</f>
        <v>6.2780303455800004E-2</v>
      </c>
      <c r="D33" s="5">
        <f t="shared" si="19"/>
        <v>9.2399999999999996E-2</v>
      </c>
      <c r="E33" s="5">
        <f t="shared" si="19"/>
        <v>6.9999999999999993E-2</v>
      </c>
      <c r="F33" s="5">
        <f t="shared" si="19"/>
        <v>9.7931138325637435E-2</v>
      </c>
      <c r="G33" s="5">
        <f t="shared" si="19"/>
        <v>7.8400000000000011E-2</v>
      </c>
      <c r="H33" s="5">
        <f t="shared" si="19"/>
        <v>6.701241243823923E-2</v>
      </c>
      <c r="I33" s="5">
        <f t="shared" si="19"/>
        <v>8.3861699916951582E-2</v>
      </c>
      <c r="J33" s="5">
        <f t="shared" si="19"/>
        <v>9.0268900253768075E-2</v>
      </c>
      <c r="K33" s="5">
        <f t="shared" si="19"/>
        <v>8.7373180147989463E-2</v>
      </c>
      <c r="L33" s="5">
        <f t="shared" si="19"/>
        <v>7.8203999999999996E-2</v>
      </c>
      <c r="N33" s="93"/>
    </row>
    <row r="34" spans="1:14" x14ac:dyDescent="0.35">
      <c r="A34" s="178" t="s">
        <v>310</v>
      </c>
      <c r="B34" s="104">
        <f>B33/Production!B$14</f>
        <v>3.633793172003225E-5</v>
      </c>
      <c r="C34" s="104">
        <f>C33/Production!C$14</f>
        <v>3.4498673335696201E-5</v>
      </c>
      <c r="D34" s="104">
        <f>D33/Production!D$14</f>
        <v>5.0971236261704574E-5</v>
      </c>
      <c r="E34" s="104">
        <f>E33/Production!E$14</f>
        <v>4.8336054173481076E-5</v>
      </c>
      <c r="F34" s="104">
        <f>F33/Production!F$14</f>
        <v>6.7622925819695427E-5</v>
      </c>
      <c r="G34" s="104">
        <f>G33/Production!G$14</f>
        <v>4.0338033791073312E-5</v>
      </c>
      <c r="H34" s="104">
        <f>H33/Production!H$14</f>
        <v>3.9935272853601011E-5</v>
      </c>
      <c r="I34" s="104">
        <f>I33/Production!I$14</f>
        <v>5.3700646537279325E-5</v>
      </c>
      <c r="J34" s="104">
        <f>J33/Production!J$14</f>
        <v>5.9440174129487359E-5</v>
      </c>
      <c r="K34" s="104">
        <f>K33/Production!K$14</f>
        <v>5.2069037098352763E-5</v>
      </c>
      <c r="L34" s="104">
        <f>L33/Production!L$14</f>
        <v>5.007775141644243E-5</v>
      </c>
      <c r="N34" s="93"/>
    </row>
    <row r="35" spans="1:14" x14ac:dyDescent="0.35">
      <c r="A35" s="178"/>
      <c r="B35" s="121"/>
      <c r="C35" s="121"/>
      <c r="D35" s="121"/>
      <c r="E35" s="121"/>
      <c r="F35" s="121"/>
      <c r="G35" s="121"/>
      <c r="H35" s="121"/>
      <c r="I35" s="121"/>
      <c r="J35" s="121"/>
      <c r="K35" s="121"/>
      <c r="L35" s="121"/>
    </row>
    <row r="36" spans="1:14" x14ac:dyDescent="0.35">
      <c r="A36" s="3" t="s">
        <v>311</v>
      </c>
      <c r="B36" s="15">
        <v>0.2</v>
      </c>
      <c r="C36" s="15">
        <v>0.2</v>
      </c>
      <c r="D36" s="15">
        <v>0.2</v>
      </c>
      <c r="E36" s="15">
        <v>0.2</v>
      </c>
      <c r="F36" s="15">
        <v>0.2</v>
      </c>
      <c r="G36" s="15">
        <v>0.2</v>
      </c>
      <c r="H36" s="15">
        <v>0.2</v>
      </c>
      <c r="I36" s="15">
        <v>0.2</v>
      </c>
      <c r="J36" s="15">
        <v>0.2</v>
      </c>
      <c r="K36" s="15">
        <v>0.2</v>
      </c>
      <c r="L36" s="15">
        <v>0.2</v>
      </c>
      <c r="N36" s="177" t="s">
        <v>301</v>
      </c>
    </row>
    <row r="37" spans="1:14" x14ac:dyDescent="0.35">
      <c r="A37" s="3" t="s">
        <v>312</v>
      </c>
      <c r="B37" s="15">
        <v>0.41</v>
      </c>
      <c r="C37" s="15">
        <v>0.41</v>
      </c>
      <c r="D37" s="15">
        <v>0.41</v>
      </c>
      <c r="E37" s="15">
        <v>0.41</v>
      </c>
      <c r="F37" s="15">
        <v>0.41</v>
      </c>
      <c r="G37" s="15">
        <v>0.41</v>
      </c>
      <c r="H37" s="15">
        <v>0.41</v>
      </c>
      <c r="I37" s="15">
        <v>0.41</v>
      </c>
      <c r="J37" s="15">
        <v>0.41</v>
      </c>
      <c r="K37" s="15">
        <v>0.41</v>
      </c>
      <c r="L37" s="15">
        <v>0.41</v>
      </c>
      <c r="N37" s="177" t="s">
        <v>301</v>
      </c>
    </row>
    <row r="39" spans="1:14" x14ac:dyDescent="0.35">
      <c r="A39" s="201" t="s">
        <v>313</v>
      </c>
      <c r="B39" s="7"/>
      <c r="C39" s="7"/>
      <c r="D39" s="7"/>
      <c r="E39" s="7"/>
      <c r="F39" s="7"/>
      <c r="G39" s="7"/>
      <c r="H39" s="7"/>
      <c r="I39" s="7"/>
      <c r="J39" s="7"/>
      <c r="K39" s="7"/>
      <c r="L39" s="7"/>
      <c r="M39" s="7"/>
      <c r="N39" s="202" t="s">
        <v>314</v>
      </c>
    </row>
    <row r="41" spans="1:14" x14ac:dyDescent="0.35">
      <c r="A41" s="200" t="s">
        <v>315</v>
      </c>
      <c r="B41" s="110"/>
      <c r="C41" s="110"/>
      <c r="D41" s="110"/>
      <c r="E41" s="110"/>
      <c r="F41" s="110"/>
      <c r="G41" s="110"/>
      <c r="H41" s="110"/>
      <c r="I41" s="110"/>
      <c r="J41" s="110"/>
      <c r="K41" s="110"/>
      <c r="L41" s="110"/>
    </row>
    <row r="42" spans="1:14" x14ac:dyDescent="0.35">
      <c r="A42" s="178" t="s">
        <v>303</v>
      </c>
      <c r="B42" s="11">
        <f t="shared" ref="B42" si="20">B25-B30</f>
        <v>0</v>
      </c>
      <c r="C42" s="11">
        <f t="shared" ref="C42:L42" si="21">C25-C30</f>
        <v>0</v>
      </c>
      <c r="D42" s="11">
        <f t="shared" si="21"/>
        <v>0.36959999999999998</v>
      </c>
      <c r="E42" s="11">
        <f t="shared" si="21"/>
        <v>0.27999999999999997</v>
      </c>
      <c r="F42" s="11">
        <f t="shared" si="21"/>
        <v>8.1965067255571164E-2</v>
      </c>
      <c r="G42" s="11">
        <f t="shared" si="21"/>
        <v>0</v>
      </c>
      <c r="H42" s="11">
        <f t="shared" si="21"/>
        <v>0.26804964975295692</v>
      </c>
      <c r="I42" s="11">
        <f t="shared" si="21"/>
        <v>0.15481213946325889</v>
      </c>
      <c r="J42" s="11">
        <f t="shared" si="21"/>
        <v>0.3610756010150723</v>
      </c>
      <c r="K42" s="11">
        <f t="shared" si="21"/>
        <v>0</v>
      </c>
      <c r="L42" s="11">
        <f t="shared" si="21"/>
        <v>0.302064</v>
      </c>
    </row>
    <row r="43" spans="1:14" x14ac:dyDescent="0.35">
      <c r="A43" s="178" t="s">
        <v>304</v>
      </c>
      <c r="B43" s="11">
        <f t="shared" ref="B43" si="22">B26-B31</f>
        <v>0</v>
      </c>
      <c r="C43" s="11">
        <f t="shared" ref="C43:L43" si="23">C26-C31</f>
        <v>0</v>
      </c>
      <c r="D43" s="11">
        <f t="shared" si="23"/>
        <v>0</v>
      </c>
      <c r="E43" s="11">
        <f t="shared" si="23"/>
        <v>0</v>
      </c>
      <c r="F43" s="11">
        <f t="shared" si="23"/>
        <v>0</v>
      </c>
      <c r="G43" s="11">
        <f t="shared" si="23"/>
        <v>0</v>
      </c>
      <c r="H43" s="11">
        <f t="shared" si="23"/>
        <v>0</v>
      </c>
      <c r="I43" s="11">
        <f t="shared" si="23"/>
        <v>0</v>
      </c>
      <c r="J43" s="11">
        <f t="shared" si="23"/>
        <v>0</v>
      </c>
      <c r="K43" s="11">
        <f t="shared" si="23"/>
        <v>0</v>
      </c>
      <c r="L43" s="11">
        <f t="shared" si="23"/>
        <v>0</v>
      </c>
    </row>
    <row r="44" spans="1:14" x14ac:dyDescent="0.35">
      <c r="A44" s="178" t="s">
        <v>305</v>
      </c>
      <c r="B44" s="11">
        <f t="shared" ref="B44" si="24">B27-B32</f>
        <v>0.26319999999999999</v>
      </c>
      <c r="C44" s="11">
        <f t="shared" ref="C44:L44" si="25">C27-C32</f>
        <v>0.25112121382320002</v>
      </c>
      <c r="D44" s="11">
        <f t="shared" si="25"/>
        <v>0</v>
      </c>
      <c r="E44" s="11">
        <f t="shared" si="25"/>
        <v>0</v>
      </c>
      <c r="F44" s="11">
        <f t="shared" si="25"/>
        <v>0.3097594860469785</v>
      </c>
      <c r="G44" s="11">
        <f t="shared" si="25"/>
        <v>0.31359999999999999</v>
      </c>
      <c r="H44" s="11">
        <f t="shared" si="25"/>
        <v>0</v>
      </c>
      <c r="I44" s="11">
        <f t="shared" si="25"/>
        <v>0.18063466020454746</v>
      </c>
      <c r="J44" s="11">
        <f t="shared" si="25"/>
        <v>0</v>
      </c>
      <c r="K44" s="11">
        <f t="shared" si="25"/>
        <v>0.34949272059195785</v>
      </c>
      <c r="L44" s="11">
        <f t="shared" si="25"/>
        <v>1.0751999999999999E-2</v>
      </c>
    </row>
    <row r="46" spans="1:14" x14ac:dyDescent="0.35">
      <c r="A46" s="200" t="s">
        <v>316</v>
      </c>
      <c r="B46" s="192"/>
      <c r="C46" s="192"/>
      <c r="D46" s="192"/>
      <c r="E46" s="192"/>
      <c r="F46" s="192"/>
      <c r="G46" s="192"/>
      <c r="H46" s="192"/>
      <c r="I46" s="192"/>
      <c r="J46" s="192"/>
      <c r="K46" s="192"/>
      <c r="L46" s="192"/>
      <c r="N46" s="167" t="s">
        <v>317</v>
      </c>
    </row>
    <row r="47" spans="1:14" x14ac:dyDescent="0.35">
      <c r="A47" s="178" t="s">
        <v>303</v>
      </c>
      <c r="B47" s="18">
        <f t="shared" ref="B47" si="26">B42</f>
        <v>0</v>
      </c>
      <c r="C47" s="18">
        <f t="shared" ref="C47:L47" si="27">C42</f>
        <v>0</v>
      </c>
      <c r="D47" s="18">
        <f t="shared" si="27"/>
        <v>0.36959999999999998</v>
      </c>
      <c r="E47" s="18">
        <f t="shared" si="27"/>
        <v>0.27999999999999997</v>
      </c>
      <c r="F47" s="18">
        <f t="shared" si="27"/>
        <v>8.1965067255571164E-2</v>
      </c>
      <c r="G47" s="18">
        <f t="shared" si="27"/>
        <v>0</v>
      </c>
      <c r="H47" s="18">
        <f t="shared" si="27"/>
        <v>0.26804964975295692</v>
      </c>
      <c r="I47" s="18">
        <f t="shared" si="27"/>
        <v>0.15481213946325889</v>
      </c>
      <c r="J47" s="18">
        <f t="shared" si="27"/>
        <v>0.3610756010150723</v>
      </c>
      <c r="K47" s="18">
        <f t="shared" si="27"/>
        <v>0</v>
      </c>
      <c r="L47" s="18">
        <f t="shared" si="27"/>
        <v>0.302064</v>
      </c>
    </row>
    <row r="48" spans="1:14" x14ac:dyDescent="0.35">
      <c r="A48" s="178" t="s">
        <v>304</v>
      </c>
      <c r="B48" s="11">
        <f t="shared" ref="B48" si="28">B43+((B21-B26)*B51)</f>
        <v>0</v>
      </c>
      <c r="C48" s="11">
        <f t="shared" ref="C48:L48" si="29">C43+((C21-C26)*C51)</f>
        <v>0</v>
      </c>
      <c r="D48" s="11">
        <f t="shared" si="29"/>
        <v>0</v>
      </c>
      <c r="E48" s="11">
        <f t="shared" si="29"/>
        <v>0</v>
      </c>
      <c r="F48" s="11">
        <f t="shared" si="29"/>
        <v>4.9186910258984141E-5</v>
      </c>
      <c r="G48" s="11">
        <f t="shared" si="29"/>
        <v>0</v>
      </c>
      <c r="H48" s="11">
        <f t="shared" si="29"/>
        <v>5.5040302716340345E-4</v>
      </c>
      <c r="I48" s="11">
        <f t="shared" si="29"/>
        <v>0</v>
      </c>
      <c r="J48" s="11">
        <f t="shared" si="29"/>
        <v>8.0426974281293685E-3</v>
      </c>
      <c r="K48" s="11">
        <f t="shared" si="29"/>
        <v>1.5905856085789505E-3</v>
      </c>
      <c r="L48" s="11">
        <f t="shared" si="29"/>
        <v>4.1400000000000005E-3</v>
      </c>
    </row>
    <row r="49" spans="1:15" x14ac:dyDescent="0.35">
      <c r="A49" s="178" t="s">
        <v>318</v>
      </c>
      <c r="B49" s="11">
        <f t="shared" ref="B49" si="30">B44</f>
        <v>0.26319999999999999</v>
      </c>
      <c r="C49" s="11">
        <f t="shared" ref="C49:L49" si="31">C44</f>
        <v>0.25112121382320002</v>
      </c>
      <c r="D49" s="11">
        <f t="shared" si="31"/>
        <v>0</v>
      </c>
      <c r="E49" s="11">
        <f t="shared" si="31"/>
        <v>0</v>
      </c>
      <c r="F49" s="11">
        <f t="shared" si="31"/>
        <v>0.3097594860469785</v>
      </c>
      <c r="G49" s="11">
        <f t="shared" si="31"/>
        <v>0.31359999999999999</v>
      </c>
      <c r="H49" s="11">
        <f t="shared" si="31"/>
        <v>0</v>
      </c>
      <c r="I49" s="11">
        <f t="shared" si="31"/>
        <v>0.18063466020454746</v>
      </c>
      <c r="J49" s="11">
        <f t="shared" si="31"/>
        <v>0</v>
      </c>
      <c r="K49" s="11">
        <f t="shared" si="31"/>
        <v>0.34949272059195785</v>
      </c>
      <c r="L49" s="11">
        <f t="shared" si="31"/>
        <v>1.0751999999999999E-2</v>
      </c>
    </row>
    <row r="51" spans="1:15" x14ac:dyDescent="0.35">
      <c r="A51" s="178" t="s">
        <v>319</v>
      </c>
      <c r="B51" s="13">
        <v>0.1</v>
      </c>
      <c r="C51" s="13">
        <v>0.1</v>
      </c>
      <c r="D51" s="13">
        <v>0.1</v>
      </c>
      <c r="E51" s="13">
        <v>0.1</v>
      </c>
      <c r="F51" s="13">
        <v>0.1</v>
      </c>
      <c r="G51" s="13">
        <v>0.1</v>
      </c>
      <c r="H51" s="13">
        <v>0.1</v>
      </c>
      <c r="I51" s="13">
        <v>0.1</v>
      </c>
      <c r="J51" s="13">
        <v>0.1</v>
      </c>
      <c r="K51" s="13">
        <v>0.1</v>
      </c>
      <c r="L51" s="13">
        <v>0.1</v>
      </c>
      <c r="M51" s="13"/>
      <c r="N51" s="177" t="s">
        <v>320</v>
      </c>
    </row>
    <row r="53" spans="1:15" x14ac:dyDescent="0.35">
      <c r="A53" s="155" t="s">
        <v>321</v>
      </c>
      <c r="B53" s="110"/>
      <c r="C53" s="110"/>
      <c r="D53" s="110"/>
      <c r="E53" s="110"/>
      <c r="F53" s="110"/>
      <c r="G53" s="110"/>
      <c r="H53" s="110"/>
      <c r="I53" s="110"/>
      <c r="J53" s="110"/>
      <c r="K53" s="110"/>
      <c r="L53" s="110"/>
      <c r="N53" s="167" t="s">
        <v>322</v>
      </c>
      <c r="O53" s="93" t="s">
        <v>323</v>
      </c>
    </row>
    <row r="54" spans="1:15" x14ac:dyDescent="0.35">
      <c r="A54" s="178" t="s">
        <v>303</v>
      </c>
      <c r="B54" s="4">
        <f t="shared" ref="B54" si="32">B47*B60</f>
        <v>0</v>
      </c>
      <c r="C54" s="4">
        <f t="shared" ref="C54:L54" si="33">C47*C60</f>
        <v>0</v>
      </c>
      <c r="D54" s="4">
        <f t="shared" si="33"/>
        <v>2.9568000000000001E-2</v>
      </c>
      <c r="E54" s="4">
        <f t="shared" si="33"/>
        <v>2.24E-2</v>
      </c>
      <c r="F54" s="4">
        <f t="shared" si="33"/>
        <v>6.5572053804456932E-3</v>
      </c>
      <c r="G54" s="4">
        <f t="shared" si="33"/>
        <v>0</v>
      </c>
      <c r="H54" s="4">
        <f t="shared" si="33"/>
        <v>2.1443971980236554E-2</v>
      </c>
      <c r="I54" s="4">
        <f t="shared" si="33"/>
        <v>1.2384971157060711E-2</v>
      </c>
      <c r="J54" s="4">
        <f t="shared" si="33"/>
        <v>2.8886048081205786E-2</v>
      </c>
      <c r="K54" s="4">
        <f t="shared" si="33"/>
        <v>0</v>
      </c>
      <c r="L54" s="4">
        <f t="shared" si="33"/>
        <v>2.4165120000000002E-2</v>
      </c>
    </row>
    <row r="55" spans="1:15" x14ac:dyDescent="0.35">
      <c r="A55" s="178" t="s">
        <v>304</v>
      </c>
      <c r="B55" s="4">
        <f t="shared" ref="B55" si="34">B48*B61</f>
        <v>0</v>
      </c>
      <c r="C55" s="4">
        <f t="shared" ref="C55:L55" si="35">C48*C61</f>
        <v>0</v>
      </c>
      <c r="D55" s="4">
        <f t="shared" si="35"/>
        <v>0</v>
      </c>
      <c r="E55" s="4">
        <f t="shared" si="35"/>
        <v>0</v>
      </c>
      <c r="F55" s="4">
        <f t="shared" si="35"/>
        <v>6.8861674362577804E-6</v>
      </c>
      <c r="G55" s="4">
        <f t="shared" si="35"/>
        <v>0</v>
      </c>
      <c r="H55" s="4">
        <f t="shared" si="35"/>
        <v>7.7056423802876489E-5</v>
      </c>
      <c r="I55" s="4">
        <f t="shared" si="35"/>
        <v>0</v>
      </c>
      <c r="J55" s="4">
        <f t="shared" si="35"/>
        <v>1.1259776399381116E-3</v>
      </c>
      <c r="K55" s="4">
        <f t="shared" si="35"/>
        <v>2.2268198520105308E-4</v>
      </c>
      <c r="L55" s="4">
        <f t="shared" si="35"/>
        <v>5.796000000000001E-4</v>
      </c>
    </row>
    <row r="56" spans="1:15" x14ac:dyDescent="0.35">
      <c r="A56" s="178" t="s">
        <v>305</v>
      </c>
      <c r="B56" s="4">
        <f t="shared" ref="B56" si="36">B49*B60</f>
        <v>2.1055999999999998E-2</v>
      </c>
      <c r="C56" s="4">
        <f t="shared" ref="C56:L56" si="37">C49*C60</f>
        <v>2.0089697105856001E-2</v>
      </c>
      <c r="D56" s="4">
        <f t="shared" si="37"/>
        <v>0</v>
      </c>
      <c r="E56" s="4">
        <f t="shared" si="37"/>
        <v>0</v>
      </c>
      <c r="F56" s="4">
        <f t="shared" si="37"/>
        <v>2.4780758883758282E-2</v>
      </c>
      <c r="G56" s="4">
        <f t="shared" si="37"/>
        <v>2.5087999999999999E-2</v>
      </c>
      <c r="H56" s="4">
        <f t="shared" si="37"/>
        <v>0</v>
      </c>
      <c r="I56" s="4">
        <f t="shared" si="37"/>
        <v>1.4450772816363797E-2</v>
      </c>
      <c r="J56" s="4">
        <f t="shared" si="37"/>
        <v>0</v>
      </c>
      <c r="K56" s="4">
        <f t="shared" si="37"/>
        <v>2.7959417647356627E-2</v>
      </c>
      <c r="L56" s="4">
        <f t="shared" si="37"/>
        <v>8.6016E-4</v>
      </c>
      <c r="N56" s="93" t="s">
        <v>309</v>
      </c>
    </row>
    <row r="57" spans="1:15" x14ac:dyDescent="0.35">
      <c r="A57" s="178" t="s">
        <v>225</v>
      </c>
      <c r="B57" s="4">
        <f t="shared" ref="B57" si="38">SUM(B54:B56)</f>
        <v>2.1055999999999998E-2</v>
      </c>
      <c r="C57" s="4">
        <f t="shared" ref="C57:L57" si="39">SUM(C54:C56)</f>
        <v>2.0089697105856001E-2</v>
      </c>
      <c r="D57" s="4">
        <f t="shared" si="39"/>
        <v>2.9568000000000001E-2</v>
      </c>
      <c r="E57" s="4">
        <f t="shared" si="39"/>
        <v>2.24E-2</v>
      </c>
      <c r="F57" s="4">
        <f t="shared" si="39"/>
        <v>3.1344850431640231E-2</v>
      </c>
      <c r="G57" s="4">
        <f t="shared" si="39"/>
        <v>2.5087999999999999E-2</v>
      </c>
      <c r="H57" s="4">
        <f t="shared" si="39"/>
        <v>2.1521028404039431E-2</v>
      </c>
      <c r="I57" s="4">
        <f t="shared" si="39"/>
        <v>2.683574397342451E-2</v>
      </c>
      <c r="J57" s="4">
        <f t="shared" si="39"/>
        <v>3.0012025721143899E-2</v>
      </c>
      <c r="K57" s="4">
        <f t="shared" si="39"/>
        <v>2.8182099632557678E-2</v>
      </c>
      <c r="L57" s="4">
        <f t="shared" si="39"/>
        <v>2.560488E-2</v>
      </c>
      <c r="N57" s="93"/>
    </row>
    <row r="58" spans="1:15" x14ac:dyDescent="0.35">
      <c r="A58" s="178" t="s">
        <v>310</v>
      </c>
      <c r="B58" s="204">
        <f>B57/Production!B$14</f>
        <v>1.1628138150410319E-5</v>
      </c>
      <c r="C58" s="204">
        <f>C57/Production!C$14</f>
        <v>1.1039575467422784E-5</v>
      </c>
      <c r="D58" s="204">
        <f>D57/Production!D$14</f>
        <v>1.6310795603745464E-5</v>
      </c>
      <c r="E58" s="204">
        <f>E57/Production!E$14</f>
        <v>1.5467537335513947E-5</v>
      </c>
      <c r="F58" s="204">
        <f>F57/Production!F$14</f>
        <v>2.1644091264620344E-5</v>
      </c>
      <c r="G58" s="204">
        <f>G57/Production!G$14</f>
        <v>1.2908170813143458E-5</v>
      </c>
      <c r="H58" s="204">
        <f>H57/Production!H$14</f>
        <v>1.282520819851855E-5</v>
      </c>
      <c r="I58" s="204">
        <f>I57/Production!I$14</f>
        <v>1.7184206891929387E-5</v>
      </c>
      <c r="J58" s="204">
        <f>J57/Production!J$14</f>
        <v>1.9762288338823326E-5</v>
      </c>
      <c r="K58" s="204">
        <f>K57/Production!K$14</f>
        <v>1.6794796627428078E-5</v>
      </c>
      <c r="L58" s="204">
        <f>L57/Production!L$14</f>
        <v>1.6396025979334031E-5</v>
      </c>
      <c r="N58" s="93"/>
    </row>
    <row r="60" spans="1:15" x14ac:dyDescent="0.35">
      <c r="A60" s="3" t="s">
        <v>324</v>
      </c>
      <c r="B60" s="15">
        <v>0.08</v>
      </c>
      <c r="C60" s="15">
        <v>0.08</v>
      </c>
      <c r="D60" s="15">
        <v>0.08</v>
      </c>
      <c r="E60" s="15">
        <v>0.08</v>
      </c>
      <c r="F60" s="15">
        <v>0.08</v>
      </c>
      <c r="G60" s="15">
        <v>0.08</v>
      </c>
      <c r="H60" s="15">
        <v>0.08</v>
      </c>
      <c r="I60" s="15">
        <v>0.08</v>
      </c>
      <c r="J60" s="15">
        <v>0.08</v>
      </c>
      <c r="K60" s="15">
        <v>0.08</v>
      </c>
      <c r="L60" s="15">
        <v>0.08</v>
      </c>
      <c r="N60" s="177" t="s">
        <v>301</v>
      </c>
    </row>
    <row r="61" spans="1:15" x14ac:dyDescent="0.35">
      <c r="A61" s="3" t="s">
        <v>325</v>
      </c>
      <c r="B61" s="15">
        <v>0.14000000000000001</v>
      </c>
      <c r="C61" s="15">
        <v>0.14000000000000001</v>
      </c>
      <c r="D61" s="15">
        <v>0.14000000000000001</v>
      </c>
      <c r="E61" s="15">
        <v>0.14000000000000001</v>
      </c>
      <c r="F61" s="15">
        <v>0.14000000000000001</v>
      </c>
      <c r="G61" s="15">
        <v>0.14000000000000001</v>
      </c>
      <c r="H61" s="15">
        <v>0.14000000000000001</v>
      </c>
      <c r="I61" s="15">
        <v>0.14000000000000001</v>
      </c>
      <c r="J61" s="15">
        <v>0.14000000000000001</v>
      </c>
      <c r="K61" s="15">
        <v>0.14000000000000001</v>
      </c>
      <c r="L61" s="15">
        <v>0.14000000000000001</v>
      </c>
      <c r="N61" s="177" t="s">
        <v>301</v>
      </c>
    </row>
    <row r="63" spans="1:15" x14ac:dyDescent="0.35">
      <c r="A63" s="155" t="s">
        <v>326</v>
      </c>
      <c r="B63" s="110"/>
      <c r="C63" s="110"/>
      <c r="D63" s="110"/>
      <c r="E63" s="110"/>
      <c r="F63" s="110"/>
      <c r="G63" s="110"/>
      <c r="H63" s="110"/>
      <c r="I63" s="110"/>
      <c r="J63" s="110"/>
      <c r="K63" s="110"/>
      <c r="L63" s="110"/>
    </row>
    <row r="64" spans="1:15" x14ac:dyDescent="0.35">
      <c r="A64" s="178" t="s">
        <v>303</v>
      </c>
      <c r="B64" s="104">
        <f t="shared" ref="B64" si="40">B47*B70</f>
        <v>0</v>
      </c>
      <c r="C64" s="104">
        <f t="shared" ref="C64:L64" si="41">C47*C70</f>
        <v>0</v>
      </c>
      <c r="D64" s="104">
        <f t="shared" si="41"/>
        <v>7.3919999999999997E-4</v>
      </c>
      <c r="E64" s="104">
        <f t="shared" si="41"/>
        <v>5.5999999999999995E-4</v>
      </c>
      <c r="F64" s="104">
        <f t="shared" si="41"/>
        <v>1.6393013451114233E-4</v>
      </c>
      <c r="G64" s="104">
        <f t="shared" si="41"/>
        <v>0</v>
      </c>
      <c r="H64" s="104">
        <f t="shared" si="41"/>
        <v>5.3609929950591384E-4</v>
      </c>
      <c r="I64" s="104">
        <f t="shared" si="41"/>
        <v>3.0962427892651778E-4</v>
      </c>
      <c r="J64" s="104">
        <f t="shared" si="41"/>
        <v>7.2215120203014465E-4</v>
      </c>
      <c r="K64" s="104">
        <f t="shared" si="41"/>
        <v>0</v>
      </c>
      <c r="L64" s="104">
        <f t="shared" si="41"/>
        <v>6.04128E-4</v>
      </c>
    </row>
    <row r="65" spans="1:19" x14ac:dyDescent="0.35">
      <c r="A65" s="178" t="s">
        <v>304</v>
      </c>
      <c r="B65" s="104">
        <f t="shared" ref="B65" si="42">B48*B71</f>
        <v>0</v>
      </c>
      <c r="C65" s="104">
        <f t="shared" ref="C65:L65" si="43">C48*C71</f>
        <v>0</v>
      </c>
      <c r="D65" s="104">
        <f t="shared" si="43"/>
        <v>0</v>
      </c>
      <c r="E65" s="104">
        <f t="shared" si="43"/>
        <v>0</v>
      </c>
      <c r="F65" s="104">
        <f t="shared" si="43"/>
        <v>4.9186910258984139E-7</v>
      </c>
      <c r="G65" s="104">
        <f t="shared" si="43"/>
        <v>0</v>
      </c>
      <c r="H65" s="104">
        <f t="shared" si="43"/>
        <v>5.504030271634035E-6</v>
      </c>
      <c r="I65" s="104">
        <f t="shared" si="43"/>
        <v>0</v>
      </c>
      <c r="J65" s="104">
        <f t="shared" si="43"/>
        <v>8.0426974281293682E-5</v>
      </c>
      <c r="K65" s="104">
        <f t="shared" si="43"/>
        <v>1.5905856085789505E-5</v>
      </c>
      <c r="L65" s="104">
        <f t="shared" si="43"/>
        <v>4.1400000000000003E-5</v>
      </c>
    </row>
    <row r="66" spans="1:19" x14ac:dyDescent="0.35">
      <c r="A66" s="178" t="s">
        <v>305</v>
      </c>
      <c r="B66" s="104">
        <f t="shared" ref="B66" si="44">B49*B70</f>
        <v>5.264E-4</v>
      </c>
      <c r="C66" s="104">
        <f t="shared" ref="C66:L66" si="45">C49*C70</f>
        <v>5.0224242764640003E-4</v>
      </c>
      <c r="D66" s="104">
        <f t="shared" si="45"/>
        <v>0</v>
      </c>
      <c r="E66" s="104">
        <f t="shared" si="45"/>
        <v>0</v>
      </c>
      <c r="F66" s="104">
        <f t="shared" si="45"/>
        <v>6.1951897209395698E-4</v>
      </c>
      <c r="G66" s="104">
        <f t="shared" si="45"/>
        <v>6.2719999999999996E-4</v>
      </c>
      <c r="H66" s="104">
        <f t="shared" si="45"/>
        <v>0</v>
      </c>
      <c r="I66" s="104">
        <f t="shared" si="45"/>
        <v>3.6126932040909493E-4</v>
      </c>
      <c r="J66" s="104">
        <f t="shared" si="45"/>
        <v>0</v>
      </c>
      <c r="K66" s="104">
        <f t="shared" si="45"/>
        <v>6.9898544118391574E-4</v>
      </c>
      <c r="L66" s="104">
        <f t="shared" si="45"/>
        <v>2.1503999999999999E-5</v>
      </c>
    </row>
    <row r="67" spans="1:19" x14ac:dyDescent="0.35">
      <c r="A67" s="178" t="s">
        <v>225</v>
      </c>
      <c r="B67" s="4">
        <f t="shared" ref="B67" si="46">SUM(B64:B66)</f>
        <v>5.264E-4</v>
      </c>
      <c r="C67" s="4">
        <f t="shared" ref="C67:L67" si="47">SUM(C64:C66)</f>
        <v>5.0224242764640003E-4</v>
      </c>
      <c r="D67" s="4">
        <f t="shared" si="47"/>
        <v>7.3919999999999997E-4</v>
      </c>
      <c r="E67" s="4">
        <f t="shared" si="47"/>
        <v>5.5999999999999995E-4</v>
      </c>
      <c r="F67" s="4">
        <f t="shared" si="47"/>
        <v>7.8394097570768913E-4</v>
      </c>
      <c r="G67" s="4">
        <f t="shared" si="47"/>
        <v>6.2719999999999996E-4</v>
      </c>
      <c r="H67" s="4">
        <f t="shared" si="47"/>
        <v>5.4160332977754792E-4</v>
      </c>
      <c r="I67" s="4">
        <f t="shared" si="47"/>
        <v>6.708935993356127E-4</v>
      </c>
      <c r="J67" s="4">
        <f t="shared" si="47"/>
        <v>8.0257817631143829E-4</v>
      </c>
      <c r="K67" s="4">
        <f t="shared" si="47"/>
        <v>7.1489129726970521E-4</v>
      </c>
      <c r="L67" s="4">
        <f t="shared" si="47"/>
        <v>6.6703200000000002E-4</v>
      </c>
    </row>
    <row r="68" spans="1:19" x14ac:dyDescent="0.35">
      <c r="A68" s="178" t="s">
        <v>310</v>
      </c>
      <c r="B68" s="33">
        <f>B67/Production!B$14</f>
        <v>2.9070345376025803E-7</v>
      </c>
      <c r="C68" s="33">
        <f>C67/Production!C$14</f>
        <v>2.7598938668556959E-7</v>
      </c>
      <c r="D68" s="33">
        <f>D67/Production!D$14</f>
        <v>4.0776989009363656E-7</v>
      </c>
      <c r="E68" s="33">
        <f>E67/Production!E$14</f>
        <v>3.8668843338784861E-7</v>
      </c>
      <c r="F68" s="33">
        <f>F67/Production!F$14</f>
        <v>5.4132304958026392E-7</v>
      </c>
      <c r="G68" s="33">
        <f>G67/Production!G$14</f>
        <v>3.2270427032858645E-7</v>
      </c>
      <c r="H68" s="33">
        <f>H67/Production!H$14</f>
        <v>3.2276224606925279E-7</v>
      </c>
      <c r="I68" s="33">
        <f>I67/Production!I$14</f>
        <v>4.2960517229823464E-7</v>
      </c>
      <c r="J68" s="33">
        <f>J67/Production!J$14</f>
        <v>5.2848086570642521E-7</v>
      </c>
      <c r="K68" s="33">
        <f>K67/Production!K$14</f>
        <v>4.2603120792647907E-7</v>
      </c>
      <c r="L68" s="33">
        <f>L67/Production!L$14</f>
        <v>4.2713240605100031E-7</v>
      </c>
    </row>
    <row r="70" spans="1:19" x14ac:dyDescent="0.35">
      <c r="A70" s="3" t="s">
        <v>327</v>
      </c>
      <c r="B70" s="77">
        <v>2E-3</v>
      </c>
      <c r="C70" s="77">
        <v>2E-3</v>
      </c>
      <c r="D70" s="77">
        <v>2E-3</v>
      </c>
      <c r="E70" s="77">
        <v>2E-3</v>
      </c>
      <c r="F70" s="77">
        <v>2E-3</v>
      </c>
      <c r="G70" s="77">
        <v>2E-3</v>
      </c>
      <c r="H70" s="77">
        <v>2E-3</v>
      </c>
      <c r="I70" s="77">
        <v>2E-3</v>
      </c>
      <c r="J70" s="77">
        <v>2E-3</v>
      </c>
      <c r="K70" s="77">
        <v>2E-3</v>
      </c>
      <c r="L70" s="77">
        <v>2E-3</v>
      </c>
      <c r="M70" s="15"/>
      <c r="N70" s="177" t="s">
        <v>328</v>
      </c>
      <c r="Q70" s="7"/>
      <c r="S70" s="93" t="s">
        <v>329</v>
      </c>
    </row>
    <row r="71" spans="1:19" x14ac:dyDescent="0.35">
      <c r="A71" s="3" t="s">
        <v>330</v>
      </c>
      <c r="B71" s="15">
        <v>0.01</v>
      </c>
      <c r="C71" s="15">
        <v>0.01</v>
      </c>
      <c r="D71" s="15">
        <v>0.01</v>
      </c>
      <c r="E71" s="15">
        <v>0.01</v>
      </c>
      <c r="F71" s="15">
        <v>0.01</v>
      </c>
      <c r="G71" s="15">
        <v>0.01</v>
      </c>
      <c r="H71" s="15">
        <v>0.01</v>
      </c>
      <c r="I71" s="15">
        <v>0.01</v>
      </c>
      <c r="J71" s="15">
        <v>0.01</v>
      </c>
      <c r="K71" s="15">
        <v>0.01</v>
      </c>
      <c r="L71" s="15">
        <v>0.01</v>
      </c>
      <c r="M71" s="194"/>
      <c r="N71" s="177" t="s">
        <v>331</v>
      </c>
    </row>
    <row r="73" spans="1:19" x14ac:dyDescent="0.35">
      <c r="A73" s="155" t="s">
        <v>332</v>
      </c>
      <c r="B73" s="110"/>
      <c r="C73" s="110"/>
      <c r="D73" s="110"/>
      <c r="E73" s="110"/>
      <c r="F73" s="110"/>
      <c r="G73" s="110"/>
      <c r="H73" s="110"/>
      <c r="I73" s="110"/>
      <c r="J73" s="110"/>
      <c r="K73" s="110"/>
      <c r="L73" s="110"/>
    </row>
    <row r="74" spans="1:19" x14ac:dyDescent="0.35">
      <c r="A74" s="178" t="s">
        <v>303</v>
      </c>
      <c r="B74" s="11">
        <f t="shared" ref="B74" si="48">B47*(B78+B80)</f>
        <v>0</v>
      </c>
      <c r="C74" s="11">
        <f t="shared" ref="C74:I75" si="49">C47*(C78+C80)</f>
        <v>0</v>
      </c>
      <c r="D74" s="11">
        <f t="shared" si="49"/>
        <v>0.114576</v>
      </c>
      <c r="E74" s="11">
        <f t="shared" si="49"/>
        <v>8.6799999999999988E-2</v>
      </c>
      <c r="F74" s="11">
        <f t="shared" si="49"/>
        <v>2.5409170849227062E-2</v>
      </c>
      <c r="G74" s="11">
        <f t="shared" si="49"/>
        <v>0</v>
      </c>
      <c r="H74" s="11">
        <f t="shared" si="49"/>
        <v>8.309539142341664E-2</v>
      </c>
      <c r="I74" s="11">
        <f t="shared" si="49"/>
        <v>4.7991763233610256E-2</v>
      </c>
      <c r="J74" s="11">
        <f t="shared" ref="J74:L75" si="50">J47*(J78+J80)</f>
        <v>0.11193343631467241</v>
      </c>
      <c r="K74" s="11">
        <f t="shared" ref="K74" si="51">K47*(K78+K80)</f>
        <v>0</v>
      </c>
      <c r="L74" s="11">
        <f t="shared" si="50"/>
        <v>9.3639840000000002E-2</v>
      </c>
    </row>
    <row r="75" spans="1:19" x14ac:dyDescent="0.35">
      <c r="A75" s="178" t="s">
        <v>304</v>
      </c>
      <c r="B75" s="11">
        <f t="shared" ref="B75" si="52">B48*(B79+B81)</f>
        <v>0</v>
      </c>
      <c r="C75" s="11">
        <f t="shared" si="49"/>
        <v>0</v>
      </c>
      <c r="D75" s="11">
        <f t="shared" si="49"/>
        <v>0</v>
      </c>
      <c r="E75" s="11">
        <f t="shared" si="49"/>
        <v>0</v>
      </c>
      <c r="F75" s="11">
        <f t="shared" si="49"/>
        <v>1.5247942180285083E-7</v>
      </c>
      <c r="G75" s="11">
        <f t="shared" si="49"/>
        <v>0</v>
      </c>
      <c r="H75" s="11">
        <f t="shared" si="49"/>
        <v>1.7062493842065507E-6</v>
      </c>
      <c r="I75" s="11">
        <f t="shared" si="49"/>
        <v>0</v>
      </c>
      <c r="J75" s="11">
        <f t="shared" si="50"/>
        <v>2.4932362027201042E-5</v>
      </c>
      <c r="K75" s="11">
        <f t="shared" ref="K75" si="53">K48*(K79+K81)</f>
        <v>4.9308153865947467E-6</v>
      </c>
      <c r="L75" s="11">
        <f t="shared" si="50"/>
        <v>1.2834000000000001E-5</v>
      </c>
    </row>
    <row r="76" spans="1:19" x14ac:dyDescent="0.35">
      <c r="A76" s="178" t="s">
        <v>305</v>
      </c>
      <c r="B76" s="11">
        <f t="shared" ref="B76" si="54">B49*(B78+B80)</f>
        <v>8.1591999999999998E-2</v>
      </c>
      <c r="C76" s="11">
        <f t="shared" ref="C76:K76" si="55">C49*(C78+C80)</f>
        <v>7.7847576285192011E-2</v>
      </c>
      <c r="D76" s="11">
        <f t="shared" si="55"/>
        <v>0</v>
      </c>
      <c r="E76" s="11">
        <f t="shared" si="55"/>
        <v>0</v>
      </c>
      <c r="F76" s="11">
        <f t="shared" si="55"/>
        <v>9.6025440674563339E-2</v>
      </c>
      <c r="G76" s="11">
        <f t="shared" si="55"/>
        <v>9.7215999999999997E-2</v>
      </c>
      <c r="H76" s="11">
        <f t="shared" si="55"/>
        <v>0</v>
      </c>
      <c r="I76" s="11">
        <f t="shared" si="55"/>
        <v>5.5996744663409717E-2</v>
      </c>
      <c r="J76" s="11">
        <f t="shared" si="55"/>
        <v>0</v>
      </c>
      <c r="K76" s="11">
        <f t="shared" si="55"/>
        <v>0.10834274338350694</v>
      </c>
      <c r="L76" s="11">
        <f t="shared" ref="L76" si="56">L49*(L78+L80)</f>
        <v>3.3331199999999997E-3</v>
      </c>
    </row>
    <row r="78" spans="1:19" x14ac:dyDescent="0.35">
      <c r="A78" s="3" t="s">
        <v>333</v>
      </c>
      <c r="B78" s="15">
        <v>0.01</v>
      </c>
      <c r="C78" s="15">
        <v>0.01</v>
      </c>
      <c r="D78" s="15">
        <v>0.01</v>
      </c>
      <c r="E78" s="15">
        <v>0.01</v>
      </c>
      <c r="F78" s="15">
        <v>0.01</v>
      </c>
      <c r="G78" s="15">
        <v>0.01</v>
      </c>
      <c r="H78" s="15">
        <v>0.01</v>
      </c>
      <c r="I78" s="15">
        <v>0.01</v>
      </c>
      <c r="J78" s="15">
        <v>0.01</v>
      </c>
      <c r="K78" s="15">
        <v>0.01</v>
      </c>
      <c r="L78" s="15">
        <v>0.01</v>
      </c>
      <c r="N78" s="177" t="s">
        <v>334</v>
      </c>
    </row>
    <row r="79" spans="1:19" x14ac:dyDescent="0.35">
      <c r="A79" s="3" t="s">
        <v>335</v>
      </c>
      <c r="B79" s="134">
        <v>1E-4</v>
      </c>
      <c r="C79" s="134">
        <v>1E-4</v>
      </c>
      <c r="D79" s="134">
        <v>1E-4</v>
      </c>
      <c r="E79" s="134">
        <v>1E-4</v>
      </c>
      <c r="F79" s="134">
        <v>1E-4</v>
      </c>
      <c r="G79" s="134">
        <v>1E-4</v>
      </c>
      <c r="H79" s="134">
        <v>1E-4</v>
      </c>
      <c r="I79" s="134">
        <v>1E-4</v>
      </c>
      <c r="J79" s="134">
        <v>1E-4</v>
      </c>
      <c r="K79" s="134">
        <v>1E-4</v>
      </c>
      <c r="L79" s="134">
        <v>1E-4</v>
      </c>
      <c r="N79" s="177" t="s">
        <v>334</v>
      </c>
    </row>
    <row r="80" spans="1:19" x14ac:dyDescent="0.35">
      <c r="A80" s="3" t="s">
        <v>336</v>
      </c>
      <c r="B80" s="13">
        <v>0.3</v>
      </c>
      <c r="C80" s="13">
        <v>0.3</v>
      </c>
      <c r="D80" s="13">
        <v>0.3</v>
      </c>
      <c r="E80" s="13">
        <v>0.3</v>
      </c>
      <c r="F80" s="13">
        <v>0.3</v>
      </c>
      <c r="G80" s="13">
        <v>0.3</v>
      </c>
      <c r="H80" s="13">
        <v>0.3</v>
      </c>
      <c r="I80" s="13">
        <v>0.3</v>
      </c>
      <c r="J80" s="13">
        <v>0.3</v>
      </c>
      <c r="K80" s="13">
        <v>0.3</v>
      </c>
      <c r="L80" s="13">
        <v>0.3</v>
      </c>
      <c r="N80" s="177" t="s">
        <v>334</v>
      </c>
    </row>
    <row r="81" spans="1:14" x14ac:dyDescent="0.35">
      <c r="A81" s="3" t="s">
        <v>337</v>
      </c>
      <c r="B81" s="13">
        <v>3.0000000000000001E-3</v>
      </c>
      <c r="C81" s="13">
        <v>3.0000000000000001E-3</v>
      </c>
      <c r="D81" s="13">
        <v>3.0000000000000001E-3</v>
      </c>
      <c r="E81" s="13">
        <v>3.0000000000000001E-3</v>
      </c>
      <c r="F81" s="13">
        <v>3.0000000000000001E-3</v>
      </c>
      <c r="G81" s="13">
        <v>3.0000000000000001E-3</v>
      </c>
      <c r="H81" s="13">
        <v>3.0000000000000001E-3</v>
      </c>
      <c r="I81" s="13">
        <v>3.0000000000000001E-3</v>
      </c>
      <c r="J81" s="13">
        <v>3.0000000000000001E-3</v>
      </c>
      <c r="K81" s="13">
        <v>3.0000000000000001E-3</v>
      </c>
      <c r="L81" s="13">
        <v>3.0000000000000001E-3</v>
      </c>
      <c r="N81" s="177" t="s">
        <v>334</v>
      </c>
    </row>
    <row r="83" spans="1:14" x14ac:dyDescent="0.35">
      <c r="A83" s="200" t="s">
        <v>338</v>
      </c>
      <c r="B83" s="110"/>
      <c r="C83" s="110"/>
      <c r="D83" s="110"/>
      <c r="E83" s="110"/>
      <c r="F83" s="110"/>
      <c r="G83" s="110"/>
      <c r="H83" s="110"/>
      <c r="I83" s="110"/>
      <c r="J83" s="110"/>
      <c r="K83" s="110"/>
      <c r="L83" s="110"/>
    </row>
    <row r="84" spans="1:14" x14ac:dyDescent="0.35">
      <c r="A84" s="178" t="s">
        <v>303</v>
      </c>
      <c r="B84" s="11">
        <f t="shared" ref="B84" si="57">B47-B54-B64-B74</f>
        <v>0</v>
      </c>
      <c r="C84" s="11">
        <f t="shared" ref="C84:L84" si="58">C47-C54-C64-C74</f>
        <v>0</v>
      </c>
      <c r="D84" s="11">
        <f t="shared" si="58"/>
        <v>0.22471679999999999</v>
      </c>
      <c r="E84" s="11">
        <f t="shared" si="58"/>
        <v>0.17024</v>
      </c>
      <c r="F84" s="11">
        <f t="shared" si="58"/>
        <v>4.9834760891387261E-2</v>
      </c>
      <c r="G84" s="11">
        <f t="shared" si="58"/>
        <v>0</v>
      </c>
      <c r="H84" s="11">
        <f t="shared" si="58"/>
        <v>0.16297418704979783</v>
      </c>
      <c r="I84" s="11">
        <f t="shared" si="58"/>
        <v>9.4125780793661379E-2</v>
      </c>
      <c r="J84" s="11">
        <f t="shared" si="58"/>
        <v>0.21953396541716402</v>
      </c>
      <c r="K84" s="11">
        <f t="shared" si="58"/>
        <v>0</v>
      </c>
      <c r="L84" s="11">
        <f t="shared" si="58"/>
        <v>0.18365491200000003</v>
      </c>
    </row>
    <row r="85" spans="1:14" x14ac:dyDescent="0.35">
      <c r="A85" s="178" t="s">
        <v>304</v>
      </c>
      <c r="B85" s="11">
        <f t="shared" ref="B85" si="59">B48-B55-B65-B75</f>
        <v>0</v>
      </c>
      <c r="C85" s="11">
        <f t="shared" ref="C85:L85" si="60">C48-C55-C65-C75</f>
        <v>0</v>
      </c>
      <c r="D85" s="11">
        <f t="shared" si="60"/>
        <v>0</v>
      </c>
      <c r="E85" s="11">
        <f t="shared" si="60"/>
        <v>0</v>
      </c>
      <c r="F85" s="11">
        <f t="shared" si="60"/>
        <v>4.1656394298333671E-5</v>
      </c>
      <c r="G85" s="11">
        <f t="shared" si="60"/>
        <v>0</v>
      </c>
      <c r="H85" s="11">
        <f t="shared" si="60"/>
        <v>4.6613632370468634E-4</v>
      </c>
      <c r="I85" s="11">
        <f t="shared" si="60"/>
        <v>0</v>
      </c>
      <c r="J85" s="11">
        <f t="shared" si="60"/>
        <v>6.8113604518827628E-3</v>
      </c>
      <c r="K85" s="11">
        <f t="shared" si="60"/>
        <v>1.347066951905513E-3</v>
      </c>
      <c r="L85" s="11">
        <f t="shared" si="60"/>
        <v>3.5061660000000002E-3</v>
      </c>
    </row>
    <row r="86" spans="1:14" x14ac:dyDescent="0.35">
      <c r="A86" s="178" t="s">
        <v>305</v>
      </c>
      <c r="B86" s="11">
        <f t="shared" ref="B86" si="61">B49-B56-B66-B76</f>
        <v>0.16002559999999999</v>
      </c>
      <c r="C86" s="11">
        <f t="shared" ref="C86:I86" si="62">C49-C56-C66-C76</f>
        <v>0.15268169800450559</v>
      </c>
      <c r="D86" s="11">
        <f t="shared" si="62"/>
        <v>0</v>
      </c>
      <c r="E86" s="11">
        <f t="shared" si="62"/>
        <v>0</v>
      </c>
      <c r="F86" s="11">
        <f t="shared" si="62"/>
        <v>0.18833376751656292</v>
      </c>
      <c r="G86" s="11">
        <f t="shared" si="62"/>
        <v>0.1906688</v>
      </c>
      <c r="H86" s="11">
        <f t="shared" si="62"/>
        <v>0</v>
      </c>
      <c r="I86" s="11">
        <f t="shared" si="62"/>
        <v>0.10982587340436488</v>
      </c>
      <c r="J86" s="11">
        <f t="shared" ref="J86:L86" si="63">J49-J56-J66-J76</f>
        <v>0</v>
      </c>
      <c r="K86" s="11">
        <f t="shared" ref="K86" si="64">K49-K56-K66-K76</f>
        <v>0.2124915741199104</v>
      </c>
      <c r="L86" s="11">
        <f t="shared" si="63"/>
        <v>6.5372159999999985E-3</v>
      </c>
    </row>
    <row r="87" spans="1:14" x14ac:dyDescent="0.35">
      <c r="B87" s="11"/>
      <c r="C87" s="11"/>
      <c r="D87" s="11"/>
      <c r="E87" s="11"/>
      <c r="F87" s="11"/>
      <c r="G87" s="11"/>
      <c r="H87" s="11"/>
      <c r="I87" s="11"/>
      <c r="J87" s="11"/>
      <c r="K87" s="11"/>
      <c r="L87" s="11"/>
    </row>
    <row r="88" spans="1:14" x14ac:dyDescent="0.35">
      <c r="A88" s="155" t="s">
        <v>339</v>
      </c>
      <c r="B88" s="203"/>
      <c r="C88" s="203"/>
      <c r="D88" s="203"/>
      <c r="E88" s="203"/>
      <c r="F88" s="203"/>
      <c r="G88" s="203"/>
      <c r="H88" s="203"/>
      <c r="I88" s="203"/>
      <c r="J88" s="203"/>
      <c r="K88" s="203"/>
      <c r="L88" s="203"/>
      <c r="N88" s="167" t="s">
        <v>340</v>
      </c>
    </row>
    <row r="89" spans="1:14" x14ac:dyDescent="0.35">
      <c r="A89" s="178" t="s">
        <v>303</v>
      </c>
      <c r="B89" s="11">
        <f t="shared" ref="B89" si="65">B84*B95</f>
        <v>0</v>
      </c>
      <c r="C89" s="11">
        <f t="shared" ref="C89:L89" si="66">C84*C95</f>
        <v>0</v>
      </c>
      <c r="D89" s="11">
        <f t="shared" si="66"/>
        <v>0.10112256</v>
      </c>
      <c r="E89" s="11">
        <f t="shared" si="66"/>
        <v>7.6608000000000009E-2</v>
      </c>
      <c r="F89" s="11">
        <f t="shared" si="66"/>
        <v>2.2425642401124268E-2</v>
      </c>
      <c r="G89" s="11">
        <f t="shared" si="66"/>
        <v>0</v>
      </c>
      <c r="H89" s="11">
        <f t="shared" si="66"/>
        <v>7.3338384172409024E-2</v>
      </c>
      <c r="I89" s="11">
        <f t="shared" si="66"/>
        <v>4.2356601357147625E-2</v>
      </c>
      <c r="J89" s="11">
        <f t="shared" si="66"/>
        <v>9.8790284437723808E-2</v>
      </c>
      <c r="K89" s="11">
        <f t="shared" si="66"/>
        <v>0</v>
      </c>
      <c r="L89" s="11">
        <f t="shared" si="66"/>
        <v>8.2644710400000015E-2</v>
      </c>
    </row>
    <row r="90" spans="1:14" x14ac:dyDescent="0.35">
      <c r="A90" s="178" t="s">
        <v>304</v>
      </c>
      <c r="B90" s="11">
        <f t="shared" ref="B90" si="67">B85*B96</f>
        <v>0</v>
      </c>
      <c r="C90" s="11">
        <f t="shared" ref="C90:L90" si="68">C85*C96</f>
        <v>0</v>
      </c>
      <c r="D90" s="11">
        <f t="shared" si="68"/>
        <v>0</v>
      </c>
      <c r="E90" s="11">
        <f t="shared" si="68"/>
        <v>0</v>
      </c>
      <c r="F90" s="11">
        <f t="shared" si="68"/>
        <v>2.874291206585023E-5</v>
      </c>
      <c r="G90" s="11">
        <f t="shared" si="68"/>
        <v>0</v>
      </c>
      <c r="H90" s="11">
        <f t="shared" si="68"/>
        <v>3.2163406335623357E-4</v>
      </c>
      <c r="I90" s="11">
        <f t="shared" si="68"/>
        <v>0</v>
      </c>
      <c r="J90" s="11">
        <f t="shared" si="68"/>
        <v>4.6998387117991062E-3</v>
      </c>
      <c r="K90" s="11">
        <f t="shared" si="68"/>
        <v>9.2947619681480386E-4</v>
      </c>
      <c r="L90" s="11">
        <f t="shared" si="68"/>
        <v>2.41925454E-3</v>
      </c>
    </row>
    <row r="91" spans="1:14" x14ac:dyDescent="0.35">
      <c r="A91" s="178" t="s">
        <v>305</v>
      </c>
      <c r="B91" s="11">
        <f t="shared" ref="B91" si="69">B86*B95</f>
        <v>7.2011519999999996E-2</v>
      </c>
      <c r="C91" s="11">
        <f t="shared" ref="C91:L91" si="70">C86*C95</f>
        <v>6.8706764102027515E-2</v>
      </c>
      <c r="D91" s="11">
        <f t="shared" si="70"/>
        <v>0</v>
      </c>
      <c r="E91" s="11">
        <f t="shared" si="70"/>
        <v>0</v>
      </c>
      <c r="F91" s="11">
        <f t="shared" si="70"/>
        <v>8.4750195382453319E-2</v>
      </c>
      <c r="G91" s="11">
        <f t="shared" si="70"/>
        <v>8.5800959999999996E-2</v>
      </c>
      <c r="H91" s="11">
        <f t="shared" si="70"/>
        <v>0</v>
      </c>
      <c r="I91" s="11">
        <f t="shared" si="70"/>
        <v>4.9421643031964196E-2</v>
      </c>
      <c r="J91" s="11">
        <f t="shared" si="70"/>
        <v>0</v>
      </c>
      <c r="K91" s="11">
        <f t="shared" si="70"/>
        <v>9.562120835395968E-2</v>
      </c>
      <c r="L91" s="11">
        <f t="shared" si="70"/>
        <v>2.9417471999999994E-3</v>
      </c>
    </row>
    <row r="92" spans="1:14" x14ac:dyDescent="0.35">
      <c r="A92" s="178" t="s">
        <v>225</v>
      </c>
      <c r="B92" s="5">
        <f t="shared" ref="B92" si="71">SUM(B89:B91)</f>
        <v>7.2011519999999996E-2</v>
      </c>
      <c r="C92" s="5">
        <f t="shared" ref="C92:L92" si="72">SUM(C89:C91)</f>
        <v>6.8706764102027515E-2</v>
      </c>
      <c r="D92" s="5">
        <f t="shared" si="72"/>
        <v>0.10112256</v>
      </c>
      <c r="E92" s="5">
        <f t="shared" si="72"/>
        <v>7.6608000000000009E-2</v>
      </c>
      <c r="F92" s="5">
        <f t="shared" si="72"/>
        <v>0.10720458069564344</v>
      </c>
      <c r="G92" s="5">
        <f t="shared" si="72"/>
        <v>8.5800959999999996E-2</v>
      </c>
      <c r="H92" s="5">
        <f t="shared" si="72"/>
        <v>7.3660018235765262E-2</v>
      </c>
      <c r="I92" s="5">
        <f t="shared" si="72"/>
        <v>9.1778244389111821E-2</v>
      </c>
      <c r="J92" s="5">
        <f t="shared" si="72"/>
        <v>0.10349012314952291</v>
      </c>
      <c r="K92" s="5">
        <f t="shared" si="72"/>
        <v>9.6550684550774479E-2</v>
      </c>
      <c r="L92" s="5">
        <f t="shared" si="72"/>
        <v>8.8005712140000011E-2</v>
      </c>
    </row>
    <row r="93" spans="1:14" x14ac:dyDescent="0.35">
      <c r="A93" s="178" t="s">
        <v>341</v>
      </c>
      <c r="B93" s="204">
        <f>B92/Production!B$14</f>
        <v>3.9768232474403297E-5</v>
      </c>
      <c r="C93" s="204">
        <f>C92/Production!C$14</f>
        <v>3.775534809858592E-5</v>
      </c>
      <c r="D93" s="204">
        <f>D92/Production!D$14</f>
        <v>5.5782920964809483E-5</v>
      </c>
      <c r="E93" s="204">
        <f>E92/Production!E$14</f>
        <v>5.28989776874577E-5</v>
      </c>
      <c r="F93" s="204">
        <f>F92/Production!F$14</f>
        <v>7.4026377430713499E-5</v>
      </c>
      <c r="G93" s="204">
        <f>G92/Production!G$14</f>
        <v>4.4145944180950626E-5</v>
      </c>
      <c r="H93" s="204">
        <f>H92/Production!H$14</f>
        <v>4.3896836714505903E-5</v>
      </c>
      <c r="I93" s="204">
        <f>I92/Production!I$14</f>
        <v>5.8769987570398498E-5</v>
      </c>
      <c r="J93" s="204">
        <f>J92/Production!J$14</f>
        <v>6.8146071608233118E-5</v>
      </c>
      <c r="K93" s="204">
        <f>K92/Production!K$14</f>
        <v>5.7538264799685377E-5</v>
      </c>
      <c r="L93" s="204">
        <f>L92/Production!L$14</f>
        <v>5.635425522702049E-5</v>
      </c>
    </row>
    <row r="95" spans="1:14" x14ac:dyDescent="0.35">
      <c r="A95" s="3" t="s">
        <v>342</v>
      </c>
      <c r="B95" s="15">
        <v>0.45</v>
      </c>
      <c r="C95" s="15">
        <v>0.45</v>
      </c>
      <c r="D95" s="15">
        <v>0.45</v>
      </c>
      <c r="E95" s="15">
        <v>0.45</v>
      </c>
      <c r="F95" s="15">
        <v>0.45</v>
      </c>
      <c r="G95" s="15">
        <v>0.45</v>
      </c>
      <c r="H95" s="15">
        <v>0.45</v>
      </c>
      <c r="I95" s="15">
        <v>0.45</v>
      </c>
      <c r="J95" s="15">
        <v>0.45</v>
      </c>
      <c r="K95" s="15">
        <v>0.45</v>
      </c>
      <c r="L95" s="15">
        <v>0.45</v>
      </c>
      <c r="N95" s="177" t="s">
        <v>301</v>
      </c>
    </row>
    <row r="96" spans="1:14" x14ac:dyDescent="0.35">
      <c r="A96" s="3" t="s">
        <v>343</v>
      </c>
      <c r="B96" s="15">
        <v>0.69</v>
      </c>
      <c r="C96" s="15">
        <v>0.69</v>
      </c>
      <c r="D96" s="15">
        <v>0.69</v>
      </c>
      <c r="E96" s="15">
        <v>0.69</v>
      </c>
      <c r="F96" s="15">
        <v>0.69</v>
      </c>
      <c r="G96" s="15">
        <v>0.69</v>
      </c>
      <c r="H96" s="15">
        <v>0.69</v>
      </c>
      <c r="I96" s="15">
        <v>0.69</v>
      </c>
      <c r="J96" s="15">
        <v>0.69</v>
      </c>
      <c r="K96" s="15">
        <v>0.69</v>
      </c>
      <c r="L96" s="15">
        <v>0.69</v>
      </c>
      <c r="N96" s="177" t="s">
        <v>301</v>
      </c>
    </row>
    <row r="97" spans="1:14" x14ac:dyDescent="0.35">
      <c r="A97" s="178" t="s">
        <v>344</v>
      </c>
      <c r="B97" s="13">
        <v>0.01</v>
      </c>
      <c r="C97" s="13">
        <v>0.01</v>
      </c>
      <c r="D97" s="13">
        <v>0.01</v>
      </c>
      <c r="E97" s="13">
        <v>0.01</v>
      </c>
      <c r="F97" s="13">
        <v>0.01</v>
      </c>
      <c r="G97" s="13">
        <v>0.01</v>
      </c>
      <c r="H97" s="13">
        <v>0.01</v>
      </c>
      <c r="I97" s="13">
        <v>0.01</v>
      </c>
      <c r="J97" s="13">
        <v>0.01</v>
      </c>
      <c r="K97" s="13">
        <v>0.01</v>
      </c>
      <c r="L97" s="13">
        <v>0.01</v>
      </c>
      <c r="N97" s="177" t="s">
        <v>345</v>
      </c>
    </row>
    <row r="99" spans="1:14" x14ac:dyDescent="0.35">
      <c r="A99" s="200" t="s">
        <v>346</v>
      </c>
      <c r="B99" s="110"/>
      <c r="C99" s="110"/>
      <c r="D99" s="110"/>
      <c r="E99" s="110"/>
      <c r="F99" s="110"/>
      <c r="G99" s="110"/>
      <c r="H99" s="110"/>
      <c r="I99" s="110"/>
      <c r="J99" s="110"/>
      <c r="K99" s="110"/>
      <c r="L99" s="110"/>
    </row>
    <row r="100" spans="1:14" x14ac:dyDescent="0.35">
      <c r="A100" s="178" t="s">
        <v>303</v>
      </c>
      <c r="B100" s="11">
        <f t="shared" ref="B100" si="73">B84-B89</f>
        <v>0</v>
      </c>
      <c r="C100" s="11">
        <f t="shared" ref="C100:L100" si="74">C84-C89</f>
        <v>0</v>
      </c>
      <c r="D100" s="11">
        <f t="shared" si="74"/>
        <v>0.12359423999999999</v>
      </c>
      <c r="E100" s="11">
        <f t="shared" si="74"/>
        <v>9.3631999999999993E-2</v>
      </c>
      <c r="F100" s="11">
        <f t="shared" si="74"/>
        <v>2.7409118490262993E-2</v>
      </c>
      <c r="G100" s="11">
        <f t="shared" si="74"/>
        <v>0</v>
      </c>
      <c r="H100" s="11">
        <f t="shared" si="74"/>
        <v>8.9635802877388801E-2</v>
      </c>
      <c r="I100" s="11">
        <f t="shared" si="74"/>
        <v>5.1769179436513754E-2</v>
      </c>
      <c r="J100" s="11">
        <f t="shared" si="74"/>
        <v>0.12074368097944022</v>
      </c>
      <c r="K100" s="11">
        <f t="shared" si="74"/>
        <v>0</v>
      </c>
      <c r="L100" s="11">
        <f t="shared" si="74"/>
        <v>0.10101020160000002</v>
      </c>
    </row>
    <row r="101" spans="1:14" x14ac:dyDescent="0.35">
      <c r="A101" s="178" t="s">
        <v>304</v>
      </c>
      <c r="B101" s="11">
        <f t="shared" ref="B101" si="75">B85-B90</f>
        <v>0</v>
      </c>
      <c r="C101" s="11">
        <f t="shared" ref="C101:I102" si="76">C85-C90</f>
        <v>0</v>
      </c>
      <c r="D101" s="11">
        <f t="shared" si="76"/>
        <v>0</v>
      </c>
      <c r="E101" s="11">
        <f t="shared" si="76"/>
        <v>0</v>
      </c>
      <c r="F101" s="11">
        <f t="shared" si="76"/>
        <v>1.2913482232483441E-5</v>
      </c>
      <c r="G101" s="11">
        <f t="shared" si="76"/>
        <v>0</v>
      </c>
      <c r="H101" s="11">
        <f t="shared" si="76"/>
        <v>1.4450226034845278E-4</v>
      </c>
      <c r="I101" s="11">
        <f t="shared" si="76"/>
        <v>0</v>
      </c>
      <c r="J101" s="11">
        <f t="shared" ref="J101:L101" si="77">J85-J90</f>
        <v>2.1115217400836566E-3</v>
      </c>
      <c r="K101" s="11">
        <f t="shared" ref="K101" si="78">K85-K90</f>
        <v>4.1759075509070916E-4</v>
      </c>
      <c r="L101" s="11">
        <f t="shared" si="77"/>
        <v>1.0869114600000002E-3</v>
      </c>
    </row>
    <row r="102" spans="1:14" x14ac:dyDescent="0.35">
      <c r="A102" s="178" t="s">
        <v>305</v>
      </c>
      <c r="B102" s="11">
        <f t="shared" ref="B102" si="79">B86-B91</f>
        <v>8.8014079999999995E-2</v>
      </c>
      <c r="C102" s="11">
        <f t="shared" si="76"/>
        <v>8.397493390247808E-2</v>
      </c>
      <c r="D102" s="11">
        <f t="shared" si="76"/>
        <v>0</v>
      </c>
      <c r="E102" s="11">
        <f t="shared" si="76"/>
        <v>0</v>
      </c>
      <c r="F102" s="11">
        <f t="shared" si="76"/>
        <v>0.1035835721341096</v>
      </c>
      <c r="G102" s="11">
        <f t="shared" si="76"/>
        <v>0.10486784</v>
      </c>
      <c r="H102" s="11">
        <f t="shared" si="76"/>
        <v>0</v>
      </c>
      <c r="I102" s="11">
        <f t="shared" si="76"/>
        <v>6.0404230372400683E-2</v>
      </c>
      <c r="J102" s="11">
        <f t="shared" ref="J102:L102" si="80">J86-J91</f>
        <v>0</v>
      </c>
      <c r="K102" s="11">
        <f t="shared" ref="K102" si="81">K86-K91</f>
        <v>0.11687036576595072</v>
      </c>
      <c r="L102" s="11">
        <f t="shared" si="80"/>
        <v>3.5954687999999991E-3</v>
      </c>
    </row>
    <row r="103" spans="1:14" x14ac:dyDescent="0.35">
      <c r="B103" s="5"/>
      <c r="C103" s="5"/>
      <c r="D103" s="5"/>
      <c r="E103" s="5"/>
      <c r="F103" s="5"/>
      <c r="G103" s="5"/>
      <c r="H103" s="5"/>
      <c r="I103" s="5"/>
      <c r="J103" s="5"/>
      <c r="K103" s="5"/>
      <c r="L103" s="5"/>
    </row>
    <row r="104" spans="1:14" x14ac:dyDescent="0.35">
      <c r="A104" s="200" t="s">
        <v>347</v>
      </c>
      <c r="B104" s="195"/>
      <c r="C104" s="195"/>
      <c r="D104" s="195"/>
      <c r="E104" s="195"/>
      <c r="F104" s="195"/>
      <c r="G104" s="195"/>
      <c r="H104" s="195"/>
      <c r="I104" s="195"/>
      <c r="J104" s="195"/>
      <c r="K104" s="195"/>
      <c r="L104" s="195"/>
    </row>
    <row r="105" spans="1:14" x14ac:dyDescent="0.35">
      <c r="A105" s="178" t="s">
        <v>303</v>
      </c>
      <c r="B105" s="5">
        <f t="shared" ref="B105" si="82">B30+B54+B64+B74+B89</f>
        <v>0</v>
      </c>
      <c r="C105" s="5">
        <f t="shared" ref="C105:L105" si="83">C30+C54+C64+C74+C89</f>
        <v>0</v>
      </c>
      <c r="D105" s="5">
        <f t="shared" si="83"/>
        <v>0.33840576</v>
      </c>
      <c r="E105" s="5">
        <f t="shared" si="83"/>
        <v>0.25636799999999998</v>
      </c>
      <c r="F105" s="5">
        <f t="shared" si="83"/>
        <v>7.5047215579200965E-2</v>
      </c>
      <c r="G105" s="5">
        <f t="shared" si="83"/>
        <v>0</v>
      </c>
      <c r="H105" s="5">
        <f t="shared" si="83"/>
        <v>0.24542625931380735</v>
      </c>
      <c r="I105" s="5">
        <f t="shared" si="83"/>
        <v>0.14174599489255985</v>
      </c>
      <c r="J105" s="5">
        <f t="shared" si="83"/>
        <v>0.33060082028940024</v>
      </c>
      <c r="K105" s="5">
        <f t="shared" si="83"/>
        <v>0</v>
      </c>
      <c r="L105" s="5">
        <f t="shared" si="83"/>
        <v>0.27656979840000001</v>
      </c>
    </row>
    <row r="106" spans="1:14" x14ac:dyDescent="0.35">
      <c r="A106" s="178" t="s">
        <v>304</v>
      </c>
      <c r="B106" s="5">
        <f t="shared" ref="B106" si="84">B31+B55+B65+B75+B90</f>
        <v>0</v>
      </c>
      <c r="C106" s="5">
        <f t="shared" ref="C106:I107" si="85">C31+C55+C65+C75+C90</f>
        <v>0</v>
      </c>
      <c r="D106" s="5">
        <f t="shared" si="85"/>
        <v>0</v>
      </c>
      <c r="E106" s="5">
        <f t="shared" si="85"/>
        <v>0</v>
      </c>
      <c r="F106" s="5">
        <f t="shared" si="85"/>
        <v>3.62734280265007E-5</v>
      </c>
      <c r="G106" s="5">
        <f t="shared" si="85"/>
        <v>0</v>
      </c>
      <c r="H106" s="5">
        <f t="shared" si="85"/>
        <v>4.0590076681495062E-4</v>
      </c>
      <c r="I106" s="5">
        <f t="shared" si="85"/>
        <v>0</v>
      </c>
      <c r="J106" s="5">
        <f t="shared" ref="J106:L106" si="86">J31+J55+J65+J75+J90</f>
        <v>5.9311756880457128E-3</v>
      </c>
      <c r="K106" s="5">
        <f t="shared" ref="K106" si="87">K31+K55+K65+K75+K90</f>
        <v>1.1729948534882411E-3</v>
      </c>
      <c r="L106" s="5">
        <f t="shared" si="86"/>
        <v>3.0530885400000003E-3</v>
      </c>
    </row>
    <row r="107" spans="1:14" x14ac:dyDescent="0.35">
      <c r="A107" s="178" t="s">
        <v>305</v>
      </c>
      <c r="B107" s="5">
        <f t="shared" ref="B107" si="88">B32+B56+B66+B76+B91</f>
        <v>0.24098591999999996</v>
      </c>
      <c r="C107" s="5">
        <f t="shared" si="85"/>
        <v>0.22992658337652194</v>
      </c>
      <c r="D107" s="5">
        <f t="shared" si="85"/>
        <v>0</v>
      </c>
      <c r="E107" s="5">
        <f t="shared" si="85"/>
        <v>0</v>
      </c>
      <c r="F107" s="5">
        <f t="shared" si="85"/>
        <v>0.28361578542461352</v>
      </c>
      <c r="G107" s="5">
        <f t="shared" si="85"/>
        <v>0.28713215999999997</v>
      </c>
      <c r="H107" s="5">
        <f t="shared" si="85"/>
        <v>0</v>
      </c>
      <c r="I107" s="5">
        <f t="shared" si="85"/>
        <v>0.16538909488328368</v>
      </c>
      <c r="J107" s="5">
        <f t="shared" ref="J107:L107" si="89">J32+J56+J66+J76+J91</f>
        <v>0</v>
      </c>
      <c r="K107" s="5">
        <f t="shared" ref="K107" si="90">K32+K56+K66+K76+K91</f>
        <v>0.31999553497399663</v>
      </c>
      <c r="L107" s="5">
        <f t="shared" si="89"/>
        <v>9.8445311999999993E-3</v>
      </c>
    </row>
    <row r="108" spans="1:14" x14ac:dyDescent="0.35">
      <c r="A108" s="178" t="s">
        <v>348</v>
      </c>
      <c r="B108" s="196" t="e">
        <f>B105/B20</f>
        <v>#DIV/0!</v>
      </c>
      <c r="C108" s="196" t="e">
        <f t="shared" ref="C108:L108" si="91">C105/C20</f>
        <v>#DIV/0!</v>
      </c>
      <c r="D108" s="196">
        <f t="shared" si="91"/>
        <v>0.51273599999999997</v>
      </c>
      <c r="E108" s="196">
        <f t="shared" si="91"/>
        <v>0.51273599999999997</v>
      </c>
      <c r="F108" s="196">
        <f t="shared" si="91"/>
        <v>0.51273599999999997</v>
      </c>
      <c r="G108" s="196" t="e">
        <f t="shared" si="91"/>
        <v>#DIV/0!</v>
      </c>
      <c r="H108" s="196">
        <f t="shared" si="91"/>
        <v>0.51273599999999986</v>
      </c>
      <c r="I108" s="196">
        <f t="shared" si="91"/>
        <v>0.51273599999999997</v>
      </c>
      <c r="J108" s="196">
        <f t="shared" si="91"/>
        <v>0.51273600000000008</v>
      </c>
      <c r="K108" s="196" t="e">
        <f t="shared" si="91"/>
        <v>#DIV/0!</v>
      </c>
      <c r="L108" s="196">
        <f t="shared" si="91"/>
        <v>0.51273600000000008</v>
      </c>
    </row>
    <row r="109" spans="1:14" x14ac:dyDescent="0.35">
      <c r="A109" s="178"/>
      <c r="B109" s="196" t="e">
        <f t="shared" ref="B109" si="92">B106/B21</f>
        <v>#DIV/0!</v>
      </c>
      <c r="C109" s="196" t="e">
        <f t="shared" ref="C109:I110" si="93">C106/C21</f>
        <v>#DIV/0!</v>
      </c>
      <c r="D109" s="196" t="e">
        <f t="shared" si="93"/>
        <v>#DIV/0!</v>
      </c>
      <c r="E109" s="196" t="e">
        <f t="shared" si="93"/>
        <v>#DIV/0!</v>
      </c>
      <c r="F109" s="196">
        <f t="shared" si="93"/>
        <v>7.3746099999999995E-2</v>
      </c>
      <c r="G109" s="196" t="e">
        <f t="shared" si="93"/>
        <v>#DIV/0!</v>
      </c>
      <c r="H109" s="196">
        <f t="shared" si="93"/>
        <v>7.3746099999999995E-2</v>
      </c>
      <c r="I109" s="196" t="e">
        <f t="shared" si="93"/>
        <v>#DIV/0!</v>
      </c>
      <c r="J109" s="196">
        <f t="shared" ref="J109:L109" si="94">J106/J21</f>
        <v>7.3746100000000009E-2</v>
      </c>
      <c r="K109" s="196">
        <f t="shared" ref="K109" si="95">K106/K21</f>
        <v>7.3746099999999995E-2</v>
      </c>
      <c r="L109" s="196">
        <f t="shared" si="94"/>
        <v>7.3746100000000009E-2</v>
      </c>
    </row>
    <row r="110" spans="1:14" x14ac:dyDescent="0.35">
      <c r="A110" s="178"/>
      <c r="B110" s="196">
        <f t="shared" ref="B110" si="96">B107/B22</f>
        <v>0.51273599999999997</v>
      </c>
      <c r="C110" s="196">
        <f t="shared" si="93"/>
        <v>0.51273600000000008</v>
      </c>
      <c r="D110" s="196" t="e">
        <f t="shared" si="93"/>
        <v>#DIV/0!</v>
      </c>
      <c r="E110" s="196" t="e">
        <f t="shared" si="93"/>
        <v>#DIV/0!</v>
      </c>
      <c r="F110" s="196">
        <f t="shared" si="93"/>
        <v>0.51273599999999997</v>
      </c>
      <c r="G110" s="196">
        <f t="shared" si="93"/>
        <v>0.51273599999999986</v>
      </c>
      <c r="H110" s="196" t="e">
        <f t="shared" si="93"/>
        <v>#DIV/0!</v>
      </c>
      <c r="I110" s="196">
        <f t="shared" si="93"/>
        <v>0.51273600000000008</v>
      </c>
      <c r="J110" s="196" t="e">
        <f t="shared" ref="J110:L110" si="97">J107/J22</f>
        <v>#DIV/0!</v>
      </c>
      <c r="K110" s="196">
        <f t="shared" ref="K110" si="98">K107/K22</f>
        <v>0.51273599999999997</v>
      </c>
      <c r="L110" s="196">
        <f t="shared" si="97"/>
        <v>0.51273599999999997</v>
      </c>
    </row>
    <row r="111" spans="1:14" x14ac:dyDescent="0.35">
      <c r="A111" s="178"/>
    </row>
    <row r="112" spans="1:14" x14ac:dyDescent="0.35">
      <c r="A112" s="200" t="s">
        <v>349</v>
      </c>
      <c r="B112" s="110"/>
      <c r="C112" s="110"/>
      <c r="D112" s="110"/>
      <c r="E112" s="110"/>
      <c r="F112" s="110"/>
      <c r="G112" s="110"/>
      <c r="H112" s="110"/>
      <c r="I112" s="110"/>
      <c r="J112" s="110"/>
      <c r="K112" s="110"/>
      <c r="L112" s="110"/>
    </row>
    <row r="113" spans="1:12" x14ac:dyDescent="0.35">
      <c r="A113" s="178" t="s">
        <v>303</v>
      </c>
      <c r="B113" s="11">
        <f t="shared" ref="B113" si="99">B20-B105</f>
        <v>0</v>
      </c>
      <c r="C113" s="11">
        <f t="shared" ref="C113:L113" si="100">C20-C105</f>
        <v>0</v>
      </c>
      <c r="D113" s="11">
        <f t="shared" si="100"/>
        <v>0.32159424000000003</v>
      </c>
      <c r="E113" s="11">
        <f t="shared" si="100"/>
        <v>0.24363200000000002</v>
      </c>
      <c r="F113" s="11">
        <f t="shared" si="100"/>
        <v>7.1318975948604701E-2</v>
      </c>
      <c r="G113" s="11">
        <f t="shared" si="100"/>
        <v>0</v>
      </c>
      <c r="H113" s="11">
        <f t="shared" si="100"/>
        <v>0.23323382953075866</v>
      </c>
      <c r="I113" s="11">
        <f t="shared" si="100"/>
        <v>0.13470425414897391</v>
      </c>
      <c r="J113" s="11">
        <f t="shared" si="100"/>
        <v>0.31417703866608598</v>
      </c>
      <c r="K113" s="11">
        <f t="shared" si="100"/>
        <v>0</v>
      </c>
      <c r="L113" s="11">
        <f t="shared" si="100"/>
        <v>0.26283020159999998</v>
      </c>
    </row>
    <row r="114" spans="1:12" x14ac:dyDescent="0.35">
      <c r="A114" s="178" t="s">
        <v>304</v>
      </c>
      <c r="B114" s="11">
        <f t="shared" ref="B114" si="101">B21-B106</f>
        <v>0</v>
      </c>
      <c r="C114" s="11">
        <f t="shared" ref="C114:I115" si="102">C21-C106</f>
        <v>0</v>
      </c>
      <c r="D114" s="11">
        <f t="shared" si="102"/>
        <v>0</v>
      </c>
      <c r="E114" s="11">
        <f t="shared" si="102"/>
        <v>0</v>
      </c>
      <c r="F114" s="11">
        <f t="shared" si="102"/>
        <v>4.5559567456334067E-4</v>
      </c>
      <c r="G114" s="11">
        <f t="shared" si="102"/>
        <v>0</v>
      </c>
      <c r="H114" s="11">
        <f t="shared" si="102"/>
        <v>5.0981295048190831E-3</v>
      </c>
      <c r="I114" s="11">
        <f t="shared" si="102"/>
        <v>0</v>
      </c>
      <c r="J114" s="11">
        <f t="shared" ref="J114:L114" si="103">J21-J106</f>
        <v>7.4495798593247967E-2</v>
      </c>
      <c r="K114" s="11">
        <f t="shared" ref="K114" si="104">K21-K106</f>
        <v>1.4732861232301261E-2</v>
      </c>
      <c r="L114" s="11">
        <f t="shared" si="103"/>
        <v>3.8346911460000001E-2</v>
      </c>
    </row>
    <row r="115" spans="1:12" x14ac:dyDescent="0.35">
      <c r="A115" s="178" t="s">
        <v>305</v>
      </c>
      <c r="B115" s="11">
        <f t="shared" ref="B115" si="105">B22-B107</f>
        <v>0.22901408000000001</v>
      </c>
      <c r="C115" s="11">
        <f t="shared" si="102"/>
        <v>0.21850415559347808</v>
      </c>
      <c r="D115" s="11">
        <f t="shared" si="102"/>
        <v>0</v>
      </c>
      <c r="E115" s="11">
        <f t="shared" si="102"/>
        <v>0</v>
      </c>
      <c r="F115" s="11">
        <f t="shared" si="102"/>
        <v>0.26952615394499102</v>
      </c>
      <c r="G115" s="11">
        <f t="shared" si="102"/>
        <v>0.27286784000000008</v>
      </c>
      <c r="H115" s="11">
        <f t="shared" si="102"/>
        <v>0</v>
      </c>
      <c r="I115" s="11">
        <f t="shared" si="102"/>
        <v>0.15717279833912251</v>
      </c>
      <c r="J115" s="11">
        <f t="shared" ref="J115:L115" si="106">J22-J107</f>
        <v>0</v>
      </c>
      <c r="K115" s="11">
        <f t="shared" ref="K115" si="107">K22-K107</f>
        <v>0.30409860894021384</v>
      </c>
      <c r="L115" s="11">
        <f t="shared" si="106"/>
        <v>9.355468799999999E-3</v>
      </c>
    </row>
    <row r="116" spans="1:12" x14ac:dyDescent="0.35">
      <c r="A116" s="3" t="s">
        <v>350</v>
      </c>
      <c r="B116" s="18">
        <f t="shared" ref="B116" si="108">SUM(B113:B115)</f>
        <v>0.22901408000000001</v>
      </c>
      <c r="C116" s="18">
        <f t="shared" ref="C116:L116" si="109">SUM(C113:C115)</f>
        <v>0.21850415559347808</v>
      </c>
      <c r="D116" s="18">
        <f t="shared" si="109"/>
        <v>0.32159424000000003</v>
      </c>
      <c r="E116" s="18">
        <f t="shared" si="109"/>
        <v>0.24363200000000002</v>
      </c>
      <c r="F116" s="18">
        <f t="shared" si="109"/>
        <v>0.34130072556815905</v>
      </c>
      <c r="G116" s="18">
        <f t="shared" si="109"/>
        <v>0.27286784000000008</v>
      </c>
      <c r="H116" s="18">
        <f t="shared" si="109"/>
        <v>0.23833195903557775</v>
      </c>
      <c r="I116" s="18">
        <f t="shared" si="109"/>
        <v>0.29187705248809642</v>
      </c>
      <c r="J116" s="18">
        <f t="shared" si="109"/>
        <v>0.38867283725933394</v>
      </c>
      <c r="K116" s="18">
        <f t="shared" si="109"/>
        <v>0.31883147017251512</v>
      </c>
      <c r="L116" s="18">
        <f t="shared" si="109"/>
        <v>0.31053258185999999</v>
      </c>
    </row>
    <row r="118" spans="1:12" x14ac:dyDescent="0.35">
      <c r="A118" s="200" t="s">
        <v>351</v>
      </c>
      <c r="B118" s="110"/>
      <c r="C118" s="110"/>
      <c r="D118" s="110"/>
      <c r="E118" s="110"/>
      <c r="F118" s="110"/>
      <c r="G118" s="110"/>
      <c r="H118" s="110"/>
      <c r="I118" s="110"/>
      <c r="J118" s="110"/>
      <c r="K118" s="110"/>
      <c r="L118" s="110"/>
    </row>
    <row r="119" spans="1:12" x14ac:dyDescent="0.35">
      <c r="A119" s="178" t="s">
        <v>352</v>
      </c>
      <c r="B119" s="33">
        <f>B116/Production!B$14</f>
        <v>1.2647261401164139E-4</v>
      </c>
      <c r="C119" s="33">
        <f>C116/Production!C$14</f>
        <v>1.2007115403031909E-4</v>
      </c>
      <c r="D119" s="33">
        <f>D116/Production!D$14</f>
        <v>1.7740320332730871E-4</v>
      </c>
      <c r="E119" s="33">
        <f>E116/Production!E$14</f>
        <v>1.6823156500562204E-4</v>
      </c>
      <c r="F119" s="33">
        <f>F116/Production!F$14</f>
        <v>2.3567329086444193E-4</v>
      </c>
      <c r="G119" s="33">
        <f>G116/Production!G$14</f>
        <v>1.4039479783695393E-4</v>
      </c>
      <c r="H119" s="33">
        <f>H116/Production!H$14</f>
        <v>1.4203117702397315E-4</v>
      </c>
      <c r="I119" s="33">
        <f>I116/Production!I$14</f>
        <v>1.8690279881672053E-4</v>
      </c>
      <c r="J119" s="33">
        <f>J116/Production!J$14</f>
        <v>2.5593289672466501E-4</v>
      </c>
      <c r="K119" s="33">
        <f>K116/Production!K$14</f>
        <v>1.9000393050151615E-4</v>
      </c>
      <c r="L119" s="33">
        <f>L116/Production!L$14</f>
        <v>1.9884882411502148E-4</v>
      </c>
    </row>
    <row r="120" spans="1:12" x14ac:dyDescent="0.35">
      <c r="A120" s="178"/>
      <c r="B120" s="33"/>
      <c r="C120" s="33"/>
      <c r="D120" s="33"/>
      <c r="E120" s="33"/>
      <c r="F120" s="33"/>
      <c r="G120" s="33"/>
      <c r="H120" s="33"/>
      <c r="I120" s="33"/>
      <c r="J120" s="33"/>
      <c r="K120" s="33"/>
      <c r="L120" s="33"/>
    </row>
    <row r="121" spans="1:12" x14ac:dyDescent="0.35">
      <c r="A121" s="200" t="s">
        <v>353</v>
      </c>
      <c r="B121" s="110"/>
      <c r="C121" s="110"/>
      <c r="D121" s="110"/>
      <c r="E121" s="110"/>
      <c r="F121" s="110"/>
      <c r="G121" s="110"/>
      <c r="H121" s="110"/>
      <c r="I121" s="110"/>
      <c r="J121" s="110"/>
      <c r="K121" s="110"/>
      <c r="L121" s="110"/>
    </row>
    <row r="122" spans="1:12" x14ac:dyDescent="0.35">
      <c r="A122" s="178" t="s">
        <v>354</v>
      </c>
      <c r="B122" s="33">
        <f t="shared" ref="B122" si="110">(B34+B58+B93)*17/14</f>
        <v>1.0653450999016999E-4</v>
      </c>
      <c r="C122" s="33">
        <f t="shared" ref="C122:L122" si="111">(C34+C58+C93)*17/14</f>
        <v>1.0114222480921309E-4</v>
      </c>
      <c r="D122" s="33">
        <f t="shared" si="111"/>
        <v>1.4943601415102944E-4</v>
      </c>
      <c r="E122" s="33">
        <f t="shared" si="111"/>
        <v>1.4171026259569258E-4</v>
      </c>
      <c r="F122" s="33">
        <f t="shared" si="111"/>
        <v>1.9828483619682125E-4</v>
      </c>
      <c r="G122" s="33">
        <f t="shared" si="111"/>
        <v>1.1826189495341754E-4</v>
      </c>
      <c r="H122" s="33">
        <f t="shared" si="111"/>
        <v>1.1736960014518807E-4</v>
      </c>
      <c r="I122" s="33">
        <f t="shared" si="111"/>
        <v>1.5743802121380874E-4</v>
      </c>
      <c r="J122" s="33">
        <f t="shared" si="111"/>
        <v>1.7892321995008887E-4</v>
      </c>
      <c r="K122" s="33">
        <f t="shared" si="111"/>
        <v>1.5348826249520899E-4</v>
      </c>
      <c r="L122" s="33">
        <f t="shared" si="111"/>
        <v>1.4914832532768202E-4</v>
      </c>
    </row>
    <row r="124" spans="1:12" x14ac:dyDescent="0.35">
      <c r="A124" s="176"/>
      <c r="L124" s="17"/>
    </row>
    <row r="125" spans="1:12" x14ac:dyDescent="0.35">
      <c r="G125" s="177"/>
    </row>
  </sheetData>
  <phoneticPr fontId="79"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tabColor theme="4" tint="0.79998168889431442"/>
  </sheetPr>
  <dimension ref="A2:S137"/>
  <sheetViews>
    <sheetView topLeftCell="B1" zoomScale="80" zoomScaleNormal="90" workbookViewId="0">
      <selection activeCell="G7" sqref="G7"/>
    </sheetView>
  </sheetViews>
  <sheetFormatPr defaultColWidth="8.90625" defaultRowHeight="14.5" x14ac:dyDescent="0.35"/>
  <cols>
    <col min="1" max="1" width="8.54296875" customWidth="1"/>
    <col min="2" max="2" width="30.453125" customWidth="1"/>
    <col min="3" max="3" width="19" customWidth="1"/>
    <col min="4" max="4" width="12.90625" customWidth="1"/>
    <col min="5" max="5" width="10.453125" customWidth="1"/>
    <col min="6" max="11" width="12.54296875" customWidth="1"/>
    <col min="12" max="12" width="14.08984375" customWidth="1"/>
    <col min="13" max="18" width="12.54296875" customWidth="1"/>
  </cols>
  <sheetData>
    <row r="2" spans="1:18" ht="21" customHeight="1" x14ac:dyDescent="0.5">
      <c r="A2" s="2" t="s">
        <v>355</v>
      </c>
      <c r="G2" t="s">
        <v>356</v>
      </c>
      <c r="Q2" t="s">
        <v>357</v>
      </c>
    </row>
    <row r="3" spans="1:18" x14ac:dyDescent="0.35">
      <c r="I3" s="8"/>
      <c r="J3" s="8"/>
      <c r="K3" s="8"/>
      <c r="L3" s="8"/>
      <c r="M3" s="8"/>
      <c r="N3" s="8"/>
      <c r="O3" s="8"/>
      <c r="P3" s="8"/>
    </row>
    <row r="4" spans="1:18" ht="29" customHeight="1" x14ac:dyDescent="0.35">
      <c r="A4" s="145" t="s">
        <v>358</v>
      </c>
      <c r="B4" s="135"/>
      <c r="C4" s="135"/>
      <c r="D4" s="135"/>
      <c r="E4" s="135"/>
      <c r="F4" s="136" t="s">
        <v>102</v>
      </c>
      <c r="G4" s="136" t="s">
        <v>103</v>
      </c>
      <c r="H4" s="137"/>
      <c r="I4" s="136" t="s">
        <v>104</v>
      </c>
      <c r="J4" s="100"/>
      <c r="K4" s="136" t="s">
        <v>105</v>
      </c>
      <c r="L4" s="100"/>
      <c r="M4" s="100"/>
      <c r="N4" s="100"/>
      <c r="O4" s="101" t="s">
        <v>106</v>
      </c>
      <c r="P4" s="101" t="s">
        <v>107</v>
      </c>
      <c r="Q4" s="138" t="s">
        <v>108</v>
      </c>
      <c r="R4" s="136" t="s">
        <v>359</v>
      </c>
    </row>
    <row r="5" spans="1:18" ht="47.25" customHeight="1" x14ac:dyDescent="0.35">
      <c r="A5" s="94" t="s">
        <v>60</v>
      </c>
      <c r="B5" s="94" t="s">
        <v>358</v>
      </c>
      <c r="C5" s="94" t="s">
        <v>360</v>
      </c>
      <c r="D5" s="94" t="s">
        <v>63</v>
      </c>
      <c r="E5" s="140" t="s">
        <v>64</v>
      </c>
      <c r="F5" s="139"/>
      <c r="G5" s="95" t="s">
        <v>16</v>
      </c>
      <c r="H5" s="95" t="s">
        <v>17</v>
      </c>
      <c r="I5" s="95" t="s">
        <v>361</v>
      </c>
      <c r="J5" s="95" t="s">
        <v>362</v>
      </c>
      <c r="K5" s="95" t="s">
        <v>117</v>
      </c>
      <c r="L5" s="95" t="s">
        <v>118</v>
      </c>
      <c r="M5" s="95" t="s">
        <v>119</v>
      </c>
      <c r="N5" s="95" t="s">
        <v>120</v>
      </c>
      <c r="O5" s="95" t="s">
        <v>121</v>
      </c>
      <c r="P5" s="95" t="s">
        <v>363</v>
      </c>
      <c r="Q5" s="140" t="s">
        <v>364</v>
      </c>
      <c r="R5" s="95"/>
    </row>
    <row r="6" spans="1:18" x14ac:dyDescent="0.35">
      <c r="A6" s="21" t="s">
        <v>365</v>
      </c>
      <c r="B6" s="16" t="s">
        <v>168</v>
      </c>
      <c r="C6" s="16" t="s">
        <v>366</v>
      </c>
      <c r="D6" s="22" t="s">
        <v>155</v>
      </c>
      <c r="E6" s="22" t="s">
        <v>482</v>
      </c>
      <c r="F6" s="141">
        <f t="shared" ref="F6:F16" si="0">SUM(G6:Q6)</f>
        <v>0.19835268831988837</v>
      </c>
      <c r="G6" s="77">
        <v>9.5923455349377004E-2</v>
      </c>
      <c r="H6" s="13">
        <v>2.7E-2</v>
      </c>
      <c r="I6" s="15">
        <v>0</v>
      </c>
      <c r="J6" s="13"/>
      <c r="K6" s="77">
        <v>3.3556503358935202E-2</v>
      </c>
      <c r="L6" s="13">
        <v>0</v>
      </c>
      <c r="M6" s="13">
        <v>0</v>
      </c>
      <c r="N6" s="77">
        <v>4.0440240704547999E-2</v>
      </c>
      <c r="O6" s="13">
        <v>1.43248890702816E-3</v>
      </c>
      <c r="P6" s="13"/>
      <c r="R6" s="143">
        <f>'Parameters, country spec'!B15</f>
        <v>0.16402988956347131</v>
      </c>
    </row>
    <row r="7" spans="1:18" x14ac:dyDescent="0.35">
      <c r="A7" s="21" t="s">
        <v>367</v>
      </c>
      <c r="B7" s="16" t="s">
        <v>170</v>
      </c>
      <c r="C7" s="16" t="s">
        <v>366</v>
      </c>
      <c r="D7" s="22" t="s">
        <v>155</v>
      </c>
      <c r="E7" s="22" t="s">
        <v>482</v>
      </c>
      <c r="F7" s="141">
        <f t="shared" si="0"/>
        <v>0.11879102667902652</v>
      </c>
      <c r="G7" s="77">
        <v>1.8958167491456901E-2</v>
      </c>
      <c r="H7" s="13">
        <v>2.7E-2</v>
      </c>
      <c r="I7" s="15">
        <v>0</v>
      </c>
      <c r="J7" s="13"/>
      <c r="K7" s="77">
        <v>2.4386625784786099E-2</v>
      </c>
      <c r="L7" s="13">
        <v>0</v>
      </c>
      <c r="M7" s="13">
        <v>0</v>
      </c>
      <c r="N7" s="77">
        <v>4.0440240704547999E-2</v>
      </c>
      <c r="O7" s="13">
        <v>8.0059926982355405E-3</v>
      </c>
      <c r="P7" s="13"/>
      <c r="R7" s="143">
        <f>'Parameters, country spec'!B16</f>
        <v>0.26979047748052709</v>
      </c>
    </row>
    <row r="8" spans="1:18" x14ac:dyDescent="0.35">
      <c r="A8" s="21" t="s">
        <v>368</v>
      </c>
      <c r="B8" s="16" t="s">
        <v>171</v>
      </c>
      <c r="C8" s="16" t="s">
        <v>366</v>
      </c>
      <c r="D8" s="22" t="s">
        <v>155</v>
      </c>
      <c r="E8" s="22" t="s">
        <v>482</v>
      </c>
      <c r="F8" s="141">
        <f t="shared" si="0"/>
        <v>0.21014937397186484</v>
      </c>
      <c r="G8" s="77">
        <v>9.3216390865701701E-2</v>
      </c>
      <c r="H8" s="13">
        <v>2.7E-2</v>
      </c>
      <c r="I8" s="15">
        <v>0</v>
      </c>
      <c r="J8" s="13"/>
      <c r="K8" s="77">
        <v>3.6803932914955199E-2</v>
      </c>
      <c r="L8" s="13">
        <v>0</v>
      </c>
      <c r="M8" s="13">
        <v>4.9511763574970203E-7</v>
      </c>
      <c r="N8" s="77">
        <v>4.0440240704547999E-2</v>
      </c>
      <c r="O8" s="13">
        <v>1.2688314369024199E-2</v>
      </c>
      <c r="P8" s="13"/>
      <c r="R8" s="143">
        <f>'Parameters, country spec'!B17</f>
        <v>1.8587387131106831E-2</v>
      </c>
    </row>
    <row r="9" spans="1:18" x14ac:dyDescent="0.35">
      <c r="A9" s="21" t="s">
        <v>369</v>
      </c>
      <c r="B9" s="16" t="s">
        <v>172</v>
      </c>
      <c r="C9" s="16" t="s">
        <v>366</v>
      </c>
      <c r="D9" s="22" t="s">
        <v>155</v>
      </c>
      <c r="E9" s="22" t="s">
        <v>482</v>
      </c>
      <c r="F9" s="141">
        <f t="shared" si="0"/>
        <v>0.1902811689127652</v>
      </c>
      <c r="G9" s="77">
        <v>7.9062197914838997E-2</v>
      </c>
      <c r="H9" s="13">
        <v>2.7E-2</v>
      </c>
      <c r="I9" s="13">
        <v>0</v>
      </c>
      <c r="J9" s="13"/>
      <c r="K9" s="77">
        <v>3.2116032674916598E-2</v>
      </c>
      <c r="L9" s="13">
        <v>0</v>
      </c>
      <c r="M9" s="13">
        <v>1.8594204821412199E-4</v>
      </c>
      <c r="N9" s="77">
        <v>4.0440240704547999E-2</v>
      </c>
      <c r="O9" s="13">
        <v>1.14767555702475E-2</v>
      </c>
      <c r="P9" s="13"/>
      <c r="R9" s="143">
        <f>'Parameters, country spec'!B18</f>
        <v>2.85446978296886E-3</v>
      </c>
    </row>
    <row r="10" spans="1:18" x14ac:dyDescent="0.35">
      <c r="A10" s="21" t="s">
        <v>370</v>
      </c>
      <c r="B10" s="16" t="s">
        <v>173</v>
      </c>
      <c r="C10" s="16" t="s">
        <v>366</v>
      </c>
      <c r="D10" s="22" t="s">
        <v>155</v>
      </c>
      <c r="E10" s="22" t="s">
        <v>482</v>
      </c>
      <c r="F10" s="141">
        <f t="shared" si="0"/>
        <v>0.17213603280221426</v>
      </c>
      <c r="G10" s="77">
        <v>7.8082582640392695E-2</v>
      </c>
      <c r="H10" s="13">
        <v>2.7E-2</v>
      </c>
      <c r="I10" s="13">
        <v>0</v>
      </c>
      <c r="J10" s="13"/>
      <c r="K10" s="77">
        <v>2.5110163258381502E-2</v>
      </c>
      <c r="L10" s="13">
        <v>0</v>
      </c>
      <c r="M10" s="13">
        <v>1.46976759244913E-4</v>
      </c>
      <c r="N10" s="77">
        <v>4.0440240704547999E-2</v>
      </c>
      <c r="O10" s="13">
        <v>1.3560694396471599E-3</v>
      </c>
      <c r="P10" s="13"/>
      <c r="R10" s="143">
        <f>'Parameters, country spec'!B19</f>
        <v>0.39960951046637888</v>
      </c>
    </row>
    <row r="11" spans="1:18" x14ac:dyDescent="0.35">
      <c r="A11" s="21" t="s">
        <v>371</v>
      </c>
      <c r="B11" s="16" t="s">
        <v>174</v>
      </c>
      <c r="C11" s="16" t="s">
        <v>372</v>
      </c>
      <c r="D11" s="22" t="s">
        <v>155</v>
      </c>
      <c r="E11" s="22" t="s">
        <v>482</v>
      </c>
      <c r="F11" s="141">
        <f t="shared" si="0"/>
        <v>0.16649179682173021</v>
      </c>
      <c r="G11" s="77">
        <v>0</v>
      </c>
      <c r="H11" s="13">
        <v>2.7E-2</v>
      </c>
      <c r="I11" s="15">
        <v>0</v>
      </c>
      <c r="J11" s="13"/>
      <c r="K11" s="77">
        <v>4.9539466455450903E-2</v>
      </c>
      <c r="L11" s="15">
        <v>0</v>
      </c>
      <c r="M11" s="13">
        <v>1.42568630868594E-2</v>
      </c>
      <c r="N11" s="77">
        <v>4.0440240704547999E-2</v>
      </c>
      <c r="O11" s="13">
        <v>3.5255226574871901E-2</v>
      </c>
      <c r="P11" s="13"/>
      <c r="R11" s="143">
        <f>'Parameters, country spec'!B20</f>
        <v>0</v>
      </c>
    </row>
    <row r="12" spans="1:18" x14ac:dyDescent="0.35">
      <c r="A12" s="21" t="s">
        <v>373</v>
      </c>
      <c r="B12" s="16" t="s">
        <v>175</v>
      </c>
      <c r="C12" s="16" t="s">
        <v>372</v>
      </c>
      <c r="D12" s="22" t="s">
        <v>155</v>
      </c>
      <c r="E12" s="22" t="s">
        <v>482</v>
      </c>
      <c r="F12" s="141">
        <f t="shared" si="0"/>
        <v>0.2328017021900203</v>
      </c>
      <c r="G12" s="77">
        <v>0</v>
      </c>
      <c r="H12" s="13">
        <v>2.7E-2</v>
      </c>
      <c r="I12" s="15">
        <v>0</v>
      </c>
      <c r="J12" s="13"/>
      <c r="K12" s="77">
        <v>4.6022206218492699E-2</v>
      </c>
      <c r="L12" s="13">
        <v>0</v>
      </c>
      <c r="M12" s="13">
        <v>1.9421122100326E-2</v>
      </c>
      <c r="N12" s="77">
        <v>4.0440240704547999E-2</v>
      </c>
      <c r="O12" s="13">
        <v>9.99181331666536E-2</v>
      </c>
      <c r="P12" s="13"/>
      <c r="R12" s="143">
        <f>'Parameters, country spec'!B21</f>
        <v>0</v>
      </c>
    </row>
    <row r="13" spans="1:18" x14ac:dyDescent="0.35">
      <c r="B13" s="17" t="s">
        <v>177</v>
      </c>
      <c r="C13" s="16" t="s">
        <v>374</v>
      </c>
      <c r="D13" s="22" t="s">
        <v>450</v>
      </c>
      <c r="E13" s="22"/>
      <c r="F13" s="111">
        <f t="shared" si="0"/>
        <v>0.27085685084992916</v>
      </c>
      <c r="G13" s="19">
        <f>'Off-farm feed'!$F$74</f>
        <v>0.11176753125767681</v>
      </c>
      <c r="H13" s="19">
        <f>'Off-farm feed'!$G$74</f>
        <v>1.3034482758620692E-2</v>
      </c>
      <c r="I13" s="19">
        <f>'Off-farm feed'!$H$74</f>
        <v>0</v>
      </c>
      <c r="J13" s="19"/>
      <c r="K13" s="19">
        <f>'Off-farm feed'!$J$74</f>
        <v>2.4688740026345454E-2</v>
      </c>
      <c r="L13" s="19"/>
      <c r="M13" s="237">
        <f>'Off-farm feed'!$L$74</f>
        <v>1.931759303794134E-4</v>
      </c>
      <c r="N13" s="19">
        <f>'Off-farm feed'!$M$74</f>
        <v>3.6802128767029069E-2</v>
      </c>
      <c r="O13" s="19">
        <f>'Off-farm feed'!$N$74</f>
        <v>0</v>
      </c>
      <c r="P13" s="19">
        <f>'Off-farm feed'!$O$74</f>
        <v>2.1170792109877701E-2</v>
      </c>
      <c r="Q13" s="19">
        <f>'Off-farm feed'!$P$74</f>
        <v>6.3200000000000006E-2</v>
      </c>
      <c r="R13" s="143">
        <f>'Parameters, country spec'!B22</f>
        <v>4.3850784569502733E-2</v>
      </c>
    </row>
    <row r="14" spans="1:18" x14ac:dyDescent="0.35">
      <c r="B14" s="17" t="s">
        <v>375</v>
      </c>
      <c r="C14" s="16" t="s">
        <v>374</v>
      </c>
      <c r="D14" s="22" t="s">
        <v>426</v>
      </c>
      <c r="E14" s="22"/>
      <c r="F14" s="111">
        <f t="shared" si="0"/>
        <v>0.7061171705997602</v>
      </c>
      <c r="G14" s="19">
        <f>'Off-farm feed'!$F$23</f>
        <v>7.2632670993098931E-3</v>
      </c>
      <c r="H14" s="19">
        <f>'Off-farm feed'!$G$23</f>
        <v>2.1402439024390246E-2</v>
      </c>
      <c r="I14" s="19">
        <f>'Off-farm feed'!$H$23</f>
        <v>0</v>
      </c>
      <c r="J14" s="19"/>
      <c r="K14" s="19">
        <f>'Off-farm feed'!$J$23</f>
        <v>4.308361966433235E-2</v>
      </c>
      <c r="L14" s="19"/>
      <c r="M14" s="237">
        <f>'Off-farm feed'!$L$23</f>
        <v>1.7842060425123844E-4</v>
      </c>
      <c r="N14" s="19">
        <f>'Off-farm feed'!$M$23</f>
        <v>3.0432604948959403E-2</v>
      </c>
      <c r="O14" s="19">
        <f>'Off-farm feed'!$N$23</f>
        <v>0.31761120248475611</v>
      </c>
      <c r="P14" s="19">
        <f>'Off-farm feed'!$O$23</f>
        <v>3.5145616773760872E-2</v>
      </c>
      <c r="Q14" s="19">
        <f>'Off-farm feed'!$P$23</f>
        <v>0.251</v>
      </c>
      <c r="R14" s="143">
        <f>'Parameters, country spec'!B23</f>
        <v>3.9507741172757453E-2</v>
      </c>
    </row>
    <row r="15" spans="1:18" x14ac:dyDescent="0.35">
      <c r="B15" s="16" t="s">
        <v>181</v>
      </c>
      <c r="C15" s="16" t="s">
        <v>376</v>
      </c>
      <c r="D15" s="22" t="s">
        <v>155</v>
      </c>
      <c r="E15" s="22" t="s">
        <v>482</v>
      </c>
      <c r="F15" s="111">
        <f t="shared" si="0"/>
        <v>0.12305823673754056</v>
      </c>
      <c r="G15" s="77">
        <v>7.0274324376353404E-3</v>
      </c>
      <c r="H15" s="15">
        <v>2.4299999999999999E-3</v>
      </c>
      <c r="I15" s="15"/>
      <c r="J15" s="13"/>
      <c r="K15" s="77">
        <v>2.2599146932543398E-3</v>
      </c>
      <c r="L15" s="13">
        <v>0</v>
      </c>
      <c r="M15" s="13">
        <v>1.32279083320422E-5</v>
      </c>
      <c r="N15" s="77">
        <v>3.6396216634093201E-3</v>
      </c>
      <c r="O15" s="13">
        <v>1.22046249568244E-4</v>
      </c>
      <c r="P15" s="15">
        <v>0.102505251885267</v>
      </c>
      <c r="Q15" s="15">
        <v>5.06074190007427E-3</v>
      </c>
      <c r="R15" s="143">
        <f>'Parameters, country spec'!B24</f>
        <v>3.6206796949373683E-2</v>
      </c>
    </row>
    <row r="16" spans="1:18" x14ac:dyDescent="0.35">
      <c r="A16" s="80"/>
      <c r="B16" s="16" t="s">
        <v>377</v>
      </c>
      <c r="C16" s="81" t="s">
        <v>378</v>
      </c>
      <c r="D16" s="22" t="s">
        <v>155</v>
      </c>
      <c r="E16" s="22" t="s">
        <v>482</v>
      </c>
      <c r="F16" s="156">
        <f t="shared" si="0"/>
        <v>0.1564130243392329</v>
      </c>
      <c r="G16" s="78">
        <f>AVERAGE(G6:G14)</f>
        <v>5.3808176957639335E-2</v>
      </c>
      <c r="H16" s="78">
        <f>AVERAGE(H6:H14)</f>
        <v>2.4826324642556769E-2</v>
      </c>
      <c r="I16" s="78">
        <f>AVERAGE(I6:I14)</f>
        <v>0</v>
      </c>
      <c r="J16" s="78"/>
      <c r="K16" s="78">
        <f>AVERAGE(K6:K14)</f>
        <v>3.5034143372955108E-2</v>
      </c>
      <c r="L16" s="78"/>
      <c r="M16" s="78">
        <f>AVERAGE(M6:M14)</f>
        <v>3.8203328496567595E-3</v>
      </c>
      <c r="N16" s="78">
        <f>AVERAGE(N6:N14)</f>
        <v>3.8924046516424941E-2</v>
      </c>
      <c r="O16" s="78"/>
      <c r="P16" s="78"/>
      <c r="Q16" s="78"/>
      <c r="R16" s="143">
        <f>'Parameters, country spec'!B25</f>
        <v>2.556294288391299E-2</v>
      </c>
    </row>
    <row r="17" spans="1:18" x14ac:dyDescent="0.35">
      <c r="A17" s="142"/>
      <c r="B17" s="24" t="s">
        <v>379</v>
      </c>
      <c r="C17" s="25"/>
      <c r="D17" s="99"/>
      <c r="E17" s="99"/>
      <c r="F17" s="26">
        <f t="shared" ref="F17:Q17" si="1">SUMPRODUCT(F6:F16,$R$6:$R$16)</f>
        <v>0.18604923441336452</v>
      </c>
      <c r="G17" s="26">
        <f t="shared" si="1"/>
        <v>6.0827904656241334E-2</v>
      </c>
      <c r="H17" s="26">
        <f t="shared" si="1"/>
        <v>2.5221287581766876E-2</v>
      </c>
      <c r="I17" s="26">
        <f t="shared" si="1"/>
        <v>0</v>
      </c>
      <c r="J17" s="26">
        <f t="shared" si="1"/>
        <v>0</v>
      </c>
      <c r="K17" s="26">
        <f t="shared" si="1"/>
        <v>2.6655729389111336E-2</v>
      </c>
      <c r="L17" s="26">
        <f t="shared" si="1"/>
        <v>0</v>
      </c>
      <c r="M17" s="26">
        <f t="shared" si="1"/>
        <v>1.7293108149705748E-4</v>
      </c>
      <c r="N17" s="26">
        <f t="shared" si="1"/>
        <v>3.8514136631887401E-2</v>
      </c>
      <c r="O17" s="26">
        <f t="shared" si="1"/>
        <v>1.5757932583231705E-2</v>
      </c>
      <c r="P17" s="26">
        <f t="shared" si="1"/>
        <v>6.0282666160849097E-3</v>
      </c>
      <c r="Q17" s="26">
        <f t="shared" si="1"/>
        <v>1.287104587354387E-2</v>
      </c>
      <c r="R17" s="144"/>
    </row>
    <row r="18" spans="1:18" x14ac:dyDescent="0.35">
      <c r="A18" s="21" t="s">
        <v>365</v>
      </c>
      <c r="B18" s="16" t="s">
        <v>168</v>
      </c>
      <c r="C18" s="16" t="s">
        <v>366</v>
      </c>
      <c r="D18" s="22" t="s">
        <v>36</v>
      </c>
      <c r="E18" s="22" t="s">
        <v>84</v>
      </c>
      <c r="F18" s="141">
        <f t="shared" ref="F18:F28" si="2">SUM(G18:Q18)</f>
        <v>0.14554169956945451</v>
      </c>
      <c r="G18" s="77">
        <v>5.0091678279701103E-2</v>
      </c>
      <c r="H18" s="13">
        <v>2.7E-2</v>
      </c>
      <c r="I18" s="15">
        <v>0</v>
      </c>
      <c r="J18" s="13"/>
      <c r="K18" s="77">
        <v>3.2251149506205098E-2</v>
      </c>
      <c r="L18" s="13">
        <v>0</v>
      </c>
      <c r="M18" s="13">
        <v>2.14172233739949E-7</v>
      </c>
      <c r="N18" s="77">
        <v>3.4771853907349999E-2</v>
      </c>
      <c r="O18" s="13">
        <v>1.42680370396456E-3</v>
      </c>
      <c r="P18" s="13"/>
      <c r="R18" s="143">
        <f>'Parameters, country spec'!C15</f>
        <v>0.16402988956347131</v>
      </c>
    </row>
    <row r="19" spans="1:18" x14ac:dyDescent="0.35">
      <c r="A19" s="21" t="s">
        <v>367</v>
      </c>
      <c r="B19" s="16" t="s">
        <v>170</v>
      </c>
      <c r="C19" s="16" t="s">
        <v>366</v>
      </c>
      <c r="D19" s="22" t="s">
        <v>36</v>
      </c>
      <c r="E19" s="22" t="s">
        <v>84</v>
      </c>
      <c r="F19" s="141">
        <f t="shared" si="2"/>
        <v>0.13477267534421772</v>
      </c>
      <c r="G19" s="77">
        <v>4.7382930338829898E-2</v>
      </c>
      <c r="H19" s="13">
        <v>2.7E-2</v>
      </c>
      <c r="I19" s="15">
        <v>0</v>
      </c>
      <c r="J19" s="13"/>
      <c r="K19" s="77">
        <v>1.8104396956838902E-2</v>
      </c>
      <c r="L19" s="13">
        <v>0</v>
      </c>
      <c r="M19" s="13">
        <v>3.20452980210324E-3</v>
      </c>
      <c r="N19" s="77">
        <v>3.4771853907349999E-2</v>
      </c>
      <c r="O19" s="13">
        <v>4.3089643390956597E-3</v>
      </c>
      <c r="P19" s="13"/>
      <c r="R19" s="143">
        <f>'Parameters, country spec'!C16</f>
        <v>0.26979047748052709</v>
      </c>
    </row>
    <row r="20" spans="1:18" x14ac:dyDescent="0.35">
      <c r="A20" s="21" t="s">
        <v>368</v>
      </c>
      <c r="B20" s="16" t="s">
        <v>171</v>
      </c>
      <c r="C20" s="16" t="s">
        <v>366</v>
      </c>
      <c r="D20" s="22" t="s">
        <v>36</v>
      </c>
      <c r="E20" s="22" t="s">
        <v>84</v>
      </c>
      <c r="F20" s="141">
        <f t="shared" si="2"/>
        <v>0.17820546959520445</v>
      </c>
      <c r="G20" s="77">
        <v>5.5122444595226201E-2</v>
      </c>
      <c r="H20" s="13">
        <v>2.7E-2</v>
      </c>
      <c r="I20" s="15">
        <v>0</v>
      </c>
      <c r="J20" s="13"/>
      <c r="K20" s="77">
        <v>4.47731716871737E-2</v>
      </c>
      <c r="L20" s="13">
        <v>0</v>
      </c>
      <c r="M20" s="13">
        <v>1.2132968108574599E-3</v>
      </c>
      <c r="N20" s="77">
        <v>3.4771853907349999E-2</v>
      </c>
      <c r="O20" s="13">
        <v>1.53247025945971E-2</v>
      </c>
      <c r="P20" s="13"/>
      <c r="R20" s="143">
        <f>'Parameters, country spec'!C17</f>
        <v>1.8587387131106831E-2</v>
      </c>
    </row>
    <row r="21" spans="1:18" x14ac:dyDescent="0.35">
      <c r="A21" s="21" t="s">
        <v>369</v>
      </c>
      <c r="B21" s="16" t="s">
        <v>172</v>
      </c>
      <c r="C21" s="16" t="s">
        <v>366</v>
      </c>
      <c r="D21" s="22" t="s">
        <v>36</v>
      </c>
      <c r="E21" s="22" t="s">
        <v>84</v>
      </c>
      <c r="F21" s="141">
        <f t="shared" si="2"/>
        <v>0.23086931651797959</v>
      </c>
      <c r="G21" s="77">
        <v>7.3795450330937706E-2</v>
      </c>
      <c r="H21" s="13">
        <v>2.7E-2</v>
      </c>
      <c r="I21" s="13">
        <v>0</v>
      </c>
      <c r="J21" s="13"/>
      <c r="K21" s="77">
        <v>4.7010620238752597E-2</v>
      </c>
      <c r="L21" s="13">
        <v>0</v>
      </c>
      <c r="M21" s="13">
        <v>2.75986968179931E-5</v>
      </c>
      <c r="N21" s="77">
        <v>3.4771853907349999E-2</v>
      </c>
      <c r="O21" s="13">
        <v>4.82637933441213E-2</v>
      </c>
      <c r="P21" s="13"/>
      <c r="R21" s="143">
        <f>'Parameters, country spec'!C18</f>
        <v>2.85446978296886E-3</v>
      </c>
    </row>
    <row r="22" spans="1:18" x14ac:dyDescent="0.35">
      <c r="A22" s="21" t="s">
        <v>370</v>
      </c>
      <c r="B22" s="16" t="s">
        <v>173</v>
      </c>
      <c r="C22" s="16" t="s">
        <v>366</v>
      </c>
      <c r="D22" s="22" t="s">
        <v>36</v>
      </c>
      <c r="E22" s="22" t="s">
        <v>84</v>
      </c>
      <c r="F22" s="141">
        <f t="shared" si="2"/>
        <v>0.16491186327352214</v>
      </c>
      <c r="G22" s="77">
        <v>7.2003559292666594E-2</v>
      </c>
      <c r="H22" s="13">
        <v>2.7E-2</v>
      </c>
      <c r="I22" s="13">
        <v>0</v>
      </c>
      <c r="J22" s="13"/>
      <c r="K22" s="77">
        <v>2.8481968630283801E-2</v>
      </c>
      <c r="L22" s="13">
        <v>0</v>
      </c>
      <c r="M22" s="13">
        <v>1.7811290586034401E-5</v>
      </c>
      <c r="N22" s="77">
        <v>3.4771853907349999E-2</v>
      </c>
      <c r="O22" s="13">
        <v>2.6366701526357099E-3</v>
      </c>
      <c r="P22" s="13"/>
      <c r="R22" s="143">
        <f>'Parameters, country spec'!C19</f>
        <v>0.39960951046637888</v>
      </c>
    </row>
    <row r="23" spans="1:18" x14ac:dyDescent="0.35">
      <c r="A23" s="21" t="s">
        <v>371</v>
      </c>
      <c r="B23" s="16" t="s">
        <v>174</v>
      </c>
      <c r="C23" s="16" t="s">
        <v>372</v>
      </c>
      <c r="D23" s="22" t="s">
        <v>36</v>
      </c>
      <c r="E23" s="22" t="s">
        <v>84</v>
      </c>
      <c r="F23" s="141">
        <f t="shared" si="2"/>
        <v>0.14636810260852107</v>
      </c>
      <c r="G23" s="77">
        <v>0</v>
      </c>
      <c r="H23" s="13">
        <v>2.7E-2</v>
      </c>
      <c r="I23" s="15">
        <v>0</v>
      </c>
      <c r="J23" s="13"/>
      <c r="K23" s="77">
        <v>5.9912817690818299E-2</v>
      </c>
      <c r="L23" s="15">
        <v>0</v>
      </c>
      <c r="M23" s="13">
        <v>4.6529167754077701E-3</v>
      </c>
      <c r="N23" s="77">
        <v>3.4771853907349999E-2</v>
      </c>
      <c r="O23" s="13">
        <v>2.0030514234945E-2</v>
      </c>
      <c r="P23" s="13"/>
      <c r="R23" s="143">
        <f>'Parameters, country spec'!C20</f>
        <v>0</v>
      </c>
    </row>
    <row r="24" spans="1:18" x14ac:dyDescent="0.35">
      <c r="A24" s="21" t="s">
        <v>373</v>
      </c>
      <c r="B24" s="16" t="s">
        <v>175</v>
      </c>
      <c r="C24" s="16" t="s">
        <v>372</v>
      </c>
      <c r="D24" s="22" t="s">
        <v>36</v>
      </c>
      <c r="E24" s="22" t="s">
        <v>84</v>
      </c>
      <c r="F24" s="141">
        <f t="shared" si="2"/>
        <v>0.17963284345534819</v>
      </c>
      <c r="G24" s="77">
        <v>2.6496130610184302E-3</v>
      </c>
      <c r="H24" s="13">
        <v>2.7E-2</v>
      </c>
      <c r="I24" s="15">
        <v>0</v>
      </c>
      <c r="J24" s="13"/>
      <c r="K24" s="77">
        <v>7.3497297252248101E-2</v>
      </c>
      <c r="L24" s="13">
        <v>0</v>
      </c>
      <c r="M24" s="13">
        <v>5.3099924240375502E-3</v>
      </c>
      <c r="N24" s="77">
        <v>3.4771853907349999E-2</v>
      </c>
      <c r="O24" s="13">
        <v>3.6404086810694097E-2</v>
      </c>
      <c r="P24" s="13"/>
      <c r="R24" s="143">
        <f>'Parameters, country spec'!C21</f>
        <v>0</v>
      </c>
    </row>
    <row r="25" spans="1:18" x14ac:dyDescent="0.35">
      <c r="B25" s="17" t="s">
        <v>177</v>
      </c>
      <c r="C25" s="16" t="s">
        <v>374</v>
      </c>
      <c r="D25" s="22" t="s">
        <v>450</v>
      </c>
      <c r="E25" s="22"/>
      <c r="F25" s="111">
        <f t="shared" si="2"/>
        <v>0.27085685084992916</v>
      </c>
      <c r="G25" s="19">
        <f>'Off-farm feed'!$F$74</f>
        <v>0.11176753125767681</v>
      </c>
      <c r="H25" s="19">
        <f>'Off-farm feed'!$G$74</f>
        <v>1.3034482758620692E-2</v>
      </c>
      <c r="I25" s="19">
        <f>'Off-farm feed'!$H$74</f>
        <v>0</v>
      </c>
      <c r="J25" s="19"/>
      <c r="K25" s="19">
        <f>'Off-farm feed'!$J$74</f>
        <v>2.4688740026345454E-2</v>
      </c>
      <c r="L25" s="19"/>
      <c r="M25" s="237">
        <f>'Off-farm feed'!$L$74</f>
        <v>1.931759303794134E-4</v>
      </c>
      <c r="N25" s="19">
        <f>'Off-farm feed'!$M$74</f>
        <v>3.6802128767029069E-2</v>
      </c>
      <c r="O25" s="19">
        <f>'Off-farm feed'!$N$74</f>
        <v>0</v>
      </c>
      <c r="P25" s="19">
        <f>'Off-farm feed'!$O$74</f>
        <v>2.1170792109877701E-2</v>
      </c>
      <c r="Q25" s="19">
        <f>'Off-farm feed'!$P$74</f>
        <v>6.3200000000000006E-2</v>
      </c>
      <c r="R25" s="143">
        <f>'Parameters, country spec'!C22</f>
        <v>4.3850784569502733E-2</v>
      </c>
    </row>
    <row r="26" spans="1:18" x14ac:dyDescent="0.35">
      <c r="B26" s="17" t="s">
        <v>375</v>
      </c>
      <c r="C26" s="16" t="s">
        <v>374</v>
      </c>
      <c r="D26" s="22" t="s">
        <v>426</v>
      </c>
      <c r="E26" s="22"/>
      <c r="F26" s="111">
        <f t="shared" si="2"/>
        <v>0.7061171705997602</v>
      </c>
      <c r="G26" s="19">
        <f>'Off-farm feed'!$F$23</f>
        <v>7.2632670993098931E-3</v>
      </c>
      <c r="H26" s="19">
        <f>'Off-farm feed'!$G$23</f>
        <v>2.1402439024390246E-2</v>
      </c>
      <c r="I26" s="19">
        <f>'Off-farm feed'!$H$23</f>
        <v>0</v>
      </c>
      <c r="J26" s="19"/>
      <c r="K26" s="19">
        <f>'Off-farm feed'!$J$23</f>
        <v>4.308361966433235E-2</v>
      </c>
      <c r="L26" s="19"/>
      <c r="M26" s="237">
        <f>'Off-farm feed'!$L$23</f>
        <v>1.7842060425123844E-4</v>
      </c>
      <c r="N26" s="19">
        <f>'Off-farm feed'!$M$23</f>
        <v>3.0432604948959403E-2</v>
      </c>
      <c r="O26" s="19">
        <f>'Off-farm feed'!$N$23</f>
        <v>0.31761120248475611</v>
      </c>
      <c r="P26" s="19">
        <f>'Off-farm feed'!$O$23</f>
        <v>3.5145616773760872E-2</v>
      </c>
      <c r="Q26" s="19">
        <f>'Off-farm feed'!$P$23</f>
        <v>0.251</v>
      </c>
      <c r="R26" s="143">
        <f>'Parameters, country spec'!C23</f>
        <v>3.9507741172757453E-2</v>
      </c>
    </row>
    <row r="27" spans="1:18" x14ac:dyDescent="0.35">
      <c r="B27" s="16" t="s">
        <v>181</v>
      </c>
      <c r="C27" s="16" t="s">
        <v>376</v>
      </c>
      <c r="D27" s="22" t="s">
        <v>36</v>
      </c>
      <c r="E27" s="22" t="s">
        <v>84</v>
      </c>
      <c r="F27" s="111">
        <f t="shared" si="2"/>
        <v>0.12240806147995828</v>
      </c>
      <c r="G27" s="77">
        <v>6.4803203363399996E-3</v>
      </c>
      <c r="H27" s="15">
        <v>2.4299999999999999E-3</v>
      </c>
      <c r="I27" s="15"/>
      <c r="J27" s="13"/>
      <c r="K27" s="77">
        <v>2.5633771767255399E-3</v>
      </c>
      <c r="L27" s="13">
        <v>0</v>
      </c>
      <c r="M27" s="13">
        <v>1.6030161527431E-6</v>
      </c>
      <c r="N27" s="77">
        <v>3.1294668516615E-3</v>
      </c>
      <c r="O27" s="13">
        <v>2.3730031373721399E-4</v>
      </c>
      <c r="P27" s="15">
        <v>0.102505251885267</v>
      </c>
      <c r="Q27" s="15">
        <v>5.06074190007427E-3</v>
      </c>
      <c r="R27" s="143">
        <f>'Parameters, country spec'!C24</f>
        <v>3.6206796949373683E-2</v>
      </c>
    </row>
    <row r="28" spans="1:18" x14ac:dyDescent="0.35">
      <c r="A28" s="80"/>
      <c r="B28" s="16" t="s">
        <v>377</v>
      </c>
      <c r="C28" s="81" t="s">
        <v>378</v>
      </c>
      <c r="D28" s="22" t="s">
        <v>36</v>
      </c>
      <c r="E28" s="22" t="s">
        <v>84</v>
      </c>
      <c r="F28" s="156">
        <f t="shared" si="2"/>
        <v>0.14897253836283209</v>
      </c>
      <c r="G28" s="78">
        <f>AVERAGE(G18:G26)</f>
        <v>4.6675163806151845E-2</v>
      </c>
      <c r="H28" s="78">
        <f>AVERAGE(H18:H26)</f>
        <v>2.4826324642556769E-2</v>
      </c>
      <c r="I28" s="78">
        <f>AVERAGE(I18:I26)</f>
        <v>0</v>
      </c>
      <c r="J28" s="78"/>
      <c r="K28" s="78">
        <f>AVERAGE(K18:K26)</f>
        <v>4.1311531294777583E-2</v>
      </c>
      <c r="L28" s="78"/>
      <c r="M28" s="78">
        <f>AVERAGE(M18:M26)</f>
        <v>1.6442173896304934E-3</v>
      </c>
      <c r="N28" s="78">
        <f>AVERAGE(N18:N26)</f>
        <v>3.4515301229715384E-2</v>
      </c>
      <c r="O28" s="78"/>
      <c r="P28" s="78"/>
      <c r="Q28" s="78"/>
      <c r="R28" s="143">
        <f>'Parameters, country spec'!C25</f>
        <v>2.556294288391299E-2</v>
      </c>
    </row>
    <row r="29" spans="1:18" x14ac:dyDescent="0.35">
      <c r="A29" s="142"/>
      <c r="B29" s="24" t="s">
        <v>379</v>
      </c>
      <c r="C29" s="25"/>
      <c r="D29" s="99"/>
      <c r="E29" s="99"/>
      <c r="F29" s="26">
        <f>SUMPRODUCT(F18:F28,$R$18:$R$28)</f>
        <v>0.17811986597849591</v>
      </c>
      <c r="G29" s="26">
        <f>SUMPRODUCT(G18:G28,$R$18:$R$28)</f>
        <v>5.7624367438714262E-2</v>
      </c>
      <c r="H29" s="26">
        <f>SUMPRODUCT(H18:H28,$R$18:$R$28)</f>
        <v>2.5221287581766876E-2</v>
      </c>
      <c r="I29" s="26">
        <f>SUMPRODUCT(I18:I28,$R$18:$R$28)</f>
        <v>0</v>
      </c>
      <c r="J29" s="26"/>
      <c r="K29" s="26">
        <f>SUMPRODUCT(K18:K28,$R$18:$R$28)</f>
        <v>2.6456231709483462E-2</v>
      </c>
      <c r="L29" s="26"/>
      <c r="M29" s="26">
        <f>SUMPRODUCT(M18:M28,$R$18:$R$28)</f>
        <v>9.5194410080411628E-4</v>
      </c>
      <c r="N29" s="26">
        <f>SUMPRODUCT(N18:N28,$R$18:$R$28)</f>
        <v>3.3537221403542511E-2</v>
      </c>
      <c r="O29" s="26">
        <f>SUMPRODUCT(O18:O28,$R$18:$R$28)</f>
        <v>1.542950125455592E-2</v>
      </c>
      <c r="P29" s="26">
        <f>SUMPRODUCT(P18:P28,R18:R28)</f>
        <v>6.0282666160849097E-3</v>
      </c>
      <c r="Q29" s="26">
        <f>SUMPRODUCT(Q18:Q28,$R$18:$R$28)</f>
        <v>1.287104587354387E-2</v>
      </c>
      <c r="R29" s="144"/>
    </row>
    <row r="30" spans="1:18" x14ac:dyDescent="0.35">
      <c r="A30" s="21" t="s">
        <v>365</v>
      </c>
      <c r="B30" s="16" t="s">
        <v>168</v>
      </c>
      <c r="C30" s="16" t="s">
        <v>366</v>
      </c>
      <c r="D30" s="22" t="s">
        <v>33</v>
      </c>
      <c r="E30" s="22" t="s">
        <v>85</v>
      </c>
      <c r="F30" s="141">
        <f t="shared" ref="F30:F40" si="3">SUM(G30:Q30)</f>
        <v>0.14473841159423895</v>
      </c>
      <c r="G30" s="77">
        <v>4.4980950411589199E-2</v>
      </c>
      <c r="H30" s="13">
        <v>2.7E-2</v>
      </c>
      <c r="I30" s="15">
        <v>0</v>
      </c>
      <c r="J30" s="13"/>
      <c r="K30" s="77">
        <v>2.87029909570167E-2</v>
      </c>
      <c r="L30" s="13">
        <v>0</v>
      </c>
      <c r="M30" s="13">
        <v>3.26422856216014E-5</v>
      </c>
      <c r="N30" s="77">
        <v>4.2299667932672001E-2</v>
      </c>
      <c r="O30" s="13">
        <v>1.7221600073394499E-3</v>
      </c>
      <c r="P30" s="13"/>
      <c r="R30" s="143">
        <f>'Parameters, country spec'!D15</f>
        <v>0.1435440309091161</v>
      </c>
    </row>
    <row r="31" spans="1:18" x14ac:dyDescent="0.35">
      <c r="A31" s="21" t="s">
        <v>367</v>
      </c>
      <c r="B31" s="16" t="s">
        <v>170</v>
      </c>
      <c r="C31" s="16" t="s">
        <v>366</v>
      </c>
      <c r="D31" s="22" t="s">
        <v>33</v>
      </c>
      <c r="E31" s="22" t="s">
        <v>85</v>
      </c>
      <c r="F31" s="141">
        <f t="shared" si="3"/>
        <v>0.13403161558339008</v>
      </c>
      <c r="G31" s="77">
        <v>4.40602108280801E-2</v>
      </c>
      <c r="H31" s="13">
        <v>2.7E-2</v>
      </c>
      <c r="I31" s="15">
        <v>0</v>
      </c>
      <c r="J31" s="13"/>
      <c r="K31" s="77">
        <v>1.6685054495430798E-2</v>
      </c>
      <c r="L31" s="13">
        <v>0</v>
      </c>
      <c r="M31" s="13">
        <v>5.39925016942717E-4</v>
      </c>
      <c r="N31" s="77">
        <v>4.2299667932672001E-2</v>
      </c>
      <c r="O31" s="13">
        <v>3.44675731026444E-3</v>
      </c>
      <c r="P31" s="13"/>
      <c r="R31" s="143">
        <f>'Parameters, country spec'!D16</f>
        <v>0.2137111814189753</v>
      </c>
    </row>
    <row r="32" spans="1:18" x14ac:dyDescent="0.35">
      <c r="A32" s="21" t="s">
        <v>368</v>
      </c>
      <c r="B32" s="16" t="s">
        <v>171</v>
      </c>
      <c r="C32" s="16" t="s">
        <v>366</v>
      </c>
      <c r="D32" s="22" t="s">
        <v>33</v>
      </c>
      <c r="E32" s="22" t="s">
        <v>85</v>
      </c>
      <c r="F32" s="141">
        <f t="shared" si="3"/>
        <v>0.21056371914571581</v>
      </c>
      <c r="G32" s="77">
        <v>5.3373617708358002E-2</v>
      </c>
      <c r="H32" s="13">
        <v>2.7E-2</v>
      </c>
      <c r="I32" s="15">
        <v>0</v>
      </c>
      <c r="J32" s="13"/>
      <c r="K32" s="77">
        <v>4.2966991135923699E-2</v>
      </c>
      <c r="L32" s="13">
        <v>0</v>
      </c>
      <c r="M32" s="13">
        <v>2.3078315408886199E-5</v>
      </c>
      <c r="N32" s="77">
        <v>4.2299667932672001E-2</v>
      </c>
      <c r="O32" s="13">
        <v>4.4900364053353202E-2</v>
      </c>
      <c r="P32" s="13"/>
      <c r="R32" s="143">
        <f>'Parameters, country spec'!D17</f>
        <v>2.857298319366468E-5</v>
      </c>
    </row>
    <row r="33" spans="1:18" x14ac:dyDescent="0.35">
      <c r="A33" s="21" t="s">
        <v>369</v>
      </c>
      <c r="B33" s="16" t="s">
        <v>172</v>
      </c>
      <c r="C33" s="16" t="s">
        <v>366</v>
      </c>
      <c r="D33" s="22" t="s">
        <v>33</v>
      </c>
      <c r="E33" s="22" t="s">
        <v>85</v>
      </c>
      <c r="F33" s="141">
        <f t="shared" si="3"/>
        <v>0.18078165437145743</v>
      </c>
      <c r="G33" s="77">
        <v>5.8746625069878398E-2</v>
      </c>
      <c r="H33" s="13">
        <v>2.7E-2</v>
      </c>
      <c r="I33" s="13">
        <v>0</v>
      </c>
      <c r="J33" s="13"/>
      <c r="K33" s="77">
        <v>3.7090973020071097E-2</v>
      </c>
      <c r="L33" s="13">
        <v>0</v>
      </c>
      <c r="M33" s="13">
        <v>1.0681729263934599E-9</v>
      </c>
      <c r="N33" s="77">
        <v>4.2299667932672001E-2</v>
      </c>
      <c r="O33" s="13">
        <v>1.5644387280662999E-2</v>
      </c>
      <c r="P33" s="13"/>
      <c r="R33" s="143">
        <f>'Parameters, country spec'!D18</f>
        <v>2.344773715143467E-2</v>
      </c>
    </row>
    <row r="34" spans="1:18" x14ac:dyDescent="0.35">
      <c r="A34" s="21" t="s">
        <v>370</v>
      </c>
      <c r="B34" s="16" t="s">
        <v>173</v>
      </c>
      <c r="C34" s="16" t="s">
        <v>366</v>
      </c>
      <c r="D34" s="22" t="s">
        <v>33</v>
      </c>
      <c r="E34" s="22" t="s">
        <v>85</v>
      </c>
      <c r="F34" s="141">
        <f t="shared" si="3"/>
        <v>0.16349228978032743</v>
      </c>
      <c r="G34" s="77">
        <v>6.5941156527055095E-2</v>
      </c>
      <c r="H34" s="13">
        <v>2.7E-2</v>
      </c>
      <c r="I34" s="13">
        <v>0</v>
      </c>
      <c r="J34" s="13"/>
      <c r="K34" s="77">
        <v>2.5851842974340501E-2</v>
      </c>
      <c r="L34" s="13">
        <v>0</v>
      </c>
      <c r="M34" s="13">
        <v>7.1947622038905602E-10</v>
      </c>
      <c r="N34" s="77">
        <v>4.2299667932672001E-2</v>
      </c>
      <c r="O34" s="13">
        <v>2.39962162678361E-3</v>
      </c>
      <c r="P34" s="13"/>
      <c r="R34" s="143">
        <f>'Parameters, country spec'!D19</f>
        <v>0.47946147932032229</v>
      </c>
    </row>
    <row r="35" spans="1:18" x14ac:dyDescent="0.35">
      <c r="A35" s="21" t="s">
        <v>371</v>
      </c>
      <c r="B35" s="16" t="s">
        <v>174</v>
      </c>
      <c r="C35" s="16" t="s">
        <v>372</v>
      </c>
      <c r="D35" s="22" t="s">
        <v>33</v>
      </c>
      <c r="E35" s="22" t="s">
        <v>85</v>
      </c>
      <c r="F35" s="141">
        <f t="shared" si="3"/>
        <v>0.19853035044256107</v>
      </c>
      <c r="G35" s="77">
        <v>0</v>
      </c>
      <c r="H35" s="13">
        <v>2.7E-2</v>
      </c>
      <c r="I35" s="15">
        <v>0</v>
      </c>
      <c r="J35" s="13"/>
      <c r="K35" s="77">
        <v>5.9424727096304697E-2</v>
      </c>
      <c r="L35" s="15">
        <v>0</v>
      </c>
      <c r="M35" s="13">
        <v>3.67360914877965E-3</v>
      </c>
      <c r="N35" s="77">
        <v>4.2299667932672001E-2</v>
      </c>
      <c r="O35" s="13">
        <v>6.6132346264804701E-2</v>
      </c>
      <c r="P35" s="13"/>
      <c r="R35" s="143">
        <f>'Parameters, country spec'!D20</f>
        <v>6.205919903371391E-4</v>
      </c>
    </row>
    <row r="36" spans="1:18" x14ac:dyDescent="0.35">
      <c r="A36" s="21" t="s">
        <v>373</v>
      </c>
      <c r="B36" s="16" t="s">
        <v>175</v>
      </c>
      <c r="C36" s="16" t="s">
        <v>372</v>
      </c>
      <c r="D36" s="22" t="s">
        <v>33</v>
      </c>
      <c r="E36" s="22" t="s">
        <v>85</v>
      </c>
      <c r="F36" s="141">
        <f t="shared" si="3"/>
        <v>0.14615124952666306</v>
      </c>
      <c r="G36" s="77">
        <v>1.7380422848296E-3</v>
      </c>
      <c r="H36" s="13">
        <v>2.7E-2</v>
      </c>
      <c r="I36" s="15">
        <v>0</v>
      </c>
      <c r="J36" s="13"/>
      <c r="K36" s="77">
        <v>4.7782422262316902E-2</v>
      </c>
      <c r="L36" s="13">
        <v>0</v>
      </c>
      <c r="M36" s="13">
        <v>2.27535607308224E-3</v>
      </c>
      <c r="N36" s="77">
        <v>4.2299667932672001E-2</v>
      </c>
      <c r="O36" s="13">
        <v>2.50557609737623E-2</v>
      </c>
      <c r="P36" s="13"/>
      <c r="R36" s="143">
        <f>'Parameters, country spec'!D21</f>
        <v>6.0962584419075097E-4</v>
      </c>
    </row>
    <row r="37" spans="1:18" x14ac:dyDescent="0.35">
      <c r="B37" s="17" t="s">
        <v>177</v>
      </c>
      <c r="C37" s="16" t="s">
        <v>374</v>
      </c>
      <c r="D37" s="22" t="s">
        <v>450</v>
      </c>
      <c r="E37" s="22"/>
      <c r="F37" s="111">
        <f t="shared" si="3"/>
        <v>0.27085685084992916</v>
      </c>
      <c r="G37" s="19">
        <f>'Off-farm feed'!$F$74</f>
        <v>0.11176753125767681</v>
      </c>
      <c r="H37" s="19">
        <f>'Off-farm feed'!$G$74</f>
        <v>1.3034482758620692E-2</v>
      </c>
      <c r="I37" s="19">
        <f>'Off-farm feed'!$H$74</f>
        <v>0</v>
      </c>
      <c r="J37" s="19"/>
      <c r="K37" s="19">
        <f>'Off-farm feed'!$J$74</f>
        <v>2.4688740026345454E-2</v>
      </c>
      <c r="L37" s="19"/>
      <c r="M37" s="237">
        <f>'Off-farm feed'!$L$74</f>
        <v>1.931759303794134E-4</v>
      </c>
      <c r="N37" s="19">
        <f>'Off-farm feed'!$M$74</f>
        <v>3.6802128767029069E-2</v>
      </c>
      <c r="O37" s="19">
        <f>'Off-farm feed'!$N$74</f>
        <v>0</v>
      </c>
      <c r="P37" s="19">
        <f>'Off-farm feed'!$O$74</f>
        <v>2.1170792109877701E-2</v>
      </c>
      <c r="Q37" s="19">
        <f>'Off-farm feed'!$P$74</f>
        <v>6.3200000000000006E-2</v>
      </c>
      <c r="R37" s="143">
        <f>'Parameters, country spec'!D22</f>
        <v>6.2756108199759894E-2</v>
      </c>
    </row>
    <row r="38" spans="1:18" x14ac:dyDescent="0.35">
      <c r="B38" s="17" t="s">
        <v>375</v>
      </c>
      <c r="C38" s="16" t="s">
        <v>374</v>
      </c>
      <c r="D38" s="22" t="s">
        <v>426</v>
      </c>
      <c r="E38" s="22"/>
      <c r="F38" s="111">
        <f t="shared" si="3"/>
        <v>0.7061171705997602</v>
      </c>
      <c r="G38" s="19">
        <f>'Off-farm feed'!$F$23</f>
        <v>7.2632670993098931E-3</v>
      </c>
      <c r="H38" s="19">
        <f>'Off-farm feed'!$G$23</f>
        <v>2.1402439024390246E-2</v>
      </c>
      <c r="I38" s="19">
        <f>'Off-farm feed'!$H$23</f>
        <v>0</v>
      </c>
      <c r="J38" s="19"/>
      <c r="K38" s="19">
        <f>'Off-farm feed'!$J$23</f>
        <v>4.308361966433235E-2</v>
      </c>
      <c r="L38" s="19"/>
      <c r="M38" s="237">
        <f>'Off-farm feed'!$L$23</f>
        <v>1.7842060425123844E-4</v>
      </c>
      <c r="N38" s="19">
        <f>'Off-farm feed'!$M$23</f>
        <v>3.0432604948959403E-2</v>
      </c>
      <c r="O38" s="19">
        <f>'Off-farm feed'!$N$23</f>
        <v>0.31761120248475611</v>
      </c>
      <c r="P38" s="19">
        <f>'Off-farm feed'!$O$23</f>
        <v>3.5145616773760872E-2</v>
      </c>
      <c r="Q38" s="19">
        <f>'Off-farm feed'!$P$23</f>
        <v>0.251</v>
      </c>
      <c r="R38" s="143">
        <f>'Parameters, country spec'!D23</f>
        <v>6.029992977299907E-2</v>
      </c>
    </row>
    <row r="39" spans="1:18" x14ac:dyDescent="0.35">
      <c r="B39" s="16" t="s">
        <v>181</v>
      </c>
      <c r="C39" s="16" t="s">
        <v>376</v>
      </c>
      <c r="D39" s="22" t="s">
        <v>33</v>
      </c>
      <c r="E39" s="22" t="s">
        <v>85</v>
      </c>
      <c r="F39" s="111">
        <f t="shared" si="3"/>
        <v>0.55199512688727981</v>
      </c>
      <c r="G39" s="77">
        <v>5.9347040874349602E-3</v>
      </c>
      <c r="H39" s="15">
        <v>2.4299999999999999E-3</v>
      </c>
      <c r="I39" s="15"/>
      <c r="J39" s="13"/>
      <c r="K39" s="77">
        <v>2.3266658676906501E-3</v>
      </c>
      <c r="L39" s="13">
        <v>0</v>
      </c>
      <c r="M39" s="13">
        <v>6.4752859835014994E-11</v>
      </c>
      <c r="N39" s="77">
        <v>3.8069701139404801E-3</v>
      </c>
      <c r="O39" s="13">
        <v>2.1596594641052499E-4</v>
      </c>
      <c r="P39" s="15">
        <v>0.52550926010708199</v>
      </c>
      <c r="Q39" s="15">
        <v>1.1771560699968301E-2</v>
      </c>
      <c r="R39" s="143">
        <f>'Parameters, country spec'!D24</f>
        <v>1.202935742430772E-2</v>
      </c>
    </row>
    <row r="40" spans="1:18" x14ac:dyDescent="0.35">
      <c r="A40" s="80"/>
      <c r="B40" s="16" t="s">
        <v>377</v>
      </c>
      <c r="C40" s="81" t="s">
        <v>378</v>
      </c>
      <c r="D40" s="22" t="s">
        <v>33</v>
      </c>
      <c r="E40" s="22" t="s">
        <v>85</v>
      </c>
      <c r="F40" s="156">
        <f t="shared" si="3"/>
        <v>0.14531492255651973</v>
      </c>
      <c r="G40" s="78">
        <f>AVERAGE(G30:G38)</f>
        <v>4.3096822354086343E-2</v>
      </c>
      <c r="H40" s="78">
        <f>AVERAGE(H30:H38)</f>
        <v>2.4826324642556769E-2</v>
      </c>
      <c r="I40" s="78">
        <f>AVERAGE(I30:I38)</f>
        <v>0</v>
      </c>
      <c r="J40" s="78"/>
      <c r="K40" s="78">
        <f>AVERAGE(K30:K38)</f>
        <v>3.6253040181342469E-2</v>
      </c>
      <c r="L40" s="78"/>
      <c r="M40" s="78">
        <f>AVERAGE(M30:M38)</f>
        <v>7.6846768467943262E-4</v>
      </c>
      <c r="N40" s="78">
        <f>AVERAGE(N30:N38)</f>
        <v>4.0370267693854718E-2</v>
      </c>
      <c r="O40" s="78"/>
      <c r="P40" s="78"/>
      <c r="Q40" s="78"/>
      <c r="R40" s="143">
        <f>'Parameters, country spec'!D25</f>
        <v>3.491384985363475E-3</v>
      </c>
    </row>
    <row r="41" spans="1:18" x14ac:dyDescent="0.35">
      <c r="A41" s="142"/>
      <c r="B41" s="24" t="s">
        <v>379</v>
      </c>
      <c r="C41" s="25"/>
      <c r="D41" s="99"/>
      <c r="E41" s="99"/>
      <c r="F41" s="26">
        <f>SUMPRODUCT(F30:F40,$R$30:$R$40)</f>
        <v>0.19899012078211512</v>
      </c>
      <c r="G41" s="26">
        <f>SUMPRODUCT(G30:G40,$R$30:$R$40)</f>
        <v>5.6543139180541678E-2</v>
      </c>
      <c r="H41" s="26">
        <f>SUMPRODUCT(H30:H40,$R$30:$R$40)</f>
        <v>2.5482895505783771E-2</v>
      </c>
      <c r="I41" s="26">
        <f>SUMPRODUCT(I30:I40,$R$30:$R$40)</f>
        <v>0</v>
      </c>
      <c r="J41" s="26"/>
      <c r="K41" s="26">
        <f>SUMPRODUCT(K30:K40,$R$30:$R$40)</f>
        <v>2.5319693691392066E-2</v>
      </c>
      <c r="L41" s="26"/>
      <c r="M41" s="26">
        <f>SUMPRODUCT(M30:M40,$R$30:$R$40)</f>
        <v>1.4930631301848571E-4</v>
      </c>
      <c r="N41" s="26">
        <f>SUMPRODUCT(N30:N40,$R$30:$R$40)</f>
        <v>4.0769302006118918E-2</v>
      </c>
      <c r="O41" s="26">
        <f>SUMPRODUCT(O30:O40,$R$30:$R$40)</f>
        <v>2.1713297899690554E-2</v>
      </c>
      <c r="P41" s="26">
        <f>SUMPRODUCT(P30:P40,R30:R40)</f>
        <v>9.7694134632202098E-3</v>
      </c>
      <c r="Q41" s="26">
        <f>SUMPRODUCT(Q30:Q40,$R$30:$R$40)</f>
        <v>1.9243072722349448E-2</v>
      </c>
      <c r="R41" s="144"/>
    </row>
    <row r="42" spans="1:18" x14ac:dyDescent="0.35">
      <c r="A42" s="21" t="s">
        <v>365</v>
      </c>
      <c r="B42" s="16" t="s">
        <v>168</v>
      </c>
      <c r="C42" s="16" t="s">
        <v>366</v>
      </c>
      <c r="D42" s="22" t="s">
        <v>31</v>
      </c>
      <c r="E42" s="22" t="s">
        <v>86</v>
      </c>
      <c r="F42" s="141">
        <f t="shared" ref="F42:F52" si="4">SUM(G42:Q42)</f>
        <v>0.25451304867723556</v>
      </c>
      <c r="G42" s="77">
        <v>0.11185874155109</v>
      </c>
      <c r="H42" s="13">
        <v>2.7E-2</v>
      </c>
      <c r="I42" s="15">
        <v>0</v>
      </c>
      <c r="J42" s="13"/>
      <c r="K42" s="77">
        <v>6.7519492441362697E-2</v>
      </c>
      <c r="L42" s="13">
        <v>0</v>
      </c>
      <c r="M42" s="13">
        <v>0</v>
      </c>
      <c r="N42" s="77">
        <v>4.5828859604041997E-2</v>
      </c>
      <c r="O42" s="13">
        <v>2.3059550807408998E-3</v>
      </c>
      <c r="P42" s="13"/>
      <c r="R42" s="143">
        <f>'Parameters, country spec'!E15</f>
        <v>0.17624165446480369</v>
      </c>
    </row>
    <row r="43" spans="1:18" x14ac:dyDescent="0.35">
      <c r="A43" s="21" t="s">
        <v>367</v>
      </c>
      <c r="B43" s="16" t="s">
        <v>170</v>
      </c>
      <c r="C43" s="16" t="s">
        <v>366</v>
      </c>
      <c r="D43" s="22" t="s">
        <v>31</v>
      </c>
      <c r="E43" s="22" t="s">
        <v>86</v>
      </c>
      <c r="F43" s="141">
        <f t="shared" si="4"/>
        <v>0.15043530566815122</v>
      </c>
      <c r="G43" s="77">
        <v>4.2682640226656403E-2</v>
      </c>
      <c r="H43" s="13">
        <v>2.7E-2</v>
      </c>
      <c r="I43" s="15">
        <v>0</v>
      </c>
      <c r="J43" s="13"/>
      <c r="K43" s="77">
        <v>1.5289491701264601E-2</v>
      </c>
      <c r="L43" s="13">
        <v>0</v>
      </c>
      <c r="M43" s="13">
        <v>1.17496484986656E-2</v>
      </c>
      <c r="N43" s="77">
        <v>4.5828859604041997E-2</v>
      </c>
      <c r="O43" s="13">
        <v>7.8846656375225997E-3</v>
      </c>
      <c r="P43" s="13"/>
      <c r="R43" s="143">
        <f>'Parameters, country spec'!E16</f>
        <v>0.52712316765456624</v>
      </c>
    </row>
    <row r="44" spans="1:18" x14ac:dyDescent="0.35">
      <c r="A44" s="21" t="s">
        <v>368</v>
      </c>
      <c r="B44" s="16" t="s">
        <v>171</v>
      </c>
      <c r="C44" s="16" t="s">
        <v>366</v>
      </c>
      <c r="D44" s="22" t="s">
        <v>31</v>
      </c>
      <c r="E44" s="22" t="s">
        <v>86</v>
      </c>
      <c r="F44" s="141">
        <f t="shared" si="4"/>
        <v>0.47128235421275838</v>
      </c>
      <c r="G44" s="77">
        <v>0.207906423369177</v>
      </c>
      <c r="H44" s="13">
        <v>2.7E-2</v>
      </c>
      <c r="I44" s="15">
        <v>0</v>
      </c>
      <c r="J44" s="13"/>
      <c r="K44" s="77">
        <v>0.15832041591101401</v>
      </c>
      <c r="L44" s="13">
        <v>0</v>
      </c>
      <c r="M44" s="13">
        <v>1.51442683263855E-4</v>
      </c>
      <c r="N44" s="77">
        <v>4.5828859604041997E-2</v>
      </c>
      <c r="O44" s="13">
        <v>3.20752126452616E-2</v>
      </c>
      <c r="P44" s="13"/>
      <c r="R44" s="143">
        <f>'Parameters, country spec'!E17</f>
        <v>4.7896893432639032E-2</v>
      </c>
    </row>
    <row r="45" spans="1:18" x14ac:dyDescent="0.35">
      <c r="A45" s="21" t="s">
        <v>369</v>
      </c>
      <c r="B45" s="16" t="s">
        <v>172</v>
      </c>
      <c r="C45" s="16" t="s">
        <v>366</v>
      </c>
      <c r="D45" s="22" t="s">
        <v>31</v>
      </c>
      <c r="E45" s="22" t="s">
        <v>86</v>
      </c>
      <c r="F45" s="141">
        <f t="shared" si="4"/>
        <v>0.40386400928447763</v>
      </c>
      <c r="G45" s="77">
        <v>0.16799296124068799</v>
      </c>
      <c r="H45" s="13">
        <v>2.7E-2</v>
      </c>
      <c r="I45" s="13">
        <v>0</v>
      </c>
      <c r="J45" s="13"/>
      <c r="K45" s="77">
        <v>0.100331453362256</v>
      </c>
      <c r="L45" s="13">
        <v>0</v>
      </c>
      <c r="M45" s="13">
        <v>9.2555094180597395E-4</v>
      </c>
      <c r="N45" s="77">
        <v>4.5828859604041997E-2</v>
      </c>
      <c r="O45" s="13">
        <v>6.1785184135685699E-2</v>
      </c>
      <c r="P45" s="13"/>
      <c r="R45" s="143">
        <f>'Parameters, country spec'!E18</f>
        <v>1.056436574017274E-2</v>
      </c>
    </row>
    <row r="46" spans="1:18" x14ac:dyDescent="0.35">
      <c r="A46" s="21" t="s">
        <v>370</v>
      </c>
      <c r="B46" s="16" t="s">
        <v>173</v>
      </c>
      <c r="C46" s="16" t="s">
        <v>366</v>
      </c>
      <c r="D46" s="22" t="s">
        <v>31</v>
      </c>
      <c r="E46" s="22" t="s">
        <v>86</v>
      </c>
      <c r="F46" s="141">
        <f t="shared" si="4"/>
        <v>0.3223575090577927</v>
      </c>
      <c r="G46" s="77">
        <v>0.173617725501517</v>
      </c>
      <c r="H46" s="13">
        <v>2.7E-2</v>
      </c>
      <c r="I46" s="13">
        <v>0</v>
      </c>
      <c r="J46" s="13"/>
      <c r="K46" s="77">
        <v>6.4385744975605799E-2</v>
      </c>
      <c r="L46" s="13">
        <v>0</v>
      </c>
      <c r="M46" s="13">
        <v>7.0103993031324298E-4</v>
      </c>
      <c r="N46" s="77">
        <v>4.5828859604041997E-2</v>
      </c>
      <c r="O46" s="13">
        <v>1.08241390463147E-2</v>
      </c>
      <c r="P46" s="13"/>
      <c r="R46" s="143">
        <f>'Parameters, country spec'!E19</f>
        <v>7.5759890638728566E-3</v>
      </c>
    </row>
    <row r="47" spans="1:18" x14ac:dyDescent="0.35">
      <c r="A47" s="21" t="s">
        <v>371</v>
      </c>
      <c r="B47" s="16" t="s">
        <v>174</v>
      </c>
      <c r="C47" s="16" t="s">
        <v>372</v>
      </c>
      <c r="D47" s="22" t="s">
        <v>31</v>
      </c>
      <c r="E47" s="22" t="s">
        <v>86</v>
      </c>
      <c r="F47" s="141">
        <f t="shared" si="4"/>
        <v>0.71026464172261994</v>
      </c>
      <c r="G47" s="77">
        <v>0</v>
      </c>
      <c r="H47" s="13">
        <v>2.7E-2</v>
      </c>
      <c r="I47" s="15">
        <v>0</v>
      </c>
      <c r="J47" s="13"/>
      <c r="K47" s="77">
        <v>0.110267541918302</v>
      </c>
      <c r="L47" s="15">
        <v>0</v>
      </c>
      <c r="M47" s="13">
        <v>4.92852554943079E-2</v>
      </c>
      <c r="N47" s="77">
        <v>4.5828859604041997E-2</v>
      </c>
      <c r="O47" s="13">
        <v>0.47788298470596802</v>
      </c>
      <c r="P47" s="13"/>
      <c r="R47" s="143">
        <f>'Parameters, country spec'!E20</f>
        <v>5.2541698729789991E-4</v>
      </c>
    </row>
    <row r="48" spans="1:18" x14ac:dyDescent="0.35">
      <c r="A48" s="21" t="s">
        <v>373</v>
      </c>
      <c r="B48" s="16" t="s">
        <v>175</v>
      </c>
      <c r="C48" s="16" t="s">
        <v>372</v>
      </c>
      <c r="D48" s="22" t="s">
        <v>31</v>
      </c>
      <c r="E48" s="22" t="s">
        <v>86</v>
      </c>
      <c r="F48" s="141">
        <f t="shared" si="4"/>
        <v>0.32471646869837811</v>
      </c>
      <c r="G48" s="77">
        <v>2.4057723922364499E-3</v>
      </c>
      <c r="H48" s="13">
        <v>2.7E-2</v>
      </c>
      <c r="I48" s="15">
        <v>0</v>
      </c>
      <c r="J48" s="13"/>
      <c r="K48" s="77">
        <v>6.2563793470395507E-2</v>
      </c>
      <c r="L48" s="13">
        <v>0</v>
      </c>
      <c r="M48" s="13">
        <v>3.9600271687539199E-2</v>
      </c>
      <c r="N48" s="77">
        <v>4.5828859604041997E-2</v>
      </c>
      <c r="O48" s="13">
        <v>0.147317771544165</v>
      </c>
      <c r="P48" s="13"/>
      <c r="R48" s="143">
        <f>'Parameters, country spec'!E21</f>
        <v>5.1613262720405463E-4</v>
      </c>
    </row>
    <row r="49" spans="1:18" x14ac:dyDescent="0.35">
      <c r="B49" s="17" t="s">
        <v>177</v>
      </c>
      <c r="C49" s="16" t="s">
        <v>374</v>
      </c>
      <c r="D49" s="22" t="s">
        <v>450</v>
      </c>
      <c r="E49" s="22"/>
      <c r="F49" s="111">
        <f t="shared" si="4"/>
        <v>0.27085685084992916</v>
      </c>
      <c r="G49" s="19">
        <f>'Off-farm feed'!$F$74</f>
        <v>0.11176753125767681</v>
      </c>
      <c r="H49" s="19">
        <f>'Off-farm feed'!$G$74</f>
        <v>1.3034482758620692E-2</v>
      </c>
      <c r="I49" s="19">
        <f>'Off-farm feed'!$H$74</f>
        <v>0</v>
      </c>
      <c r="J49" s="19"/>
      <c r="K49" s="19">
        <f>'Off-farm feed'!$J$74</f>
        <v>2.4688740026345454E-2</v>
      </c>
      <c r="L49" s="19"/>
      <c r="M49" s="237">
        <f>'Off-farm feed'!$L$74</f>
        <v>1.931759303794134E-4</v>
      </c>
      <c r="N49" s="19">
        <f>'Off-farm feed'!$M$74</f>
        <v>3.6802128767029069E-2</v>
      </c>
      <c r="O49" s="19">
        <f>'Off-farm feed'!$N$74</f>
        <v>0</v>
      </c>
      <c r="P49" s="19">
        <f>'Off-farm feed'!$O$74</f>
        <v>2.1170792109877701E-2</v>
      </c>
      <c r="Q49" s="19">
        <f>'Off-farm feed'!$P$74</f>
        <v>6.3200000000000006E-2</v>
      </c>
      <c r="R49" s="143">
        <f>'Parameters, country spec'!E22</f>
        <v>5.7339277577128883E-4</v>
      </c>
    </row>
    <row r="50" spans="1:18" x14ac:dyDescent="0.35">
      <c r="B50" s="17" t="s">
        <v>375</v>
      </c>
      <c r="C50" s="16" t="s">
        <v>374</v>
      </c>
      <c r="D50" s="22" t="s">
        <v>426</v>
      </c>
      <c r="E50" s="22"/>
      <c r="F50" s="111">
        <f t="shared" si="4"/>
        <v>0.7061171705997602</v>
      </c>
      <c r="G50" s="19">
        <f>'Off-farm feed'!$F$23</f>
        <v>7.2632670993098931E-3</v>
      </c>
      <c r="H50" s="19">
        <f>'Off-farm feed'!$G$23</f>
        <v>2.1402439024390246E-2</v>
      </c>
      <c r="I50" s="19">
        <f>'Off-farm feed'!$H$23</f>
        <v>0</v>
      </c>
      <c r="J50" s="19"/>
      <c r="K50" s="19">
        <f>'Off-farm feed'!$J$23</f>
        <v>4.308361966433235E-2</v>
      </c>
      <c r="L50" s="19"/>
      <c r="M50" s="237">
        <f>'Off-farm feed'!$L$23</f>
        <v>1.7842060425123844E-4</v>
      </c>
      <c r="N50" s="19">
        <f>'Off-farm feed'!$M$23</f>
        <v>3.0432604948959403E-2</v>
      </c>
      <c r="O50" s="19">
        <f>'Off-farm feed'!$N$23</f>
        <v>0.31761120248475611</v>
      </c>
      <c r="P50" s="19">
        <f>'Off-farm feed'!$O$23</f>
        <v>3.5145616773760872E-2</v>
      </c>
      <c r="Q50" s="19">
        <f>'Off-farm feed'!$P$23</f>
        <v>0.251</v>
      </c>
      <c r="R50" s="143">
        <f>'Parameters, country spec'!E23</f>
        <v>0.1010354992810391</v>
      </c>
    </row>
    <row r="51" spans="1:18" x14ac:dyDescent="0.35">
      <c r="B51" s="16" t="s">
        <v>181</v>
      </c>
      <c r="C51" s="16" t="s">
        <v>376</v>
      </c>
      <c r="D51" s="22" t="s">
        <v>31</v>
      </c>
      <c r="E51" s="22" t="s">
        <v>86</v>
      </c>
      <c r="F51" s="111">
        <f t="shared" si="4"/>
        <v>0.78743380346145797</v>
      </c>
      <c r="G51" s="77">
        <v>1.5625595295136501E-2</v>
      </c>
      <c r="H51" s="15">
        <v>2.4299999999999999E-3</v>
      </c>
      <c r="K51" s="15">
        <v>5.7947170478045299E-3</v>
      </c>
      <c r="L51">
        <v>0</v>
      </c>
      <c r="M51">
        <v>6.3093593728191896E-5</v>
      </c>
      <c r="N51" s="102">
        <v>4.1245973643637803E-3</v>
      </c>
      <c r="O51" s="7">
        <v>9.7417251416832698E-4</v>
      </c>
      <c r="P51" s="15">
        <v>0.72382210600774899</v>
      </c>
      <c r="Q51" s="15">
        <v>3.4599521638507699E-2</v>
      </c>
      <c r="R51" s="143">
        <f>'Parameters, country spec'!E24</f>
        <v>6.3687941219233005E-2</v>
      </c>
    </row>
    <row r="52" spans="1:18" x14ac:dyDescent="0.35">
      <c r="A52" s="80"/>
      <c r="B52" s="16" t="s">
        <v>377</v>
      </c>
      <c r="C52" s="81" t="s">
        <v>378</v>
      </c>
      <c r="D52" s="22" t="s">
        <v>31</v>
      </c>
      <c r="E52" s="22" t="s">
        <v>86</v>
      </c>
      <c r="F52" s="156">
        <f t="shared" si="4"/>
        <v>0.24291153717856109</v>
      </c>
      <c r="G52" s="78">
        <f>AVERAGE(G42:G50)</f>
        <v>9.1721673626483508E-2</v>
      </c>
      <c r="H52" s="78">
        <f>AVERAGE(H42:H50)</f>
        <v>2.4826324642556769E-2</v>
      </c>
      <c r="I52" s="78">
        <f>AVERAGE(I42:I50)</f>
        <v>0</v>
      </c>
      <c r="J52" s="78"/>
      <c r="K52" s="78">
        <f>AVERAGE(K42:K50)</f>
        <v>7.1827810385653168E-2</v>
      </c>
      <c r="L52" s="78"/>
      <c r="M52" s="78">
        <f>AVERAGE(M42:M50)</f>
        <v>1.1420533974502937E-2</v>
      </c>
      <c r="N52" s="78">
        <f>AVERAGE(N42:N50)</f>
        <v>4.3115194549364709E-2</v>
      </c>
      <c r="O52" s="78"/>
      <c r="P52" s="78"/>
      <c r="Q52" s="78"/>
      <c r="R52" s="143">
        <f>'Parameters, country spec'!E25</f>
        <v>6.4259546753399996E-2</v>
      </c>
    </row>
    <row r="53" spans="1:18" x14ac:dyDescent="0.35">
      <c r="A53" s="142"/>
      <c r="B53" s="24" t="s">
        <v>379</v>
      </c>
      <c r="C53" s="25"/>
      <c r="D53" s="99"/>
      <c r="E53" s="99"/>
      <c r="F53" s="26">
        <f>SUMPRODUCT(F42:F52,$R$42:$R$52)</f>
        <v>0.29123385358118775</v>
      </c>
      <c r="G53" s="26">
        <f>SUMPRODUCT(G42:G52,$R$42:$R$52)</f>
        <v>6.2949646455318004E-2</v>
      </c>
      <c r="H53" s="26">
        <f>SUMPRODUCT(H42:H52,$R$42:$R$52)</f>
        <v>2.4721947796362199E-2</v>
      </c>
      <c r="I53" s="26">
        <f>SUMPRODUCT(I42:I52,$R$42:$R$52)</f>
        <v>0</v>
      </c>
      <c r="J53" s="26"/>
      <c r="K53" s="26">
        <f>SUMPRODUCT(K42:K52,$R$42:$R$52)</f>
        <v>3.8532007473307046E-2</v>
      </c>
      <c r="L53" s="26"/>
      <c r="M53" s="26">
        <f>SUMPRODUCT(M42:M52,$R$42:$R$52)</f>
        <v>7.0182230202231882E-3</v>
      </c>
      <c r="N53" s="26">
        <f>SUMPRODUCT(N42:N52,$R$42:$R$52)</f>
        <v>4.143767797709072E-2</v>
      </c>
      <c r="O53" s="26">
        <f>SUMPRODUCT(O42:O52,$R$42:$R$52)</f>
        <v>3.9312795957457028E-2</v>
      </c>
      <c r="P53" s="26">
        <f>SUMPRODUCT(P42:P52,R42:R52)</f>
        <v>4.9661833858133116E-2</v>
      </c>
      <c r="Q53" s="26">
        <f>SUMPRODUCT(Q42:Q52,$R$42:$R$52)</f>
        <v>2.7599721043296416E-2</v>
      </c>
      <c r="R53" s="144"/>
    </row>
    <row r="54" spans="1:18" x14ac:dyDescent="0.35">
      <c r="A54" s="21" t="s">
        <v>365</v>
      </c>
      <c r="B54" s="16" t="s">
        <v>168</v>
      </c>
      <c r="C54" s="16" t="s">
        <v>366</v>
      </c>
      <c r="D54" s="22" t="s">
        <v>35</v>
      </c>
      <c r="E54" s="22" t="s">
        <v>87</v>
      </c>
      <c r="F54" s="141">
        <f t="shared" ref="F54:F64" si="5">SUM(G54:Q54)</f>
        <v>0.16331952151499937</v>
      </c>
      <c r="G54" s="77">
        <v>5.3517509155759403E-2</v>
      </c>
      <c r="H54" s="13">
        <v>2.7E-2</v>
      </c>
      <c r="I54" s="15">
        <v>0</v>
      </c>
      <c r="J54" s="13"/>
      <c r="K54" s="77">
        <v>3.4751291896792803E-2</v>
      </c>
      <c r="L54" s="13">
        <v>0</v>
      </c>
      <c r="M54" s="13">
        <v>0</v>
      </c>
      <c r="N54" s="77">
        <v>4.1772636956010002E-2</v>
      </c>
      <c r="O54" s="13">
        <v>6.2780835064371703E-3</v>
      </c>
      <c r="P54" s="13"/>
      <c r="R54" s="143">
        <f>'Parameters, country spec'!F15</f>
        <v>9.4621646910172968E-2</v>
      </c>
    </row>
    <row r="55" spans="1:18" x14ac:dyDescent="0.35">
      <c r="A55" s="21" t="s">
        <v>367</v>
      </c>
      <c r="B55" s="16" t="s">
        <v>170</v>
      </c>
      <c r="C55" s="16" t="s">
        <v>366</v>
      </c>
      <c r="D55" s="22" t="s">
        <v>35</v>
      </c>
      <c r="E55" s="22" t="s">
        <v>87</v>
      </c>
      <c r="F55" s="141">
        <f t="shared" si="5"/>
        <v>0.16765006836412538</v>
      </c>
      <c r="G55" s="77">
        <v>6.4801609246117706E-2</v>
      </c>
      <c r="H55" s="13">
        <v>2.7E-2</v>
      </c>
      <c r="I55" s="15">
        <v>0</v>
      </c>
      <c r="J55" s="13"/>
      <c r="K55" s="77">
        <v>2.49714283934428E-2</v>
      </c>
      <c r="L55" s="13">
        <v>0</v>
      </c>
      <c r="M55" s="13">
        <v>8.2736751041397505E-5</v>
      </c>
      <c r="N55" s="77">
        <v>4.1772636956010002E-2</v>
      </c>
      <c r="O55" s="13">
        <v>9.0216570175134791E-3</v>
      </c>
      <c r="P55" s="13"/>
      <c r="R55" s="143">
        <f>'Parameters, country spec'!F16</f>
        <v>0.56124001601073992</v>
      </c>
    </row>
    <row r="56" spans="1:18" x14ac:dyDescent="0.35">
      <c r="A56" s="21" t="s">
        <v>368</v>
      </c>
      <c r="B56" s="16" t="s">
        <v>171</v>
      </c>
      <c r="C56" s="16" t="s">
        <v>366</v>
      </c>
      <c r="D56" s="22" t="s">
        <v>35</v>
      </c>
      <c r="E56" s="22" t="s">
        <v>87</v>
      </c>
      <c r="F56" s="141">
        <f t="shared" si="5"/>
        <v>0.23008300750098509</v>
      </c>
      <c r="G56" s="77">
        <v>7.9395983086191696E-2</v>
      </c>
      <c r="H56" s="13">
        <v>2.7E-2</v>
      </c>
      <c r="I56" s="15">
        <v>0</v>
      </c>
      <c r="J56" s="13"/>
      <c r="K56" s="77">
        <v>6.5040424601935695E-2</v>
      </c>
      <c r="L56" s="13">
        <v>0</v>
      </c>
      <c r="M56" s="13">
        <v>0</v>
      </c>
      <c r="N56" s="77">
        <v>4.1772636956010002E-2</v>
      </c>
      <c r="O56" s="13">
        <v>1.68739628568477E-2</v>
      </c>
      <c r="P56" s="13"/>
      <c r="R56" s="143">
        <f>'Parameters, country spec'!F17</f>
        <v>5.0680010317105902E-2</v>
      </c>
    </row>
    <row r="57" spans="1:18" x14ac:dyDescent="0.35">
      <c r="A57" s="21" t="s">
        <v>369</v>
      </c>
      <c r="B57" s="16" t="s">
        <v>172</v>
      </c>
      <c r="C57" s="16" t="s">
        <v>366</v>
      </c>
      <c r="D57" s="22" t="s">
        <v>35</v>
      </c>
      <c r="E57" s="22" t="s">
        <v>87</v>
      </c>
      <c r="F57" s="141">
        <f t="shared" si="5"/>
        <v>0.22458257739258536</v>
      </c>
      <c r="G57" s="77">
        <v>9.4845757046005702E-2</v>
      </c>
      <c r="H57" s="13">
        <v>2.7E-2</v>
      </c>
      <c r="I57" s="13">
        <v>0</v>
      </c>
      <c r="J57" s="13"/>
      <c r="K57" s="77">
        <v>6.0936814502337198E-2</v>
      </c>
      <c r="L57" s="13">
        <v>0</v>
      </c>
      <c r="M57" s="13">
        <v>0</v>
      </c>
      <c r="N57" s="77">
        <v>4.1772636956010002E-2</v>
      </c>
      <c r="O57" s="13">
        <v>2.73688882324494E-5</v>
      </c>
      <c r="P57" s="13"/>
      <c r="R57" s="143">
        <f>'Parameters, country spec'!F18</f>
        <v>1.9697569305132029E-2</v>
      </c>
    </row>
    <row r="58" spans="1:18" x14ac:dyDescent="0.35">
      <c r="A58" s="21" t="s">
        <v>370</v>
      </c>
      <c r="B58" s="16" t="s">
        <v>173</v>
      </c>
      <c r="C58" s="16" t="s">
        <v>366</v>
      </c>
      <c r="D58" s="22" t="s">
        <v>35</v>
      </c>
      <c r="E58" s="22" t="s">
        <v>87</v>
      </c>
      <c r="F58" s="141">
        <f t="shared" si="5"/>
        <v>0.1928250291602443</v>
      </c>
      <c r="G58" s="77">
        <v>8.8667749084816894E-2</v>
      </c>
      <c r="H58" s="13">
        <v>2.7E-2</v>
      </c>
      <c r="I58" s="13">
        <v>0</v>
      </c>
      <c r="J58" s="13"/>
      <c r="K58" s="77">
        <v>3.5373429617754797E-2</v>
      </c>
      <c r="L58" s="13">
        <v>0</v>
      </c>
      <c r="M58" s="13">
        <v>0</v>
      </c>
      <c r="N58" s="77">
        <v>4.1772636956010002E-2</v>
      </c>
      <c r="O58" s="13">
        <v>1.1213501662600699E-5</v>
      </c>
      <c r="P58" s="13"/>
      <c r="R58" s="143">
        <f>'Parameters, country spec'!F19</f>
        <v>8.8612672319940383E-2</v>
      </c>
    </row>
    <row r="59" spans="1:18" x14ac:dyDescent="0.35">
      <c r="A59" s="21" t="s">
        <v>371</v>
      </c>
      <c r="B59" s="16" t="s">
        <v>174</v>
      </c>
      <c r="C59" s="16" t="s">
        <v>372</v>
      </c>
      <c r="D59" s="22" t="s">
        <v>35</v>
      </c>
      <c r="E59" s="22" t="s">
        <v>87</v>
      </c>
      <c r="F59" s="141">
        <f t="shared" si="5"/>
        <v>0.17814967754875929</v>
      </c>
      <c r="G59" s="77">
        <v>0</v>
      </c>
      <c r="H59" s="13">
        <v>2.7E-2</v>
      </c>
      <c r="I59" s="15">
        <v>0</v>
      </c>
      <c r="J59" s="13"/>
      <c r="K59" s="77">
        <v>7.5868402171388294E-2</v>
      </c>
      <c r="L59" s="15">
        <v>0</v>
      </c>
      <c r="M59" s="13">
        <v>2.5612929536489099E-2</v>
      </c>
      <c r="N59" s="77">
        <v>4.1772636956010002E-2</v>
      </c>
      <c r="O59" s="13">
        <v>7.8957088848718993E-3</v>
      </c>
      <c r="P59" s="13"/>
      <c r="R59" s="143">
        <f>'Parameters, country spec'!F20</f>
        <v>9.055122364146367E-4</v>
      </c>
    </row>
    <row r="60" spans="1:18" x14ac:dyDescent="0.35">
      <c r="A60" s="21" t="s">
        <v>373</v>
      </c>
      <c r="B60" s="16" t="s">
        <v>175</v>
      </c>
      <c r="C60" s="16" t="s">
        <v>372</v>
      </c>
      <c r="D60" s="22" t="s">
        <v>35</v>
      </c>
      <c r="E60" s="22" t="s">
        <v>87</v>
      </c>
      <c r="F60" s="141">
        <f t="shared" si="5"/>
        <v>0.88309240535499323</v>
      </c>
      <c r="G60" s="77">
        <v>4.2783747869422697E-3</v>
      </c>
      <c r="H60" s="13">
        <v>2.7E-2</v>
      </c>
      <c r="I60" s="15">
        <v>0</v>
      </c>
      <c r="J60" s="13"/>
      <c r="K60" s="77">
        <v>0.119691465798046</v>
      </c>
      <c r="L60" s="13">
        <v>0</v>
      </c>
      <c r="M60" s="13">
        <v>3.2454409978343902E-2</v>
      </c>
      <c r="N60" s="77">
        <v>4.1772636956010002E-2</v>
      </c>
      <c r="O60" s="13">
        <v>0.65789551783565103</v>
      </c>
      <c r="P60" s="13"/>
      <c r="R60" s="143">
        <f>'Parameters, country spec'!F21</f>
        <v>8.8951141806825748E-4</v>
      </c>
    </row>
    <row r="61" spans="1:18" x14ac:dyDescent="0.35">
      <c r="B61" s="17" t="s">
        <v>177</v>
      </c>
      <c r="C61" s="16" t="s">
        <v>374</v>
      </c>
      <c r="D61" s="22" t="s">
        <v>450</v>
      </c>
      <c r="E61" s="22"/>
      <c r="F61" s="111">
        <f t="shared" si="5"/>
        <v>0.27085685084992916</v>
      </c>
      <c r="G61" s="19">
        <f>'Off-farm feed'!$F$74</f>
        <v>0.11176753125767681</v>
      </c>
      <c r="H61" s="19">
        <f>'Off-farm feed'!$G$74</f>
        <v>1.3034482758620692E-2</v>
      </c>
      <c r="I61" s="19">
        <f>'Off-farm feed'!$H$74</f>
        <v>0</v>
      </c>
      <c r="J61" s="19"/>
      <c r="K61" s="19">
        <f>'Off-farm feed'!$J$74</f>
        <v>2.4688740026345454E-2</v>
      </c>
      <c r="L61" s="19"/>
      <c r="M61" s="237">
        <f>'Off-farm feed'!$L$74</f>
        <v>1.931759303794134E-4</v>
      </c>
      <c r="N61" s="19">
        <f>'Off-farm feed'!$M$74</f>
        <v>3.6802128767029069E-2</v>
      </c>
      <c r="O61" s="19">
        <f>'Off-farm feed'!$N$74</f>
        <v>0</v>
      </c>
      <c r="P61" s="19">
        <f>'Off-farm feed'!$O$74</f>
        <v>2.1170792109877701E-2</v>
      </c>
      <c r="Q61" s="19">
        <f>'Off-farm feed'!$P$74</f>
        <v>6.3200000000000006E-2</v>
      </c>
      <c r="R61" s="143">
        <f>'Parameters, country spec'!F22</f>
        <v>3.9081132627509529E-4</v>
      </c>
    </row>
    <row r="62" spans="1:18" x14ac:dyDescent="0.35">
      <c r="B62" s="17" t="s">
        <v>375</v>
      </c>
      <c r="C62" s="16" t="s">
        <v>374</v>
      </c>
      <c r="D62" s="22" t="s">
        <v>426</v>
      </c>
      <c r="E62" s="22"/>
      <c r="F62" s="111">
        <f t="shared" si="5"/>
        <v>0.7061171705997602</v>
      </c>
      <c r="G62" s="19">
        <f>'Off-farm feed'!$F$23</f>
        <v>7.2632670993098931E-3</v>
      </c>
      <c r="H62" s="19">
        <f>'Off-farm feed'!$G$23</f>
        <v>2.1402439024390246E-2</v>
      </c>
      <c r="I62" s="19">
        <f>'Off-farm feed'!$H$23</f>
        <v>0</v>
      </c>
      <c r="J62" s="19"/>
      <c r="K62" s="19">
        <f>'Off-farm feed'!$J$23</f>
        <v>4.308361966433235E-2</v>
      </c>
      <c r="L62" s="19"/>
      <c r="M62" s="237">
        <f>'Off-farm feed'!$L$23</f>
        <v>1.7842060425123844E-4</v>
      </c>
      <c r="N62" s="19">
        <f>'Off-farm feed'!$M$23</f>
        <v>3.0432604948959403E-2</v>
      </c>
      <c r="O62" s="19">
        <f>'Off-farm feed'!$N$23</f>
        <v>0.31761120248475611</v>
      </c>
      <c r="P62" s="19">
        <f>'Off-farm feed'!$O$23</f>
        <v>3.5145616773760872E-2</v>
      </c>
      <c r="Q62" s="19">
        <f>'Off-farm feed'!$P$23</f>
        <v>0.251</v>
      </c>
      <c r="R62" s="143">
        <f>'Parameters, country spec'!F23</f>
        <v>7.4520089695706837E-2</v>
      </c>
    </row>
    <row r="63" spans="1:18" x14ac:dyDescent="0.35">
      <c r="B63" s="16" t="s">
        <v>181</v>
      </c>
      <c r="C63" s="16" t="s">
        <v>376</v>
      </c>
      <c r="D63" s="22" t="s">
        <v>35</v>
      </c>
      <c r="E63" s="22" t="s">
        <v>87</v>
      </c>
      <c r="F63" s="111">
        <f t="shared" si="5"/>
        <v>0.51672853709651922</v>
      </c>
      <c r="G63" s="77">
        <v>7.98009741763352E-3</v>
      </c>
      <c r="H63" s="15">
        <v>2.4299999999999999E-3</v>
      </c>
      <c r="K63" s="15">
        <v>3.1836086655979302E-3</v>
      </c>
      <c r="L63">
        <v>0</v>
      </c>
      <c r="M63">
        <v>0</v>
      </c>
      <c r="N63" s="102">
        <v>3.7595373260408999E-3</v>
      </c>
      <c r="O63" s="7">
        <v>1.00921514963407E-6</v>
      </c>
      <c r="P63" s="15">
        <v>0.49589425967864798</v>
      </c>
      <c r="Q63" s="15">
        <v>3.4800247934492399E-3</v>
      </c>
      <c r="R63" s="143">
        <f>'Parameters, country spec'!F24</f>
        <v>5.8765674595574857E-2</v>
      </c>
    </row>
    <row r="64" spans="1:18" x14ac:dyDescent="0.35">
      <c r="A64" s="80"/>
      <c r="B64" s="16" t="s">
        <v>377</v>
      </c>
      <c r="C64" s="81" t="s">
        <v>378</v>
      </c>
      <c r="D64" s="22" t="s">
        <v>35</v>
      </c>
      <c r="E64" s="22" t="s">
        <v>87</v>
      </c>
      <c r="F64" s="156">
        <f t="shared" si="5"/>
        <v>0.18117168715853005</v>
      </c>
      <c r="G64" s="78">
        <f>AVERAGE(G54:G62)</f>
        <v>5.6059753418091156E-2</v>
      </c>
      <c r="H64" s="78">
        <f>AVERAGE(H54:H62)</f>
        <v>2.4826324642556769E-2</v>
      </c>
      <c r="I64" s="78">
        <f>AVERAGE(I54:I62)</f>
        <v>0</v>
      </c>
      <c r="J64" s="78"/>
      <c r="K64" s="78">
        <f>AVERAGE(K54:K62)</f>
        <v>5.3822846296930599E-2</v>
      </c>
      <c r="L64" s="78"/>
      <c r="M64" s="78">
        <f>AVERAGE(M54:M62)</f>
        <v>6.5024080889450062E-3</v>
      </c>
      <c r="N64" s="78">
        <f>AVERAGE(N54:N62)</f>
        <v>3.9960354712006506E-2</v>
      </c>
      <c r="O64" s="78"/>
      <c r="P64" s="78"/>
      <c r="Q64" s="78"/>
      <c r="R64" s="143">
        <f>'Parameters, country spec'!F25</f>
        <v>4.9676485864869203E-2</v>
      </c>
    </row>
    <row r="65" spans="1:18" x14ac:dyDescent="0.35">
      <c r="A65" s="142"/>
      <c r="B65" s="24" t="s">
        <v>379</v>
      </c>
      <c r="C65" s="25"/>
      <c r="D65" s="99"/>
      <c r="E65" s="99"/>
      <c r="F65" s="26">
        <f>SUMPRODUCT(F54:F64,$R$54:$R$64)</f>
        <v>0.23575505047822731</v>
      </c>
      <c r="G65" s="26">
        <f>SUMPRODUCT(G54:G64,$R$54:$R$64)</f>
        <v>5.9024829727737982E-2</v>
      </c>
      <c r="H65" s="26">
        <f>SUMPRODUCT(H54:H64,$R$54:$R$64)</f>
        <v>2.5025558193723041E-2</v>
      </c>
      <c r="I65" s="26">
        <f>SUMPRODUCT(I54:I64,$R$54:$R$64)</f>
        <v>0</v>
      </c>
      <c r="J65" s="26"/>
      <c r="K65" s="26">
        <f>SUMPRODUCT(K54:K64,$R$54:$R$64)</f>
        <v>3.1190507294367266E-2</v>
      </c>
      <c r="L65" s="26"/>
      <c r="M65" s="26">
        <f>SUMPRODUCT(M54:M64,$R$54:$R$64)</f>
        <v>4.3488476311928084E-4</v>
      </c>
      <c r="N65" s="26">
        <f>SUMPRODUCT(N54:N64,$R$54:$R$64)</f>
        <v>3.8601740966293478E-2</v>
      </c>
      <c r="O65" s="26">
        <f>SUMPRODUCT(O54:O64,$R$54:$R$64)</f>
        <v>3.0774892741123574E-2</v>
      </c>
      <c r="P65" s="26">
        <f>SUMPRODUCT(P54:P64,R54:R64)</f>
        <v>3.1768888997823277E-2</v>
      </c>
      <c r="Q65" s="26">
        <f>SUMPRODUCT(Q54:Q64,$R$54:$R$64)</f>
        <v>1.8933747794039373E-2</v>
      </c>
      <c r="R65" s="144"/>
    </row>
    <row r="66" spans="1:18" x14ac:dyDescent="0.35">
      <c r="A66" s="21" t="s">
        <v>365</v>
      </c>
      <c r="B66" s="16" t="s">
        <v>168</v>
      </c>
      <c r="C66" s="16" t="s">
        <v>366</v>
      </c>
      <c r="D66" s="22" t="s">
        <v>37</v>
      </c>
      <c r="E66" s="22" t="s">
        <v>88</v>
      </c>
      <c r="F66" s="141">
        <f t="shared" ref="F66:F76" si="6">SUM(G66:Q66)</f>
        <v>0.13899539970355879</v>
      </c>
      <c r="G66" s="77">
        <v>4.0744992936689602E-2</v>
      </c>
      <c r="H66" s="13">
        <v>2.7E-2</v>
      </c>
      <c r="I66" s="15">
        <v>0</v>
      </c>
      <c r="J66" s="13"/>
      <c r="K66" s="77">
        <v>2.6038309182143501E-2</v>
      </c>
      <c r="L66" s="13">
        <v>0</v>
      </c>
      <c r="M66" s="13">
        <v>0</v>
      </c>
      <c r="N66" s="77">
        <v>4.0867040202494799E-2</v>
      </c>
      <c r="O66" s="13">
        <v>4.34505738223088E-3</v>
      </c>
      <c r="P66" s="13"/>
      <c r="R66" s="143">
        <f>'Parameters, country spec'!G15</f>
        <v>1.5696345190060228E-2</v>
      </c>
    </row>
    <row r="67" spans="1:18" x14ac:dyDescent="0.35">
      <c r="A67" s="21" t="s">
        <v>367</v>
      </c>
      <c r="B67" s="16" t="s">
        <v>170</v>
      </c>
      <c r="C67" s="16" t="s">
        <v>366</v>
      </c>
      <c r="D67" s="22" t="s">
        <v>37</v>
      </c>
      <c r="E67" s="22" t="s">
        <v>88</v>
      </c>
      <c r="F67" s="141">
        <f t="shared" si="6"/>
        <v>0.13477267534421772</v>
      </c>
      <c r="G67" s="77">
        <v>4.7382930338829898E-2</v>
      </c>
      <c r="H67" s="13">
        <v>2.7E-2</v>
      </c>
      <c r="I67" s="15"/>
      <c r="J67" s="13"/>
      <c r="K67" s="77">
        <v>1.8104396956838902E-2</v>
      </c>
      <c r="L67" s="13">
        <v>0</v>
      </c>
      <c r="M67" s="13">
        <v>3.20452980210324E-3</v>
      </c>
      <c r="N67" s="77">
        <v>3.4771853907349999E-2</v>
      </c>
      <c r="O67" s="13">
        <v>4.3089643390956597E-3</v>
      </c>
      <c r="P67" s="13"/>
      <c r="R67" s="143">
        <f>'Parameters, country spec'!G16</f>
        <v>4.3262189278547086E-3</v>
      </c>
    </row>
    <row r="68" spans="1:18" x14ac:dyDescent="0.35">
      <c r="A68" s="21" t="s">
        <v>368</v>
      </c>
      <c r="B68" s="16" t="s">
        <v>171</v>
      </c>
      <c r="C68" s="16" t="s">
        <v>366</v>
      </c>
      <c r="D68" s="22" t="s">
        <v>37</v>
      </c>
      <c r="E68" s="22" t="s">
        <v>88</v>
      </c>
      <c r="F68" s="141">
        <f t="shared" si="6"/>
        <v>0.1552540990960054</v>
      </c>
      <c r="G68" s="77">
        <v>2.97198252686579E-2</v>
      </c>
      <c r="H68" s="13">
        <v>2.7E-2</v>
      </c>
      <c r="I68" s="15">
        <v>0</v>
      </c>
      <c r="J68" s="13"/>
      <c r="K68" s="77">
        <v>2.3960427332777399E-2</v>
      </c>
      <c r="L68" s="13">
        <v>0</v>
      </c>
      <c r="M68" s="13">
        <v>0</v>
      </c>
      <c r="N68" s="77">
        <v>4.0867040202494799E-2</v>
      </c>
      <c r="O68" s="13">
        <v>3.37068062920753E-2</v>
      </c>
      <c r="P68" s="13"/>
      <c r="R68" s="143">
        <f>'Parameters, country spec'!G17</f>
        <v>9.0473725401480211E-4</v>
      </c>
    </row>
    <row r="69" spans="1:18" x14ac:dyDescent="0.35">
      <c r="A69" s="21" t="s">
        <v>369</v>
      </c>
      <c r="B69" s="16" t="s">
        <v>172</v>
      </c>
      <c r="C69" s="16" t="s">
        <v>366</v>
      </c>
      <c r="D69" s="22" t="s">
        <v>37</v>
      </c>
      <c r="E69" s="22" t="s">
        <v>88</v>
      </c>
      <c r="F69" s="141">
        <f t="shared" si="6"/>
        <v>0.23086931651797959</v>
      </c>
      <c r="G69" s="77">
        <v>7.3795450330937706E-2</v>
      </c>
      <c r="H69" s="13">
        <v>2.7E-2</v>
      </c>
      <c r="I69" s="13">
        <v>0</v>
      </c>
      <c r="J69" s="13"/>
      <c r="K69" s="77">
        <v>4.7010620238752597E-2</v>
      </c>
      <c r="L69" s="13">
        <v>0</v>
      </c>
      <c r="M69" s="13">
        <v>2.75986968179931E-5</v>
      </c>
      <c r="N69" s="77">
        <v>3.4771853907349999E-2</v>
      </c>
      <c r="O69" s="13">
        <v>4.82637933441213E-2</v>
      </c>
      <c r="P69" s="13"/>
      <c r="R69" s="143">
        <f>'Parameters, country spec'!G18</f>
        <v>0</v>
      </c>
    </row>
    <row r="70" spans="1:18" x14ac:dyDescent="0.35">
      <c r="A70" s="21" t="s">
        <v>370</v>
      </c>
      <c r="B70" s="16" t="s">
        <v>173</v>
      </c>
      <c r="C70" s="16" t="s">
        <v>366</v>
      </c>
      <c r="D70" s="22" t="s">
        <v>37</v>
      </c>
      <c r="E70" s="22" t="s">
        <v>88</v>
      </c>
      <c r="F70" s="141">
        <f t="shared" si="6"/>
        <v>0.15433738131583741</v>
      </c>
      <c r="G70" s="77">
        <v>5.4362852263661499E-2</v>
      </c>
      <c r="H70" s="13">
        <v>2.7E-2</v>
      </c>
      <c r="I70" s="13">
        <v>0</v>
      </c>
      <c r="J70" s="13"/>
      <c r="K70" s="77">
        <v>2.1344067728924599E-2</v>
      </c>
      <c r="L70" s="13">
        <v>0</v>
      </c>
      <c r="M70" s="13">
        <v>0</v>
      </c>
      <c r="N70" s="77">
        <v>4.0867040202494799E-2</v>
      </c>
      <c r="O70" s="13">
        <v>1.0763421120756501E-2</v>
      </c>
      <c r="P70" s="13"/>
      <c r="R70" s="143">
        <f>'Parameters, country spec'!G19</f>
        <v>6.7415867076212046E-3</v>
      </c>
    </row>
    <row r="71" spans="1:18" x14ac:dyDescent="0.35">
      <c r="A71" s="21" t="s">
        <v>371</v>
      </c>
      <c r="B71" s="16" t="s">
        <v>174</v>
      </c>
      <c r="C71" s="16" t="s">
        <v>372</v>
      </c>
      <c r="D71" s="22" t="s">
        <v>37</v>
      </c>
      <c r="E71" s="22" t="s">
        <v>88</v>
      </c>
      <c r="F71" s="141">
        <f t="shared" si="6"/>
        <v>0.16414133778056922</v>
      </c>
      <c r="G71" s="77">
        <v>0</v>
      </c>
      <c r="H71" s="13">
        <v>2.7E-2</v>
      </c>
      <c r="I71" s="15">
        <v>0</v>
      </c>
      <c r="J71" s="13"/>
      <c r="K71" s="77">
        <v>3.8482609473523402E-2</v>
      </c>
      <c r="L71" s="15">
        <v>0</v>
      </c>
      <c r="M71" s="13">
        <v>0</v>
      </c>
      <c r="N71" s="77">
        <v>4.0867040202494799E-2</v>
      </c>
      <c r="O71" s="13">
        <v>5.7791688104551001E-2</v>
      </c>
      <c r="P71" s="13"/>
      <c r="R71" s="143">
        <f>'Parameters, country spec'!G20</f>
        <v>1.991421252024156E-4</v>
      </c>
    </row>
    <row r="72" spans="1:18" x14ac:dyDescent="0.35">
      <c r="A72" s="21" t="s">
        <v>373</v>
      </c>
      <c r="B72" s="16" t="s">
        <v>175</v>
      </c>
      <c r="C72" s="16" t="s">
        <v>372</v>
      </c>
      <c r="D72" s="22" t="s">
        <v>37</v>
      </c>
      <c r="E72" s="22" t="s">
        <v>88</v>
      </c>
      <c r="F72" s="141">
        <f t="shared" si="6"/>
        <v>0.13212813840286639</v>
      </c>
      <c r="G72" s="77">
        <v>1.30084565805609E-3</v>
      </c>
      <c r="H72" s="13">
        <v>2.7E-2</v>
      </c>
      <c r="I72" s="15">
        <v>0</v>
      </c>
      <c r="J72" s="13"/>
      <c r="K72" s="77">
        <v>3.5815713015120099E-2</v>
      </c>
      <c r="L72" s="13">
        <v>0</v>
      </c>
      <c r="M72" s="13">
        <v>0</v>
      </c>
      <c r="N72" s="77">
        <v>4.0867040202494799E-2</v>
      </c>
      <c r="O72" s="13">
        <v>2.7144539527195401E-2</v>
      </c>
      <c r="P72" s="13"/>
      <c r="R72" s="143">
        <f>'Parameters, country spec'!G21</f>
        <v>1.956231921202263E-4</v>
      </c>
    </row>
    <row r="73" spans="1:18" x14ac:dyDescent="0.35">
      <c r="B73" s="17" t="s">
        <v>177</v>
      </c>
      <c r="C73" s="16" t="s">
        <v>374</v>
      </c>
      <c r="D73" s="22" t="s">
        <v>450</v>
      </c>
      <c r="E73" s="22"/>
      <c r="F73" s="111">
        <f t="shared" si="6"/>
        <v>0.27085685084992916</v>
      </c>
      <c r="G73" s="19">
        <f>'Off-farm feed'!$F$74</f>
        <v>0.11176753125767681</v>
      </c>
      <c r="H73" s="19">
        <f>'Off-farm feed'!$G$74</f>
        <v>1.3034482758620692E-2</v>
      </c>
      <c r="I73" s="19">
        <f>'Off-farm feed'!$H$74</f>
        <v>0</v>
      </c>
      <c r="J73" s="19"/>
      <c r="K73" s="19">
        <f>'Off-farm feed'!$J$74</f>
        <v>2.4688740026345454E-2</v>
      </c>
      <c r="L73" s="19"/>
      <c r="M73" s="237">
        <f>'Off-farm feed'!$L$74</f>
        <v>1.931759303794134E-4</v>
      </c>
      <c r="N73" s="19">
        <f>'Off-farm feed'!$M$74</f>
        <v>3.6802128767029069E-2</v>
      </c>
      <c r="O73" s="19">
        <f>'Off-farm feed'!$N$74</f>
        <v>0</v>
      </c>
      <c r="P73" s="19">
        <f>'Off-farm feed'!$O$74</f>
        <v>2.1170792109877701E-2</v>
      </c>
      <c r="Q73" s="19">
        <f>'Off-farm feed'!$P$74</f>
        <v>6.3200000000000006E-2</v>
      </c>
      <c r="R73" s="143">
        <f>'Parameters, country spec'!G22</f>
        <v>1.066163161801318E-2</v>
      </c>
    </row>
    <row r="74" spans="1:18" x14ac:dyDescent="0.35">
      <c r="B74" s="17" t="s">
        <v>375</v>
      </c>
      <c r="C74" s="16" t="s">
        <v>374</v>
      </c>
      <c r="D74" s="22" t="s">
        <v>426</v>
      </c>
      <c r="E74" s="22"/>
      <c r="F74" s="111">
        <f t="shared" si="6"/>
        <v>0.7061171705997602</v>
      </c>
      <c r="G74" s="19">
        <f>'Off-farm feed'!$F$23</f>
        <v>7.2632670993098931E-3</v>
      </c>
      <c r="H74" s="19">
        <f>'Off-farm feed'!$G$23</f>
        <v>2.1402439024390246E-2</v>
      </c>
      <c r="I74" s="19">
        <f>'Off-farm feed'!$H$23</f>
        <v>0</v>
      </c>
      <c r="J74" s="19"/>
      <c r="K74" s="19">
        <f>'Off-farm feed'!$J$23</f>
        <v>4.308361966433235E-2</v>
      </c>
      <c r="L74" s="19"/>
      <c r="M74" s="237">
        <f>'Off-farm feed'!$L$23</f>
        <v>1.7842060425123844E-4</v>
      </c>
      <c r="N74" s="19">
        <f>'Off-farm feed'!$M$23</f>
        <v>3.0432604948959403E-2</v>
      </c>
      <c r="O74" s="19">
        <f>'Off-farm feed'!$N$23</f>
        <v>0.31761120248475611</v>
      </c>
      <c r="P74" s="19">
        <f>'Off-farm feed'!$O$23</f>
        <v>3.5145616773760872E-2</v>
      </c>
      <c r="Q74" s="19">
        <f>'Off-farm feed'!$P$23</f>
        <v>0.251</v>
      </c>
      <c r="R74" s="143">
        <f>'Parameters, country spec'!G23</f>
        <v>2.0288138727708259E-2</v>
      </c>
    </row>
    <row r="75" spans="1:18" x14ac:dyDescent="0.35">
      <c r="B75" s="16" t="s">
        <v>181</v>
      </c>
      <c r="C75" s="16" t="s">
        <v>376</v>
      </c>
      <c r="D75" s="22" t="s">
        <v>37</v>
      </c>
      <c r="E75" s="22" t="s">
        <v>88</v>
      </c>
      <c r="F75" s="111">
        <f t="shared" si="6"/>
        <v>0.48845036407378517</v>
      </c>
      <c r="G75" s="77">
        <v>4.8926567037295299E-3</v>
      </c>
      <c r="H75" s="15">
        <v>2.4299999999999999E-3</v>
      </c>
      <c r="K75" s="15">
        <v>1.9209660956032101E-3</v>
      </c>
      <c r="L75">
        <v>0</v>
      </c>
      <c r="M75">
        <v>0</v>
      </c>
      <c r="N75" s="102">
        <v>3.67803361822453E-3</v>
      </c>
      <c r="O75" s="7">
        <v>9.6870790086808301E-4</v>
      </c>
      <c r="P75" s="15">
        <v>0.44500683667895402</v>
      </c>
      <c r="Q75" s="15">
        <v>2.9553163076405799E-2</v>
      </c>
      <c r="R75" s="143">
        <f>'Parameters, country spec'!G24</f>
        <v>2.0037841928894622E-2</v>
      </c>
    </row>
    <row r="76" spans="1:18" x14ac:dyDescent="0.35">
      <c r="A76" s="80"/>
      <c r="B76" s="16" t="s">
        <v>377</v>
      </c>
      <c r="C76" s="81" t="s">
        <v>378</v>
      </c>
      <c r="D76" s="22" t="s">
        <v>37</v>
      </c>
      <c r="E76" s="22" t="s">
        <v>88</v>
      </c>
      <c r="F76" s="156">
        <f t="shared" si="6"/>
        <v>0.13478005423692255</v>
      </c>
      <c r="G76" s="78">
        <f>AVERAGE(G66:G74)</f>
        <v>4.0704188350424379E-2</v>
      </c>
      <c r="H76" s="78">
        <f>AVERAGE(H66:H74)</f>
        <v>2.4826324642556769E-2</v>
      </c>
      <c r="I76" s="78">
        <f>AVERAGE(I66:I74)</f>
        <v>0</v>
      </c>
      <c r="J76" s="78"/>
      <c r="K76" s="78">
        <f>AVERAGE(K66:K74)</f>
        <v>3.0947611513195368E-2</v>
      </c>
      <c r="L76" s="78"/>
      <c r="M76" s="78">
        <f>AVERAGE(M66:M74)</f>
        <v>4.004138926168761E-4</v>
      </c>
      <c r="N76" s="78">
        <f>AVERAGE(N66:N74)</f>
        <v>3.790151583812916E-2</v>
      </c>
      <c r="O76" s="78"/>
      <c r="P76" s="78"/>
      <c r="Q76" s="78"/>
      <c r="R76" s="143">
        <f>'Parameters, country spec'!G25</f>
        <v>0.92094873432851032</v>
      </c>
    </row>
    <row r="77" spans="1:18" x14ac:dyDescent="0.35">
      <c r="A77" s="142"/>
      <c r="B77" s="24" t="s">
        <v>379</v>
      </c>
      <c r="C77" s="25"/>
      <c r="D77" s="99"/>
      <c r="E77" s="99"/>
      <c r="F77" s="26">
        <f>SUMPRODUCT(F66:F76,$R$66:$R$76)</f>
        <v>0.15513084428907545</v>
      </c>
      <c r="G77" s="26">
        <f>SUMPRODUCT(G66:G76,$R$66:$R$76)</f>
        <v>4.0161662835368067E-2</v>
      </c>
      <c r="H77" s="26">
        <f>SUMPRODUCT(H66:H76,$R$66:$R$76)</f>
        <v>2.4243367360736068E-2</v>
      </c>
      <c r="I77" s="26">
        <f>SUMPRODUCT(I66:I76,$R$66:$R$76)</f>
        <v>0</v>
      </c>
      <c r="J77" s="26"/>
      <c r="K77" s="26">
        <f>SUMPRODUCT(K66:K76,$R$66:$R$76)</f>
        <v>3.0344234913598205E-2</v>
      </c>
      <c r="L77" s="26"/>
      <c r="M77" s="26">
        <f>SUMPRODUCT(M66:M76,$R$66:$R$76)</f>
        <v>3.8830355767590057E-4</v>
      </c>
      <c r="N77" s="26">
        <f>SUMPRODUCT(N66:N76,$R$66:$R$76)</f>
        <v>3.7109353888511019E-2</v>
      </c>
      <c r="O77" s="26">
        <f>SUMPRODUCT(O66:O76,$R$66:$R$76)</f>
        <v>6.6698711980848393E-3</v>
      </c>
      <c r="P77" s="26">
        <f>SUMPRODUCT(P66:P76,R66:R76)</f>
        <v>9.8557309859642929E-3</v>
      </c>
      <c r="Q77" s="26">
        <f>SUMPRODUCT(Q66:Q76,$R$66:$R$76)</f>
        <v>6.3583195491370703E-3</v>
      </c>
      <c r="R77" s="144"/>
    </row>
    <row r="78" spans="1:18" x14ac:dyDescent="0.35">
      <c r="A78" s="21" t="s">
        <v>365</v>
      </c>
      <c r="B78" s="16" t="s">
        <v>168</v>
      </c>
      <c r="C78" s="16" t="s">
        <v>366</v>
      </c>
      <c r="D78" s="22" t="s">
        <v>39</v>
      </c>
      <c r="E78" s="22" t="s">
        <v>89</v>
      </c>
      <c r="F78" s="141">
        <f t="shared" ref="F78:F88" si="7">SUM(G78:Q78)</f>
        <v>0.21010835271971048</v>
      </c>
      <c r="G78" s="77">
        <v>7.7894511100415106E-2</v>
      </c>
      <c r="H78" s="13">
        <v>2.7E-2</v>
      </c>
      <c r="I78" s="15">
        <v>0</v>
      </c>
      <c r="J78" s="13"/>
      <c r="K78" s="77">
        <v>4.6073379627412502E-2</v>
      </c>
      <c r="L78" s="13">
        <v>0</v>
      </c>
      <c r="M78" s="13">
        <v>0</v>
      </c>
      <c r="N78" s="77">
        <v>4.0589126687164002E-2</v>
      </c>
      <c r="O78" s="13">
        <v>1.8551335304718902E-2</v>
      </c>
      <c r="P78" s="13"/>
      <c r="R78" s="143">
        <f>'Parameters, country spec'!H15</f>
        <v>8.7634739536272627E-2</v>
      </c>
    </row>
    <row r="79" spans="1:18" x14ac:dyDescent="0.35">
      <c r="A79" s="21" t="s">
        <v>367</v>
      </c>
      <c r="B79" s="16" t="s">
        <v>170</v>
      </c>
      <c r="C79" s="16" t="s">
        <v>366</v>
      </c>
      <c r="D79" s="22" t="s">
        <v>39</v>
      </c>
      <c r="E79" s="22" t="s">
        <v>89</v>
      </c>
      <c r="F79" s="141">
        <f t="shared" si="7"/>
        <v>0.13129895998357821</v>
      </c>
      <c r="G79" s="77">
        <v>4.51070489112637E-2</v>
      </c>
      <c r="H79" s="13">
        <v>2.7E-2</v>
      </c>
      <c r="I79" s="15">
        <v>0</v>
      </c>
      <c r="J79" s="13"/>
      <c r="K79" s="77">
        <v>1.5833253348974698E-2</v>
      </c>
      <c r="L79" s="13">
        <v>0</v>
      </c>
      <c r="M79" s="13">
        <v>2.7675134446790901E-3</v>
      </c>
      <c r="N79" s="77">
        <v>4.0589126687164002E-2</v>
      </c>
      <c r="O79" s="13">
        <v>2.01759149672033E-6</v>
      </c>
      <c r="P79" s="13"/>
      <c r="R79" s="143">
        <f>'Parameters, country spec'!H16</f>
        <v>0.57303226549823605</v>
      </c>
    </row>
    <row r="80" spans="1:18" x14ac:dyDescent="0.35">
      <c r="A80" s="21" t="s">
        <v>368</v>
      </c>
      <c r="B80" s="16" t="s">
        <v>171</v>
      </c>
      <c r="C80" s="16" t="s">
        <v>366</v>
      </c>
      <c r="D80" s="22" t="s">
        <v>39</v>
      </c>
      <c r="E80" s="22" t="s">
        <v>89</v>
      </c>
      <c r="F80" s="141">
        <f t="shared" si="7"/>
        <v>0.25293210451323705</v>
      </c>
      <c r="G80" s="77">
        <v>0.104941269604442</v>
      </c>
      <c r="H80" s="13">
        <v>2.7E-2</v>
      </c>
      <c r="I80" s="15">
        <v>0</v>
      </c>
      <c r="J80" s="13"/>
      <c r="K80" s="77">
        <v>7.8306768726079806E-2</v>
      </c>
      <c r="L80" s="13">
        <v>0</v>
      </c>
      <c r="M80" s="13">
        <v>0</v>
      </c>
      <c r="N80" s="77">
        <v>4.0589126687164002E-2</v>
      </c>
      <c r="O80" s="13">
        <v>2.0949394955512199E-3</v>
      </c>
      <c r="P80" s="13"/>
      <c r="R80" s="143">
        <f>'Parameters, country spec'!H17</f>
        <v>1.8199416246980429E-2</v>
      </c>
    </row>
    <row r="81" spans="1:18" x14ac:dyDescent="0.35">
      <c r="A81" s="21" t="s">
        <v>369</v>
      </c>
      <c r="B81" s="16" t="s">
        <v>172</v>
      </c>
      <c r="C81" s="16" t="s">
        <v>366</v>
      </c>
      <c r="D81" s="22" t="s">
        <v>39</v>
      </c>
      <c r="E81" s="22" t="s">
        <v>89</v>
      </c>
      <c r="F81" s="141">
        <f t="shared" si="7"/>
        <v>0.23098021053624562</v>
      </c>
      <c r="G81" s="77">
        <v>0.10252301427971</v>
      </c>
      <c r="H81" s="13">
        <v>2.7E-2</v>
      </c>
      <c r="I81" s="13">
        <v>0</v>
      </c>
      <c r="J81" s="13"/>
      <c r="K81" s="77">
        <v>6.0000014967912497E-2</v>
      </c>
      <c r="L81" s="13">
        <v>0</v>
      </c>
      <c r="M81" s="13">
        <v>8.5266518907149398E-4</v>
      </c>
      <c r="N81" s="77">
        <v>4.0589126687164002E-2</v>
      </c>
      <c r="O81" s="13">
        <v>1.5389412387661699E-5</v>
      </c>
      <c r="P81" s="13"/>
      <c r="R81" s="143">
        <f>'Parameters, country spec'!H18</f>
        <v>1.4500630224108489E-3</v>
      </c>
    </row>
    <row r="82" spans="1:18" x14ac:dyDescent="0.35">
      <c r="A82" s="21" t="s">
        <v>370</v>
      </c>
      <c r="B82" s="16" t="s">
        <v>173</v>
      </c>
      <c r="C82" s="16" t="s">
        <v>366</v>
      </c>
      <c r="D82" s="22" t="s">
        <v>39</v>
      </c>
      <c r="E82" s="22" t="s">
        <v>89</v>
      </c>
      <c r="F82" s="141">
        <f t="shared" si="7"/>
        <v>0.25729159901647192</v>
      </c>
      <c r="G82" s="77">
        <v>0.137735454905831</v>
      </c>
      <c r="H82" s="13">
        <v>2.7E-2</v>
      </c>
      <c r="I82" s="13">
        <v>0</v>
      </c>
      <c r="J82" s="13"/>
      <c r="K82" s="77">
        <v>5.0052455127204597E-2</v>
      </c>
      <c r="L82" s="13">
        <v>0</v>
      </c>
      <c r="M82" s="13">
        <v>6.8496619331236098E-4</v>
      </c>
      <c r="N82" s="77">
        <v>4.0589126687164002E-2</v>
      </c>
      <c r="O82" s="13">
        <v>1.2295961029599499E-3</v>
      </c>
      <c r="P82" s="13"/>
      <c r="R82" s="143">
        <f>'Parameters, country spec'!H19</f>
        <v>8.3008572023096597E-2</v>
      </c>
    </row>
    <row r="83" spans="1:18" x14ac:dyDescent="0.35">
      <c r="A83" s="21" t="s">
        <v>371</v>
      </c>
      <c r="B83" s="16" t="s">
        <v>174</v>
      </c>
      <c r="C83" s="16" t="s">
        <v>372</v>
      </c>
      <c r="D83" s="22" t="s">
        <v>39</v>
      </c>
      <c r="E83" s="22" t="s">
        <v>89</v>
      </c>
      <c r="F83" s="141">
        <f t="shared" si="7"/>
        <v>0.27382788366606919</v>
      </c>
      <c r="G83" s="77">
        <v>0</v>
      </c>
      <c r="H83" s="13">
        <v>2.7E-2</v>
      </c>
      <c r="I83" s="15">
        <v>0</v>
      </c>
      <c r="J83" s="13"/>
      <c r="K83" s="77">
        <v>6.2984260482655693E-2</v>
      </c>
      <c r="L83" s="15">
        <v>0</v>
      </c>
      <c r="M83" s="13">
        <v>1.02082282460499E-4</v>
      </c>
      <c r="N83" s="77">
        <v>4.0589126687164002E-2</v>
      </c>
      <c r="O83" s="13">
        <v>0.14315241421378899</v>
      </c>
      <c r="P83" s="13"/>
      <c r="R83" s="143">
        <f>'Parameters, country spec'!H20</f>
        <v>1.927136550134527E-3</v>
      </c>
    </row>
    <row r="84" spans="1:18" x14ac:dyDescent="0.35">
      <c r="A84" s="21" t="s">
        <v>373</v>
      </c>
      <c r="B84" s="16" t="s">
        <v>175</v>
      </c>
      <c r="C84" s="16" t="s">
        <v>372</v>
      </c>
      <c r="D84" s="22" t="s">
        <v>39</v>
      </c>
      <c r="E84" s="22" t="s">
        <v>89</v>
      </c>
      <c r="F84" s="141">
        <f t="shared" si="7"/>
        <v>0.42216039934343069</v>
      </c>
      <c r="G84" s="77">
        <v>3.5018880441687302E-3</v>
      </c>
      <c r="H84" s="13">
        <v>2.7E-2</v>
      </c>
      <c r="I84" s="15">
        <v>0</v>
      </c>
      <c r="J84" s="13"/>
      <c r="K84" s="77">
        <v>8.9239015209009995E-2</v>
      </c>
      <c r="L84" s="13">
        <v>0</v>
      </c>
      <c r="M84" s="13">
        <v>1.4196643495394999E-4</v>
      </c>
      <c r="N84" s="77">
        <v>4.0589126687164002E-2</v>
      </c>
      <c r="O84" s="13">
        <v>0.261688402968134</v>
      </c>
      <c r="P84" s="13"/>
      <c r="R84" s="143">
        <f>'Parameters, country spec'!H21</f>
        <v>1.8930831597192171E-3</v>
      </c>
    </row>
    <row r="85" spans="1:18" x14ac:dyDescent="0.35">
      <c r="B85" s="17" t="s">
        <v>177</v>
      </c>
      <c r="C85" s="16" t="s">
        <v>374</v>
      </c>
      <c r="D85" s="22" t="s">
        <v>450</v>
      </c>
      <c r="E85" s="22"/>
      <c r="F85" s="111">
        <f t="shared" si="7"/>
        <v>0.27085685084992916</v>
      </c>
      <c r="G85" s="19">
        <f>'Off-farm feed'!$F$74</f>
        <v>0.11176753125767681</v>
      </c>
      <c r="H85" s="19">
        <f>'Off-farm feed'!$G$74</f>
        <v>1.3034482758620692E-2</v>
      </c>
      <c r="I85" s="19">
        <f>'Off-farm feed'!$H$74</f>
        <v>0</v>
      </c>
      <c r="J85" s="19"/>
      <c r="K85" s="19">
        <f>'Off-farm feed'!$J$74</f>
        <v>2.4688740026345454E-2</v>
      </c>
      <c r="L85" s="19"/>
      <c r="M85" s="237">
        <f>'Off-farm feed'!$L$74</f>
        <v>1.931759303794134E-4</v>
      </c>
      <c r="N85" s="19">
        <f>'Off-farm feed'!$M$74</f>
        <v>3.6802128767029069E-2</v>
      </c>
      <c r="O85" s="19">
        <f>'Off-farm feed'!$N$74</f>
        <v>0</v>
      </c>
      <c r="P85" s="19">
        <f>'Off-farm feed'!$O$74</f>
        <v>2.1170792109877701E-2</v>
      </c>
      <c r="Q85" s="19">
        <f>'Off-farm feed'!$P$74</f>
        <v>6.3200000000000006E-2</v>
      </c>
      <c r="R85" s="143">
        <f>'Parameters, country spec'!H22</f>
        <v>3.2461288333790871E-3</v>
      </c>
    </row>
    <row r="86" spans="1:18" x14ac:dyDescent="0.35">
      <c r="B86" s="17" t="s">
        <v>375</v>
      </c>
      <c r="C86" s="16" t="s">
        <v>374</v>
      </c>
      <c r="D86" s="22" t="s">
        <v>426</v>
      </c>
      <c r="E86" s="22"/>
      <c r="F86" s="111">
        <f t="shared" si="7"/>
        <v>0.7061171705997602</v>
      </c>
      <c r="G86" s="19">
        <f>'Off-farm feed'!$F$23</f>
        <v>7.2632670993098931E-3</v>
      </c>
      <c r="H86" s="19">
        <f>'Off-farm feed'!$G$23</f>
        <v>2.1402439024390246E-2</v>
      </c>
      <c r="I86" s="19">
        <f>'Off-farm feed'!$H$23</f>
        <v>0</v>
      </c>
      <c r="J86" s="19"/>
      <c r="K86" s="19">
        <f>'Off-farm feed'!$J$23</f>
        <v>4.308361966433235E-2</v>
      </c>
      <c r="L86" s="19"/>
      <c r="M86" s="237">
        <f>'Off-farm feed'!$L$23</f>
        <v>1.7842060425123844E-4</v>
      </c>
      <c r="N86" s="19">
        <f>'Off-farm feed'!$M$23</f>
        <v>3.0432604948959403E-2</v>
      </c>
      <c r="O86" s="19">
        <f>'Off-farm feed'!$N$23</f>
        <v>0.31761120248475611</v>
      </c>
      <c r="P86" s="19">
        <f>'Off-farm feed'!$O$23</f>
        <v>3.5145616773760872E-2</v>
      </c>
      <c r="Q86" s="19">
        <f>'Off-farm feed'!$P$23</f>
        <v>0.251</v>
      </c>
      <c r="R86" s="143">
        <f>'Parameters, country spec'!H23</f>
        <v>8.0143174333338049E-2</v>
      </c>
    </row>
    <row r="87" spans="1:18" x14ac:dyDescent="0.35">
      <c r="B87" s="16" t="s">
        <v>181</v>
      </c>
      <c r="C87" s="16" t="s">
        <v>376</v>
      </c>
      <c r="D87" s="22" t="s">
        <v>39</v>
      </c>
      <c r="E87" s="22" t="s">
        <v>89</v>
      </c>
      <c r="F87" s="111">
        <f t="shared" si="7"/>
        <v>0.48727386522204608</v>
      </c>
      <c r="G87" s="77">
        <v>1.23961909415248E-2</v>
      </c>
      <c r="H87" s="15">
        <v>2.4299999999999999E-3</v>
      </c>
      <c r="K87" s="15">
        <v>4.5047209614484203E-3</v>
      </c>
      <c r="L87">
        <v>0</v>
      </c>
      <c r="M87">
        <v>6.1646957398112502E-5</v>
      </c>
      <c r="N87">
        <v>3.6530214018447599E-3</v>
      </c>
      <c r="O87">
        <v>1.10663649266396E-4</v>
      </c>
      <c r="P87" s="15">
        <v>0.429390280461106</v>
      </c>
      <c r="Q87" s="15">
        <v>3.4727340849457597E-2</v>
      </c>
      <c r="R87" s="143">
        <f>'Parameters, country spec'!H24</f>
        <v>8.4604092546848059E-2</v>
      </c>
    </row>
    <row r="88" spans="1:18" x14ac:dyDescent="0.35">
      <c r="A88" s="80"/>
      <c r="B88" s="16" t="s">
        <v>377</v>
      </c>
      <c r="C88" s="81" t="s">
        <v>378</v>
      </c>
      <c r="D88" s="22" t="s">
        <v>39</v>
      </c>
      <c r="E88" s="22" t="s">
        <v>89</v>
      </c>
      <c r="F88" s="156">
        <f t="shared" si="7"/>
        <v>0.1823013138634445</v>
      </c>
      <c r="G88" s="78">
        <f>AVERAGE(G78:G86)</f>
        <v>6.5637109466979704E-2</v>
      </c>
      <c r="H88" s="78">
        <f>AVERAGE(H78:H86)</f>
        <v>2.4826324642556769E-2</v>
      </c>
      <c r="I88" s="78">
        <f>AVERAGE(I78:I86)</f>
        <v>0</v>
      </c>
      <c r="J88" s="78"/>
      <c r="K88" s="78">
        <f>AVERAGE(K78:K86)</f>
        <v>5.2251278575547511E-2</v>
      </c>
      <c r="L88" s="78"/>
      <c r="M88" s="78">
        <f>AVERAGE(M78:M86)</f>
        <v>5.4675445323422748E-4</v>
      </c>
      <c r="N88" s="78">
        <f>AVERAGE(N78:N86)</f>
        <v>3.9039846725126268E-2</v>
      </c>
      <c r="O88" s="78"/>
      <c r="P88" s="78"/>
      <c r="Q88" s="78"/>
      <c r="R88" s="143">
        <f>'Parameters, country spec'!H25</f>
        <v>6.4861328249584266E-2</v>
      </c>
    </row>
    <row r="89" spans="1:18" x14ac:dyDescent="0.35">
      <c r="A89" s="142"/>
      <c r="B89" s="24" t="s">
        <v>379</v>
      </c>
      <c r="C89" s="25"/>
      <c r="D89" s="99"/>
      <c r="E89" s="99"/>
      <c r="F89" s="26">
        <f>SUMPRODUCT(F78:F88,$R$78:$R$88)</f>
        <v>0.23179315675419629</v>
      </c>
      <c r="G89" s="26">
        <f>SUMPRODUCT(G78:G88,$R$78:$R$88)</f>
        <v>5.2423438767448143E-2</v>
      </c>
      <c r="H89" s="26">
        <f>SUMPRODUCT(H78:H88,$R$78:$R$88)</f>
        <v>2.4286349801956701E-2</v>
      </c>
      <c r="I89" s="26">
        <f>SUMPRODUCT(I78:I88,$R$78:$R$88)</f>
        <v>0</v>
      </c>
      <c r="J89" s="26"/>
      <c r="K89" s="26">
        <f>SUMPRODUCT(K78:K88,$R$78:$R$88)</f>
        <v>2.6371039948524737E-2</v>
      </c>
      <c r="L89" s="26"/>
      <c r="M89" s="26">
        <f>SUMPRODUCT(M78:M88,$R$78:$R$88)</f>
        <v>1.7000395361190931E-3</v>
      </c>
      <c r="N89" s="26">
        <f>SUMPRODUCT(N78:N88,$R$78:$R$88)</f>
        <v>3.6537423685690712E-2</v>
      </c>
      <c r="O89" s="26">
        <f>SUMPRODUCT(O78:O88,$R$78:$R$88)</f>
        <v>2.8002118317692028E-2</v>
      </c>
      <c r="P89" s="26">
        <f>SUMPRODUCT(P78:P88,R78:R88)</f>
        <v>3.9213579437694011E-2</v>
      </c>
      <c r="Q89" s="26">
        <f>SUMPRODUCT(Q78:Q88,$R$78:$R$88)</f>
        <v>2.3259167259070856E-2</v>
      </c>
      <c r="R89" s="144"/>
    </row>
    <row r="90" spans="1:18" x14ac:dyDescent="0.35">
      <c r="A90" s="21" t="s">
        <v>365</v>
      </c>
      <c r="B90" s="16" t="s">
        <v>168</v>
      </c>
      <c r="C90" s="16" t="s">
        <v>366</v>
      </c>
      <c r="D90" s="22" t="s">
        <v>32</v>
      </c>
      <c r="E90" s="22" t="s">
        <v>90</v>
      </c>
      <c r="F90" s="141">
        <f t="shared" ref="F90:F100" si="8">SUM(G90:Q90)</f>
        <v>0.1431111373616365</v>
      </c>
      <c r="G90" s="77">
        <v>4.4406099320232699E-2</v>
      </c>
      <c r="H90" s="13">
        <v>2.7E-2</v>
      </c>
      <c r="I90" s="15">
        <v>0</v>
      </c>
      <c r="J90" s="13"/>
      <c r="K90" s="77">
        <v>2.8739432176656199E-2</v>
      </c>
      <c r="L90" s="13">
        <v>0</v>
      </c>
      <c r="M90" s="13">
        <v>1.36800051961635E-6</v>
      </c>
      <c r="N90" s="77">
        <v>4.2964237864227997E-2</v>
      </c>
      <c r="O90" s="13">
        <v>0</v>
      </c>
      <c r="P90" s="13"/>
      <c r="R90" s="143">
        <f>'Parameters, country spec'!I15</f>
        <v>9.5526549752842554E-2</v>
      </c>
    </row>
    <row r="91" spans="1:18" x14ac:dyDescent="0.35">
      <c r="A91" s="21" t="s">
        <v>367</v>
      </c>
      <c r="B91" s="16" t="s">
        <v>170</v>
      </c>
      <c r="C91" s="16" t="s">
        <v>366</v>
      </c>
      <c r="D91" s="22" t="s">
        <v>32</v>
      </c>
      <c r="E91" s="22" t="s">
        <v>90</v>
      </c>
      <c r="F91" s="141">
        <f t="shared" si="8"/>
        <v>0.13349668018929536</v>
      </c>
      <c r="G91" s="77">
        <v>4.5357172887487598E-2</v>
      </c>
      <c r="H91" s="13">
        <v>2.7E-2</v>
      </c>
      <c r="I91" s="15">
        <v>0</v>
      </c>
      <c r="J91" s="13"/>
      <c r="K91" s="77">
        <v>1.7420638404206799E-2</v>
      </c>
      <c r="L91" s="13">
        <v>0</v>
      </c>
      <c r="M91" s="13">
        <v>7.5463103337298197E-4</v>
      </c>
      <c r="N91" s="77">
        <v>4.2964237864227997E-2</v>
      </c>
      <c r="O91" s="13">
        <v>0</v>
      </c>
      <c r="P91" s="13"/>
      <c r="R91" s="143">
        <f>'Parameters, country spec'!I16</f>
        <v>0.28688514594124209</v>
      </c>
    </row>
    <row r="92" spans="1:18" x14ac:dyDescent="0.35">
      <c r="A92" s="21" t="s">
        <v>368</v>
      </c>
      <c r="B92" s="16" t="s">
        <v>171</v>
      </c>
      <c r="C92" s="16" t="s">
        <v>366</v>
      </c>
      <c r="D92" s="22" t="s">
        <v>32</v>
      </c>
      <c r="E92" s="22" t="s">
        <v>90</v>
      </c>
      <c r="F92" s="141">
        <f t="shared" si="8"/>
        <v>0.15534923816677168</v>
      </c>
      <c r="G92" s="77">
        <v>4.6682126200482899E-2</v>
      </c>
      <c r="H92" s="13">
        <v>2.7E-2</v>
      </c>
      <c r="I92" s="15">
        <v>0</v>
      </c>
      <c r="J92" s="13"/>
      <c r="K92" s="77">
        <v>3.8115003201796303E-2</v>
      </c>
      <c r="L92" s="13">
        <v>0</v>
      </c>
      <c r="M92" s="13">
        <v>5.8787090026448405E-4</v>
      </c>
      <c r="N92" s="77">
        <v>4.2964237864227997E-2</v>
      </c>
      <c r="O92" s="13">
        <v>0</v>
      </c>
      <c r="P92" s="13"/>
      <c r="R92" s="143">
        <f>'Parameters, country spec'!I17</f>
        <v>3.1378297013894309E-3</v>
      </c>
    </row>
    <row r="93" spans="1:18" x14ac:dyDescent="0.35">
      <c r="A93" s="21" t="s">
        <v>369</v>
      </c>
      <c r="B93" s="16" t="s">
        <v>172</v>
      </c>
      <c r="C93" s="16" t="s">
        <v>366</v>
      </c>
      <c r="D93" s="22" t="s">
        <v>32</v>
      </c>
      <c r="E93" s="22" t="s">
        <v>90</v>
      </c>
      <c r="F93" s="141">
        <f t="shared" si="8"/>
        <v>0.20760760089613001</v>
      </c>
      <c r="G93" s="77">
        <v>8.3910600877136393E-2</v>
      </c>
      <c r="H93" s="13">
        <v>2.7E-2</v>
      </c>
      <c r="I93" s="13">
        <v>0</v>
      </c>
      <c r="J93" s="13"/>
      <c r="K93" s="77">
        <v>5.37327621547656E-2</v>
      </c>
      <c r="L93" s="13">
        <v>0</v>
      </c>
      <c r="M93" s="13">
        <v>0</v>
      </c>
      <c r="N93" s="77">
        <v>4.2964237864227997E-2</v>
      </c>
      <c r="O93" s="13">
        <v>0</v>
      </c>
      <c r="P93" s="13"/>
      <c r="R93" s="143">
        <f>'Parameters, country spec'!I18</f>
        <v>1.180760891727785E-2</v>
      </c>
    </row>
    <row r="94" spans="1:18" x14ac:dyDescent="0.35">
      <c r="A94" s="21" t="s">
        <v>370</v>
      </c>
      <c r="B94" s="16" t="s">
        <v>173</v>
      </c>
      <c r="C94" s="16" t="s">
        <v>366</v>
      </c>
      <c r="D94" s="22" t="s">
        <v>32</v>
      </c>
      <c r="E94" s="22" t="s">
        <v>90</v>
      </c>
      <c r="F94" s="141">
        <f t="shared" si="8"/>
        <v>0.15163483331060859</v>
      </c>
      <c r="G94" s="77">
        <v>5.8435336021816997E-2</v>
      </c>
      <c r="H94" s="13">
        <v>2.7E-2</v>
      </c>
      <c r="I94" s="13">
        <v>0</v>
      </c>
      <c r="J94" s="13"/>
      <c r="K94" s="77">
        <v>2.3235259424563601E-2</v>
      </c>
      <c r="L94" s="13">
        <v>0</v>
      </c>
      <c r="M94" s="13">
        <v>0</v>
      </c>
      <c r="N94" s="77">
        <v>4.2964237864227997E-2</v>
      </c>
      <c r="O94" s="13">
        <v>0</v>
      </c>
      <c r="P94" s="13"/>
      <c r="R94" s="143">
        <f>'Parameters, country spec'!I19</f>
        <v>0.32323260195937931</v>
      </c>
    </row>
    <row r="95" spans="1:18" x14ac:dyDescent="0.35">
      <c r="A95" s="21" t="s">
        <v>371</v>
      </c>
      <c r="B95" s="16" t="s">
        <v>174</v>
      </c>
      <c r="C95" s="16" t="s">
        <v>372</v>
      </c>
      <c r="D95" s="22" t="s">
        <v>32</v>
      </c>
      <c r="E95" s="22" t="s">
        <v>90</v>
      </c>
      <c r="F95" s="141">
        <f t="shared" si="8"/>
        <v>0.14636810260852107</v>
      </c>
      <c r="G95" s="77">
        <v>0</v>
      </c>
      <c r="H95" s="13">
        <v>2.7E-2</v>
      </c>
      <c r="I95" s="15">
        <v>0</v>
      </c>
      <c r="J95" s="13"/>
      <c r="K95" s="77">
        <v>5.9912817690818299E-2</v>
      </c>
      <c r="L95" s="15">
        <v>0</v>
      </c>
      <c r="M95" s="13">
        <v>4.6529167754077701E-3</v>
      </c>
      <c r="N95" s="77">
        <v>3.4771853907349999E-2</v>
      </c>
      <c r="O95" s="13">
        <v>2.0030514234945E-2</v>
      </c>
      <c r="P95" s="13"/>
      <c r="R95" s="143">
        <f>'Parameters, country spec'!I20</f>
        <v>0</v>
      </c>
    </row>
    <row r="96" spans="1:18" x14ac:dyDescent="0.35">
      <c r="A96" s="21" t="s">
        <v>373</v>
      </c>
      <c r="B96" s="16" t="s">
        <v>175</v>
      </c>
      <c r="C96" s="16" t="s">
        <v>372</v>
      </c>
      <c r="D96" s="22" t="s">
        <v>32</v>
      </c>
      <c r="E96" s="22" t="s">
        <v>90</v>
      </c>
      <c r="F96" s="141">
        <f t="shared" si="8"/>
        <v>0.12189748854700576</v>
      </c>
      <c r="G96" s="77">
        <v>1.7980343901417999E-3</v>
      </c>
      <c r="H96" s="13">
        <v>2.7E-2</v>
      </c>
      <c r="I96" s="15">
        <v>0</v>
      </c>
      <c r="J96" s="13"/>
      <c r="K96" s="77">
        <v>5.0135211150169098E-2</v>
      </c>
      <c r="L96" s="13">
        <v>0</v>
      </c>
      <c r="M96" s="13">
        <v>5.1424668685509601E-9</v>
      </c>
      <c r="N96" s="77">
        <v>4.2964237864227997E-2</v>
      </c>
      <c r="O96" s="13">
        <v>0</v>
      </c>
      <c r="P96" s="13"/>
      <c r="R96" s="143">
        <f>'Parameters, country spec'!I21</f>
        <v>0</v>
      </c>
    </row>
    <row r="97" spans="1:19" x14ac:dyDescent="0.35">
      <c r="B97" s="17" t="s">
        <v>177</v>
      </c>
      <c r="C97" s="16" t="s">
        <v>374</v>
      </c>
      <c r="D97" s="22" t="s">
        <v>450</v>
      </c>
      <c r="E97" s="22"/>
      <c r="F97" s="111">
        <f t="shared" si="8"/>
        <v>0.27085685084992916</v>
      </c>
      <c r="G97" s="19">
        <f>'Off-farm feed'!$F$74</f>
        <v>0.11176753125767681</v>
      </c>
      <c r="H97" s="19">
        <f>'Off-farm feed'!$G$74</f>
        <v>1.3034482758620692E-2</v>
      </c>
      <c r="I97" s="19">
        <f>'Off-farm feed'!$H$74</f>
        <v>0</v>
      </c>
      <c r="J97" s="19"/>
      <c r="K97" s="19">
        <f>'Off-farm feed'!$J$74</f>
        <v>2.4688740026345454E-2</v>
      </c>
      <c r="L97" s="19"/>
      <c r="M97" s="237">
        <f>'Off-farm feed'!$L$74</f>
        <v>1.931759303794134E-4</v>
      </c>
      <c r="N97" s="19">
        <f>'Off-farm feed'!$M$74</f>
        <v>3.6802128767029069E-2</v>
      </c>
      <c r="O97" s="19">
        <f>'Off-farm feed'!$N$74</f>
        <v>0</v>
      </c>
      <c r="P97" s="19">
        <f>'Off-farm feed'!$O$74</f>
        <v>2.1170792109877701E-2</v>
      </c>
      <c r="Q97" s="19">
        <f>'Off-farm feed'!$P$74</f>
        <v>6.3200000000000006E-2</v>
      </c>
      <c r="R97" s="143">
        <f>'Parameters, country spec'!I22</f>
        <v>5.2461984284283551E-2</v>
      </c>
    </row>
    <row r="98" spans="1:19" x14ac:dyDescent="0.35">
      <c r="B98" s="17" t="s">
        <v>375</v>
      </c>
      <c r="C98" s="16" t="s">
        <v>374</v>
      </c>
      <c r="D98" s="22" t="s">
        <v>426</v>
      </c>
      <c r="E98" s="22"/>
      <c r="F98" s="111">
        <f t="shared" si="8"/>
        <v>0.7061171705997602</v>
      </c>
      <c r="G98" s="19">
        <f>'Off-farm feed'!$F$23</f>
        <v>7.2632670993098931E-3</v>
      </c>
      <c r="H98" s="19">
        <f>'Off-farm feed'!$G$23</f>
        <v>2.1402439024390246E-2</v>
      </c>
      <c r="I98" s="19">
        <f>'Off-farm feed'!$H$23</f>
        <v>0</v>
      </c>
      <c r="J98" s="19"/>
      <c r="K98" s="19">
        <f>'Off-farm feed'!$J$23</f>
        <v>4.308361966433235E-2</v>
      </c>
      <c r="L98" s="19"/>
      <c r="M98" s="237">
        <f>'Off-farm feed'!$L$23</f>
        <v>1.7842060425123844E-4</v>
      </c>
      <c r="N98" s="19">
        <f>'Off-farm feed'!$M$23</f>
        <v>3.0432604948959403E-2</v>
      </c>
      <c r="O98" s="19">
        <f>'Off-farm feed'!$N$23</f>
        <v>0.31761120248475611</v>
      </c>
      <c r="P98" s="19">
        <f>'Off-farm feed'!$O$23</f>
        <v>3.5145616773760872E-2</v>
      </c>
      <c r="Q98" s="19">
        <f>'Off-farm feed'!$P$23</f>
        <v>0.251</v>
      </c>
      <c r="R98" s="143">
        <f>'Parameters, country spec'!I23</f>
        <v>6.7752088819631406E-2</v>
      </c>
    </row>
    <row r="99" spans="1:19" x14ac:dyDescent="0.35">
      <c r="B99" s="16" t="s">
        <v>181</v>
      </c>
      <c r="C99" s="16" t="s">
        <v>376</v>
      </c>
      <c r="D99" s="22" t="s">
        <v>32</v>
      </c>
      <c r="E99" s="22" t="s">
        <v>90</v>
      </c>
      <c r="F99" s="111">
        <f t="shared" si="8"/>
        <v>0.55092795580500509</v>
      </c>
      <c r="G99" s="77">
        <v>5.2591802419635304E-3</v>
      </c>
      <c r="H99" s="15">
        <v>2.4299999999999999E-3</v>
      </c>
      <c r="I99" s="15"/>
      <c r="J99" s="13"/>
      <c r="K99" s="77">
        <v>2.0911733482107302E-3</v>
      </c>
      <c r="L99" s="13">
        <v>0</v>
      </c>
      <c r="M99" s="13">
        <v>0</v>
      </c>
      <c r="N99" s="77">
        <v>3.86678140778052E-3</v>
      </c>
      <c r="O99" s="13">
        <v>0</v>
      </c>
      <c r="P99" s="15">
        <v>0.52550926010708199</v>
      </c>
      <c r="Q99" s="15">
        <v>1.1771560699968301E-2</v>
      </c>
      <c r="R99" s="143">
        <f>'Parameters, country spec'!I24</f>
        <v>7.382094479672017E-3</v>
      </c>
      <c r="S99" t="s">
        <v>475</v>
      </c>
    </row>
    <row r="100" spans="1:19" x14ac:dyDescent="0.35">
      <c r="A100" s="80"/>
      <c r="B100" s="16" t="s">
        <v>377</v>
      </c>
      <c r="C100" s="81" t="s">
        <v>378</v>
      </c>
      <c r="D100" s="22" t="s">
        <v>32</v>
      </c>
      <c r="E100" s="22" t="s">
        <v>90</v>
      </c>
      <c r="F100" s="156">
        <f t="shared" si="8"/>
        <v>0.14758677521403538</v>
      </c>
      <c r="G100" s="78">
        <f>AVERAGE(G90:G98)</f>
        <v>4.4402240894920571E-2</v>
      </c>
      <c r="H100" s="78">
        <f>AVERAGE(H90:H98)</f>
        <v>2.4826324642556769E-2</v>
      </c>
      <c r="I100" s="78">
        <f>AVERAGE(I90:I98)</f>
        <v>0</v>
      </c>
      <c r="J100" s="78"/>
      <c r="K100" s="78">
        <f>AVERAGE(K90:K98)</f>
        <v>3.7673720432628191E-2</v>
      </c>
      <c r="L100" s="78"/>
      <c r="M100" s="78">
        <f>AVERAGE(M90:M98)</f>
        <v>7.0759870962915257E-4</v>
      </c>
      <c r="N100" s="78">
        <f>AVERAGE(N90:N98)</f>
        <v>3.9976890534300709E-2</v>
      </c>
      <c r="O100" s="78"/>
      <c r="P100" s="78"/>
      <c r="Q100" s="78"/>
      <c r="R100" s="143">
        <f>'Parameters, country spec'!I25</f>
        <v>0.15181409614428171</v>
      </c>
    </row>
    <row r="101" spans="1:19" x14ac:dyDescent="0.35">
      <c r="A101" s="142"/>
      <c r="B101" s="24" t="s">
        <v>379</v>
      </c>
      <c r="C101" s="25"/>
      <c r="D101" s="99"/>
      <c r="E101" s="99"/>
      <c r="F101" s="26">
        <f>SUMPRODUCT(F90:F100,$R$90:$R$100)</f>
        <v>0.19244461450938255</v>
      </c>
      <c r="G101" s="26">
        <f>SUMPRODUCT(G90:G100,$R$90:$R$100)</f>
        <v>5.0415088268983763E-2</v>
      </c>
      <c r="H101" s="26">
        <f>SUMPRODUCT(H90:H100,$R$90:$R$100)</f>
        <v>2.5376722184501165E-2</v>
      </c>
      <c r="I101" s="26">
        <f>SUMPRODUCT(I90:I100,$R$90:$R$100)</f>
        <v>0</v>
      </c>
      <c r="J101" s="26"/>
      <c r="K101" s="26">
        <f>SUMPRODUCT(K90:K100,$R$90:$R$100)</f>
        <v>2.5956612952890513E-2</v>
      </c>
      <c r="L101" s="26"/>
      <c r="M101" s="26">
        <f>SUMPRODUCT(M90:M100,$R$90:$R$100)</f>
        <v>3.4811397306748845E-4</v>
      </c>
      <c r="N101" s="26">
        <f>SUMPRODUCT(N90:N100,$R$90:$R$100)</f>
        <v>4.1049774535044103E-2</v>
      </c>
      <c r="O101" s="26">
        <f>SUMPRODUCT(O90:O100,$R$90:$R$100)</f>
        <v>2.1518822400857132E-2</v>
      </c>
      <c r="P101" s="26">
        <f>SUMPRODUCT(P90:P100,R90:R100)</f>
        <v>7.3712097202838275E-3</v>
      </c>
      <c r="Q101" s="26">
        <f>SUMPRODUCT(Q90:Q100,$R$90:$R$100)</f>
        <v>2.0408270473754566E-2</v>
      </c>
      <c r="R101" s="144"/>
    </row>
    <row r="102" spans="1:19" x14ac:dyDescent="0.35">
      <c r="A102" s="21" t="s">
        <v>365</v>
      </c>
      <c r="B102" s="16" t="s">
        <v>168</v>
      </c>
      <c r="C102" s="16" t="s">
        <v>366</v>
      </c>
      <c r="D102" s="22" t="s">
        <v>30</v>
      </c>
      <c r="E102" s="22" t="s">
        <v>91</v>
      </c>
      <c r="F102" s="141">
        <f t="shared" ref="F102:F112" si="9">SUM(G102:Q102)</f>
        <v>0.19778401533184728</v>
      </c>
      <c r="G102" s="77">
        <v>6.6974674658077701E-2</v>
      </c>
      <c r="H102" s="13">
        <v>2.7E-2</v>
      </c>
      <c r="I102" s="15">
        <v>0</v>
      </c>
      <c r="J102" s="13"/>
      <c r="K102" s="77">
        <v>4.479189511323E-2</v>
      </c>
      <c r="L102" s="13">
        <v>0</v>
      </c>
      <c r="M102" s="13">
        <v>9.414416162111999E-10</v>
      </c>
      <c r="N102" s="77">
        <v>5.2538621212229998E-2</v>
      </c>
      <c r="O102" s="13">
        <v>6.4788234068679897E-3</v>
      </c>
      <c r="P102" s="13"/>
      <c r="R102" s="143">
        <f>'Parameters, country spec'!J15</f>
        <v>0.2173795631525704</v>
      </c>
    </row>
    <row r="103" spans="1:19" x14ac:dyDescent="0.35">
      <c r="A103" s="21" t="s">
        <v>367</v>
      </c>
      <c r="B103" s="16" t="s">
        <v>170</v>
      </c>
      <c r="C103" s="16" t="s">
        <v>366</v>
      </c>
      <c r="D103" s="22" t="s">
        <v>30</v>
      </c>
      <c r="E103" s="22" t="s">
        <v>91</v>
      </c>
      <c r="F103" s="141">
        <f t="shared" si="9"/>
        <v>0.21676807042422677</v>
      </c>
      <c r="G103" s="77">
        <v>5.6481038667633099E-2</v>
      </c>
      <c r="H103" s="13">
        <v>2.7E-2</v>
      </c>
      <c r="I103" s="15">
        <v>0</v>
      </c>
      <c r="J103" s="13"/>
      <c r="K103" s="77">
        <v>2.24168213846326E-2</v>
      </c>
      <c r="L103" s="13">
        <v>0</v>
      </c>
      <c r="M103" s="13">
        <v>7.8565565286555606E-5</v>
      </c>
      <c r="N103" s="77">
        <v>5.2538621212229998E-2</v>
      </c>
      <c r="O103" s="13">
        <v>5.8253023594444502E-2</v>
      </c>
      <c r="P103" s="13"/>
      <c r="R103" s="143">
        <f>'Parameters, country spec'!J16</f>
        <v>0.29778613267856158</v>
      </c>
    </row>
    <row r="104" spans="1:19" x14ac:dyDescent="0.35">
      <c r="A104" s="21" t="s">
        <v>368</v>
      </c>
      <c r="B104" s="16" t="s">
        <v>171</v>
      </c>
      <c r="C104" s="16" t="s">
        <v>366</v>
      </c>
      <c r="D104" s="22" t="s">
        <v>30</v>
      </c>
      <c r="E104" s="22" t="s">
        <v>91</v>
      </c>
      <c r="F104" s="141">
        <f t="shared" si="9"/>
        <v>0.22833778477683531</v>
      </c>
      <c r="G104" s="77">
        <v>6.9247588887104E-2</v>
      </c>
      <c r="H104" s="13">
        <v>2.7E-2</v>
      </c>
      <c r="I104" s="15">
        <v>0</v>
      </c>
      <c r="J104" s="13"/>
      <c r="K104" s="77">
        <v>5.84256101167712E-2</v>
      </c>
      <c r="L104" s="13">
        <v>0</v>
      </c>
      <c r="M104" s="13">
        <v>4.1031532346544501E-9</v>
      </c>
      <c r="N104" s="77">
        <v>5.2538621212229998E-2</v>
      </c>
      <c r="O104" s="13">
        <v>2.1125960457576899E-2</v>
      </c>
      <c r="P104" s="13"/>
      <c r="R104" s="143">
        <f>'Parameters, country spec'!J17</f>
        <v>6.5103880953803588E-3</v>
      </c>
    </row>
    <row r="105" spans="1:19" x14ac:dyDescent="0.35">
      <c r="A105" s="21" t="s">
        <v>369</v>
      </c>
      <c r="B105" s="16" t="s">
        <v>172</v>
      </c>
      <c r="C105" s="16" t="s">
        <v>366</v>
      </c>
      <c r="D105" s="22" t="s">
        <v>30</v>
      </c>
      <c r="E105" s="22" t="s">
        <v>91</v>
      </c>
      <c r="F105" s="141">
        <f t="shared" si="9"/>
        <v>0.22905734672402878</v>
      </c>
      <c r="G105" s="77">
        <v>8.4491992987339795E-2</v>
      </c>
      <c r="H105" s="13">
        <v>2.7E-2</v>
      </c>
      <c r="I105" s="13">
        <v>0</v>
      </c>
      <c r="J105" s="13"/>
      <c r="K105" s="77">
        <v>5.5910214328885599E-2</v>
      </c>
      <c r="L105" s="13">
        <v>0</v>
      </c>
      <c r="M105" s="13">
        <v>3.0569525446393402E-10</v>
      </c>
      <c r="N105" s="77">
        <v>5.2538621212229998E-2</v>
      </c>
      <c r="O105" s="13">
        <v>9.1165178898781202E-3</v>
      </c>
      <c r="P105" s="13"/>
      <c r="R105" s="143">
        <f>'Parameters, country spec'!J18</f>
        <v>8.5001790646556635E-2</v>
      </c>
    </row>
    <row r="106" spans="1:19" x14ac:dyDescent="0.35">
      <c r="A106" s="21" t="s">
        <v>370</v>
      </c>
      <c r="B106" s="16" t="s">
        <v>173</v>
      </c>
      <c r="C106" s="16" t="s">
        <v>366</v>
      </c>
      <c r="D106" s="22" t="s">
        <v>30</v>
      </c>
      <c r="E106" s="22" t="s">
        <v>91</v>
      </c>
      <c r="F106" s="141">
        <f t="shared" si="9"/>
        <v>0.20938329626454633</v>
      </c>
      <c r="G106" s="77">
        <v>9.0625939340276698E-2</v>
      </c>
      <c r="H106" s="13">
        <v>2.7E-2</v>
      </c>
      <c r="I106" s="13">
        <v>0</v>
      </c>
      <c r="J106" s="13"/>
      <c r="K106" s="77">
        <v>3.7237264426631202E-2</v>
      </c>
      <c r="L106" s="13">
        <v>0</v>
      </c>
      <c r="M106" s="13">
        <v>1.8815089803987399E-10</v>
      </c>
      <c r="N106" s="77">
        <v>5.2538621212229998E-2</v>
      </c>
      <c r="O106" s="13">
        <v>1.98147109725751E-3</v>
      </c>
      <c r="P106" s="13"/>
      <c r="R106" s="143">
        <f>'Parameters, country spec'!J19</f>
        <v>0.34177560689413961</v>
      </c>
    </row>
    <row r="107" spans="1:19" x14ac:dyDescent="0.35">
      <c r="A107" s="21" t="s">
        <v>371</v>
      </c>
      <c r="B107" s="16" t="s">
        <v>174</v>
      </c>
      <c r="C107" s="16" t="s">
        <v>372</v>
      </c>
      <c r="D107" s="22" t="s">
        <v>30</v>
      </c>
      <c r="E107" s="22" t="s">
        <v>91</v>
      </c>
      <c r="F107" s="141">
        <f t="shared" si="9"/>
        <v>0.17634972946846228</v>
      </c>
      <c r="G107" s="77">
        <v>0</v>
      </c>
      <c r="H107" s="13">
        <v>2.7E-2</v>
      </c>
      <c r="I107" s="15">
        <v>0</v>
      </c>
      <c r="J107" s="13"/>
      <c r="K107" s="77">
        <v>8.3714945321992695E-2</v>
      </c>
      <c r="L107" s="15">
        <v>0</v>
      </c>
      <c r="M107" s="13">
        <v>2.4148435539825202E-6</v>
      </c>
      <c r="N107" s="77">
        <v>5.2538621212229998E-2</v>
      </c>
      <c r="O107" s="13">
        <v>1.30937480906856E-2</v>
      </c>
      <c r="P107" s="13"/>
      <c r="R107" s="143">
        <f>'Parameters, country spec'!J20</f>
        <v>8.3086315099621146E-4</v>
      </c>
    </row>
    <row r="108" spans="1:19" x14ac:dyDescent="0.35">
      <c r="A108" s="21" t="s">
        <v>373</v>
      </c>
      <c r="B108" s="16" t="s">
        <v>175</v>
      </c>
      <c r="C108" s="16" t="s">
        <v>372</v>
      </c>
      <c r="D108" s="22" t="s">
        <v>30</v>
      </c>
      <c r="E108" s="22" t="s">
        <v>91</v>
      </c>
      <c r="F108" s="141">
        <f t="shared" si="9"/>
        <v>0.18407428350603985</v>
      </c>
      <c r="G108" s="77">
        <v>2.25145992179658E-3</v>
      </c>
      <c r="H108" s="13">
        <v>2.7E-2</v>
      </c>
      <c r="I108" s="15">
        <v>0</v>
      </c>
      <c r="J108" s="13"/>
      <c r="K108" s="77">
        <v>6.48727550922827E-2</v>
      </c>
      <c r="L108" s="13">
        <v>0</v>
      </c>
      <c r="M108" s="13">
        <v>1.6757553987597499E-6</v>
      </c>
      <c r="N108" s="77">
        <v>5.2538621212229998E-2</v>
      </c>
      <c r="O108" s="13">
        <v>3.7409771524331802E-2</v>
      </c>
      <c r="P108" s="13"/>
      <c r="R108" s="143">
        <f>'Parameters, country spec'!J21</f>
        <v>8.1618141653563262E-4</v>
      </c>
    </row>
    <row r="109" spans="1:19" x14ac:dyDescent="0.35">
      <c r="B109" s="17" t="s">
        <v>177</v>
      </c>
      <c r="C109" s="16" t="s">
        <v>374</v>
      </c>
      <c r="D109" s="22" t="s">
        <v>450</v>
      </c>
      <c r="E109" s="22"/>
      <c r="F109" s="111">
        <f t="shared" si="9"/>
        <v>0.27085685084992916</v>
      </c>
      <c r="G109" s="19">
        <f>'Off-farm feed'!$F$74</f>
        <v>0.11176753125767681</v>
      </c>
      <c r="H109" s="19">
        <f>'Off-farm feed'!$G$74</f>
        <v>1.3034482758620692E-2</v>
      </c>
      <c r="I109" s="19">
        <f>'Off-farm feed'!$H$74</f>
        <v>0</v>
      </c>
      <c r="J109" s="19"/>
      <c r="K109" s="19">
        <f>'Off-farm feed'!$J$74</f>
        <v>2.4688740026345454E-2</v>
      </c>
      <c r="L109" s="19"/>
      <c r="M109" s="237">
        <f>'Off-farm feed'!$L$74</f>
        <v>1.931759303794134E-4</v>
      </c>
      <c r="N109" s="19">
        <f>'Off-farm feed'!$M$74</f>
        <v>3.6802128767029069E-2</v>
      </c>
      <c r="O109" s="19">
        <f>'Off-farm feed'!$N$74</f>
        <v>0</v>
      </c>
      <c r="P109" s="19">
        <f>'Off-farm feed'!$O$74</f>
        <v>2.1170792109877701E-2</v>
      </c>
      <c r="Q109" s="19">
        <f>'Off-farm feed'!$P$74</f>
        <v>6.3200000000000006E-2</v>
      </c>
      <c r="R109" s="143">
        <f>'Parameters, country spec'!J22</f>
        <v>5.988480966048656E-3</v>
      </c>
    </row>
    <row r="110" spans="1:19" x14ac:dyDescent="0.35">
      <c r="B110" s="17" t="s">
        <v>375</v>
      </c>
      <c r="C110" s="16" t="s">
        <v>374</v>
      </c>
      <c r="D110" s="22" t="s">
        <v>426</v>
      </c>
      <c r="E110" s="22"/>
      <c r="F110" s="111">
        <f t="shared" si="9"/>
        <v>0.7061171705997602</v>
      </c>
      <c r="G110" s="19">
        <f>'Off-farm feed'!$F$23</f>
        <v>7.2632670993098931E-3</v>
      </c>
      <c r="H110" s="19">
        <f>'Off-farm feed'!$G$23</f>
        <v>2.1402439024390246E-2</v>
      </c>
      <c r="I110" s="19">
        <f>'Off-farm feed'!$H$23</f>
        <v>0</v>
      </c>
      <c r="J110" s="19"/>
      <c r="K110" s="19">
        <f>'Off-farm feed'!$J$23</f>
        <v>4.308361966433235E-2</v>
      </c>
      <c r="L110" s="19"/>
      <c r="M110" s="237">
        <f>'Off-farm feed'!$L$23</f>
        <v>1.7842060425123844E-4</v>
      </c>
      <c r="N110" s="19">
        <f>'Off-farm feed'!$M$23</f>
        <v>3.0432604948959403E-2</v>
      </c>
      <c r="O110" s="19">
        <f>'Off-farm feed'!$N$23</f>
        <v>0.31761120248475611</v>
      </c>
      <c r="P110" s="19">
        <f>'Off-farm feed'!$O$23</f>
        <v>3.5145616773760872E-2</v>
      </c>
      <c r="Q110" s="19">
        <f>'Off-farm feed'!$P$23</f>
        <v>0.251</v>
      </c>
      <c r="R110" s="143">
        <f>'Parameters, country spec'!J23</f>
        <v>2.088761505982905E-2</v>
      </c>
    </row>
    <row r="111" spans="1:19" x14ac:dyDescent="0.35">
      <c r="B111" s="16" t="s">
        <v>181</v>
      </c>
      <c r="C111" s="16" t="s">
        <v>376</v>
      </c>
      <c r="D111" s="22" t="s">
        <v>30</v>
      </c>
      <c r="E111" s="22" t="s">
        <v>91</v>
      </c>
      <c r="F111" s="111">
        <f t="shared" si="9"/>
        <v>1.1238832732952029</v>
      </c>
      <c r="G111" s="77">
        <v>8.1563345406249002E-3</v>
      </c>
      <c r="H111" s="15">
        <v>2.4299999999999999E-3</v>
      </c>
      <c r="K111" s="15">
        <v>3.3513537983968001E-3</v>
      </c>
      <c r="L111">
        <v>0</v>
      </c>
      <c r="M111">
        <v>1.6933580823588599E-11</v>
      </c>
      <c r="N111" s="102">
        <v>4.7284759091007003E-3</v>
      </c>
      <c r="O111" s="7">
        <v>1.78332398753176E-4</v>
      </c>
      <c r="P111" s="15">
        <v>1.10085799516881</v>
      </c>
      <c r="Q111" s="15">
        <v>4.1807814625837696E-3</v>
      </c>
      <c r="R111" s="143">
        <f>'Parameters, country spec'!J24</f>
        <v>1.0222176972034411E-2</v>
      </c>
    </row>
    <row r="112" spans="1:19" x14ac:dyDescent="0.35">
      <c r="A112" s="80"/>
      <c r="B112" s="16" t="s">
        <v>377</v>
      </c>
      <c r="C112" s="81" t="s">
        <v>378</v>
      </c>
      <c r="D112" s="22" t="s">
        <v>30</v>
      </c>
      <c r="E112" s="22" t="s">
        <v>91</v>
      </c>
      <c r="F112" s="156">
        <f t="shared" si="9"/>
        <v>0.17590462450180433</v>
      </c>
      <c r="G112" s="78">
        <f>AVERAGE(G102:G110)</f>
        <v>5.4344832535468283E-2</v>
      </c>
      <c r="H112" s="78">
        <f>AVERAGE(H102:H110)</f>
        <v>2.4826324642556769E-2</v>
      </c>
      <c r="I112" s="78">
        <f>AVERAGE(I102:I110)</f>
        <v>0</v>
      </c>
      <c r="J112" s="78"/>
      <c r="K112" s="78">
        <f>AVERAGE(K102:K110)</f>
        <v>4.8349096163900422E-2</v>
      </c>
      <c r="L112" s="78"/>
      <c r="M112" s="78">
        <f>AVERAGE(M102:M110)</f>
        <v>5.0473137478994785E-5</v>
      </c>
      <c r="N112" s="78">
        <f>AVERAGE(N102:N110)</f>
        <v>4.8333898022399832E-2</v>
      </c>
      <c r="O112" s="78"/>
      <c r="P112" s="78"/>
      <c r="Q112" s="78"/>
      <c r="R112" s="143">
        <f>'Parameters, country spec'!J25</f>
        <v>1.2801200967347369E-2</v>
      </c>
    </row>
    <row r="113" spans="1:18" x14ac:dyDescent="0.35">
      <c r="A113" s="142"/>
      <c r="B113" s="24" t="s">
        <v>379</v>
      </c>
      <c r="C113" s="25"/>
      <c r="D113" s="99"/>
      <c r="E113" s="99"/>
      <c r="F113" s="26">
        <f>SUMPRODUCT(F102:F112,$R$102:$R$112)</f>
        <v>0.23047189302225346</v>
      </c>
      <c r="G113" s="26">
        <f>SUMPRODUCT(G102:G112,$R$102:$R$112)</f>
        <v>7.1586652668375286E-2</v>
      </c>
      <c r="H113" s="26">
        <f>SUMPRODUCT(H102:H112,$R$102:$R$112)</f>
        <v>2.6520463523595224E-2</v>
      </c>
      <c r="I113" s="26">
        <f>SUMPRODUCT(I102:I112,$R$102:$R$112)</f>
        <v>0</v>
      </c>
      <c r="J113" s="26"/>
      <c r="K113" s="26">
        <f>SUMPRODUCT(K102:K112,$R$102:$R$112)</f>
        <v>3.6095341859277E-2</v>
      </c>
      <c r="L113" s="26"/>
      <c r="M113" s="26">
        <f>SUMPRODUCT(M102:M112,$R$102:$R$112)</f>
        <v>2.8929159858583666E-5</v>
      </c>
      <c r="N113" s="26">
        <f>SUMPRODUCT(N102:N112,$R$102:$R$112)</f>
        <v>5.1440092295623671E-2</v>
      </c>
      <c r="O113" s="26">
        <f>SUMPRODUCT(O102:O112,$R$102:$R$112)</f>
        <v>2.7022359202969005E-2</v>
      </c>
      <c r="P113" s="26">
        <f>SUMPRODUCT(P102:P112,R102:R112)</f>
        <v>1.2114054247491341E-2</v>
      </c>
      <c r="Q113" s="26">
        <f>SUMPRODUCT(Q102:Q112,$R$102:$R$112)</f>
        <v>5.6640000650632991E-3</v>
      </c>
      <c r="R113" s="144"/>
    </row>
    <row r="114" spans="1:18" x14ac:dyDescent="0.35">
      <c r="A114" s="21" t="s">
        <v>365</v>
      </c>
      <c r="B114" s="16" t="s">
        <v>168</v>
      </c>
      <c r="C114" s="16" t="s">
        <v>366</v>
      </c>
      <c r="D114" s="22" t="s">
        <v>38</v>
      </c>
      <c r="E114" s="22" t="s">
        <v>92</v>
      </c>
      <c r="F114" s="141">
        <f t="shared" ref="F114:F124" si="10">SUM(G114:Q114)</f>
        <v>0.22941747708670257</v>
      </c>
      <c r="G114" s="77">
        <v>9.9982930263453701E-2</v>
      </c>
      <c r="H114" s="13">
        <v>2.7E-2</v>
      </c>
      <c r="I114" s="15">
        <v>0</v>
      </c>
      <c r="J114" s="13"/>
      <c r="K114" s="77">
        <v>6.1349494949495001E-2</v>
      </c>
      <c r="L114" s="13">
        <v>0</v>
      </c>
      <c r="M114" s="13">
        <v>9.4126417879238501E-4</v>
      </c>
      <c r="N114" s="77">
        <v>3.8391901627918001E-2</v>
      </c>
      <c r="O114" s="13">
        <v>1.7518860670434899E-3</v>
      </c>
      <c r="P114" s="13"/>
      <c r="R114" s="143">
        <f>'Parameters, country spec'!K15</f>
        <v>0.25867404183720522</v>
      </c>
    </row>
    <row r="115" spans="1:18" x14ac:dyDescent="0.35">
      <c r="A115" s="21" t="s">
        <v>367</v>
      </c>
      <c r="B115" s="16" t="s">
        <v>170</v>
      </c>
      <c r="C115" s="16" t="s">
        <v>366</v>
      </c>
      <c r="D115" s="22" t="s">
        <v>38</v>
      </c>
      <c r="E115" s="22" t="s">
        <v>92</v>
      </c>
      <c r="F115" s="141">
        <f t="shared" si="10"/>
        <v>0.1397596159422505</v>
      </c>
      <c r="G115" s="77">
        <v>3.6422323265829101E-2</v>
      </c>
      <c r="H115" s="13">
        <v>2.7E-2</v>
      </c>
      <c r="I115" s="15">
        <v>0</v>
      </c>
      <c r="J115" s="13"/>
      <c r="K115" s="77">
        <v>1.32628026548263E-2</v>
      </c>
      <c r="L115" s="13">
        <v>0</v>
      </c>
      <c r="M115" s="13">
        <v>2.30959332519068E-2</v>
      </c>
      <c r="N115" s="77">
        <v>3.8391901627918001E-2</v>
      </c>
      <c r="O115" s="13">
        <v>1.5866551417703101E-3</v>
      </c>
      <c r="P115" s="13"/>
      <c r="R115" s="143">
        <f>'Parameters, country spec'!K16</f>
        <v>0.34116788941693649</v>
      </c>
    </row>
    <row r="116" spans="1:18" x14ac:dyDescent="0.35">
      <c r="A116" s="21" t="s">
        <v>368</v>
      </c>
      <c r="B116" s="16" t="s">
        <v>171</v>
      </c>
      <c r="C116" s="16" t="s">
        <v>366</v>
      </c>
      <c r="D116" s="22" t="s">
        <v>38</v>
      </c>
      <c r="E116" s="22" t="s">
        <v>92</v>
      </c>
      <c r="F116" s="141">
        <f t="shared" si="10"/>
        <v>0.27809828671256548</v>
      </c>
      <c r="G116" s="77">
        <v>0.115661066806918</v>
      </c>
      <c r="H116" s="13">
        <v>2.7E-2</v>
      </c>
      <c r="I116" s="15">
        <v>0</v>
      </c>
      <c r="J116" s="13"/>
      <c r="K116" s="77">
        <v>8.9532786215923199E-2</v>
      </c>
      <c r="L116" s="13">
        <v>0</v>
      </c>
      <c r="M116" s="13">
        <v>1.3686923606236899E-3</v>
      </c>
      <c r="N116" s="77">
        <v>3.8391901627918001E-2</v>
      </c>
      <c r="O116" s="13">
        <v>6.1438397011825399E-3</v>
      </c>
      <c r="P116" s="13"/>
      <c r="R116" s="143">
        <f>'Parameters, country spec'!K17</f>
        <v>4.0331815431012892E-2</v>
      </c>
    </row>
    <row r="117" spans="1:18" x14ac:dyDescent="0.35">
      <c r="A117" s="21" t="s">
        <v>369</v>
      </c>
      <c r="B117" s="16" t="s">
        <v>172</v>
      </c>
      <c r="C117" s="16" t="s">
        <v>366</v>
      </c>
      <c r="D117" s="22" t="s">
        <v>38</v>
      </c>
      <c r="E117" s="22" t="s">
        <v>92</v>
      </c>
      <c r="F117" s="141">
        <f t="shared" si="10"/>
        <v>0.29893090047224069</v>
      </c>
      <c r="G117" s="77">
        <v>0.14048313981866201</v>
      </c>
      <c r="H117" s="13">
        <v>2.7E-2</v>
      </c>
      <c r="I117" s="13">
        <v>0</v>
      </c>
      <c r="J117" s="13"/>
      <c r="K117" s="77">
        <v>8.5289607177368595E-2</v>
      </c>
      <c r="L117" s="13">
        <v>0</v>
      </c>
      <c r="M117" s="13">
        <v>1.7956752415814799E-3</v>
      </c>
      <c r="N117" s="77">
        <v>3.8391901627918001E-2</v>
      </c>
      <c r="O117" s="13">
        <v>5.9705766067106401E-3</v>
      </c>
      <c r="P117" s="13"/>
      <c r="R117" s="143">
        <f>'Parameters, country spec'!K18</f>
        <v>1.0645865256161581E-2</v>
      </c>
    </row>
    <row r="118" spans="1:18" x14ac:dyDescent="0.35">
      <c r="A118" s="21" t="s">
        <v>370</v>
      </c>
      <c r="B118" s="16" t="s">
        <v>173</v>
      </c>
      <c r="C118" s="16" t="s">
        <v>366</v>
      </c>
      <c r="D118" s="22" t="s">
        <v>38</v>
      </c>
      <c r="E118" s="22" t="s">
        <v>92</v>
      </c>
      <c r="F118" s="141">
        <f t="shared" si="10"/>
        <v>0.27707357530941978</v>
      </c>
      <c r="G118" s="77">
        <v>0.15016151486392401</v>
      </c>
      <c r="H118" s="13">
        <v>2.7E-2</v>
      </c>
      <c r="I118" s="13">
        <v>0</v>
      </c>
      <c r="J118" s="13"/>
      <c r="K118" s="77">
        <v>5.6608310679611702E-2</v>
      </c>
      <c r="L118" s="13">
        <v>0</v>
      </c>
      <c r="M118" s="13">
        <v>1.14595040621167E-3</v>
      </c>
      <c r="N118" s="77">
        <v>3.8391901627918001E-2</v>
      </c>
      <c r="O118" s="13">
        <v>3.76589773175438E-3</v>
      </c>
      <c r="P118" s="13"/>
      <c r="R118" s="143">
        <f>'Parameters, country spec'!K19</f>
        <v>0.21912340485214171</v>
      </c>
    </row>
    <row r="119" spans="1:18" x14ac:dyDescent="0.35">
      <c r="A119" s="21" t="s">
        <v>371</v>
      </c>
      <c r="B119" s="16" t="s">
        <v>174</v>
      </c>
      <c r="C119" s="16" t="s">
        <v>372</v>
      </c>
      <c r="D119" s="22" t="s">
        <v>38</v>
      </c>
      <c r="E119" s="22" t="s">
        <v>92</v>
      </c>
      <c r="F119" s="141">
        <f t="shared" si="10"/>
        <v>0.21283404448058676</v>
      </c>
      <c r="G119" s="77">
        <v>0</v>
      </c>
      <c r="H119" s="13">
        <v>2.7E-2</v>
      </c>
      <c r="I119" s="15">
        <v>0</v>
      </c>
      <c r="J119" s="13"/>
      <c r="K119" s="77">
        <v>0.13295843685924499</v>
      </c>
      <c r="L119" s="15">
        <v>0</v>
      </c>
      <c r="M119" s="13">
        <v>1.10406453723893E-2</v>
      </c>
      <c r="N119" s="77">
        <v>3.8391901627918001E-2</v>
      </c>
      <c r="O119" s="13">
        <v>3.4430606210344599E-3</v>
      </c>
      <c r="P119" s="13"/>
      <c r="R119" s="143">
        <f>'Parameters, country spec'!K20</f>
        <v>3.4365153377819389E-3</v>
      </c>
    </row>
    <row r="120" spans="1:18" x14ac:dyDescent="0.35">
      <c r="A120" s="21" t="s">
        <v>373</v>
      </c>
      <c r="B120" s="16" t="s">
        <v>175</v>
      </c>
      <c r="C120" s="16" t="s">
        <v>372</v>
      </c>
      <c r="D120" s="22" t="s">
        <v>38</v>
      </c>
      <c r="E120" s="22" t="s">
        <v>92</v>
      </c>
      <c r="F120" s="141">
        <f t="shared" si="10"/>
        <v>0.23344472687066423</v>
      </c>
      <c r="G120" s="77">
        <v>5.3800295208884302E-3</v>
      </c>
      <c r="H120" s="13">
        <v>2.7E-2</v>
      </c>
      <c r="I120" s="15">
        <v>0</v>
      </c>
      <c r="J120" s="13"/>
      <c r="K120" s="77">
        <v>0.14222602973905801</v>
      </c>
      <c r="L120" s="13">
        <v>0</v>
      </c>
      <c r="M120" s="13">
        <v>1.18753181517716E-2</v>
      </c>
      <c r="N120" s="77">
        <v>3.8391901627918001E-2</v>
      </c>
      <c r="O120" s="13">
        <v>8.5714478310281901E-3</v>
      </c>
      <c r="P120" s="13"/>
      <c r="R120" s="143">
        <f>'Parameters, country spec'!K21</f>
        <v>3.3757905268185459E-3</v>
      </c>
    </row>
    <row r="121" spans="1:18" x14ac:dyDescent="0.35">
      <c r="B121" s="17" t="s">
        <v>177</v>
      </c>
      <c r="C121" s="16" t="s">
        <v>374</v>
      </c>
      <c r="D121" s="22" t="s">
        <v>450</v>
      </c>
      <c r="E121" s="22"/>
      <c r="F121" s="111">
        <f t="shared" si="10"/>
        <v>0.27085685084992916</v>
      </c>
      <c r="G121" s="19">
        <f>'Off-farm feed'!$F$74</f>
        <v>0.11176753125767681</v>
      </c>
      <c r="H121" s="19">
        <f>'Off-farm feed'!$G$74</f>
        <v>1.3034482758620692E-2</v>
      </c>
      <c r="I121" s="19">
        <f>'Off-farm feed'!$H$74</f>
        <v>0</v>
      </c>
      <c r="J121" s="19"/>
      <c r="K121" s="19">
        <f>'Off-farm feed'!$J$74</f>
        <v>2.4688740026345454E-2</v>
      </c>
      <c r="L121" s="19"/>
      <c r="M121" s="237">
        <f>'Off-farm feed'!$L$74</f>
        <v>1.931759303794134E-4</v>
      </c>
      <c r="N121" s="19">
        <f>'Off-farm feed'!$M$74</f>
        <v>3.6802128767029069E-2</v>
      </c>
      <c r="O121" s="19">
        <f>'Off-farm feed'!$N$74</f>
        <v>0</v>
      </c>
      <c r="P121" s="19">
        <f>'Off-farm feed'!$O$74</f>
        <v>2.1170792109877701E-2</v>
      </c>
      <c r="Q121" s="19">
        <f>'Off-farm feed'!$P$74</f>
        <v>6.3200000000000006E-2</v>
      </c>
      <c r="R121" s="143">
        <f>'Parameters, country spec'!K22</f>
        <v>9.9524742143764257E-3</v>
      </c>
    </row>
    <row r="122" spans="1:18" x14ac:dyDescent="0.35">
      <c r="B122" s="17" t="s">
        <v>375</v>
      </c>
      <c r="C122" s="16" t="s">
        <v>374</v>
      </c>
      <c r="D122" s="22" t="s">
        <v>426</v>
      </c>
      <c r="E122" s="22"/>
      <c r="F122" s="111">
        <f t="shared" si="10"/>
        <v>0.7061171705997602</v>
      </c>
      <c r="G122" s="19">
        <f>'Off-farm feed'!$F$23</f>
        <v>7.2632670993098931E-3</v>
      </c>
      <c r="H122" s="19">
        <f>'Off-farm feed'!$G$23</f>
        <v>2.1402439024390246E-2</v>
      </c>
      <c r="I122" s="19">
        <f>'Off-farm feed'!$H$23</f>
        <v>0</v>
      </c>
      <c r="J122" s="19"/>
      <c r="K122" s="19">
        <f>'Off-farm feed'!$J$23</f>
        <v>4.308361966433235E-2</v>
      </c>
      <c r="L122" s="19"/>
      <c r="M122" s="237">
        <f>'Off-farm feed'!$L$23</f>
        <v>1.7842060425123844E-4</v>
      </c>
      <c r="N122" s="19">
        <f>'Off-farm feed'!$M$23</f>
        <v>3.0432604948959403E-2</v>
      </c>
      <c r="O122" s="19">
        <f>'Off-farm feed'!$N$23</f>
        <v>0.31761120248475611</v>
      </c>
      <c r="P122" s="19">
        <f>'Off-farm feed'!$O$23</f>
        <v>3.5145616773760872E-2</v>
      </c>
      <c r="Q122" s="19">
        <f>'Off-farm feed'!$P$23</f>
        <v>0.251</v>
      </c>
      <c r="R122" s="143">
        <f>'Parameters, country spec'!K23</f>
        <v>8.507721741542934E-2</v>
      </c>
    </row>
    <row r="123" spans="1:18" x14ac:dyDescent="0.35">
      <c r="B123" s="16" t="s">
        <v>181</v>
      </c>
      <c r="C123" s="16" t="s">
        <v>376</v>
      </c>
      <c r="D123" s="22" t="s">
        <v>38</v>
      </c>
      <c r="E123" s="22" t="s">
        <v>92</v>
      </c>
      <c r="F123" s="111">
        <f t="shared" si="10"/>
        <v>0.42805643342083843</v>
      </c>
      <c r="G123" s="77">
        <v>1.3514536337753199E-2</v>
      </c>
      <c r="H123" s="15">
        <v>2.4299999999999999E-3</v>
      </c>
      <c r="K123" s="15">
        <v>5.0947479611650496E-3</v>
      </c>
      <c r="L123">
        <v>0</v>
      </c>
      <c r="M123">
        <v>1.0313553655905001E-4</v>
      </c>
      <c r="N123" s="102">
        <v>3.45527114651262E-3</v>
      </c>
      <c r="O123" s="7">
        <v>3.38930795857894E-4</v>
      </c>
      <c r="P123" s="15">
        <v>0.30592349396770402</v>
      </c>
      <c r="Q123" s="15">
        <v>9.7196317675286595E-2</v>
      </c>
      <c r="R123" s="143">
        <f>'Parameters, country spec'!K24</f>
        <v>1.307108167649881E-2</v>
      </c>
    </row>
    <row r="124" spans="1:18" x14ac:dyDescent="0.35">
      <c r="A124" s="80"/>
      <c r="B124" s="16" t="s">
        <v>377</v>
      </c>
      <c r="C124" s="81" t="s">
        <v>378</v>
      </c>
      <c r="D124" s="22" t="s">
        <v>38</v>
      </c>
      <c r="E124" s="22" t="s">
        <v>92</v>
      </c>
      <c r="F124" s="156">
        <f t="shared" si="10"/>
        <v>0.2141301859172445</v>
      </c>
      <c r="G124" s="78">
        <f>AVERAGE(G114:G122)</f>
        <v>7.412464476629578E-2</v>
      </c>
      <c r="H124" s="78">
        <f>AVERAGE(H114:H122)</f>
        <v>2.4826324642556769E-2</v>
      </c>
      <c r="I124" s="78">
        <f>AVERAGE(I114:I122)</f>
        <v>0</v>
      </c>
      <c r="J124" s="78"/>
      <c r="K124" s="78">
        <f>AVERAGE(K114:K122)</f>
        <v>7.2111091996245075E-2</v>
      </c>
      <c r="L124" s="78"/>
      <c r="M124" s="78">
        <f>AVERAGE(M114:M122)</f>
        <v>5.7372306108786197E-3</v>
      </c>
      <c r="N124" s="78">
        <f>AVERAGE(N114:N122)</f>
        <v>3.7330893901268279E-2</v>
      </c>
      <c r="O124" s="78"/>
      <c r="P124" s="78"/>
      <c r="Q124" s="78"/>
      <c r="R124" s="143">
        <f>'Parameters, country spec'!K25</f>
        <v>1.5143904035636979E-2</v>
      </c>
    </row>
    <row r="125" spans="1:18" x14ac:dyDescent="0.35">
      <c r="A125" s="142"/>
      <c r="B125" s="24" t="s">
        <v>379</v>
      </c>
      <c r="C125" s="25"/>
      <c r="D125" s="99"/>
      <c r="E125" s="99"/>
      <c r="F125" s="26">
        <f>SUMPRODUCT(F114:F124,$R$114:$R$124)</f>
        <v>0.25526530675148856</v>
      </c>
      <c r="G125" s="26">
        <f>SUMPRODUCT(G114:G124,$R$114:$R$124)</f>
        <v>8.0401053628259181E-2</v>
      </c>
      <c r="H125" s="26">
        <f>SUMPRODUCT(H114:H124,$R$114:$R$124)</f>
        <v>2.6030709229837343E-2</v>
      </c>
      <c r="I125" s="26">
        <f>SUMPRODUCT(I114:I124,$R$114:$R$124)</f>
        <v>0</v>
      </c>
      <c r="J125" s="26"/>
      <c r="K125" s="26">
        <f>SUMPRODUCT(K114:K124,$R$114:$R$124)</f>
        <v>4.3324396307203895E-2</v>
      </c>
      <c r="L125" s="26"/>
      <c r="M125" s="26">
        <f>SUMPRODUCT(M114:M124,$R$114:$R$124)</f>
        <v>8.6318585338790235E-3</v>
      </c>
      <c r="N125" s="26">
        <f>SUMPRODUCT(N114:N124,$R$114:$R$124)</f>
        <v>3.7226197290766067E-2</v>
      </c>
      <c r="O125" s="26">
        <f>SUMPRODUCT(O114:O124,$R$114:$R$124)</f>
        <v>2.9197708794489251E-2</v>
      </c>
      <c r="P125" s="26">
        <f>SUMPRODUCT(P114:P124,R114:R124)</f>
        <v>7.1995440184438467E-3</v>
      </c>
      <c r="Q125" s="26">
        <f>SUMPRODUCT(Q114:Q124,$R$114:$R$124)</f>
        <v>2.3253838948609953E-2</v>
      </c>
      <c r="R125" s="144"/>
    </row>
    <row r="126" spans="1:18" x14ac:dyDescent="0.35">
      <c r="A126" s="21" t="s">
        <v>365</v>
      </c>
      <c r="B126" s="16" t="s">
        <v>168</v>
      </c>
      <c r="C126" s="16" t="s">
        <v>366</v>
      </c>
      <c r="D126" s="22" t="s">
        <v>34</v>
      </c>
      <c r="E126" s="22" t="s">
        <v>93</v>
      </c>
      <c r="F126" s="141">
        <f t="shared" ref="F126:F136" si="11">SUM(G126:Q126)</f>
        <v>0.17740753224089859</v>
      </c>
      <c r="G126" s="77">
        <v>6.4707685331096707E-2</v>
      </c>
      <c r="H126" s="13">
        <v>2.7E-2</v>
      </c>
      <c r="I126" s="15">
        <v>0</v>
      </c>
      <c r="J126" s="13"/>
      <c r="K126" s="77">
        <v>4.3092928170856297E-2</v>
      </c>
      <c r="L126" s="13">
        <v>0</v>
      </c>
      <c r="M126" s="13">
        <v>9.7648302092659699E-7</v>
      </c>
      <c r="N126" s="77">
        <v>3.4798606794569198E-2</v>
      </c>
      <c r="O126" s="13">
        <v>7.8073354613554897E-3</v>
      </c>
      <c r="P126" s="13"/>
      <c r="R126" s="143">
        <f>'Parameters, country spec'!L15</f>
        <v>0.1343058366954886</v>
      </c>
    </row>
    <row r="127" spans="1:18" x14ac:dyDescent="0.35">
      <c r="A127" s="21" t="s">
        <v>367</v>
      </c>
      <c r="B127" s="16" t="s">
        <v>170</v>
      </c>
      <c r="C127" s="16" t="s">
        <v>366</v>
      </c>
      <c r="D127" s="22" t="s">
        <v>34</v>
      </c>
      <c r="E127" s="22" t="s">
        <v>93</v>
      </c>
      <c r="F127" s="141">
        <f t="shared" si="11"/>
        <v>0.35998073385997809</v>
      </c>
      <c r="G127" s="77">
        <v>5.4898894569621E-2</v>
      </c>
      <c r="H127" s="13">
        <v>2.7E-2</v>
      </c>
      <c r="I127" s="15">
        <v>0</v>
      </c>
      <c r="J127" s="13"/>
      <c r="K127" s="77">
        <v>2.16968292973359E-2</v>
      </c>
      <c r="L127" s="13">
        <v>0</v>
      </c>
      <c r="M127" s="13">
        <v>0</v>
      </c>
      <c r="N127" s="77">
        <v>3.4798606794569198E-2</v>
      </c>
      <c r="O127" s="13">
        <v>0.22158640319845199</v>
      </c>
      <c r="P127" s="13"/>
      <c r="R127" s="143">
        <f>'Parameters, country spec'!L16</f>
        <v>5.9748696560920867E-3</v>
      </c>
    </row>
    <row r="128" spans="1:18" x14ac:dyDescent="0.35">
      <c r="A128" s="21" t="s">
        <v>368</v>
      </c>
      <c r="B128" s="16" t="s">
        <v>171</v>
      </c>
      <c r="C128" s="16" t="s">
        <v>366</v>
      </c>
      <c r="D128" s="22" t="s">
        <v>34</v>
      </c>
      <c r="E128" s="22" t="s">
        <v>93</v>
      </c>
      <c r="F128" s="141">
        <f t="shared" si="11"/>
        <v>0.21424851038583509</v>
      </c>
      <c r="G128" s="77">
        <v>5.5883302587627401E-2</v>
      </c>
      <c r="H128" s="13">
        <v>2.7E-2</v>
      </c>
      <c r="I128" s="15">
        <v>0</v>
      </c>
      <c r="J128" s="13"/>
      <c r="K128" s="77">
        <v>4.6950690050811303E-2</v>
      </c>
      <c r="L128" s="13">
        <v>0</v>
      </c>
      <c r="M128" s="13">
        <v>1.1717330995727201E-6</v>
      </c>
      <c r="N128" s="77">
        <v>3.4798606794569198E-2</v>
      </c>
      <c r="O128" s="13">
        <v>4.9614739219727602E-2</v>
      </c>
      <c r="P128" s="13"/>
      <c r="R128" s="143">
        <f>'Parameters, country spec'!L17</f>
        <v>0.146104563813133</v>
      </c>
    </row>
    <row r="129" spans="1:18" x14ac:dyDescent="0.35">
      <c r="A129" s="21" t="s">
        <v>369</v>
      </c>
      <c r="B129" s="16" t="s">
        <v>172</v>
      </c>
      <c r="C129" s="16" t="s">
        <v>366</v>
      </c>
      <c r="D129" s="22" t="s">
        <v>34</v>
      </c>
      <c r="E129" s="22" t="s">
        <v>93</v>
      </c>
      <c r="F129" s="141">
        <f t="shared" si="11"/>
        <v>0.24420370598103047</v>
      </c>
      <c r="G129" s="77">
        <v>5.0338186409046998E-2</v>
      </c>
      <c r="H129" s="13">
        <v>2.7E-2</v>
      </c>
      <c r="I129" s="13">
        <v>0</v>
      </c>
      <c r="J129" s="13"/>
      <c r="K129" s="77">
        <v>3.3169160753811502E-2</v>
      </c>
      <c r="L129" s="13">
        <v>0</v>
      </c>
      <c r="M129" s="13">
        <v>0</v>
      </c>
      <c r="N129" s="77">
        <v>3.4798606794569198E-2</v>
      </c>
      <c r="O129" s="13">
        <v>9.8897752023602806E-2</v>
      </c>
      <c r="P129" s="13"/>
      <c r="R129" s="143">
        <f>'Parameters, country spec'!L18</f>
        <v>9.236749949865944E-5</v>
      </c>
    </row>
    <row r="130" spans="1:18" x14ac:dyDescent="0.35">
      <c r="A130" s="21" t="s">
        <v>370</v>
      </c>
      <c r="B130" s="16" t="s">
        <v>173</v>
      </c>
      <c r="C130" s="16" t="s">
        <v>366</v>
      </c>
      <c r="D130" s="22" t="s">
        <v>34</v>
      </c>
      <c r="E130" s="22" t="s">
        <v>93</v>
      </c>
      <c r="F130" s="141">
        <f t="shared" si="11"/>
        <v>0.18080986700633911</v>
      </c>
      <c r="G130" s="77">
        <v>7.3263598411408906E-2</v>
      </c>
      <c r="H130" s="13">
        <v>2.7E-2</v>
      </c>
      <c r="I130" s="13">
        <v>0</v>
      </c>
      <c r="J130" s="13"/>
      <c r="K130" s="77">
        <v>2.9976077920621201E-2</v>
      </c>
      <c r="L130" s="13">
        <v>0</v>
      </c>
      <c r="M130" s="13">
        <v>0</v>
      </c>
      <c r="N130" s="77">
        <v>3.4798606794569198E-2</v>
      </c>
      <c r="O130" s="13">
        <v>1.5771583879739801E-2</v>
      </c>
      <c r="P130" s="13"/>
      <c r="R130" s="143">
        <f>'Parameters, country spec'!L19</f>
        <v>0.58258426025934973</v>
      </c>
    </row>
    <row r="131" spans="1:18" x14ac:dyDescent="0.35">
      <c r="A131" s="21" t="s">
        <v>371</v>
      </c>
      <c r="B131" s="16" t="s">
        <v>174</v>
      </c>
      <c r="C131" s="16" t="s">
        <v>372</v>
      </c>
      <c r="D131" s="22" t="s">
        <v>34</v>
      </c>
      <c r="E131" s="22" t="s">
        <v>93</v>
      </c>
      <c r="F131" s="141">
        <f t="shared" si="11"/>
        <v>0.18857160448604016</v>
      </c>
      <c r="G131" s="77">
        <v>0</v>
      </c>
      <c r="H131" s="13">
        <v>2.7E-2</v>
      </c>
      <c r="I131" s="15">
        <v>0</v>
      </c>
      <c r="J131" s="13"/>
      <c r="K131" s="77">
        <v>6.1915464004380999E-2</v>
      </c>
      <c r="L131" s="15">
        <v>0</v>
      </c>
      <c r="M131" s="13">
        <v>3.46110222394324E-3</v>
      </c>
      <c r="N131" s="77">
        <v>3.4798606794569198E-2</v>
      </c>
      <c r="O131" s="13">
        <v>6.1396431463146703E-2</v>
      </c>
      <c r="P131" s="13"/>
      <c r="R131" s="143">
        <f>'Parameters, country spec'!L20</f>
        <v>4.9593085693149293E-3</v>
      </c>
    </row>
    <row r="132" spans="1:18" x14ac:dyDescent="0.35">
      <c r="A132" s="21" t="s">
        <v>373</v>
      </c>
      <c r="B132" s="16" t="s">
        <v>175</v>
      </c>
      <c r="C132" s="16" t="s">
        <v>372</v>
      </c>
      <c r="D132" s="22" t="s">
        <v>34</v>
      </c>
      <c r="E132" s="22" t="s">
        <v>93</v>
      </c>
      <c r="F132" s="141">
        <f t="shared" si="11"/>
        <v>0.25743797241278388</v>
      </c>
      <c r="G132" s="77">
        <v>2.1386473524115401E-3</v>
      </c>
      <c r="H132" s="13">
        <v>2.7E-2</v>
      </c>
      <c r="I132" s="15">
        <v>0</v>
      </c>
      <c r="J132" s="13"/>
      <c r="K132" s="77">
        <v>6.1361874212873702E-2</v>
      </c>
      <c r="L132" s="13">
        <v>0</v>
      </c>
      <c r="M132" s="13">
        <v>1.8203397236044301E-3</v>
      </c>
      <c r="N132" s="77">
        <v>3.4798606794569198E-2</v>
      </c>
      <c r="O132" s="13">
        <v>0.13031850432932501</v>
      </c>
      <c r="P132" s="13"/>
      <c r="R132" s="143">
        <f>'Parameters, country spec'!L21</f>
        <v>4.8716753013175436E-3</v>
      </c>
    </row>
    <row r="133" spans="1:18" x14ac:dyDescent="0.35">
      <c r="B133" s="17" t="s">
        <v>177</v>
      </c>
      <c r="C133" s="16" t="s">
        <v>374</v>
      </c>
      <c r="D133" s="22" t="s">
        <v>450</v>
      </c>
      <c r="E133" s="22"/>
      <c r="F133" s="111">
        <f t="shared" si="11"/>
        <v>0.27085685084992916</v>
      </c>
      <c r="G133" s="19">
        <f>'Off-farm feed'!$F$74</f>
        <v>0.11176753125767681</v>
      </c>
      <c r="H133" s="19">
        <f>'Off-farm feed'!$G$74</f>
        <v>1.3034482758620692E-2</v>
      </c>
      <c r="I133" s="19">
        <f>'Off-farm feed'!$H$74</f>
        <v>0</v>
      </c>
      <c r="J133" s="19"/>
      <c r="K133" s="19">
        <f>'Off-farm feed'!$J$74</f>
        <v>2.4688740026345454E-2</v>
      </c>
      <c r="L133" s="19"/>
      <c r="M133" s="237">
        <f>'Off-farm feed'!$L$74</f>
        <v>1.931759303794134E-4</v>
      </c>
      <c r="N133" s="19">
        <f>'Off-farm feed'!$M$74</f>
        <v>3.6802128767029069E-2</v>
      </c>
      <c r="O133" s="19">
        <f>'Off-farm feed'!$N$74</f>
        <v>0</v>
      </c>
      <c r="P133" s="19">
        <f>'Off-farm feed'!$O$74</f>
        <v>2.1170792109877701E-2</v>
      </c>
      <c r="Q133" s="19">
        <f>'Off-farm feed'!$P$74</f>
        <v>6.3200000000000006E-2</v>
      </c>
      <c r="R133" s="143">
        <f>'Parameters, country spec'!L22</f>
        <v>2.1892083763360489E-2</v>
      </c>
    </row>
    <row r="134" spans="1:18" x14ac:dyDescent="0.35">
      <c r="B134" s="17" t="s">
        <v>375</v>
      </c>
      <c r="C134" s="16" t="s">
        <v>374</v>
      </c>
      <c r="D134" s="22" t="s">
        <v>426</v>
      </c>
      <c r="E134" s="22"/>
      <c r="F134" s="111">
        <f t="shared" si="11"/>
        <v>0.7061171705997602</v>
      </c>
      <c r="G134" s="19">
        <f>'Off-farm feed'!$F$23</f>
        <v>7.2632670993098931E-3</v>
      </c>
      <c r="H134" s="19">
        <f>'Off-farm feed'!$G$23</f>
        <v>2.1402439024390246E-2</v>
      </c>
      <c r="I134" s="19">
        <f>'Off-farm feed'!$H$23</f>
        <v>0</v>
      </c>
      <c r="J134" s="19"/>
      <c r="K134" s="19">
        <f>'Off-farm feed'!$J$23</f>
        <v>4.308361966433235E-2</v>
      </c>
      <c r="L134" s="19"/>
      <c r="M134" s="237">
        <f>'Off-farm feed'!$L$23</f>
        <v>1.7842060425123844E-4</v>
      </c>
      <c r="N134" s="19">
        <f>'Off-farm feed'!$M$23</f>
        <v>3.0432604948959403E-2</v>
      </c>
      <c r="O134" s="19">
        <f>'Off-farm feed'!$N$23</f>
        <v>0.31761120248475611</v>
      </c>
      <c r="P134" s="19">
        <f>'Off-farm feed'!$O$23</f>
        <v>3.5145616773760872E-2</v>
      </c>
      <c r="Q134" s="19">
        <f>'Off-farm feed'!$P$23</f>
        <v>0.251</v>
      </c>
      <c r="R134" s="143">
        <f>'Parameters, country spec'!L23</f>
        <v>3.411102350419503E-2</v>
      </c>
    </row>
    <row r="135" spans="1:18" x14ac:dyDescent="0.35">
      <c r="B135" s="16" t="s">
        <v>181</v>
      </c>
      <c r="C135" s="16" t="s">
        <v>376</v>
      </c>
      <c r="D135" s="22" t="s">
        <v>34</v>
      </c>
      <c r="E135" s="22" t="s">
        <v>93</v>
      </c>
      <c r="F135" s="111">
        <f t="shared" si="11"/>
        <v>0.13915930282130612</v>
      </c>
      <c r="G135" s="77">
        <v>6.5937238570268003E-3</v>
      </c>
      <c r="H135" s="15">
        <v>2.4299999999999999E-3</v>
      </c>
      <c r="K135" s="15">
        <v>2.6978470128559101E-3</v>
      </c>
      <c r="L135">
        <v>0</v>
      </c>
      <c r="M135">
        <v>0</v>
      </c>
      <c r="N135" s="102">
        <v>3.1318746115112299E-3</v>
      </c>
      <c r="O135" s="7">
        <v>1.41944254917658E-3</v>
      </c>
      <c r="P135" s="15">
        <v>0.104008553970993</v>
      </c>
      <c r="Q135" s="15">
        <v>1.88778608197426E-2</v>
      </c>
      <c r="R135" s="143">
        <f>'Parameters, country spec'!L24</f>
        <v>2.7931248345105159E-2</v>
      </c>
    </row>
    <row r="136" spans="1:18" x14ac:dyDescent="0.35">
      <c r="A136" s="80"/>
      <c r="B136" s="16" t="s">
        <v>377</v>
      </c>
      <c r="C136" s="81" t="s">
        <v>378</v>
      </c>
      <c r="D136" s="22" t="s">
        <v>34</v>
      </c>
      <c r="E136" s="22" t="s">
        <v>93</v>
      </c>
      <c r="F136" s="156">
        <f t="shared" si="11"/>
        <v>0.14734595409765006</v>
      </c>
      <c r="G136" s="78">
        <f>AVERAGE(G126:G134)</f>
        <v>4.6695679224244363E-2</v>
      </c>
      <c r="H136" s="78">
        <f>AVERAGE(H126:H134)</f>
        <v>2.4826324642556769E-2</v>
      </c>
      <c r="I136" s="78">
        <f>AVERAGE(I126:I134)</f>
        <v>0</v>
      </c>
      <c r="J136" s="78"/>
      <c r="K136" s="78">
        <f>AVERAGE(K126:K134)</f>
        <v>4.0659487122374299E-2</v>
      </c>
      <c r="L136" s="78"/>
      <c r="M136" s="78">
        <f>AVERAGE(M126:M134)</f>
        <v>6.2835407758875803E-4</v>
      </c>
      <c r="N136" s="78">
        <f>AVERAGE(N126:N134)</f>
        <v>3.4536109030885873E-2</v>
      </c>
      <c r="O136" s="78"/>
      <c r="P136" s="78"/>
      <c r="Q136" s="78"/>
      <c r="R136" s="143">
        <f>'Parameters, country spec'!L25</f>
        <v>3.7172762593144858E-2</v>
      </c>
    </row>
    <row r="137" spans="1:18" x14ac:dyDescent="0.35">
      <c r="A137" s="142"/>
      <c r="B137" s="24" t="s">
        <v>379</v>
      </c>
      <c r="C137" s="25"/>
      <c r="D137" s="99"/>
      <c r="E137" s="99"/>
      <c r="F137" s="26">
        <f>SUMPRODUCT(F126:F136,$R$126:$R$136)</f>
        <v>0.20420941775089713</v>
      </c>
      <c r="G137" s="26">
        <f>SUMPRODUCT(G126:G136,$R$126:$R$136)</f>
        <v>6.4495286767239632E-2</v>
      </c>
      <c r="H137" s="26">
        <f>SUMPRODUCT(H126:H136,$R$126:$R$136)</f>
        <v>2.5736254902891841E-2</v>
      </c>
      <c r="I137" s="26">
        <f>SUMPRODUCT(I126:I136,$R$126:$R$136)</f>
        <v>0</v>
      </c>
      <c r="J137" s="26"/>
      <c r="K137" s="26">
        <f>SUMPRODUCT(K126:K136,$R$126:$R$136)</f>
        <v>3.4446519567360029E-2</v>
      </c>
      <c r="L137" s="26"/>
      <c r="M137" s="26">
        <f>SUMPRODUCT(M126:M136,$R$126:$R$136)</f>
        <v>6.0007910937349854E-5</v>
      </c>
      <c r="N137" s="26">
        <f>SUMPRODUCT(N126:N136,$R$126:$R$136)</f>
        <v>3.3799290145903514E-2</v>
      </c>
      <c r="O137" s="26">
        <f>SUMPRODUCT(O126:O136,$R$126:$R$136)</f>
        <v>3.0631915179362503E-2</v>
      </c>
      <c r="P137" s="26">
        <f>SUMPRODUCT(P126:P136,R126:R136)</f>
        <v>4.5674144650244015E-3</v>
      </c>
      <c r="Q137" s="26">
        <f>SUMPRODUCT(Q126:Q136,$R$126:$R$136)</f>
        <v>1.0472728812177895E-2</v>
      </c>
      <c r="R137" s="144"/>
    </row>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tabColor theme="4" tint="0.79998168889431442"/>
  </sheetPr>
  <dimension ref="A2:S137"/>
  <sheetViews>
    <sheetView zoomScale="74" zoomScaleNormal="80" workbookViewId="0">
      <selection activeCell="F6" sqref="F6:P12"/>
    </sheetView>
  </sheetViews>
  <sheetFormatPr defaultColWidth="8.90625" defaultRowHeight="14.5" x14ac:dyDescent="0.35"/>
  <cols>
    <col min="1" max="1" width="8.54296875" customWidth="1"/>
    <col min="2" max="2" width="30.453125" customWidth="1"/>
    <col min="3" max="3" width="19" customWidth="1"/>
    <col min="4" max="4" width="12.90625" customWidth="1"/>
    <col min="5" max="5" width="11.453125" customWidth="1"/>
    <col min="6" max="10" width="12.54296875" customWidth="1"/>
    <col min="11" max="11" width="14.453125" customWidth="1"/>
    <col min="12" max="18" width="12.54296875" customWidth="1"/>
  </cols>
  <sheetData>
    <row r="2" spans="1:18" ht="21" customHeight="1" x14ac:dyDescent="0.5">
      <c r="A2" s="2" t="s">
        <v>380</v>
      </c>
      <c r="F2" t="s">
        <v>356</v>
      </c>
      <c r="O2" t="s">
        <v>357</v>
      </c>
    </row>
    <row r="3" spans="1:18" x14ac:dyDescent="0.35">
      <c r="H3" s="8"/>
      <c r="I3" s="8"/>
      <c r="J3" s="8"/>
      <c r="K3" s="8"/>
      <c r="L3" s="8"/>
      <c r="M3" s="8"/>
      <c r="N3" s="8"/>
    </row>
    <row r="4" spans="1:18" ht="29" customHeight="1" x14ac:dyDescent="0.35">
      <c r="A4" s="145" t="s">
        <v>358</v>
      </c>
      <c r="B4" s="135"/>
      <c r="C4" s="135"/>
      <c r="D4" s="135"/>
      <c r="E4" s="135"/>
      <c r="F4" s="136" t="s">
        <v>102</v>
      </c>
      <c r="G4" s="136" t="s">
        <v>103</v>
      </c>
      <c r="H4" s="137"/>
      <c r="I4" s="136" t="s">
        <v>104</v>
      </c>
      <c r="J4" s="100"/>
      <c r="K4" s="136" t="s">
        <v>105</v>
      </c>
      <c r="L4" s="100"/>
      <c r="M4" s="100"/>
      <c r="N4" s="100"/>
      <c r="O4" s="101" t="s">
        <v>106</v>
      </c>
      <c r="P4" s="101" t="s">
        <v>107</v>
      </c>
      <c r="Q4" s="138" t="s">
        <v>108</v>
      </c>
      <c r="R4" s="136" t="s">
        <v>359</v>
      </c>
    </row>
    <row r="5" spans="1:18" ht="57" customHeight="1" x14ac:dyDescent="0.35">
      <c r="A5" s="94" t="s">
        <v>60</v>
      </c>
      <c r="B5" s="94" t="s">
        <v>358</v>
      </c>
      <c r="C5" s="94" t="s">
        <v>360</v>
      </c>
      <c r="D5" s="94" t="s">
        <v>63</v>
      </c>
      <c r="E5" s="140" t="s">
        <v>64</v>
      </c>
      <c r="F5" s="139"/>
      <c r="G5" s="95" t="s">
        <v>16</v>
      </c>
      <c r="H5" s="95" t="s">
        <v>17</v>
      </c>
      <c r="I5" s="95" t="s">
        <v>361</v>
      </c>
      <c r="J5" s="95" t="s">
        <v>362</v>
      </c>
      <c r="K5" s="95" t="s">
        <v>117</v>
      </c>
      <c r="L5" s="95" t="s">
        <v>118</v>
      </c>
      <c r="M5" s="95" t="s">
        <v>119</v>
      </c>
      <c r="N5" s="95" t="s">
        <v>120</v>
      </c>
      <c r="O5" s="95" t="s">
        <v>121</v>
      </c>
      <c r="P5" s="95" t="s">
        <v>107</v>
      </c>
      <c r="Q5" s="140" t="s">
        <v>364</v>
      </c>
      <c r="R5" s="95"/>
    </row>
    <row r="6" spans="1:18" x14ac:dyDescent="0.35">
      <c r="A6" s="21" t="s">
        <v>365</v>
      </c>
      <c r="B6" s="16" t="s">
        <v>168</v>
      </c>
      <c r="C6" s="16" t="s">
        <v>366</v>
      </c>
      <c r="D6" s="22" t="s">
        <v>155</v>
      </c>
      <c r="E6" s="22" t="s">
        <v>482</v>
      </c>
      <c r="F6" s="271">
        <f t="shared" ref="F6:F16" si="0">SUM(G6:Q6)</f>
        <v>1.3263188780202382E-4</v>
      </c>
      <c r="G6" s="272">
        <v>0</v>
      </c>
      <c r="H6" s="273">
        <v>9.5000000000000005E-5</v>
      </c>
      <c r="I6" s="274">
        <v>0</v>
      </c>
      <c r="J6" s="275"/>
      <c r="K6" s="276">
        <v>1.4864399472615801E-5</v>
      </c>
      <c r="L6" s="276">
        <v>0</v>
      </c>
      <c r="M6" s="276">
        <v>0</v>
      </c>
      <c r="N6" s="276">
        <v>2.2767488329407998E-5</v>
      </c>
      <c r="O6" s="276"/>
      <c r="P6" s="276"/>
      <c r="Q6" s="13"/>
      <c r="R6" s="143">
        <f>'Parameters, country spec'!B15</f>
        <v>0.16402988956347131</v>
      </c>
    </row>
    <row r="7" spans="1:18" x14ac:dyDescent="0.35">
      <c r="A7" s="21" t="s">
        <v>367</v>
      </c>
      <c r="B7" s="16" t="s">
        <v>170</v>
      </c>
      <c r="C7" s="16" t="s">
        <v>366</v>
      </c>
      <c r="D7" s="22" t="s">
        <v>155</v>
      </c>
      <c r="E7" s="22" t="s">
        <v>482</v>
      </c>
      <c r="F7" s="157">
        <f t="shared" si="0"/>
        <v>1.2856994124224201E-4</v>
      </c>
      <c r="G7" s="96">
        <v>0</v>
      </c>
      <c r="H7" s="97">
        <v>9.5000000000000005E-5</v>
      </c>
      <c r="I7" s="15">
        <v>0</v>
      </c>
      <c r="J7" s="13"/>
      <c r="K7" s="98">
        <v>1.0802452912833999E-5</v>
      </c>
      <c r="L7" s="98">
        <v>0</v>
      </c>
      <c r="M7" s="98">
        <v>0</v>
      </c>
      <c r="N7" s="98">
        <v>2.2767488329407998E-5</v>
      </c>
      <c r="O7" s="98"/>
      <c r="P7" s="98"/>
      <c r="Q7" s="13"/>
      <c r="R7" s="143">
        <f>'Parameters, country spec'!B16</f>
        <v>0.26979047748052709</v>
      </c>
    </row>
    <row r="8" spans="1:18" x14ac:dyDescent="0.35">
      <c r="A8" s="21" t="s">
        <v>368</v>
      </c>
      <c r="B8" s="16" t="s">
        <v>171</v>
      </c>
      <c r="C8" s="16" t="s">
        <v>366</v>
      </c>
      <c r="D8" s="22" t="s">
        <v>155</v>
      </c>
      <c r="E8" s="22" t="s">
        <v>482</v>
      </c>
      <c r="F8" s="157">
        <f t="shared" si="0"/>
        <v>1.3407185237155131E-4</v>
      </c>
      <c r="G8" s="96">
        <v>0</v>
      </c>
      <c r="H8" s="97">
        <v>9.5000000000000005E-5</v>
      </c>
      <c r="I8" s="15">
        <v>0</v>
      </c>
      <c r="J8" s="13"/>
      <c r="K8" s="98">
        <v>1.6302901263566199E-5</v>
      </c>
      <c r="L8" s="98">
        <v>0</v>
      </c>
      <c r="M8" s="98">
        <v>1.4627785770931999E-9</v>
      </c>
      <c r="N8" s="98">
        <v>2.2767488329407998E-5</v>
      </c>
      <c r="O8" s="98"/>
      <c r="P8" s="98"/>
      <c r="Q8" s="13"/>
      <c r="R8" s="143">
        <f>'Parameters, country spec'!B17</f>
        <v>1.8587387131106831E-2</v>
      </c>
    </row>
    <row r="9" spans="1:18" x14ac:dyDescent="0.35">
      <c r="A9" s="21" t="s">
        <v>369</v>
      </c>
      <c r="B9" s="16" t="s">
        <v>172</v>
      </c>
      <c r="C9" s="16" t="s">
        <v>366</v>
      </c>
      <c r="D9" s="22" t="s">
        <v>155</v>
      </c>
      <c r="E9" s="22" t="s">
        <v>482</v>
      </c>
      <c r="F9" s="157">
        <f t="shared" si="0"/>
        <v>1.3254315618792918E-4</v>
      </c>
      <c r="G9" s="96">
        <v>0</v>
      </c>
      <c r="H9" s="97">
        <v>9.5000000000000005E-5</v>
      </c>
      <c r="I9" s="13">
        <v>0</v>
      </c>
      <c r="J9" s="13"/>
      <c r="K9" s="98">
        <v>1.4226319531841999E-5</v>
      </c>
      <c r="L9" s="98">
        <v>0</v>
      </c>
      <c r="M9" s="98">
        <v>5.4934832667917605E-7</v>
      </c>
      <c r="N9" s="98">
        <v>2.2767488329407998E-5</v>
      </c>
      <c r="O9" s="98"/>
      <c r="P9" s="98"/>
      <c r="Q9" s="13"/>
      <c r="R9" s="143">
        <f>'Parameters, country spec'!B18</f>
        <v>2.85446978296886E-3</v>
      </c>
    </row>
    <row r="10" spans="1:18" x14ac:dyDescent="0.35">
      <c r="A10" s="21" t="s">
        <v>370</v>
      </c>
      <c r="B10" s="16" t="s">
        <v>173</v>
      </c>
      <c r="C10" s="16" t="s">
        <v>366</v>
      </c>
      <c r="D10" s="22" t="s">
        <v>155</v>
      </c>
      <c r="E10" s="22" t="s">
        <v>482</v>
      </c>
      <c r="F10" s="157">
        <f t="shared" si="0"/>
        <v>1.2932467298374753E-4</v>
      </c>
      <c r="G10" s="96">
        <v>0</v>
      </c>
      <c r="H10" s="97">
        <v>9.5000000000000005E-5</v>
      </c>
      <c r="I10" s="13">
        <v>0</v>
      </c>
      <c r="J10" s="13"/>
      <c r="K10" s="98">
        <v>1.11229556161666E-5</v>
      </c>
      <c r="L10" s="98">
        <v>0</v>
      </c>
      <c r="M10" s="98">
        <v>4.3422903817292198E-7</v>
      </c>
      <c r="N10" s="98">
        <v>2.2767488329407998E-5</v>
      </c>
      <c r="O10" s="98"/>
      <c r="P10" s="98"/>
      <c r="Q10" s="13"/>
      <c r="R10" s="143">
        <f>'Parameters, country spec'!B19</f>
        <v>0.39960951046637888</v>
      </c>
    </row>
    <row r="11" spans="1:18" x14ac:dyDescent="0.35">
      <c r="A11" s="21" t="s">
        <v>371</v>
      </c>
      <c r="B11" s="16" t="s">
        <v>174</v>
      </c>
      <c r="C11" s="16" t="s">
        <v>372</v>
      </c>
      <c r="D11" s="22" t="s">
        <v>155</v>
      </c>
      <c r="E11" s="22" t="s">
        <v>482</v>
      </c>
      <c r="F11" s="157">
        <f t="shared" si="0"/>
        <v>1.818323651815133E-4</v>
      </c>
      <c r="G11" s="96">
        <v>0</v>
      </c>
      <c r="H11" s="97">
        <v>9.5000000000000005E-5</v>
      </c>
      <c r="I11" s="15">
        <v>0</v>
      </c>
      <c r="J11" s="13"/>
      <c r="K11" s="98">
        <v>2.19443131835724E-5</v>
      </c>
      <c r="L11" s="98">
        <v>0</v>
      </c>
      <c r="M11" s="98">
        <v>4.21205636685329E-5</v>
      </c>
      <c r="N11" s="98">
        <v>2.2767488329407998E-5</v>
      </c>
      <c r="O11" s="98"/>
      <c r="P11" s="98"/>
      <c r="Q11" s="13"/>
      <c r="R11" s="143">
        <f>'Parameters, country spec'!B20</f>
        <v>0</v>
      </c>
    </row>
    <row r="12" spans="1:18" x14ac:dyDescent="0.35">
      <c r="A12" s="21" t="s">
        <v>373</v>
      </c>
      <c r="B12" s="16" t="s">
        <v>175</v>
      </c>
      <c r="C12" s="16" t="s">
        <v>372</v>
      </c>
      <c r="D12" s="22" t="s">
        <v>155</v>
      </c>
      <c r="E12" s="22" t="s">
        <v>482</v>
      </c>
      <c r="F12" s="157">
        <f t="shared" si="0"/>
        <v>1.9553165597299701E-4</v>
      </c>
      <c r="G12" s="96">
        <v>0</v>
      </c>
      <c r="H12" s="97">
        <v>9.5000000000000005E-5</v>
      </c>
      <c r="I12" s="15">
        <v>0</v>
      </c>
      <c r="J12" s="13"/>
      <c r="K12" s="98">
        <v>2.0386285499577299E-5</v>
      </c>
      <c r="L12" s="98">
        <v>0</v>
      </c>
      <c r="M12" s="98">
        <v>5.7377882144011697E-5</v>
      </c>
      <c r="N12" s="98">
        <v>2.2767488329407998E-5</v>
      </c>
      <c r="O12" s="98"/>
      <c r="P12" s="98"/>
      <c r="Q12" s="13"/>
      <c r="R12" s="143">
        <f>'Parameters, country spec'!B21</f>
        <v>0</v>
      </c>
    </row>
    <row r="13" spans="1:18" x14ac:dyDescent="0.35">
      <c r="B13" s="17" t="s">
        <v>177</v>
      </c>
      <c r="C13" s="16" t="s">
        <v>374</v>
      </c>
      <c r="D13" s="22" t="s">
        <v>450</v>
      </c>
      <c r="E13" s="22"/>
      <c r="F13" s="120">
        <f t="shared" si="0"/>
        <v>3.8246443678729497E-4</v>
      </c>
      <c r="G13" s="32">
        <f>'Off-farm feed'!$F$75</f>
        <v>1.684774766302073E-4</v>
      </c>
      <c r="H13" s="32">
        <f>'Off-farm feed'!$G$75</f>
        <v>4.5862068965517246E-5</v>
      </c>
      <c r="I13" s="32"/>
      <c r="J13" s="32"/>
      <c r="K13" s="32">
        <f>'Off-farm feed'!$J$75</f>
        <v>1.0936279334641699E-5</v>
      </c>
      <c r="L13" s="32"/>
      <c r="M13" s="32">
        <f>'Off-farm feed'!$L$75</f>
        <v>6.4606960551724142E-7</v>
      </c>
      <c r="N13" s="32">
        <f>'Off-farm feed'!$M$75</f>
        <v>2.1884761697575221E-5</v>
      </c>
      <c r="O13" s="32"/>
      <c r="P13" s="32">
        <f>'Off-farm feed'!$O$75</f>
        <v>4.5962128379923281E-5</v>
      </c>
      <c r="Q13" s="32">
        <f>'Off-farm feed'!$P$75</f>
        <v>8.8695652173913049E-5</v>
      </c>
      <c r="R13" s="143">
        <f>'Parameters, country spec'!B22</f>
        <v>4.3850784569502733E-2</v>
      </c>
    </row>
    <row r="14" spans="1:18" x14ac:dyDescent="0.35">
      <c r="B14" s="17" t="s">
        <v>375</v>
      </c>
      <c r="C14" s="16" t="s">
        <v>374</v>
      </c>
      <c r="D14" s="22" t="s">
        <v>426</v>
      </c>
      <c r="E14" s="22"/>
      <c r="F14" s="120">
        <f t="shared" si="0"/>
        <v>4.7266553697523981E-4</v>
      </c>
      <c r="G14" s="32">
        <f>'Off-farm feed'!$F$24</f>
        <v>1.5603516238625262E-5</v>
      </c>
      <c r="H14" s="32">
        <f>'Off-farm feed'!$G$24</f>
        <v>7.5304878048780503E-5</v>
      </c>
      <c r="I14" s="32"/>
      <c r="J14" s="32"/>
      <c r="K14" s="32">
        <f>'Off-farm feed'!$J$24</f>
        <v>1.908459074435586E-5</v>
      </c>
      <c r="L14" s="32"/>
      <c r="M14" s="32">
        <f>'Off-farm feed'!$L$24</f>
        <v>5.9672097439024396E-7</v>
      </c>
      <c r="N14" s="32">
        <f>'Off-farm feed'!$M$24</f>
        <v>2.3084271612619523E-5</v>
      </c>
      <c r="O14" s="32"/>
      <c r="P14" s="32">
        <f>'Off-farm feed'!$O$24</f>
        <v>1.2899155935646844E-4</v>
      </c>
      <c r="Q14" s="32">
        <f>'Off-farm feed'!$P$24</f>
        <v>2.1000000000000001E-4</v>
      </c>
      <c r="R14" s="143">
        <f>'Parameters, country spec'!B23</f>
        <v>3.9507741172757453E-2</v>
      </c>
    </row>
    <row r="15" spans="1:18" x14ac:dyDescent="0.35">
      <c r="B15" s="16" t="s">
        <v>181</v>
      </c>
      <c r="C15" s="16" t="s">
        <v>376</v>
      </c>
      <c r="D15" s="22" t="s">
        <v>155</v>
      </c>
      <c r="E15" s="22" t="s">
        <v>482</v>
      </c>
      <c r="F15" s="157">
        <f t="shared" si="0"/>
        <v>3.2143478960375862E-4</v>
      </c>
      <c r="G15" s="98">
        <v>0</v>
      </c>
      <c r="H15" s="98">
        <v>8.5499999999999995E-6</v>
      </c>
      <c r="I15" s="47">
        <v>0</v>
      </c>
      <c r="J15" s="47"/>
      <c r="K15" s="98">
        <v>1.0010660054549999E-6</v>
      </c>
      <c r="L15" s="47">
        <v>0</v>
      </c>
      <c r="M15" s="47">
        <v>3.9080613435562999E-8</v>
      </c>
      <c r="N15" s="98">
        <v>2.0490739496467201E-6</v>
      </c>
      <c r="O15" s="98"/>
      <c r="P15" s="98">
        <v>3.05272119125027E-4</v>
      </c>
      <c r="Q15" s="98">
        <v>4.5234499101943599E-6</v>
      </c>
      <c r="R15" s="143">
        <f>'Parameters, country spec'!B24</f>
        <v>3.6206796949373683E-2</v>
      </c>
    </row>
    <row r="16" spans="1:18" x14ac:dyDescent="0.35">
      <c r="A16" s="80"/>
      <c r="B16" s="16" t="s">
        <v>377</v>
      </c>
      <c r="C16" s="81" t="s">
        <v>378</v>
      </c>
      <c r="D16" s="22" t="s">
        <v>155</v>
      </c>
      <c r="E16" s="22" t="s">
        <v>482</v>
      </c>
      <c r="F16" s="158">
        <f t="shared" si="0"/>
        <v>1.5733179617713716E-4</v>
      </c>
      <c r="G16" s="79">
        <f>AVERAGE(G6:G14)</f>
        <v>2.045344365209251E-5</v>
      </c>
      <c r="H16" s="79">
        <f>AVERAGE(H6:H14)</f>
        <v>8.7351883001588647E-5</v>
      </c>
      <c r="I16" s="79"/>
      <c r="J16" s="79"/>
      <c r="K16" s="79">
        <f>AVERAGE(K6:K14)</f>
        <v>1.5518944173241319E-5</v>
      </c>
      <c r="L16" s="79"/>
      <c r="M16" s="79">
        <f>AVERAGE(M6:M14)</f>
        <v>1.130291961509792E-5</v>
      </c>
      <c r="N16" s="79">
        <f>AVERAGE(N6:N14)</f>
        <v>2.270460573511675E-5</v>
      </c>
      <c r="O16" s="79"/>
      <c r="P16" s="79"/>
      <c r="Q16" s="79"/>
      <c r="R16" s="143">
        <f>'Parameters, country spec'!B25</f>
        <v>2.556294288391299E-2</v>
      </c>
    </row>
    <row r="17" spans="1:18" x14ac:dyDescent="0.35">
      <c r="A17" s="142"/>
      <c r="B17" s="24" t="s">
        <v>379</v>
      </c>
      <c r="C17" s="25"/>
      <c r="D17" s="99"/>
      <c r="E17" s="99"/>
      <c r="F17" s="29">
        <f t="shared" ref="F17:Q17" si="1">SUMPRODUCT(F6:F16,$R$6:$R$16)</f>
        <v>1.6209759606440434E-4</v>
      </c>
      <c r="G17" s="29">
        <f t="shared" si="1"/>
        <v>8.5271794253229488E-6</v>
      </c>
      <c r="H17" s="29">
        <f t="shared" si="1"/>
        <v>8.8741567417327896E-5</v>
      </c>
      <c r="I17" s="29">
        <f t="shared" si="1"/>
        <v>0</v>
      </c>
      <c r="J17" s="29">
        <f t="shared" si="1"/>
        <v>0</v>
      </c>
      <c r="K17" s="29">
        <f t="shared" si="1"/>
        <v>1.1807589296046023E-5</v>
      </c>
      <c r="L17" s="29">
        <f t="shared" si="1"/>
        <v>0</v>
      </c>
      <c r="M17" s="29">
        <f t="shared" si="1"/>
        <v>5.173739700796295E-7</v>
      </c>
      <c r="N17" s="29">
        <f t="shared" si="1"/>
        <v>2.1989540579275454E-5</v>
      </c>
      <c r="O17" s="29">
        <f t="shared" si="1"/>
        <v>0</v>
      </c>
      <c r="P17" s="29">
        <f t="shared" si="1"/>
        <v>1.8164566161934443E-5</v>
      </c>
      <c r="Q17" s="29">
        <f t="shared" si="1"/>
        <v>1.2349779214417943E-5</v>
      </c>
      <c r="R17" s="144"/>
    </row>
    <row r="18" spans="1:18" x14ac:dyDescent="0.35">
      <c r="A18" s="21" t="s">
        <v>365</v>
      </c>
      <c r="B18" s="16" t="s">
        <v>168</v>
      </c>
      <c r="C18" s="16" t="s">
        <v>366</v>
      </c>
      <c r="D18" s="22" t="s">
        <v>36</v>
      </c>
      <c r="E18" s="22" t="s">
        <v>84</v>
      </c>
      <c r="F18" s="157">
        <f t="shared" ref="F18:F28" si="2">SUM(G18:Q18)</f>
        <v>1.2723432874739088E-4</v>
      </c>
      <c r="G18" s="96">
        <v>0</v>
      </c>
      <c r="H18" s="97">
        <v>9.5000000000000005E-5</v>
      </c>
      <c r="I18" s="15">
        <v>0</v>
      </c>
      <c r="J18" s="13"/>
      <c r="K18" s="98">
        <v>1.4286171732003099E-5</v>
      </c>
      <c r="L18" s="98">
        <v>0</v>
      </c>
      <c r="M18" s="98">
        <v>6.3275175978860003E-10</v>
      </c>
      <c r="N18" s="98">
        <v>1.7947524263628E-5</v>
      </c>
      <c r="O18" s="98"/>
      <c r="P18" s="98"/>
      <c r="Q18" s="13"/>
      <c r="R18" s="143">
        <f>'Parameters, country spec'!C15</f>
        <v>0.16402988956347131</v>
      </c>
    </row>
    <row r="19" spans="1:18" x14ac:dyDescent="0.35">
      <c r="A19" s="21" t="s">
        <v>367</v>
      </c>
      <c r="B19" s="16" t="s">
        <v>170</v>
      </c>
      <c r="C19" s="16" t="s">
        <v>366</v>
      </c>
      <c r="D19" s="22" t="s">
        <v>36</v>
      </c>
      <c r="E19" s="22" t="s">
        <v>84</v>
      </c>
      <c r="F19" s="157">
        <f t="shared" si="2"/>
        <v>1.3043464412497476E-4</v>
      </c>
      <c r="G19" s="96">
        <v>0</v>
      </c>
      <c r="H19" s="97">
        <v>9.5000000000000005E-5</v>
      </c>
      <c r="I19" s="15">
        <v>0</v>
      </c>
      <c r="J19" s="13"/>
      <c r="K19" s="98">
        <v>8.0196373769558906E-6</v>
      </c>
      <c r="L19" s="98">
        <v>0</v>
      </c>
      <c r="M19" s="98">
        <v>9.4674824843908693E-6</v>
      </c>
      <c r="N19" s="98">
        <v>1.7947524263628E-5</v>
      </c>
      <c r="O19" s="98"/>
      <c r="P19" s="98"/>
      <c r="Q19" s="13"/>
      <c r="R19" s="143">
        <f>'Parameters, country spec'!C16</f>
        <v>0.26979047748052709</v>
      </c>
    </row>
    <row r="20" spans="1:18" x14ac:dyDescent="0.35">
      <c r="A20" s="21" t="s">
        <v>368</v>
      </c>
      <c r="B20" s="16" t="s">
        <v>171</v>
      </c>
      <c r="C20" s="16" t="s">
        <v>366</v>
      </c>
      <c r="D20" s="22" t="s">
        <v>36</v>
      </c>
      <c r="E20" s="22" t="s">
        <v>84</v>
      </c>
      <c r="F20" s="157">
        <f t="shared" si="2"/>
        <v>1.3636510111587278E-4</v>
      </c>
      <c r="G20" s="96">
        <v>0</v>
      </c>
      <c r="H20" s="97">
        <v>9.5000000000000005E-5</v>
      </c>
      <c r="I20" s="15">
        <v>0</v>
      </c>
      <c r="J20" s="13"/>
      <c r="K20" s="98">
        <v>1.9833005319278798E-5</v>
      </c>
      <c r="L20" s="98">
        <v>0</v>
      </c>
      <c r="M20" s="98">
        <v>3.5845715329659699E-6</v>
      </c>
      <c r="N20" s="98">
        <v>1.7947524263628E-5</v>
      </c>
      <c r="O20" s="98"/>
      <c r="P20" s="98"/>
      <c r="Q20" s="13"/>
      <c r="R20" s="143">
        <f>'Parameters, country spec'!C17</f>
        <v>1.8587387131106831E-2</v>
      </c>
    </row>
    <row r="21" spans="1:18" x14ac:dyDescent="0.35">
      <c r="A21" s="21" t="s">
        <v>369</v>
      </c>
      <c r="B21" s="16" t="s">
        <v>172</v>
      </c>
      <c r="C21" s="16" t="s">
        <v>366</v>
      </c>
      <c r="D21" s="22" t="s">
        <v>36</v>
      </c>
      <c r="E21" s="22" t="s">
        <v>84</v>
      </c>
      <c r="F21" s="157">
        <f t="shared" si="2"/>
        <v>1.3385318160415261E-4</v>
      </c>
      <c r="G21" s="96">
        <v>0</v>
      </c>
      <c r="H21" s="97">
        <v>9.5000000000000005E-5</v>
      </c>
      <c r="I21" s="13">
        <v>0</v>
      </c>
      <c r="J21" s="13"/>
      <c r="K21" s="98">
        <v>2.0824119581523299E-5</v>
      </c>
      <c r="L21" s="98">
        <v>0</v>
      </c>
      <c r="M21" s="98">
        <v>8.15377590012958E-8</v>
      </c>
      <c r="N21" s="98">
        <v>1.7947524263628E-5</v>
      </c>
      <c r="O21" s="98"/>
      <c r="P21" s="98"/>
      <c r="Q21" s="13"/>
      <c r="R21" s="143">
        <f>'Parameters, country spec'!C18</f>
        <v>2.85446978296886E-3</v>
      </c>
    </row>
    <row r="22" spans="1:18" x14ac:dyDescent="0.35">
      <c r="A22" s="21" t="s">
        <v>370</v>
      </c>
      <c r="B22" s="16" t="s">
        <v>173</v>
      </c>
      <c r="C22" s="16" t="s">
        <v>366</v>
      </c>
      <c r="D22" s="22" t="s">
        <v>36</v>
      </c>
      <c r="E22" s="22" t="s">
        <v>84</v>
      </c>
      <c r="F22" s="157">
        <f t="shared" si="2"/>
        <v>1.2561669774931828E-4</v>
      </c>
      <c r="G22" s="96">
        <v>0</v>
      </c>
      <c r="H22" s="97">
        <v>9.5000000000000005E-5</v>
      </c>
      <c r="I22" s="13">
        <v>0</v>
      </c>
      <c r="J22" s="13"/>
      <c r="K22" s="98">
        <v>1.2616551699637E-5</v>
      </c>
      <c r="L22" s="98">
        <v>0</v>
      </c>
      <c r="M22" s="98">
        <v>5.2621786053292597E-8</v>
      </c>
      <c r="N22" s="98">
        <v>1.7947524263628E-5</v>
      </c>
      <c r="O22" s="98"/>
      <c r="P22" s="98"/>
      <c r="Q22" s="13"/>
      <c r="R22" s="143">
        <f>'Parameters, country spec'!C19</f>
        <v>0.39960951046637888</v>
      </c>
    </row>
    <row r="23" spans="1:18" x14ac:dyDescent="0.35">
      <c r="A23" s="21" t="s">
        <v>371</v>
      </c>
      <c r="B23" s="16" t="s">
        <v>174</v>
      </c>
      <c r="C23" s="16" t="s">
        <v>372</v>
      </c>
      <c r="D23" s="22" t="s">
        <v>36</v>
      </c>
      <c r="E23" s="22" t="s">
        <v>84</v>
      </c>
      <c r="F23" s="157">
        <f t="shared" si="2"/>
        <v>1.5323348809202599E-4</v>
      </c>
      <c r="G23" s="96">
        <v>0</v>
      </c>
      <c r="H23" s="97">
        <v>9.5000000000000005E-5</v>
      </c>
      <c r="I23" s="15">
        <v>0</v>
      </c>
      <c r="J23" s="13"/>
      <c r="K23" s="98">
        <v>2.6539357994497098E-5</v>
      </c>
      <c r="L23" s="98">
        <v>0</v>
      </c>
      <c r="M23" s="98">
        <v>1.3746605833900899E-5</v>
      </c>
      <c r="N23" s="98">
        <v>1.7947524263628E-5</v>
      </c>
      <c r="O23" s="98"/>
      <c r="P23" s="98"/>
      <c r="Q23" s="13"/>
      <c r="R23" s="143">
        <f>'Parameters, country spec'!C20</f>
        <v>0</v>
      </c>
    </row>
    <row r="24" spans="1:18" x14ac:dyDescent="0.35">
      <c r="A24" s="21" t="s">
        <v>373</v>
      </c>
      <c r="B24" s="16" t="s">
        <v>175</v>
      </c>
      <c r="C24" s="16" t="s">
        <v>372</v>
      </c>
      <c r="D24" s="22" t="s">
        <v>36</v>
      </c>
      <c r="E24" s="22" t="s">
        <v>84</v>
      </c>
      <c r="F24" s="157">
        <f t="shared" si="2"/>
        <v>1.6119222279590621E-4</v>
      </c>
      <c r="G24" s="96">
        <v>0</v>
      </c>
      <c r="H24" s="97">
        <v>9.5000000000000005E-5</v>
      </c>
      <c r="I24" s="15">
        <v>0</v>
      </c>
      <c r="J24" s="13"/>
      <c r="K24" s="98">
        <v>3.2556824375567801E-5</v>
      </c>
      <c r="L24" s="98">
        <v>0</v>
      </c>
      <c r="M24" s="98">
        <v>1.5687874156710401E-5</v>
      </c>
      <c r="N24" s="98">
        <v>1.7947524263628E-5</v>
      </c>
      <c r="O24" s="98"/>
      <c r="P24" s="98"/>
      <c r="Q24" s="13"/>
      <c r="R24" s="143">
        <f>'Parameters, country spec'!C21</f>
        <v>0</v>
      </c>
    </row>
    <row r="25" spans="1:18" x14ac:dyDescent="0.35">
      <c r="B25" s="17" t="s">
        <v>177</v>
      </c>
      <c r="C25" s="16" t="s">
        <v>374</v>
      </c>
      <c r="D25" s="22" t="s">
        <v>450</v>
      </c>
      <c r="E25" s="22"/>
      <c r="F25" s="120">
        <f t="shared" si="2"/>
        <v>3.8246443678729497E-4</v>
      </c>
      <c r="G25" s="32">
        <f>'Off-farm feed'!$F$75</f>
        <v>1.684774766302073E-4</v>
      </c>
      <c r="H25" s="32">
        <f>'Off-farm feed'!$G$75</f>
        <v>4.5862068965517246E-5</v>
      </c>
      <c r="I25" s="32"/>
      <c r="J25" s="32"/>
      <c r="K25" s="32">
        <f>'Off-farm feed'!$J$75</f>
        <v>1.0936279334641699E-5</v>
      </c>
      <c r="L25" s="32"/>
      <c r="M25" s="32">
        <f>'Off-farm feed'!$L$75</f>
        <v>6.4606960551724142E-7</v>
      </c>
      <c r="N25" s="32">
        <f>'Off-farm feed'!$M$75</f>
        <v>2.1884761697575221E-5</v>
      </c>
      <c r="O25" s="32"/>
      <c r="P25" s="32">
        <f>'Off-farm feed'!$O$75</f>
        <v>4.5962128379923281E-5</v>
      </c>
      <c r="Q25" s="32">
        <f>'Off-farm feed'!$P$75</f>
        <v>8.8695652173913049E-5</v>
      </c>
      <c r="R25" s="143">
        <f>'Parameters, country spec'!C22</f>
        <v>4.3850784569502733E-2</v>
      </c>
    </row>
    <row r="26" spans="1:18" x14ac:dyDescent="0.35">
      <c r="B26" s="17" t="s">
        <v>375</v>
      </c>
      <c r="C26" s="16" t="s">
        <v>374</v>
      </c>
      <c r="D26" s="22" t="s">
        <v>426</v>
      </c>
      <c r="E26" s="22"/>
      <c r="F26" s="120">
        <f t="shared" si="2"/>
        <v>4.7266553697523981E-4</v>
      </c>
      <c r="G26" s="32">
        <f>'Off-farm feed'!$F$24</f>
        <v>1.5603516238625262E-5</v>
      </c>
      <c r="H26" s="32">
        <f>'Off-farm feed'!$G$24</f>
        <v>7.5304878048780503E-5</v>
      </c>
      <c r="I26" s="32"/>
      <c r="J26" s="32"/>
      <c r="K26" s="32">
        <f>'Off-farm feed'!$J$24</f>
        <v>1.908459074435586E-5</v>
      </c>
      <c r="L26" s="32"/>
      <c r="M26" s="32">
        <f>'Off-farm feed'!$L$24</f>
        <v>5.9672097439024396E-7</v>
      </c>
      <c r="N26" s="32">
        <f>'Off-farm feed'!$M$24</f>
        <v>2.3084271612619523E-5</v>
      </c>
      <c r="O26" s="32"/>
      <c r="P26" s="32">
        <f>'Off-farm feed'!$O$24</f>
        <v>1.2899155935646844E-4</v>
      </c>
      <c r="Q26" s="32">
        <f>'Off-farm feed'!$P$24</f>
        <v>2.1000000000000001E-4</v>
      </c>
      <c r="R26" s="143">
        <f>'Parameters, country spec'!C23</f>
        <v>3.9507741172757453E-2</v>
      </c>
    </row>
    <row r="27" spans="1:18" x14ac:dyDescent="0.35">
      <c r="B27" s="16" t="s">
        <v>181</v>
      </c>
      <c r="C27" s="16" t="s">
        <v>376</v>
      </c>
      <c r="D27" s="22" t="s">
        <v>36</v>
      </c>
      <c r="E27" s="22" t="s">
        <v>84</v>
      </c>
      <c r="F27" s="157">
        <f t="shared" si="2"/>
        <v>3.2110107183266001E-4</v>
      </c>
      <c r="G27" s="98">
        <v>0</v>
      </c>
      <c r="H27" s="98">
        <v>8.5499999999999995E-6</v>
      </c>
      <c r="I27" s="47">
        <v>0</v>
      </c>
      <c r="J27" s="47"/>
      <c r="K27" s="98">
        <v>1.13548965296733E-6</v>
      </c>
      <c r="L27" s="47">
        <v>0</v>
      </c>
      <c r="M27" s="47">
        <v>4.7359607447963301E-9</v>
      </c>
      <c r="N27" s="98">
        <v>1.61527718372652E-6</v>
      </c>
      <c r="O27" s="98"/>
      <c r="P27" s="98">
        <v>3.05272119125027E-4</v>
      </c>
      <c r="Q27" s="98">
        <v>4.5234499101943599E-6</v>
      </c>
      <c r="R27" s="143">
        <f>'Parameters, country spec'!C24</f>
        <v>3.6206796949373683E-2</v>
      </c>
    </row>
    <row r="28" spans="1:18" x14ac:dyDescent="0.35">
      <c r="A28" s="80"/>
      <c r="B28" s="16" t="s">
        <v>377</v>
      </c>
      <c r="C28" s="81" t="s">
        <v>378</v>
      </c>
      <c r="D28" s="22" t="s">
        <v>36</v>
      </c>
      <c r="E28" s="22" t="s">
        <v>84</v>
      </c>
      <c r="F28" s="158">
        <f t="shared" si="2"/>
        <v>1.4993447756465238E-4</v>
      </c>
      <c r="G28" s="79">
        <f>AVERAGE(G18:G26)</f>
        <v>2.045344365209251E-5</v>
      </c>
      <c r="H28" s="79">
        <f>AVERAGE(H18:H26)</f>
        <v>8.7351883001588647E-5</v>
      </c>
      <c r="I28" s="79"/>
      <c r="J28" s="79"/>
      <c r="K28" s="79">
        <f>AVERAGE(K18:K26)</f>
        <v>1.8299615350940059E-5</v>
      </c>
      <c r="L28" s="79"/>
      <c r="M28" s="79">
        <f>AVERAGE(M18:M26)</f>
        <v>4.8737907649655555E-6</v>
      </c>
      <c r="N28" s="79">
        <f>AVERAGE(N18:N26)</f>
        <v>1.8955744795065639E-5</v>
      </c>
      <c r="O28" s="79"/>
      <c r="P28" s="79"/>
      <c r="Q28" s="79"/>
      <c r="R28" s="143">
        <f>'Parameters, country spec'!C25</f>
        <v>2.556294288391299E-2</v>
      </c>
    </row>
    <row r="29" spans="1:18" x14ac:dyDescent="0.35">
      <c r="A29" s="142"/>
      <c r="B29" s="24" t="s">
        <v>379</v>
      </c>
      <c r="C29" s="25"/>
      <c r="D29" s="99"/>
      <c r="E29" s="99"/>
      <c r="F29" s="45">
        <f t="shared" ref="F29:O29" si="3">SUMPRODUCT(F18:F28,$R$18:$R$28)</f>
        <v>1.6007875680700318E-4</v>
      </c>
      <c r="G29" s="45">
        <f t="shared" si="3"/>
        <v>8.5271794253229488E-6</v>
      </c>
      <c r="H29" s="45">
        <f t="shared" si="3"/>
        <v>8.8741567417327896E-5</v>
      </c>
      <c r="I29" s="45">
        <f t="shared" si="3"/>
        <v>0</v>
      </c>
      <c r="J29" s="45">
        <f t="shared" si="3"/>
        <v>0</v>
      </c>
      <c r="K29" s="45">
        <f t="shared" si="3"/>
        <v>1.1719218550973743E-5</v>
      </c>
      <c r="L29" s="45">
        <f t="shared" si="3"/>
        <v>0</v>
      </c>
      <c r="M29" s="45">
        <f t="shared" si="3"/>
        <v>2.8188948080388746E-6</v>
      </c>
      <c r="N29" s="45">
        <f t="shared" si="3"/>
        <v>1.7757551228987338E-5</v>
      </c>
      <c r="O29" s="45">
        <f t="shared" si="3"/>
        <v>0</v>
      </c>
      <c r="P29" s="45">
        <f>SUMPRODUCT(P18:P28,R18:R28)</f>
        <v>1.8164566161934443E-5</v>
      </c>
      <c r="Q29" s="45">
        <f>SUMPRODUCT(Q18:Q28,$R$18:$R$28)</f>
        <v>1.2349779214417943E-5</v>
      </c>
      <c r="R29" s="144"/>
    </row>
    <row r="30" spans="1:18" x14ac:dyDescent="0.35">
      <c r="A30" s="21" t="s">
        <v>365</v>
      </c>
      <c r="B30" s="16" t="s">
        <v>168</v>
      </c>
      <c r="C30" s="16" t="s">
        <v>366</v>
      </c>
      <c r="D30" s="22" t="s">
        <v>33</v>
      </c>
      <c r="E30" s="22" t="s">
        <v>85</v>
      </c>
      <c r="F30" s="271">
        <f t="shared" ref="F30:F40" si="4">SUM(G30:Q30)</f>
        <v>1.3808951704712943E-4</v>
      </c>
      <c r="G30" s="272">
        <v>0</v>
      </c>
      <c r="H30" s="273">
        <v>9.5000000000000005E-5</v>
      </c>
      <c r="I30" s="274">
        <v>0</v>
      </c>
      <c r="J30" s="275"/>
      <c r="K30" s="276">
        <v>1.27144571375721E-5</v>
      </c>
      <c r="L30" s="276">
        <v>0</v>
      </c>
      <c r="M30" s="276">
        <v>9.6438568669313804E-8</v>
      </c>
      <c r="N30" s="276">
        <v>3.0278621340887999E-5</v>
      </c>
      <c r="O30" s="276"/>
      <c r="P30" s="276"/>
      <c r="Q30" s="275"/>
      <c r="R30" s="143">
        <f>'Parameters, country spec'!D15</f>
        <v>0.1435440309091161</v>
      </c>
    </row>
    <row r="31" spans="1:18" x14ac:dyDescent="0.35">
      <c r="A31" s="21" t="s">
        <v>367</v>
      </c>
      <c r="B31" s="16" t="s">
        <v>170</v>
      </c>
      <c r="C31" s="16" t="s">
        <v>366</v>
      </c>
      <c r="D31" s="22" t="s">
        <v>33</v>
      </c>
      <c r="E31" s="22" t="s">
        <v>85</v>
      </c>
      <c r="F31" s="157">
        <f t="shared" si="4"/>
        <v>1.3426469564591439E-4</v>
      </c>
      <c r="G31" s="96">
        <v>0</v>
      </c>
      <c r="H31" s="97">
        <v>9.5000000000000005E-5</v>
      </c>
      <c r="I31" s="15">
        <v>0</v>
      </c>
      <c r="J31" s="13"/>
      <c r="K31" s="98">
        <v>7.39091652636114E-6</v>
      </c>
      <c r="L31" s="98">
        <v>0</v>
      </c>
      <c r="M31" s="98">
        <v>1.59515777866526E-6</v>
      </c>
      <c r="N31" s="98">
        <v>3.0278621340887999E-5</v>
      </c>
      <c r="O31" s="98"/>
      <c r="P31" s="98"/>
      <c r="Q31" s="13"/>
      <c r="R31" s="143">
        <f>'Parameters, country spec'!D16</f>
        <v>0.2137111814189753</v>
      </c>
    </row>
    <row r="32" spans="1:18" x14ac:dyDescent="0.35">
      <c r="A32" s="21" t="s">
        <v>368</v>
      </c>
      <c r="B32" s="16" t="s">
        <v>171</v>
      </c>
      <c r="C32" s="16" t="s">
        <v>366</v>
      </c>
      <c r="D32" s="22" t="s">
        <v>33</v>
      </c>
      <c r="E32" s="22" t="s">
        <v>85</v>
      </c>
      <c r="F32" s="157">
        <f t="shared" si="4"/>
        <v>1.4437973229630417E-4</v>
      </c>
      <c r="G32" s="96">
        <v>0</v>
      </c>
      <c r="H32" s="97">
        <v>9.5000000000000005E-5</v>
      </c>
      <c r="I32" s="15">
        <v>0</v>
      </c>
      <c r="J32" s="13"/>
      <c r="K32" s="98">
        <v>1.9032928238950399E-5</v>
      </c>
      <c r="L32" s="98">
        <v>0</v>
      </c>
      <c r="M32" s="98">
        <v>6.8182716465758402E-8</v>
      </c>
      <c r="N32" s="98">
        <v>3.0278621340887999E-5</v>
      </c>
      <c r="O32" s="98"/>
      <c r="P32" s="98"/>
      <c r="Q32" s="13"/>
      <c r="R32" s="143">
        <f>'Parameters, country spec'!D17</f>
        <v>2.857298319366468E-5</v>
      </c>
    </row>
    <row r="33" spans="1:18" x14ac:dyDescent="0.35">
      <c r="A33" s="21" t="s">
        <v>369</v>
      </c>
      <c r="B33" s="16" t="s">
        <v>172</v>
      </c>
      <c r="C33" s="16" t="s">
        <v>366</v>
      </c>
      <c r="D33" s="22" t="s">
        <v>33</v>
      </c>
      <c r="E33" s="22" t="s">
        <v>85</v>
      </c>
      <c r="F33" s="157">
        <f t="shared" si="4"/>
        <v>1.4170867484792954E-4</v>
      </c>
      <c r="G33" s="96">
        <v>0</v>
      </c>
      <c r="H33" s="97">
        <v>9.5000000000000005E-5</v>
      </c>
      <c r="I33" s="13">
        <v>0</v>
      </c>
      <c r="J33" s="13"/>
      <c r="K33" s="98">
        <v>1.6430050351224899E-5</v>
      </c>
      <c r="L33" s="98">
        <v>0</v>
      </c>
      <c r="M33" s="98">
        <v>3.1558166394000002E-12</v>
      </c>
      <c r="N33" s="98">
        <v>3.0278621340887999E-5</v>
      </c>
      <c r="O33" s="98"/>
      <c r="P33" s="98"/>
      <c r="Q33" s="13"/>
      <c r="R33" s="143">
        <f>'Parameters, country spec'!D18</f>
        <v>2.344773715143467E-2</v>
      </c>
    </row>
    <row r="34" spans="1:18" x14ac:dyDescent="0.35">
      <c r="A34" s="21" t="s">
        <v>370</v>
      </c>
      <c r="B34" s="16" t="s">
        <v>173</v>
      </c>
      <c r="C34" s="16" t="s">
        <v>366</v>
      </c>
      <c r="D34" s="22" t="s">
        <v>33</v>
      </c>
      <c r="E34" s="22" t="s">
        <v>85</v>
      </c>
      <c r="F34" s="157">
        <f t="shared" si="4"/>
        <v>1.3673011818762825E-4</v>
      </c>
      <c r="G34" s="96">
        <v>0</v>
      </c>
      <c r="H34" s="97">
        <v>9.5000000000000005E-5</v>
      </c>
      <c r="I34" s="13">
        <v>0</v>
      </c>
      <c r="J34" s="13"/>
      <c r="K34" s="98">
        <v>1.14514947211153E-5</v>
      </c>
      <c r="L34" s="98">
        <v>0</v>
      </c>
      <c r="M34" s="98">
        <v>2.1256249543999999E-12</v>
      </c>
      <c r="N34" s="98">
        <v>3.0278621340887999E-5</v>
      </c>
      <c r="O34" s="98"/>
      <c r="P34" s="98"/>
      <c r="Q34" s="13"/>
      <c r="R34" s="143">
        <f>'Parameters, country spec'!D19</f>
        <v>0.47946147932032229</v>
      </c>
    </row>
    <row r="35" spans="1:18" x14ac:dyDescent="0.35">
      <c r="A35" s="21" t="s">
        <v>371</v>
      </c>
      <c r="B35" s="16" t="s">
        <v>174</v>
      </c>
      <c r="C35" s="16" t="s">
        <v>372</v>
      </c>
      <c r="D35" s="22" t="s">
        <v>33</v>
      </c>
      <c r="E35" s="22" t="s">
        <v>85</v>
      </c>
      <c r="F35" s="157">
        <f t="shared" si="4"/>
        <v>1.6245510504097222E-4</v>
      </c>
      <c r="G35" s="96">
        <v>0</v>
      </c>
      <c r="H35" s="97">
        <v>9.5000000000000005E-5</v>
      </c>
      <c r="I35" s="15">
        <v>0</v>
      </c>
      <c r="J35" s="13"/>
      <c r="K35" s="98">
        <v>2.63231503193984E-5</v>
      </c>
      <c r="L35" s="98">
        <v>0</v>
      </c>
      <c r="M35" s="98">
        <v>1.0853333380685801E-5</v>
      </c>
      <c r="N35" s="98">
        <v>3.0278621340887999E-5</v>
      </c>
      <c r="O35" s="98"/>
      <c r="P35" s="98"/>
      <c r="Q35" s="13"/>
      <c r="R35" s="143">
        <f>'Parameters, country spec'!D20</f>
        <v>6.205919903371391E-4</v>
      </c>
    </row>
    <row r="36" spans="1:18" x14ac:dyDescent="0.35">
      <c r="A36" s="21" t="s">
        <v>373</v>
      </c>
      <c r="B36" s="16" t="s">
        <v>175</v>
      </c>
      <c r="C36" s="16" t="s">
        <v>372</v>
      </c>
      <c r="D36" s="22" t="s">
        <v>33</v>
      </c>
      <c r="E36" s="22" t="s">
        <v>85</v>
      </c>
      <c r="F36" s="157">
        <f t="shared" si="4"/>
        <v>1.5316694911939586E-4</v>
      </c>
      <c r="G36" s="96">
        <v>0</v>
      </c>
      <c r="H36" s="97">
        <v>9.5000000000000005E-5</v>
      </c>
      <c r="I36" s="15">
        <v>0</v>
      </c>
      <c r="J36" s="13"/>
      <c r="K36" s="98">
        <v>2.11660018530258E-5</v>
      </c>
      <c r="L36" s="98">
        <v>0</v>
      </c>
      <c r="M36" s="98">
        <v>6.7223259254820599E-6</v>
      </c>
      <c r="N36" s="98">
        <v>3.0278621340887999E-5</v>
      </c>
      <c r="O36" s="98"/>
      <c r="P36" s="98"/>
      <c r="Q36" s="13"/>
      <c r="R36" s="143">
        <f>'Parameters, country spec'!D21</f>
        <v>6.0962584419075097E-4</v>
      </c>
    </row>
    <row r="37" spans="1:18" x14ac:dyDescent="0.35">
      <c r="B37" s="17" t="s">
        <v>177</v>
      </c>
      <c r="C37" s="16" t="s">
        <v>374</v>
      </c>
      <c r="D37" s="22" t="s">
        <v>450</v>
      </c>
      <c r="E37" s="22"/>
      <c r="F37" s="120">
        <f t="shared" si="4"/>
        <v>3.8246443678729497E-4</v>
      </c>
      <c r="G37" s="32">
        <f>'Off-farm feed'!$F$75</f>
        <v>1.684774766302073E-4</v>
      </c>
      <c r="H37" s="32">
        <f>'Off-farm feed'!$G$75</f>
        <v>4.5862068965517246E-5</v>
      </c>
      <c r="I37" s="32"/>
      <c r="J37" s="32"/>
      <c r="K37" s="32">
        <f>'Off-farm feed'!$J$75</f>
        <v>1.0936279334641699E-5</v>
      </c>
      <c r="L37" s="32"/>
      <c r="M37" s="32">
        <f>'Off-farm feed'!$L$75</f>
        <v>6.4606960551724142E-7</v>
      </c>
      <c r="N37" s="32">
        <f>'Off-farm feed'!$M$75</f>
        <v>2.1884761697575221E-5</v>
      </c>
      <c r="O37" s="32"/>
      <c r="P37" s="32">
        <f>'Off-farm feed'!$O$75</f>
        <v>4.5962128379923281E-5</v>
      </c>
      <c r="Q37" s="32">
        <f>'Off-farm feed'!$P$75</f>
        <v>8.8695652173913049E-5</v>
      </c>
      <c r="R37" s="143">
        <f>'Parameters, country spec'!D22</f>
        <v>6.2756108199759894E-2</v>
      </c>
    </row>
    <row r="38" spans="1:18" x14ac:dyDescent="0.35">
      <c r="B38" s="17" t="s">
        <v>375</v>
      </c>
      <c r="C38" s="16" t="s">
        <v>374</v>
      </c>
      <c r="D38" s="22" t="s">
        <v>426</v>
      </c>
      <c r="E38" s="22"/>
      <c r="F38" s="120">
        <f t="shared" si="4"/>
        <v>4.7266553697523981E-4</v>
      </c>
      <c r="G38" s="32">
        <f>'Off-farm feed'!$F$24</f>
        <v>1.5603516238625262E-5</v>
      </c>
      <c r="H38" s="32">
        <f>'Off-farm feed'!$G$24</f>
        <v>7.5304878048780503E-5</v>
      </c>
      <c r="I38" s="32"/>
      <c r="J38" s="32"/>
      <c r="K38" s="32">
        <f>'Off-farm feed'!$J$24</f>
        <v>1.908459074435586E-5</v>
      </c>
      <c r="L38" s="32"/>
      <c r="M38" s="32">
        <f>'Off-farm feed'!$L$24</f>
        <v>5.9672097439024396E-7</v>
      </c>
      <c r="N38" s="32">
        <f>'Off-farm feed'!$M$24</f>
        <v>2.3084271612619523E-5</v>
      </c>
      <c r="O38" s="32"/>
      <c r="P38" s="32">
        <f>'Off-farm feed'!$O$24</f>
        <v>1.2899155935646844E-4</v>
      </c>
      <c r="Q38" s="32">
        <f>'Off-farm feed'!$P$24</f>
        <v>2.1000000000000001E-4</v>
      </c>
      <c r="R38" s="143">
        <f>'Parameters, country spec'!D23</f>
        <v>6.029992977299907E-2</v>
      </c>
    </row>
    <row r="39" spans="1:18" x14ac:dyDescent="0.35">
      <c r="B39" s="16" t="s">
        <v>181</v>
      </c>
      <c r="C39" s="16" t="s">
        <v>376</v>
      </c>
      <c r="D39" s="22" t="s">
        <v>33</v>
      </c>
      <c r="E39" s="22" t="s">
        <v>85</v>
      </c>
      <c r="F39" s="157">
        <f t="shared" si="4"/>
        <v>1.0209971888950971E-3</v>
      </c>
      <c r="G39" s="98">
        <v>0</v>
      </c>
      <c r="H39" s="98">
        <v>8.5499999999999995E-6</v>
      </c>
      <c r="I39" s="47">
        <v>0</v>
      </c>
      <c r="J39" s="47"/>
      <c r="K39" s="98">
        <v>1.03063452490037E-6</v>
      </c>
      <c r="L39" s="47">
        <v>0</v>
      </c>
      <c r="M39" s="47">
        <v>1.9130624589599999E-13</v>
      </c>
      <c r="N39" s="98">
        <v>2.72507592067992E-6</v>
      </c>
      <c r="O39" s="98"/>
      <c r="P39" s="98">
        <v>9.9818289932063491E-4</v>
      </c>
      <c r="Q39" s="98">
        <v>1.05085789375756E-5</v>
      </c>
      <c r="R39" s="143">
        <f>'Parameters, country spec'!D24</f>
        <v>1.202935742430772E-2</v>
      </c>
    </row>
    <row r="40" spans="1:18" x14ac:dyDescent="0.35">
      <c r="A40" s="80"/>
      <c r="B40" s="16" t="s">
        <v>377</v>
      </c>
      <c r="C40" s="81" t="s">
        <v>378</v>
      </c>
      <c r="D40" s="22" t="s">
        <v>33</v>
      </c>
      <c r="E40" s="22" t="s">
        <v>85</v>
      </c>
      <c r="F40" s="158">
        <f t="shared" si="4"/>
        <v>1.5469726955972269E-4</v>
      </c>
      <c r="G40" s="79">
        <f>AVERAGE(G30:G38)</f>
        <v>2.045344365209251E-5</v>
      </c>
      <c r="H40" s="79">
        <f>AVERAGE(H30:H38)</f>
        <v>8.7351883001588647E-5</v>
      </c>
      <c r="I40" s="79"/>
      <c r="J40" s="79"/>
      <c r="K40" s="79">
        <f>AVERAGE(K30:K38)</f>
        <v>1.6058874358516177E-5</v>
      </c>
      <c r="L40" s="79"/>
      <c r="M40" s="79">
        <f>AVERAGE(M30:M38)</f>
        <v>2.2864704701463638E-6</v>
      </c>
      <c r="N40" s="79">
        <f>AVERAGE(N30:N38)</f>
        <v>2.8546598077378963E-5</v>
      </c>
      <c r="O40" s="79"/>
      <c r="P40" s="79"/>
      <c r="Q40" s="79"/>
      <c r="R40" s="143">
        <f>'Parameters, country spec'!D25</f>
        <v>3.491384985363475E-3</v>
      </c>
    </row>
    <row r="41" spans="1:18" x14ac:dyDescent="0.35">
      <c r="A41" s="142"/>
      <c r="B41" s="24" t="s">
        <v>379</v>
      </c>
      <c r="C41" s="25"/>
      <c r="D41" s="99"/>
      <c r="E41" s="99"/>
      <c r="F41" s="45">
        <f t="shared" ref="F41:O41" si="5">SUMPRODUCT(F30:F40,$R$30:$R$40)</f>
        <v>1.8291940945563959E-4</v>
      </c>
      <c r="G41" s="45">
        <f t="shared" si="5"/>
        <v>1.1585292532094655E-5</v>
      </c>
      <c r="H41" s="45">
        <f t="shared" si="5"/>
        <v>8.9662039742572524E-5</v>
      </c>
      <c r="I41" s="45">
        <f t="shared" si="5"/>
        <v>0</v>
      </c>
      <c r="J41" s="45">
        <f t="shared" si="5"/>
        <v>0</v>
      </c>
      <c r="K41" s="45">
        <f t="shared" si="5"/>
        <v>1.1215770532685942E-5</v>
      </c>
      <c r="L41" s="45">
        <f t="shared" si="5"/>
        <v>0</v>
      </c>
      <c r="M41" s="45">
        <f t="shared" si="5"/>
        <v>4.500928689159961E-7</v>
      </c>
      <c r="N41" s="45">
        <f t="shared" si="5"/>
        <v>2.8980537987338591E-5</v>
      </c>
      <c r="O41" s="45">
        <f t="shared" si="5"/>
        <v>0</v>
      </c>
      <c r="P41" s="45">
        <f>SUMPRODUCT(P30:P40,R30:R40)</f>
        <v>2.2670085142966094E-5</v>
      </c>
      <c r="Q41" s="45">
        <f>SUMPRODUCT(Q30:Q40,$R$30:$R$40)</f>
        <v>1.835559064906581E-5</v>
      </c>
      <c r="R41" s="144"/>
    </row>
    <row r="42" spans="1:18" x14ac:dyDescent="0.35">
      <c r="A42" s="21" t="s">
        <v>365</v>
      </c>
      <c r="B42" s="16" t="s">
        <v>168</v>
      </c>
      <c r="C42" s="16" t="s">
        <v>366</v>
      </c>
      <c r="D42" s="22" t="s">
        <v>31</v>
      </c>
      <c r="E42" s="22" t="s">
        <v>86</v>
      </c>
      <c r="F42" s="271">
        <f t="shared" ref="F42:F52" si="6">SUM(G42:Q42)</f>
        <v>1.6286318293985799E-4</v>
      </c>
      <c r="G42" s="272">
        <v>0</v>
      </c>
      <c r="H42" s="273">
        <v>9.5000000000000005E-5</v>
      </c>
      <c r="I42" s="274">
        <v>0</v>
      </c>
      <c r="J42" s="275"/>
      <c r="K42" s="276">
        <v>2.9908858414160001E-5</v>
      </c>
      <c r="L42" s="276">
        <v>0</v>
      </c>
      <c r="M42" s="276">
        <v>0</v>
      </c>
      <c r="N42" s="276">
        <v>3.7954324525697998E-5</v>
      </c>
      <c r="O42" s="276"/>
      <c r="P42" s="276"/>
      <c r="Q42" s="275"/>
      <c r="R42" s="143">
        <f>'Parameters, country spec'!E15</f>
        <v>0.17624165446480369</v>
      </c>
    </row>
    <row r="43" spans="1:18" x14ac:dyDescent="0.35">
      <c r="A43" s="21" t="s">
        <v>367</v>
      </c>
      <c r="B43" s="16" t="s">
        <v>170</v>
      </c>
      <c r="C43" s="16" t="s">
        <v>366</v>
      </c>
      <c r="D43" s="22" t="s">
        <v>31</v>
      </c>
      <c r="E43" s="22" t="s">
        <v>86</v>
      </c>
      <c r="F43" s="157">
        <f t="shared" si="6"/>
        <v>1.7444028731740727E-4</v>
      </c>
      <c r="G43" s="96">
        <v>0</v>
      </c>
      <c r="H43" s="97">
        <v>9.5000000000000005E-5</v>
      </c>
      <c r="I43" s="15">
        <v>0</v>
      </c>
      <c r="J43" s="13"/>
      <c r="K43" s="98">
        <v>6.7727292665111798E-6</v>
      </c>
      <c r="L43" s="98">
        <v>0</v>
      </c>
      <c r="M43" s="98">
        <v>3.4713233525198098E-5</v>
      </c>
      <c r="N43" s="98">
        <v>3.7954324525697998E-5</v>
      </c>
      <c r="O43" s="98"/>
      <c r="P43" s="98"/>
      <c r="Q43" s="13"/>
      <c r="R43" s="143">
        <f>'Parameters, country spec'!E16</f>
        <v>0.52712316765456624</v>
      </c>
    </row>
    <row r="44" spans="1:18" x14ac:dyDescent="0.35">
      <c r="A44" s="21" t="s">
        <v>368</v>
      </c>
      <c r="B44" s="16" t="s">
        <v>171</v>
      </c>
      <c r="C44" s="16" t="s">
        <v>366</v>
      </c>
      <c r="D44" s="22" t="s">
        <v>31</v>
      </c>
      <c r="E44" s="22" t="s">
        <v>86</v>
      </c>
      <c r="F44" s="157">
        <f t="shared" si="6"/>
        <v>2.0353235344802614E-4</v>
      </c>
      <c r="G44" s="96">
        <v>0</v>
      </c>
      <c r="H44" s="97">
        <v>9.5000000000000005E-5</v>
      </c>
      <c r="I44" s="15">
        <v>0</v>
      </c>
      <c r="J44" s="13"/>
      <c r="K44" s="98">
        <v>7.0130605730866894E-5</v>
      </c>
      <c r="L44" s="98">
        <v>0</v>
      </c>
      <c r="M44" s="98">
        <v>4.4742319146124401E-7</v>
      </c>
      <c r="N44" s="98">
        <v>3.7954324525697998E-5</v>
      </c>
      <c r="O44" s="98"/>
      <c r="P44" s="98"/>
      <c r="Q44" s="13"/>
      <c r="R44" s="143">
        <f>'Parameters, country spec'!E17</f>
        <v>4.7896893432639032E-2</v>
      </c>
    </row>
    <row r="45" spans="1:18" x14ac:dyDescent="0.35">
      <c r="A45" s="21" t="s">
        <v>369</v>
      </c>
      <c r="B45" s="16" t="s">
        <v>172</v>
      </c>
      <c r="C45" s="16" t="s">
        <v>366</v>
      </c>
      <c r="D45" s="22" t="s">
        <v>31</v>
      </c>
      <c r="E45" s="22" t="s">
        <v>86</v>
      </c>
      <c r="F45" s="157">
        <f t="shared" si="6"/>
        <v>1.8013222859233324E-4</v>
      </c>
      <c r="G45" s="96">
        <v>0</v>
      </c>
      <c r="H45" s="97">
        <v>9.5000000000000005E-5</v>
      </c>
      <c r="I45" s="13">
        <v>0</v>
      </c>
      <c r="J45" s="13"/>
      <c r="K45" s="98">
        <v>4.44434506924746E-5</v>
      </c>
      <c r="L45" s="98">
        <v>0</v>
      </c>
      <c r="M45" s="98">
        <v>2.7344533741606401E-6</v>
      </c>
      <c r="N45" s="98">
        <v>3.7954324525697998E-5</v>
      </c>
      <c r="O45" s="98"/>
      <c r="P45" s="98"/>
      <c r="Q45" s="13"/>
      <c r="R45" s="143">
        <f>'Parameters, country spec'!E18</f>
        <v>1.056436574017274E-2</v>
      </c>
    </row>
    <row r="46" spans="1:18" x14ac:dyDescent="0.35">
      <c r="A46" s="21" t="s">
        <v>370</v>
      </c>
      <c r="B46" s="16" t="s">
        <v>173</v>
      </c>
      <c r="C46" s="16" t="s">
        <v>366</v>
      </c>
      <c r="D46" s="22" t="s">
        <v>31</v>
      </c>
      <c r="E46" s="22" t="s">
        <v>86</v>
      </c>
      <c r="F46" s="157">
        <f t="shared" si="6"/>
        <v>1.6354619514759186E-4</v>
      </c>
      <c r="G46" s="96">
        <v>0</v>
      </c>
      <c r="H46" s="97">
        <v>9.5000000000000005E-5</v>
      </c>
      <c r="I46" s="13">
        <v>0</v>
      </c>
      <c r="J46" s="13"/>
      <c r="K46" s="98">
        <v>2.85207139558697E-5</v>
      </c>
      <c r="L46" s="98">
        <v>0</v>
      </c>
      <c r="M46" s="98">
        <v>2.07115666602417E-6</v>
      </c>
      <c r="N46" s="98">
        <v>3.7954324525697998E-5</v>
      </c>
      <c r="O46" s="98"/>
      <c r="P46" s="98"/>
      <c r="Q46" s="13"/>
      <c r="R46" s="143">
        <f>'Parameters, country spec'!E19</f>
        <v>7.5759890638728566E-3</v>
      </c>
    </row>
    <row r="47" spans="1:18" x14ac:dyDescent="0.35">
      <c r="A47" s="21" t="s">
        <v>371</v>
      </c>
      <c r="B47" s="16" t="s">
        <v>174</v>
      </c>
      <c r="C47" s="16" t="s">
        <v>372</v>
      </c>
      <c r="D47" s="22" t="s">
        <v>31</v>
      </c>
      <c r="E47" s="22" t="s">
        <v>86</v>
      </c>
      <c r="F47" s="157">
        <f t="shared" si="6"/>
        <v>3.2740778825431722E-4</v>
      </c>
      <c r="G47" s="96">
        <v>0</v>
      </c>
      <c r="H47" s="97">
        <v>9.5000000000000005E-5</v>
      </c>
      <c r="I47" s="15">
        <v>0</v>
      </c>
      <c r="J47" s="13"/>
      <c r="K47" s="98">
        <v>4.8844802880828202E-5</v>
      </c>
      <c r="L47" s="98">
        <v>0</v>
      </c>
      <c r="M47" s="98">
        <v>1.4560866084779099E-4</v>
      </c>
      <c r="N47" s="98">
        <v>3.7954324525697998E-5</v>
      </c>
      <c r="O47" s="98"/>
      <c r="P47" s="98"/>
      <c r="Q47" s="13"/>
      <c r="R47" s="143">
        <f>'Parameters, country spec'!E20</f>
        <v>5.2541698729789991E-4</v>
      </c>
    </row>
    <row r="48" spans="1:18" x14ac:dyDescent="0.35">
      <c r="A48" s="21" t="s">
        <v>373</v>
      </c>
      <c r="B48" s="16" t="s">
        <v>175</v>
      </c>
      <c r="C48" s="16" t="s">
        <v>372</v>
      </c>
      <c r="D48" s="22" t="s">
        <v>31</v>
      </c>
      <c r="E48" s="22" t="s">
        <v>86</v>
      </c>
      <c r="F48" s="157">
        <f t="shared" si="6"/>
        <v>2.7766326074083061E-4</v>
      </c>
      <c r="G48" s="96">
        <v>0</v>
      </c>
      <c r="H48" s="97">
        <v>9.5000000000000005E-5</v>
      </c>
      <c r="I48" s="15">
        <v>0</v>
      </c>
      <c r="J48" s="13"/>
      <c r="K48" s="98">
        <v>2.7713650874728599E-5</v>
      </c>
      <c r="L48" s="98">
        <v>0</v>
      </c>
      <c r="M48" s="98">
        <v>1.16995285340404E-4</v>
      </c>
      <c r="N48" s="98">
        <v>3.7954324525697998E-5</v>
      </c>
      <c r="O48" s="98"/>
      <c r="P48" s="98"/>
      <c r="Q48" s="13"/>
      <c r="R48" s="143">
        <f>'Parameters, country spec'!E21</f>
        <v>5.1613262720405463E-4</v>
      </c>
    </row>
    <row r="49" spans="1:18" x14ac:dyDescent="0.35">
      <c r="B49" s="17" t="s">
        <v>177</v>
      </c>
      <c r="C49" s="16" t="s">
        <v>374</v>
      </c>
      <c r="D49" s="22" t="s">
        <v>450</v>
      </c>
      <c r="E49" s="22"/>
      <c r="F49" s="120">
        <f t="shared" si="6"/>
        <v>3.8246443678729497E-4</v>
      </c>
      <c r="G49" s="32">
        <f>'Off-farm feed'!$F$75</f>
        <v>1.684774766302073E-4</v>
      </c>
      <c r="H49" s="32">
        <f>'Off-farm feed'!$G$75</f>
        <v>4.5862068965517246E-5</v>
      </c>
      <c r="I49" s="32"/>
      <c r="J49" s="32"/>
      <c r="K49" s="32">
        <f>'Off-farm feed'!$J$75</f>
        <v>1.0936279334641699E-5</v>
      </c>
      <c r="L49" s="32"/>
      <c r="M49" s="32">
        <f>'Off-farm feed'!$L$75</f>
        <v>6.4606960551724142E-7</v>
      </c>
      <c r="N49" s="32">
        <f>'Off-farm feed'!$M$75</f>
        <v>2.1884761697575221E-5</v>
      </c>
      <c r="O49" s="32"/>
      <c r="P49" s="32">
        <f>'Off-farm feed'!$O$75</f>
        <v>4.5962128379923281E-5</v>
      </c>
      <c r="Q49" s="32">
        <f>'Off-farm feed'!$P$75</f>
        <v>8.8695652173913049E-5</v>
      </c>
      <c r="R49" s="143">
        <f>'Parameters, country spec'!E22</f>
        <v>5.7339277577128883E-4</v>
      </c>
    </row>
    <row r="50" spans="1:18" x14ac:dyDescent="0.35">
      <c r="B50" s="17" t="s">
        <v>375</v>
      </c>
      <c r="C50" s="16" t="s">
        <v>374</v>
      </c>
      <c r="D50" s="22" t="s">
        <v>426</v>
      </c>
      <c r="E50" s="22"/>
      <c r="F50" s="120">
        <f t="shared" si="6"/>
        <v>4.7266553697523981E-4</v>
      </c>
      <c r="G50" s="32">
        <f>'Off-farm feed'!$F$24</f>
        <v>1.5603516238625262E-5</v>
      </c>
      <c r="H50" s="32">
        <f>'Off-farm feed'!$G$24</f>
        <v>7.5304878048780503E-5</v>
      </c>
      <c r="I50" s="32"/>
      <c r="J50" s="32"/>
      <c r="K50" s="32">
        <f>'Off-farm feed'!$J$24</f>
        <v>1.908459074435586E-5</v>
      </c>
      <c r="L50" s="32"/>
      <c r="M50" s="32">
        <f>'Off-farm feed'!$L$24</f>
        <v>5.9672097439024396E-7</v>
      </c>
      <c r="N50" s="32">
        <f>'Off-farm feed'!$M$24</f>
        <v>2.3084271612619523E-5</v>
      </c>
      <c r="O50" s="32"/>
      <c r="P50" s="32">
        <f>'Off-farm feed'!$O$24</f>
        <v>1.2899155935646844E-4</v>
      </c>
      <c r="Q50" s="32">
        <f>'Off-farm feed'!$P$24</f>
        <v>2.1000000000000001E-4</v>
      </c>
      <c r="R50" s="143">
        <f>'Parameters, country spec'!E23</f>
        <v>0.1010354992810391</v>
      </c>
    </row>
    <row r="51" spans="1:18" x14ac:dyDescent="0.35">
      <c r="B51" s="16" t="s">
        <v>181</v>
      </c>
      <c r="C51" s="16" t="s">
        <v>376</v>
      </c>
      <c r="D51" s="22" t="s">
        <v>31</v>
      </c>
      <c r="E51" s="22" t="s">
        <v>86</v>
      </c>
      <c r="F51" s="157">
        <f t="shared" si="6"/>
        <v>1.475044584941611E-3</v>
      </c>
      <c r="G51" s="98">
        <v>0</v>
      </c>
      <c r="H51" s="98">
        <v>8.5499999999999995E-6</v>
      </c>
      <c r="I51" s="47">
        <v>0</v>
      </c>
      <c r="J51" s="47"/>
      <c r="K51" s="98">
        <v>2.56686425602827E-6</v>
      </c>
      <c r="L51" s="47">
        <v>0</v>
      </c>
      <c r="M51" s="47">
        <v>1.8640409994217499E-7</v>
      </c>
      <c r="N51" s="98">
        <v>3.41588920731282E-6</v>
      </c>
      <c r="O51" s="98"/>
      <c r="P51" s="98">
        <v>1.4294971164590801E-3</v>
      </c>
      <c r="Q51" s="98">
        <v>3.0828310919247803E-5</v>
      </c>
      <c r="R51" s="143">
        <f>'Parameters, country spec'!E24</f>
        <v>6.3687941219233005E-2</v>
      </c>
    </row>
    <row r="52" spans="1:18" x14ac:dyDescent="0.35">
      <c r="A52" s="80"/>
      <c r="B52" s="16" t="s">
        <v>377</v>
      </c>
      <c r="C52" s="81" t="s">
        <v>378</v>
      </c>
      <c r="D52" s="22" t="s">
        <v>31</v>
      </c>
      <c r="E52" s="22" t="s">
        <v>86</v>
      </c>
      <c r="F52" s="158">
        <f t="shared" si="6"/>
        <v>3.5724404056391144E-4</v>
      </c>
      <c r="G52" s="79">
        <f>AVERAGE(G42:G50)</f>
        <v>2.045344365209251E-5</v>
      </c>
      <c r="H52" s="79">
        <f>AVERAGE(H42:H50)</f>
        <v>8.7351883001588647E-5</v>
      </c>
      <c r="I52" s="79"/>
      <c r="J52" s="79"/>
      <c r="K52" s="79">
        <f>AVERAGE(K42:K50)</f>
        <v>3.1817297988270754E-5</v>
      </c>
      <c r="L52" s="79"/>
      <c r="M52" s="79">
        <f>AVERAGE(M42:M50)</f>
        <v>3.3757000391660732E-5</v>
      </c>
      <c r="N52" s="79">
        <f>AVERAGE(N42:N50)</f>
        <v>3.4516589443342307E-5</v>
      </c>
      <c r="O52" s="79"/>
      <c r="P52" s="79"/>
      <c r="Q52" s="79">
        <f>AVERAGE(Q42:Q50)</f>
        <v>1.4934782608695652E-4</v>
      </c>
      <c r="R52" s="143">
        <f>'Parameters, country spec'!E25</f>
        <v>6.4259546753399996E-2</v>
      </c>
    </row>
    <row r="53" spans="1:18" x14ac:dyDescent="0.35">
      <c r="A53" s="142"/>
      <c r="B53" s="24" t="s">
        <v>379</v>
      </c>
      <c r="C53" s="25"/>
      <c r="D53" s="99"/>
      <c r="E53" s="99"/>
      <c r="F53" s="45">
        <f t="shared" ref="F53:O53" si="7">SUMPRODUCT(F42:F52,$R$42:$R$52)</f>
        <v>2.9873489850030442E-4</v>
      </c>
      <c r="G53" s="45">
        <f t="shared" si="7"/>
        <v>2.9874418403189127E-6</v>
      </c>
      <c r="H53" s="45">
        <f t="shared" si="7"/>
        <v>8.6984631135348471E-5</v>
      </c>
      <c r="I53" s="45">
        <f t="shared" si="7"/>
        <v>0</v>
      </c>
      <c r="J53" s="45">
        <f t="shared" si="7"/>
        <v>0</v>
      </c>
      <c r="K53" s="45">
        <f t="shared" si="7"/>
        <v>1.7068380022751799E-5</v>
      </c>
      <c r="L53" s="45">
        <f t="shared" si="7"/>
        <v>0</v>
      </c>
      <c r="M53" s="45">
        <f t="shared" si="7"/>
        <v>2.0742790661457661E-5</v>
      </c>
      <c r="N53" s="45">
        <f t="shared" si="7"/>
        <v>3.4022117997442154E-5</v>
      </c>
      <c r="O53" s="45">
        <f t="shared" si="7"/>
        <v>0</v>
      </c>
      <c r="P53" s="45">
        <f>SUMPRODUCT(P42:P52,R42:R52)</f>
        <v>1.0410080928110167E-4</v>
      </c>
      <c r="Q53" s="45">
        <f>SUMPRODUCT(Q42:Q52,$R$42:$R$52)</f>
        <v>3.2828727561883785E-5</v>
      </c>
      <c r="R53" s="144"/>
    </row>
    <row r="54" spans="1:18" x14ac:dyDescent="0.35">
      <c r="A54" s="21" t="s">
        <v>365</v>
      </c>
      <c r="B54" s="16" t="s">
        <v>168</v>
      </c>
      <c r="C54" s="16" t="s">
        <v>366</v>
      </c>
      <c r="D54" s="22" t="s">
        <v>35</v>
      </c>
      <c r="E54" s="22" t="s">
        <v>87</v>
      </c>
      <c r="F54" s="271">
        <f t="shared" ref="F54:F64" si="8">SUM(G54:Q54)</f>
        <v>1.4501465028229771E-4</v>
      </c>
      <c r="G54" s="272">
        <v>0</v>
      </c>
      <c r="H54" s="273">
        <v>9.5000000000000005E-5</v>
      </c>
      <c r="I54" s="274">
        <v>0</v>
      </c>
      <c r="J54" s="275"/>
      <c r="K54" s="276">
        <v>1.5393650506969701E-5</v>
      </c>
      <c r="L54" s="276">
        <v>0</v>
      </c>
      <c r="M54" s="276">
        <v>0</v>
      </c>
      <c r="N54" s="276">
        <v>3.4620999775328E-5</v>
      </c>
      <c r="O54" s="276"/>
      <c r="P54" s="276"/>
      <c r="Q54" s="275"/>
      <c r="R54" s="143">
        <f>'Parameters, country spec'!F15</f>
        <v>9.4621646910172968E-2</v>
      </c>
    </row>
    <row r="55" spans="1:18" x14ac:dyDescent="0.35">
      <c r="A55" s="21" t="s">
        <v>367</v>
      </c>
      <c r="B55" s="16" t="s">
        <v>170</v>
      </c>
      <c r="C55" s="16" t="s">
        <v>366</v>
      </c>
      <c r="D55" s="22" t="s">
        <v>35</v>
      </c>
      <c r="E55" s="22" t="s">
        <v>87</v>
      </c>
      <c r="F55" s="157">
        <f t="shared" si="8"/>
        <v>1.4092693848870525E-4</v>
      </c>
      <c r="G55" s="96">
        <v>0</v>
      </c>
      <c r="H55" s="97">
        <v>9.5000000000000005E-5</v>
      </c>
      <c r="I55" s="15">
        <v>0</v>
      </c>
      <c r="J55" s="13"/>
      <c r="K55" s="98">
        <v>1.1061500749097499E-5</v>
      </c>
      <c r="L55" s="98">
        <v>0</v>
      </c>
      <c r="M55" s="98">
        <v>2.4443796427972899E-7</v>
      </c>
      <c r="N55" s="98">
        <v>3.4620999775328E-5</v>
      </c>
      <c r="O55" s="98"/>
      <c r="P55" s="98"/>
      <c r="Q55" s="13"/>
      <c r="R55" s="143">
        <f>'Parameters, country spec'!F16</f>
        <v>0.56124001601073992</v>
      </c>
    </row>
    <row r="56" spans="1:18" x14ac:dyDescent="0.35">
      <c r="A56" s="21" t="s">
        <v>368</v>
      </c>
      <c r="B56" s="16" t="s">
        <v>171</v>
      </c>
      <c r="C56" s="16" t="s">
        <v>366</v>
      </c>
      <c r="D56" s="22" t="s">
        <v>35</v>
      </c>
      <c r="E56" s="22" t="s">
        <v>87</v>
      </c>
      <c r="F56" s="157">
        <f t="shared" si="8"/>
        <v>1.5843171473005791E-4</v>
      </c>
      <c r="G56" s="96">
        <v>0</v>
      </c>
      <c r="H56" s="97">
        <v>9.5000000000000005E-5</v>
      </c>
      <c r="I56" s="15">
        <v>0</v>
      </c>
      <c r="J56" s="13"/>
      <c r="K56" s="98">
        <v>2.88107149547299E-5</v>
      </c>
      <c r="L56" s="98">
        <v>0</v>
      </c>
      <c r="M56" s="98">
        <v>0</v>
      </c>
      <c r="N56" s="98">
        <v>3.4620999775328E-5</v>
      </c>
      <c r="O56" s="98"/>
      <c r="P56" s="98"/>
      <c r="Q56" s="13"/>
      <c r="R56" s="143">
        <f>'Parameters, country spec'!F17</f>
        <v>5.0680010317105902E-2</v>
      </c>
    </row>
    <row r="57" spans="1:18" x14ac:dyDescent="0.35">
      <c r="A57" s="21" t="s">
        <v>369</v>
      </c>
      <c r="B57" s="16" t="s">
        <v>172</v>
      </c>
      <c r="C57" s="16" t="s">
        <v>366</v>
      </c>
      <c r="D57" s="22" t="s">
        <v>35</v>
      </c>
      <c r="E57" s="22" t="s">
        <v>87</v>
      </c>
      <c r="F57" s="157">
        <f t="shared" si="8"/>
        <v>1.5661395382845762E-4</v>
      </c>
      <c r="G57" s="96">
        <v>0</v>
      </c>
      <c r="H57" s="97">
        <v>9.5000000000000005E-5</v>
      </c>
      <c r="I57" s="13">
        <v>0</v>
      </c>
      <c r="J57" s="13"/>
      <c r="K57" s="98">
        <v>2.6992954053129601E-5</v>
      </c>
      <c r="L57" s="98">
        <v>0</v>
      </c>
      <c r="M57" s="98">
        <v>0</v>
      </c>
      <c r="N57" s="98">
        <v>3.4620999775328E-5</v>
      </c>
      <c r="O57" s="98"/>
      <c r="P57" s="98"/>
      <c r="Q57" s="13"/>
      <c r="R57" s="143">
        <f>'Parameters, country spec'!F18</f>
        <v>1.9697569305132029E-2</v>
      </c>
    </row>
    <row r="58" spans="1:18" x14ac:dyDescent="0.35">
      <c r="A58" s="21" t="s">
        <v>370</v>
      </c>
      <c r="B58" s="16" t="s">
        <v>173</v>
      </c>
      <c r="C58" s="16" t="s">
        <v>366</v>
      </c>
      <c r="D58" s="22" t="s">
        <v>35</v>
      </c>
      <c r="E58" s="22" t="s">
        <v>87</v>
      </c>
      <c r="F58" s="157">
        <f t="shared" si="8"/>
        <v>1.4529023631438349E-4</v>
      </c>
      <c r="G58" s="96">
        <v>0</v>
      </c>
      <c r="H58" s="97">
        <v>9.5000000000000005E-5</v>
      </c>
      <c r="I58" s="13">
        <v>0</v>
      </c>
      <c r="J58" s="13"/>
      <c r="K58" s="98">
        <v>1.5669236539055499E-5</v>
      </c>
      <c r="L58" s="98">
        <v>0</v>
      </c>
      <c r="M58" s="98">
        <v>0</v>
      </c>
      <c r="N58" s="98">
        <v>3.4620999775328E-5</v>
      </c>
      <c r="O58" s="98"/>
      <c r="P58" s="98"/>
      <c r="Q58" s="13"/>
      <c r="R58" s="143">
        <f>'Parameters, country spec'!F19</f>
        <v>8.8612672319940383E-2</v>
      </c>
    </row>
    <row r="59" spans="1:18" x14ac:dyDescent="0.35">
      <c r="A59" s="21" t="s">
        <v>371</v>
      </c>
      <c r="B59" s="16" t="s">
        <v>174</v>
      </c>
      <c r="C59" s="16" t="s">
        <v>372</v>
      </c>
      <c r="D59" s="22" t="s">
        <v>35</v>
      </c>
      <c r="E59" s="22" t="s">
        <v>87</v>
      </c>
      <c r="F59" s="157">
        <f t="shared" si="8"/>
        <v>2.3889913965334191E-4</v>
      </c>
      <c r="G59" s="96">
        <v>0</v>
      </c>
      <c r="H59" s="97">
        <v>9.5000000000000005E-5</v>
      </c>
      <c r="I59" s="15">
        <v>0</v>
      </c>
      <c r="J59" s="13"/>
      <c r="K59" s="98">
        <v>3.3607143901788602E-5</v>
      </c>
      <c r="L59" s="98">
        <v>0</v>
      </c>
      <c r="M59" s="98">
        <v>7.5670995976225307E-5</v>
      </c>
      <c r="N59" s="98">
        <v>3.4620999775328E-5</v>
      </c>
      <c r="O59" s="98"/>
      <c r="P59" s="98"/>
      <c r="Q59" s="13"/>
      <c r="R59" s="143">
        <f>'Parameters, country spec'!F20</f>
        <v>9.055122364146367E-4</v>
      </c>
    </row>
    <row r="60" spans="1:18" x14ac:dyDescent="0.35">
      <c r="A60" s="21" t="s">
        <v>373</v>
      </c>
      <c r="B60" s="16" t="s">
        <v>175</v>
      </c>
      <c r="C60" s="16" t="s">
        <v>372</v>
      </c>
      <c r="D60" s="22" t="s">
        <v>35</v>
      </c>
      <c r="E60" s="22" t="s">
        <v>87</v>
      </c>
      <c r="F60" s="157">
        <f t="shared" si="8"/>
        <v>2.7852379088053969E-4</v>
      </c>
      <c r="G60" s="96">
        <v>0</v>
      </c>
      <c r="H60" s="97">
        <v>9.5000000000000005E-5</v>
      </c>
      <c r="I60" s="15">
        <v>0</v>
      </c>
      <c r="J60" s="13"/>
      <c r="K60" s="98">
        <v>5.3019283387622201E-5</v>
      </c>
      <c r="L60" s="98">
        <v>0</v>
      </c>
      <c r="M60" s="98">
        <v>9.5883507717589505E-5</v>
      </c>
      <c r="N60" s="98">
        <v>3.4620999775328E-5</v>
      </c>
      <c r="O60" s="98"/>
      <c r="P60" s="98"/>
      <c r="Q60" s="13"/>
      <c r="R60" s="143">
        <f>'Parameters, country spec'!F21</f>
        <v>8.8951141806825748E-4</v>
      </c>
    </row>
    <row r="61" spans="1:18" x14ac:dyDescent="0.35">
      <c r="B61" s="17" t="s">
        <v>177</v>
      </c>
      <c r="C61" s="16" t="s">
        <v>374</v>
      </c>
      <c r="D61" s="22" t="s">
        <v>450</v>
      </c>
      <c r="E61" s="22"/>
      <c r="F61" s="120">
        <f t="shared" si="8"/>
        <v>3.8246443678729497E-4</v>
      </c>
      <c r="G61" s="32">
        <f>'Off-farm feed'!$F$75</f>
        <v>1.684774766302073E-4</v>
      </c>
      <c r="H61" s="32">
        <f>'Off-farm feed'!$G$75</f>
        <v>4.5862068965517246E-5</v>
      </c>
      <c r="I61" s="32"/>
      <c r="J61" s="32"/>
      <c r="K61" s="32">
        <f>'Off-farm feed'!$J$75</f>
        <v>1.0936279334641699E-5</v>
      </c>
      <c r="L61" s="32"/>
      <c r="M61" s="32">
        <f>'Off-farm feed'!$L$75</f>
        <v>6.4606960551724142E-7</v>
      </c>
      <c r="N61" s="32">
        <f>'Off-farm feed'!$M$75</f>
        <v>2.1884761697575221E-5</v>
      </c>
      <c r="O61" s="32"/>
      <c r="P61" s="32">
        <f>'Off-farm feed'!$O$75</f>
        <v>4.5962128379923281E-5</v>
      </c>
      <c r="Q61" s="32">
        <f>'Off-farm feed'!$P$75</f>
        <v>8.8695652173913049E-5</v>
      </c>
      <c r="R61" s="143">
        <f>'Parameters, country spec'!F22</f>
        <v>3.9081132627509529E-4</v>
      </c>
    </row>
    <row r="62" spans="1:18" x14ac:dyDescent="0.35">
      <c r="B62" s="17" t="s">
        <v>375</v>
      </c>
      <c r="C62" s="16" t="s">
        <v>374</v>
      </c>
      <c r="D62" s="22" t="s">
        <v>426</v>
      </c>
      <c r="E62" s="22"/>
      <c r="F62" s="120">
        <f t="shared" si="8"/>
        <v>4.7266553697523981E-4</v>
      </c>
      <c r="G62" s="32">
        <f>'Off-farm feed'!$F$24</f>
        <v>1.5603516238625262E-5</v>
      </c>
      <c r="H62" s="32">
        <f>'Off-farm feed'!$G$24</f>
        <v>7.5304878048780503E-5</v>
      </c>
      <c r="I62" s="32"/>
      <c r="J62" s="32"/>
      <c r="K62" s="32">
        <f>'Off-farm feed'!$J$24</f>
        <v>1.908459074435586E-5</v>
      </c>
      <c r="L62" s="32"/>
      <c r="M62" s="32">
        <f>'Off-farm feed'!$L$24</f>
        <v>5.9672097439024396E-7</v>
      </c>
      <c r="N62" s="32">
        <f>'Off-farm feed'!$M$24</f>
        <v>2.3084271612619523E-5</v>
      </c>
      <c r="O62" s="32"/>
      <c r="P62" s="32">
        <f>'Off-farm feed'!$O$24</f>
        <v>1.2899155935646844E-4</v>
      </c>
      <c r="Q62" s="32">
        <f>'Off-farm feed'!$P$24</f>
        <v>2.1000000000000001E-4</v>
      </c>
      <c r="R62" s="143">
        <f>'Parameters, country spec'!F23</f>
        <v>7.4520089695706837E-2</v>
      </c>
    </row>
    <row r="63" spans="1:18" x14ac:dyDescent="0.35">
      <c r="B63" s="16" t="s">
        <v>181</v>
      </c>
      <c r="C63" s="16" t="s">
        <v>376</v>
      </c>
      <c r="D63" s="22" t="s">
        <v>35</v>
      </c>
      <c r="E63" s="22" t="s">
        <v>87</v>
      </c>
      <c r="F63" s="157">
        <f t="shared" si="8"/>
        <v>1.2583739615406747E-3</v>
      </c>
      <c r="G63" s="98">
        <v>0</v>
      </c>
      <c r="H63" s="98">
        <v>8.5499999999999995E-6</v>
      </c>
      <c r="I63" s="47">
        <v>0</v>
      </c>
      <c r="J63" s="47"/>
      <c r="K63" s="98">
        <v>1.41023128851499E-6</v>
      </c>
      <c r="L63" s="47">
        <v>0</v>
      </c>
      <c r="M63" s="47">
        <v>0</v>
      </c>
      <c r="N63" s="98">
        <v>3.11588997977952E-6</v>
      </c>
      <c r="O63" s="98"/>
      <c r="P63" s="98">
        <v>1.2421904527491999E-3</v>
      </c>
      <c r="Q63" s="98">
        <v>3.10738752318024E-6</v>
      </c>
      <c r="R63" s="143">
        <f>'Parameters, country spec'!F24</f>
        <v>5.8765674595574857E-2</v>
      </c>
    </row>
    <row r="64" spans="1:18" x14ac:dyDescent="0.35">
      <c r="A64" s="80"/>
      <c r="B64" s="16" t="s">
        <v>377</v>
      </c>
      <c r="C64" s="81" t="s">
        <v>378</v>
      </c>
      <c r="D64" s="22" t="s">
        <v>35</v>
      </c>
      <c r="E64" s="22" t="s">
        <v>87</v>
      </c>
      <c r="F64" s="158">
        <f t="shared" si="8"/>
        <v>1.827978953366682E-4</v>
      </c>
      <c r="G64" s="79">
        <f>AVERAGE(G54:G62)</f>
        <v>2.045344365209251E-5</v>
      </c>
      <c r="H64" s="79">
        <f>AVERAGE(H54:H62)</f>
        <v>8.7351883001588647E-5</v>
      </c>
      <c r="I64" s="79"/>
      <c r="J64" s="79"/>
      <c r="K64" s="79">
        <f>AVERAGE(K54:K62)</f>
        <v>2.3841706019043393E-5</v>
      </c>
      <c r="L64" s="79"/>
      <c r="M64" s="79">
        <f>AVERAGE(M54:M62)</f>
        <v>1.9226859137555781E-5</v>
      </c>
      <c r="N64" s="79">
        <f>AVERAGE(N54:N62)</f>
        <v>3.1924003526387862E-5</v>
      </c>
      <c r="O64" s="79"/>
      <c r="P64" s="79"/>
      <c r="Q64" s="79"/>
      <c r="R64" s="143">
        <f>'Parameters, country spec'!F25</f>
        <v>4.9676485864869203E-2</v>
      </c>
    </row>
    <row r="65" spans="1:18" x14ac:dyDescent="0.35">
      <c r="A65" s="142"/>
      <c r="B65" s="24" t="s">
        <v>379</v>
      </c>
      <c r="C65" s="25"/>
      <c r="D65" s="99"/>
      <c r="E65" s="99"/>
      <c r="F65" s="45">
        <f t="shared" ref="F65:O65" si="9">SUMPRODUCT(F54:F64,$R$54:$R$64)</f>
        <v>2.3567073113707406E-4</v>
      </c>
      <c r="G65" s="45">
        <f t="shared" si="9"/>
        <v>2.2446735402311773E-6</v>
      </c>
      <c r="H65" s="45">
        <f t="shared" si="9"/>
        <v>8.8052889940877342E-5</v>
      </c>
      <c r="I65" s="45">
        <f t="shared" si="9"/>
        <v>0</v>
      </c>
      <c r="J65" s="45">
        <f t="shared" si="9"/>
        <v>0</v>
      </c>
      <c r="K65" s="45">
        <f t="shared" si="9"/>
        <v>1.3816342996701409E-5</v>
      </c>
      <c r="L65" s="45">
        <f t="shared" si="9"/>
        <v>0</v>
      </c>
      <c r="M65" s="45">
        <f t="shared" si="9"/>
        <v>1.2908418427302639E-6</v>
      </c>
      <c r="N65" s="45">
        <f t="shared" si="9"/>
        <v>3.1770907965371924E-5</v>
      </c>
      <c r="O65" s="45">
        <f t="shared" si="9"/>
        <v>0</v>
      </c>
      <c r="P65" s="45">
        <f>SUMPRODUCT(P54:P64,R54:R64)</f>
        <v>8.2628585025572998E-5</v>
      </c>
      <c r="Q65" s="45">
        <f>SUMPRODUCT(Q54:Q64,$R$54:$R$64)</f>
        <v>1.586648982558892E-5</v>
      </c>
      <c r="R65" s="144"/>
    </row>
    <row r="66" spans="1:18" x14ac:dyDescent="0.35">
      <c r="A66" s="21" t="s">
        <v>365</v>
      </c>
      <c r="B66" s="16" t="s">
        <v>168</v>
      </c>
      <c r="C66" s="16" t="s">
        <v>366</v>
      </c>
      <c r="D66" s="22" t="s">
        <v>37</v>
      </c>
      <c r="E66" s="22" t="s">
        <v>88</v>
      </c>
      <c r="F66" s="271">
        <f t="shared" ref="F66:F76" si="10">SUM(G66:Q66)</f>
        <v>1.2752637390551759E-4</v>
      </c>
      <c r="G66" s="272">
        <v>0</v>
      </c>
      <c r="H66" s="273">
        <v>9.5000000000000005E-5</v>
      </c>
      <c r="I66" s="274">
        <v>0</v>
      </c>
      <c r="J66" s="275"/>
      <c r="K66" s="276">
        <v>1.15340929635865E-5</v>
      </c>
      <c r="L66" s="276">
        <v>0</v>
      </c>
      <c r="M66" s="276">
        <v>0</v>
      </c>
      <c r="N66" s="276">
        <v>2.0992280941931101E-5</v>
      </c>
      <c r="O66" s="276"/>
      <c r="P66" s="276"/>
      <c r="Q66" s="275"/>
      <c r="R66" s="143">
        <f>'Parameters, country spec'!G15</f>
        <v>1.5696345190060228E-2</v>
      </c>
    </row>
    <row r="67" spans="1:18" x14ac:dyDescent="0.35">
      <c r="A67" s="21" t="s">
        <v>367</v>
      </c>
      <c r="B67" s="16" t="s">
        <v>170</v>
      </c>
      <c r="C67" s="16" t="s">
        <v>366</v>
      </c>
      <c r="D67" s="22" t="s">
        <v>37</v>
      </c>
      <c r="E67" s="22" t="s">
        <v>88</v>
      </c>
      <c r="F67" s="157">
        <f t="shared" si="10"/>
        <v>1.3043464412497476E-4</v>
      </c>
      <c r="G67" s="96">
        <v>0</v>
      </c>
      <c r="H67" s="97">
        <v>9.5000000000000005E-5</v>
      </c>
      <c r="I67" s="15">
        <v>0</v>
      </c>
      <c r="J67" s="13"/>
      <c r="K67" s="98">
        <v>8.0196373769558906E-6</v>
      </c>
      <c r="L67" s="98">
        <v>0</v>
      </c>
      <c r="M67" s="98">
        <v>9.4674824843908693E-6</v>
      </c>
      <c r="N67" s="98">
        <v>1.7947524263628E-5</v>
      </c>
      <c r="O67" s="98"/>
      <c r="P67" s="98"/>
      <c r="Q67" s="13"/>
      <c r="R67" s="143">
        <f>'Parameters, country spec'!G16</f>
        <v>4.3262189278547086E-3</v>
      </c>
    </row>
    <row r="68" spans="1:18" x14ac:dyDescent="0.35">
      <c r="A68" s="21" t="s">
        <v>368</v>
      </c>
      <c r="B68" s="16" t="s">
        <v>171</v>
      </c>
      <c r="C68" s="16" t="s">
        <v>366</v>
      </c>
      <c r="D68" s="22" t="s">
        <v>37</v>
      </c>
      <c r="E68" s="22" t="s">
        <v>88</v>
      </c>
      <c r="F68" s="157">
        <f t="shared" si="10"/>
        <v>1.266059423118113E-4</v>
      </c>
      <c r="G68" s="96">
        <v>0</v>
      </c>
      <c r="H68" s="97">
        <v>9.5000000000000005E-5</v>
      </c>
      <c r="I68" s="15">
        <v>0</v>
      </c>
      <c r="J68" s="13"/>
      <c r="K68" s="98">
        <v>1.0613661369880201E-5</v>
      </c>
      <c r="L68" s="98">
        <v>0</v>
      </c>
      <c r="M68" s="98">
        <v>0</v>
      </c>
      <c r="N68" s="98">
        <v>2.0992280941931101E-5</v>
      </c>
      <c r="O68" s="98"/>
      <c r="P68" s="98"/>
      <c r="Q68" s="13"/>
      <c r="R68" s="143">
        <f>'Parameters, country spec'!G17</f>
        <v>9.0473725401480211E-4</v>
      </c>
    </row>
    <row r="69" spans="1:18" x14ac:dyDescent="0.35">
      <c r="A69" s="21" t="s">
        <v>369</v>
      </c>
      <c r="B69" s="16" t="s">
        <v>172</v>
      </c>
      <c r="C69" s="16" t="s">
        <v>366</v>
      </c>
      <c r="D69" s="22" t="s">
        <v>37</v>
      </c>
      <c r="E69" s="22" t="s">
        <v>88</v>
      </c>
      <c r="F69" s="157">
        <f t="shared" si="10"/>
        <v>1.3385318160415261E-4</v>
      </c>
      <c r="G69" s="96">
        <v>0</v>
      </c>
      <c r="H69" s="97">
        <v>9.5000000000000005E-5</v>
      </c>
      <c r="I69" s="13">
        <v>0</v>
      </c>
      <c r="J69" s="13"/>
      <c r="K69" s="98">
        <v>2.0824119581523299E-5</v>
      </c>
      <c r="L69" s="98">
        <v>0</v>
      </c>
      <c r="M69" s="98">
        <v>8.15377590012958E-8</v>
      </c>
      <c r="N69" s="98">
        <v>1.7947524263628E-5</v>
      </c>
      <c r="O69" s="98"/>
      <c r="P69" s="98"/>
      <c r="Q69" s="13"/>
      <c r="R69" s="143">
        <f>'Parameters, country spec'!G18</f>
        <v>0</v>
      </c>
    </row>
    <row r="70" spans="1:18" x14ac:dyDescent="0.35">
      <c r="A70" s="21" t="s">
        <v>370</v>
      </c>
      <c r="B70" s="16" t="s">
        <v>173</v>
      </c>
      <c r="C70" s="16" t="s">
        <v>366</v>
      </c>
      <c r="D70" s="22" t="s">
        <v>37</v>
      </c>
      <c r="E70" s="22" t="s">
        <v>88</v>
      </c>
      <c r="F70" s="157">
        <f t="shared" si="10"/>
        <v>1.2544698323017838E-4</v>
      </c>
      <c r="G70" s="96">
        <v>0</v>
      </c>
      <c r="H70" s="97">
        <v>9.5000000000000005E-5</v>
      </c>
      <c r="I70" s="13">
        <v>0</v>
      </c>
      <c r="J70" s="13"/>
      <c r="K70" s="98">
        <v>9.4547022882472702E-6</v>
      </c>
      <c r="L70" s="98">
        <v>0</v>
      </c>
      <c r="M70" s="98">
        <v>0</v>
      </c>
      <c r="N70" s="98">
        <v>2.0992280941931101E-5</v>
      </c>
      <c r="O70" s="98"/>
      <c r="P70" s="98"/>
      <c r="Q70" s="13"/>
      <c r="R70" s="143">
        <f>'Parameters, country spec'!G19</f>
        <v>6.7415867076212046E-3</v>
      </c>
    </row>
    <row r="71" spans="1:18" x14ac:dyDescent="0.35">
      <c r="A71" s="21" t="s">
        <v>371</v>
      </c>
      <c r="B71" s="16" t="s">
        <v>174</v>
      </c>
      <c r="C71" s="16" t="s">
        <v>372</v>
      </c>
      <c r="D71" s="22" t="s">
        <v>37</v>
      </c>
      <c r="E71" s="22" t="s">
        <v>88</v>
      </c>
      <c r="F71" s="157">
        <f t="shared" si="10"/>
        <v>1.330387793164647E-4</v>
      </c>
      <c r="G71" s="96">
        <v>0</v>
      </c>
      <c r="H71" s="97">
        <v>9.5000000000000005E-5</v>
      </c>
      <c r="I71" s="15">
        <v>0</v>
      </c>
      <c r="J71" s="13"/>
      <c r="K71" s="98">
        <v>1.70464983745336E-5</v>
      </c>
      <c r="L71" s="98">
        <v>0</v>
      </c>
      <c r="M71" s="98">
        <v>0</v>
      </c>
      <c r="N71" s="98">
        <v>2.0992280941931101E-5</v>
      </c>
      <c r="O71" s="98"/>
      <c r="P71" s="98"/>
      <c r="Q71" s="13"/>
      <c r="R71" s="143">
        <f>'Parameters, country spec'!G20</f>
        <v>1.991421252024156E-4</v>
      </c>
    </row>
    <row r="72" spans="1:18" x14ac:dyDescent="0.35">
      <c r="A72" s="21" t="s">
        <v>373</v>
      </c>
      <c r="B72" s="16" t="s">
        <v>175</v>
      </c>
      <c r="C72" s="16" t="s">
        <v>372</v>
      </c>
      <c r="D72" s="22" t="s">
        <v>37</v>
      </c>
      <c r="E72" s="22" t="s">
        <v>88</v>
      </c>
      <c r="F72" s="157">
        <f t="shared" si="10"/>
        <v>1.3185743411235379E-4</v>
      </c>
      <c r="G72" s="96">
        <v>0</v>
      </c>
      <c r="H72" s="97">
        <v>9.5000000000000005E-5</v>
      </c>
      <c r="I72" s="15">
        <v>0</v>
      </c>
      <c r="J72" s="13"/>
      <c r="K72" s="98">
        <v>1.58651531704227E-5</v>
      </c>
      <c r="L72" s="98">
        <v>0</v>
      </c>
      <c r="M72" s="98">
        <v>0</v>
      </c>
      <c r="N72" s="98">
        <v>2.0992280941931101E-5</v>
      </c>
      <c r="O72" s="98"/>
      <c r="P72" s="98"/>
      <c r="Q72" s="13"/>
      <c r="R72" s="143">
        <f>'Parameters, country spec'!G21</f>
        <v>1.956231921202263E-4</v>
      </c>
    </row>
    <row r="73" spans="1:18" x14ac:dyDescent="0.35">
      <c r="B73" s="17" t="s">
        <v>177</v>
      </c>
      <c r="C73" s="16" t="s">
        <v>374</v>
      </c>
      <c r="D73" s="22" t="s">
        <v>450</v>
      </c>
      <c r="E73" s="22"/>
      <c r="F73" s="120">
        <f t="shared" si="10"/>
        <v>3.8246443678729497E-4</v>
      </c>
      <c r="G73" s="32">
        <f>'Off-farm feed'!$F$75</f>
        <v>1.684774766302073E-4</v>
      </c>
      <c r="H73" s="32">
        <f>'Off-farm feed'!$G$75</f>
        <v>4.5862068965517246E-5</v>
      </c>
      <c r="I73" s="32"/>
      <c r="J73" s="32"/>
      <c r="K73" s="32">
        <f>'Off-farm feed'!$J$75</f>
        <v>1.0936279334641699E-5</v>
      </c>
      <c r="L73" s="32"/>
      <c r="M73" s="32">
        <f>'Off-farm feed'!$L$75</f>
        <v>6.4606960551724142E-7</v>
      </c>
      <c r="N73" s="32">
        <f>'Off-farm feed'!$M$75</f>
        <v>2.1884761697575221E-5</v>
      </c>
      <c r="O73" s="32"/>
      <c r="P73" s="32">
        <f>'Off-farm feed'!$O$75</f>
        <v>4.5962128379923281E-5</v>
      </c>
      <c r="Q73" s="32">
        <f>'Off-farm feed'!$P$75</f>
        <v>8.8695652173913049E-5</v>
      </c>
      <c r="R73" s="143">
        <f>'Parameters, country spec'!G22</f>
        <v>1.066163161801318E-2</v>
      </c>
    </row>
    <row r="74" spans="1:18" x14ac:dyDescent="0.35">
      <c r="B74" s="17" t="s">
        <v>375</v>
      </c>
      <c r="C74" s="16" t="s">
        <v>374</v>
      </c>
      <c r="D74" s="22" t="s">
        <v>426</v>
      </c>
      <c r="E74" s="22"/>
      <c r="F74" s="120">
        <f t="shared" si="10"/>
        <v>4.7266553697523981E-4</v>
      </c>
      <c r="G74" s="32">
        <f>'Off-farm feed'!$F$24</f>
        <v>1.5603516238625262E-5</v>
      </c>
      <c r="H74" s="32">
        <f>'Off-farm feed'!$G$24</f>
        <v>7.5304878048780503E-5</v>
      </c>
      <c r="I74" s="32"/>
      <c r="J74" s="32"/>
      <c r="K74" s="32">
        <f>'Off-farm feed'!$J$24</f>
        <v>1.908459074435586E-5</v>
      </c>
      <c r="L74" s="32"/>
      <c r="M74" s="32">
        <f>'Off-farm feed'!$L$24</f>
        <v>5.9672097439024396E-7</v>
      </c>
      <c r="N74" s="32">
        <f>'Off-farm feed'!$M$24</f>
        <v>2.3084271612619523E-5</v>
      </c>
      <c r="O74" s="32"/>
      <c r="P74" s="32">
        <f>'Off-farm feed'!$O$24</f>
        <v>1.2899155935646844E-4</v>
      </c>
      <c r="Q74" s="32">
        <f>'Off-farm feed'!$P$24</f>
        <v>2.1000000000000001E-4</v>
      </c>
      <c r="R74" s="143">
        <f>'Parameters, country spec'!G23</f>
        <v>2.0288138727708259E-2</v>
      </c>
    </row>
    <row r="75" spans="1:18" x14ac:dyDescent="0.35">
      <c r="B75" s="16" t="s">
        <v>181</v>
      </c>
      <c r="C75" s="16" t="s">
        <v>376</v>
      </c>
      <c r="D75" s="22" t="s">
        <v>37</v>
      </c>
      <c r="E75" s="22" t="s">
        <v>88</v>
      </c>
      <c r="F75" s="157">
        <f t="shared" si="10"/>
        <v>5.1398626472793632E-4</v>
      </c>
      <c r="G75" s="98">
        <v>0</v>
      </c>
      <c r="H75" s="98">
        <v>8.5499999999999995E-6</v>
      </c>
      <c r="I75" s="47">
        <v>0</v>
      </c>
      <c r="J75" s="47"/>
      <c r="K75" s="98">
        <v>8.5092320594225499E-7</v>
      </c>
      <c r="L75" s="47">
        <v>0</v>
      </c>
      <c r="M75" s="47">
        <v>0</v>
      </c>
      <c r="N75" s="98">
        <v>1.8893052847737999E-6</v>
      </c>
      <c r="O75" s="98"/>
      <c r="P75" s="98">
        <v>4.7636352423280299E-4</v>
      </c>
      <c r="Q75" s="98">
        <v>2.6332512004417299E-5</v>
      </c>
      <c r="R75" s="143">
        <f>'Parameters, country spec'!G24</f>
        <v>2.0037841928894622E-2</v>
      </c>
    </row>
    <row r="76" spans="1:18" x14ac:dyDescent="0.35">
      <c r="A76" s="80"/>
      <c r="B76" s="16" t="s">
        <v>377</v>
      </c>
      <c r="C76" s="81" t="s">
        <v>378</v>
      </c>
      <c r="D76" s="22" t="s">
        <v>37</v>
      </c>
      <c r="E76" s="22" t="s">
        <v>88</v>
      </c>
      <c r="F76" s="158">
        <f t="shared" si="10"/>
        <v>1.4336044138418705E-4</v>
      </c>
      <c r="G76" s="79">
        <f>AVERAGE(G66:G74)</f>
        <v>2.045344365209251E-5</v>
      </c>
      <c r="H76" s="79">
        <f>AVERAGE(H66:H74)</f>
        <v>8.7351883001588647E-5</v>
      </c>
      <c r="I76" s="79"/>
      <c r="J76" s="79"/>
      <c r="K76" s="79">
        <f>AVERAGE(K66:K74)</f>
        <v>1.3708748356016334E-5</v>
      </c>
      <c r="L76" s="79"/>
      <c r="M76" s="79">
        <f>AVERAGE(M66:M74)</f>
        <v>1.1990900914777391E-6</v>
      </c>
      <c r="N76" s="79">
        <f>AVERAGE(N66:N74)</f>
        <v>2.0647276283011806E-5</v>
      </c>
      <c r="O76" s="79"/>
      <c r="P76" s="79"/>
      <c r="Q76" s="79"/>
      <c r="R76" s="143">
        <f>'Parameters, country spec'!G25</f>
        <v>0.92094873432851032</v>
      </c>
    </row>
    <row r="77" spans="1:18" x14ac:dyDescent="0.35">
      <c r="A77" s="142"/>
      <c r="B77" s="24" t="s">
        <v>379</v>
      </c>
      <c r="C77" s="25"/>
      <c r="D77" s="99"/>
      <c r="E77" s="99"/>
      <c r="F77" s="45">
        <f t="shared" ref="F77:O77" si="11">SUMPRODUCT(F66:F76,$R$66:$R$76)</f>
        <v>1.5957252312633974E-4</v>
      </c>
      <c r="G77" s="45">
        <f t="shared" si="11"/>
        <v>2.0949384137907073E-5</v>
      </c>
      <c r="H77" s="45">
        <f t="shared" si="11"/>
        <v>8.5300737009997289E-5</v>
      </c>
      <c r="I77" s="45">
        <f t="shared" si="11"/>
        <v>0</v>
      </c>
      <c r="J77" s="45">
        <f t="shared" si="11"/>
        <v>0</v>
      </c>
      <c r="K77" s="45">
        <f t="shared" si="11"/>
        <v>1.3441472868075705E-5</v>
      </c>
      <c r="L77" s="45">
        <f t="shared" si="11"/>
        <v>0</v>
      </c>
      <c r="M77" s="45">
        <f t="shared" si="11"/>
        <v>1.1642534180591687E-6</v>
      </c>
      <c r="N77" s="45">
        <f t="shared" si="11"/>
        <v>2.0330552545386754E-5</v>
      </c>
      <c r="O77" s="45">
        <f t="shared" si="11"/>
        <v>0</v>
      </c>
      <c r="P77" s="45">
        <f>SUMPRODUCT(P66:P76,R66:R76)</f>
        <v>1.2652326931362086E-5</v>
      </c>
      <c r="Q77" s="45">
        <f>SUMPRODUCT(Q66:Q76,$R$66:$R$76)</f>
        <v>5.7337962155516594E-6</v>
      </c>
      <c r="R77" s="144"/>
    </row>
    <row r="78" spans="1:18" x14ac:dyDescent="0.35">
      <c r="A78" s="21" t="s">
        <v>365</v>
      </c>
      <c r="B78" s="16" t="s">
        <v>168</v>
      </c>
      <c r="C78" s="16" t="s">
        <v>366</v>
      </c>
      <c r="D78" s="22" t="s">
        <v>39</v>
      </c>
      <c r="E78" s="22" t="s">
        <v>89</v>
      </c>
      <c r="F78" s="271">
        <f t="shared" ref="F78:F88" si="12">SUM(G78:Q78)</f>
        <v>1.6081792239633249E-4</v>
      </c>
      <c r="G78" s="272">
        <v>0</v>
      </c>
      <c r="H78" s="273">
        <v>9.5000000000000005E-5</v>
      </c>
      <c r="I78" s="274">
        <v>0</v>
      </c>
      <c r="J78" s="275"/>
      <c r="K78" s="276">
        <v>2.0408953594176501E-5</v>
      </c>
      <c r="L78" s="276">
        <v>0</v>
      </c>
      <c r="M78" s="276">
        <v>0</v>
      </c>
      <c r="N78" s="276">
        <v>4.5408968802156001E-5</v>
      </c>
      <c r="O78" s="276"/>
      <c r="P78" s="276"/>
      <c r="Q78" s="275"/>
      <c r="R78" s="143">
        <f>'Parameters, country spec'!H15</f>
        <v>8.7634739536272627E-2</v>
      </c>
    </row>
    <row r="79" spans="1:18" x14ac:dyDescent="0.35">
      <c r="A79" s="21" t="s">
        <v>367</v>
      </c>
      <c r="B79" s="16" t="s">
        <v>170</v>
      </c>
      <c r="C79" s="16" t="s">
        <v>366</v>
      </c>
      <c r="D79" s="22" t="s">
        <v>39</v>
      </c>
      <c r="E79" s="22" t="s">
        <v>89</v>
      </c>
      <c r="F79" s="157">
        <f t="shared" si="12"/>
        <v>1.5559892482314231E-4</v>
      </c>
      <c r="G79" s="96">
        <v>0</v>
      </c>
      <c r="H79" s="97">
        <v>9.5000000000000005E-5</v>
      </c>
      <c r="I79" s="15">
        <v>0</v>
      </c>
      <c r="J79" s="13"/>
      <c r="K79" s="98">
        <v>7.0135973409644302E-6</v>
      </c>
      <c r="L79" s="98">
        <v>0</v>
      </c>
      <c r="M79" s="98">
        <v>8.1763586800218706E-6</v>
      </c>
      <c r="N79" s="98">
        <v>4.5408968802156001E-5</v>
      </c>
      <c r="O79" s="98"/>
      <c r="P79" s="98"/>
      <c r="Q79" s="13"/>
      <c r="R79" s="143">
        <f>'Parameters, country spec'!H16</f>
        <v>0.57303226549823605</v>
      </c>
    </row>
    <row r="80" spans="1:18" x14ac:dyDescent="0.35">
      <c r="A80" s="21" t="s">
        <v>368</v>
      </c>
      <c r="B80" s="16" t="s">
        <v>171</v>
      </c>
      <c r="C80" s="16" t="s">
        <v>366</v>
      </c>
      <c r="D80" s="22" t="s">
        <v>39</v>
      </c>
      <c r="E80" s="22" t="s">
        <v>89</v>
      </c>
      <c r="F80" s="157">
        <f t="shared" si="12"/>
        <v>1.7509622686667211E-4</v>
      </c>
      <c r="G80" s="96">
        <v>0</v>
      </c>
      <c r="H80" s="97">
        <v>9.5000000000000005E-5</v>
      </c>
      <c r="I80" s="15">
        <v>0</v>
      </c>
      <c r="J80" s="13"/>
      <c r="K80" s="98">
        <v>3.4687258064516102E-5</v>
      </c>
      <c r="L80" s="98">
        <v>0</v>
      </c>
      <c r="M80" s="98">
        <v>0</v>
      </c>
      <c r="N80" s="98">
        <v>4.5408968802156001E-5</v>
      </c>
      <c r="O80" s="98"/>
      <c r="P80" s="98"/>
      <c r="Q80" s="13"/>
      <c r="R80" s="143">
        <f>'Parameters, country spec'!H17</f>
        <v>1.8199416246980429E-2</v>
      </c>
    </row>
    <row r="81" spans="1:18" x14ac:dyDescent="0.35">
      <c r="A81" s="21" t="s">
        <v>369</v>
      </c>
      <c r="B81" s="16" t="s">
        <v>172</v>
      </c>
      <c r="C81" s="16" t="s">
        <v>366</v>
      </c>
      <c r="D81" s="22" t="s">
        <v>39</v>
      </c>
      <c r="E81" s="22" t="s">
        <v>89</v>
      </c>
      <c r="F81" s="157">
        <f t="shared" si="12"/>
        <v>1.6950607150978425E-4</v>
      </c>
      <c r="G81" s="96">
        <v>0</v>
      </c>
      <c r="H81" s="97">
        <v>9.5000000000000005E-5</v>
      </c>
      <c r="I81" s="13">
        <v>0</v>
      </c>
      <c r="J81" s="13"/>
      <c r="K81" s="98">
        <v>2.6577983447983399E-5</v>
      </c>
      <c r="L81" s="98">
        <v>0</v>
      </c>
      <c r="M81" s="98">
        <v>2.51911925964486E-6</v>
      </c>
      <c r="N81" s="98">
        <v>4.5408968802156001E-5</v>
      </c>
      <c r="O81" s="98"/>
      <c r="P81" s="98"/>
      <c r="Q81" s="13"/>
      <c r="R81" s="143">
        <f>'Parameters, country spec'!H18</f>
        <v>1.4500630224108489E-3</v>
      </c>
    </row>
    <row r="82" spans="1:18" x14ac:dyDescent="0.35">
      <c r="A82" s="21" t="s">
        <v>370</v>
      </c>
      <c r="B82" s="16" t="s">
        <v>173</v>
      </c>
      <c r="C82" s="16" t="s">
        <v>366</v>
      </c>
      <c r="D82" s="22" t="s">
        <v>39</v>
      </c>
      <c r="E82" s="22" t="s">
        <v>89</v>
      </c>
      <c r="F82" s="157">
        <f t="shared" si="12"/>
        <v>1.6460418698841902E-4</v>
      </c>
      <c r="G82" s="96">
        <v>0</v>
      </c>
      <c r="H82" s="97">
        <v>9.5000000000000005E-5</v>
      </c>
      <c r="I82" s="13">
        <v>0</v>
      </c>
      <c r="J82" s="13"/>
      <c r="K82" s="98">
        <v>2.21715498673326E-5</v>
      </c>
      <c r="L82" s="98">
        <v>0</v>
      </c>
      <c r="M82" s="98">
        <v>2.0236683189304101E-6</v>
      </c>
      <c r="N82" s="98">
        <v>4.5408968802156001E-5</v>
      </c>
      <c r="O82" s="98"/>
      <c r="P82" s="98"/>
      <c r="Q82" s="13"/>
      <c r="R82" s="143">
        <f>'Parameters, country spec'!H19</f>
        <v>8.3008572023096597E-2</v>
      </c>
    </row>
    <row r="83" spans="1:18" x14ac:dyDescent="0.35">
      <c r="A83" s="21" t="s">
        <v>371</v>
      </c>
      <c r="B83" s="16" t="s">
        <v>174</v>
      </c>
      <c r="C83" s="16" t="s">
        <v>372</v>
      </c>
      <c r="D83" s="22" t="s">
        <v>39</v>
      </c>
      <c r="E83" s="22" t="s">
        <v>89</v>
      </c>
      <c r="F83" s="157">
        <f t="shared" si="12"/>
        <v>1.6861046490614421E-4</v>
      </c>
      <c r="G83" s="96">
        <v>0</v>
      </c>
      <c r="H83" s="97">
        <v>9.5000000000000005E-5</v>
      </c>
      <c r="I83" s="15">
        <v>0</v>
      </c>
      <c r="J83" s="13"/>
      <c r="K83" s="98">
        <v>2.7899903583136301E-5</v>
      </c>
      <c r="L83" s="98">
        <v>0</v>
      </c>
      <c r="M83" s="98">
        <v>3.0159252085191802E-7</v>
      </c>
      <c r="N83" s="98">
        <v>4.5408968802156001E-5</v>
      </c>
      <c r="O83" s="98"/>
      <c r="P83" s="98"/>
      <c r="Q83" s="13"/>
      <c r="R83" s="143">
        <f>'Parameters, country spec'!H20</f>
        <v>1.927136550134527E-3</v>
      </c>
    </row>
    <row r="84" spans="1:18" x14ac:dyDescent="0.35">
      <c r="A84" s="21" t="s">
        <v>373</v>
      </c>
      <c r="B84" s="16" t="s">
        <v>175</v>
      </c>
      <c r="C84" s="16" t="s">
        <v>372</v>
      </c>
      <c r="D84" s="22" t="s">
        <v>39</v>
      </c>
      <c r="E84" s="22" t="s">
        <v>89</v>
      </c>
      <c r="F84" s="157">
        <f t="shared" si="12"/>
        <v>1.8035826993186918E-4</v>
      </c>
      <c r="G84" s="96">
        <v>0</v>
      </c>
      <c r="H84" s="97">
        <v>9.5000000000000005E-5</v>
      </c>
      <c r="I84" s="15">
        <v>0</v>
      </c>
      <c r="J84" s="13"/>
      <c r="K84" s="98">
        <v>3.9529874624328298E-5</v>
      </c>
      <c r="L84" s="98">
        <v>0</v>
      </c>
      <c r="M84" s="98">
        <v>4.1942650538490402E-7</v>
      </c>
      <c r="N84" s="98">
        <v>4.5408968802156001E-5</v>
      </c>
      <c r="O84" s="98"/>
      <c r="P84" s="98"/>
      <c r="Q84" s="13"/>
      <c r="R84" s="143">
        <f>'Parameters, country spec'!H21</f>
        <v>1.8930831597192171E-3</v>
      </c>
    </row>
    <row r="85" spans="1:18" x14ac:dyDescent="0.35">
      <c r="B85" s="17" t="s">
        <v>177</v>
      </c>
      <c r="C85" s="16" t="s">
        <v>374</v>
      </c>
      <c r="D85" s="22" t="s">
        <v>450</v>
      </c>
      <c r="E85" s="22"/>
      <c r="F85" s="120">
        <f t="shared" si="12"/>
        <v>3.8246443678729497E-4</v>
      </c>
      <c r="G85" s="32">
        <f>'Off-farm feed'!$F$75</f>
        <v>1.684774766302073E-4</v>
      </c>
      <c r="H85" s="32">
        <f>'Off-farm feed'!$G$75</f>
        <v>4.5862068965517246E-5</v>
      </c>
      <c r="I85" s="32"/>
      <c r="J85" s="32"/>
      <c r="K85" s="32">
        <f>'Off-farm feed'!$J$75</f>
        <v>1.0936279334641699E-5</v>
      </c>
      <c r="L85" s="32"/>
      <c r="M85" s="32">
        <f>'Off-farm feed'!$L$75</f>
        <v>6.4606960551724142E-7</v>
      </c>
      <c r="N85" s="32">
        <f>'Off-farm feed'!$M$75</f>
        <v>2.1884761697575221E-5</v>
      </c>
      <c r="O85" s="32"/>
      <c r="P85" s="32">
        <f>'Off-farm feed'!$O$75</f>
        <v>4.5962128379923281E-5</v>
      </c>
      <c r="Q85" s="32">
        <f>'Off-farm feed'!$P$75</f>
        <v>8.8695652173913049E-5</v>
      </c>
      <c r="R85" s="143">
        <f>'Parameters, country spec'!H22</f>
        <v>3.2461288333790871E-3</v>
      </c>
    </row>
    <row r="86" spans="1:18" x14ac:dyDescent="0.35">
      <c r="B86" s="17" t="s">
        <v>375</v>
      </c>
      <c r="C86" s="16" t="s">
        <v>374</v>
      </c>
      <c r="D86" s="22" t="s">
        <v>426</v>
      </c>
      <c r="E86" s="22"/>
      <c r="F86" s="120">
        <f t="shared" si="12"/>
        <v>4.7266553697523981E-4</v>
      </c>
      <c r="G86" s="32">
        <f>'Off-farm feed'!$F$24</f>
        <v>1.5603516238625262E-5</v>
      </c>
      <c r="H86" s="32">
        <f>'Off-farm feed'!$G$24</f>
        <v>7.5304878048780503E-5</v>
      </c>
      <c r="I86" s="32"/>
      <c r="J86" s="32"/>
      <c r="K86" s="32">
        <f>'Off-farm feed'!$J$24</f>
        <v>1.908459074435586E-5</v>
      </c>
      <c r="L86" s="32"/>
      <c r="M86" s="32">
        <f>'Off-farm feed'!$L$24</f>
        <v>5.9672097439024396E-7</v>
      </c>
      <c r="N86" s="32">
        <f>'Off-farm feed'!$M$24</f>
        <v>2.3084271612619523E-5</v>
      </c>
      <c r="O86" s="32"/>
      <c r="P86" s="32">
        <f>'Off-farm feed'!$O$24</f>
        <v>1.2899155935646844E-4</v>
      </c>
      <c r="Q86" s="32">
        <f>'Off-farm feed'!$P$24</f>
        <v>2.1000000000000001E-4</v>
      </c>
      <c r="R86" s="143">
        <f>'Parameters, country spec'!H23</f>
        <v>8.0143174333338049E-2</v>
      </c>
    </row>
    <row r="87" spans="1:18" x14ac:dyDescent="0.35">
      <c r="B87" s="16" t="s">
        <v>181</v>
      </c>
      <c r="C87" s="16" t="s">
        <v>376</v>
      </c>
      <c r="D87" s="22" t="s">
        <v>39</v>
      </c>
      <c r="E87" s="22" t="s">
        <v>89</v>
      </c>
      <c r="F87" s="157">
        <f t="shared" si="12"/>
        <v>1.8942176456916856E-3</v>
      </c>
      <c r="G87" s="98">
        <v>0</v>
      </c>
      <c r="H87" s="98">
        <v>8.5499999999999995E-6</v>
      </c>
      <c r="I87">
        <v>0</v>
      </c>
      <c r="K87" s="98">
        <v>1.9954394880599302E-6</v>
      </c>
      <c r="L87">
        <v>0</v>
      </c>
      <c r="M87">
        <v>1.8213014870373701E-7</v>
      </c>
      <c r="N87" s="98">
        <v>4.0868071921940402E-6</v>
      </c>
      <c r="O87" s="98"/>
      <c r="P87" s="98">
        <v>1.84838955963081E-3</v>
      </c>
      <c r="Q87" s="98">
        <v>3.1013709231917901E-5</v>
      </c>
      <c r="R87" s="143">
        <f>'Parameters, country spec'!H24</f>
        <v>8.4604092546848059E-2</v>
      </c>
    </row>
    <row r="88" spans="1:18" x14ac:dyDescent="0.35">
      <c r="A88" s="80"/>
      <c r="B88" s="16" t="s">
        <v>377</v>
      </c>
      <c r="C88" s="81" t="s">
        <v>378</v>
      </c>
      <c r="D88" s="22" t="s">
        <v>39</v>
      </c>
      <c r="E88" s="22" t="s">
        <v>89</v>
      </c>
      <c r="F88" s="158">
        <f t="shared" si="12"/>
        <v>3.222447928952447E-4</v>
      </c>
      <c r="G88" s="79">
        <f>AVERAGE(G78:G86)</f>
        <v>2.045344365209251E-5</v>
      </c>
      <c r="H88" s="79">
        <f>AVERAGE(H78:H86)</f>
        <v>8.7351883001588647E-5</v>
      </c>
      <c r="I88" s="79"/>
      <c r="J88" s="79"/>
      <c r="K88" s="79">
        <f>AVERAGE(K78:K86)</f>
        <v>2.3145554511270573E-5</v>
      </c>
      <c r="L88" s="79"/>
      <c r="M88" s="79">
        <f>AVERAGE(M78:M86)</f>
        <v>1.6314395405268274E-6</v>
      </c>
      <c r="N88" s="79">
        <f>AVERAGE(N78:N86)</f>
        <v>4.0314646102809641E-5</v>
      </c>
      <c r="O88" s="79"/>
      <c r="P88" s="79"/>
      <c r="Q88" s="79">
        <f>AVERAGE(Q78:Q86)</f>
        <v>1.4934782608695652E-4</v>
      </c>
      <c r="R88" s="143">
        <f>'Parameters, country spec'!H25</f>
        <v>6.4861328249584266E-2</v>
      </c>
    </row>
    <row r="89" spans="1:18" x14ac:dyDescent="0.35">
      <c r="A89" s="142"/>
      <c r="B89" s="24" t="s">
        <v>379</v>
      </c>
      <c r="C89" s="25"/>
      <c r="D89" s="99"/>
      <c r="E89" s="99"/>
      <c r="F89" s="45">
        <f t="shared" ref="F89:O89" si="13">SUMPRODUCT(F78:F88,$R$78:$R$88)</f>
        <v>3.4130104750480078E-4</v>
      </c>
      <c r="G89" s="45">
        <f t="shared" si="13"/>
        <v>3.1240524393422308E-6</v>
      </c>
      <c r="H89" s="45">
        <f t="shared" si="13"/>
        <v>8.5451971525403236E-5</v>
      </c>
      <c r="I89" s="45">
        <f t="shared" si="13"/>
        <v>0</v>
      </c>
      <c r="J89" s="45">
        <f t="shared" si="13"/>
        <v>0</v>
      </c>
      <c r="K89" s="45">
        <f t="shared" si="13"/>
        <v>1.1681481473510098E-5</v>
      </c>
      <c r="L89" s="45">
        <f t="shared" si="13"/>
        <v>0</v>
      </c>
      <c r="M89" s="45">
        <f t="shared" si="13"/>
        <v>5.0294738860213319E-6</v>
      </c>
      <c r="N89" s="45">
        <f t="shared" si="13"/>
        <v>3.9716985574494782E-5</v>
      </c>
      <c r="O89" s="45">
        <f t="shared" si="13"/>
        <v>0</v>
      </c>
      <c r="P89" s="45">
        <f>SUMPRODUCT(P78:P88,R78:R88)</f>
        <v>1.668683133848449E-4</v>
      </c>
      <c r="Q89" s="45">
        <f>SUMPRODUCT(Q78:Q88,$R$78:$R$88)</f>
        <v>2.9428769221184227E-5</v>
      </c>
      <c r="R89" s="144"/>
    </row>
    <row r="90" spans="1:18" x14ac:dyDescent="0.35">
      <c r="A90" s="21" t="s">
        <v>365</v>
      </c>
      <c r="B90" s="16" t="s">
        <v>168</v>
      </c>
      <c r="C90" s="16" t="s">
        <v>366</v>
      </c>
      <c r="D90" s="22" t="s">
        <v>32</v>
      </c>
      <c r="E90" s="22" t="s">
        <v>90</v>
      </c>
      <c r="F90" s="271">
        <f t="shared" ref="F90:F100" si="14">SUM(G90:Q90)</f>
        <v>1.3995009006065534E-4</v>
      </c>
      <c r="G90" s="272">
        <v>0</v>
      </c>
      <c r="H90" s="273">
        <v>9.5000000000000005E-5</v>
      </c>
      <c r="I90" s="274">
        <v>0</v>
      </c>
      <c r="J90" s="275"/>
      <c r="K90" s="276">
        <v>1.27305993690852E-5</v>
      </c>
      <c r="L90" s="276">
        <v>0</v>
      </c>
      <c r="M90" s="276">
        <v>4.041629118133E-9</v>
      </c>
      <c r="N90" s="276">
        <v>3.2215449062452001E-5</v>
      </c>
      <c r="O90" s="276"/>
      <c r="P90" s="276"/>
      <c r="Q90" s="275"/>
      <c r="R90" s="143">
        <f>'Parameters, country spec'!I15</f>
        <v>9.5526549752842554E-2</v>
      </c>
    </row>
    <row r="91" spans="1:18" x14ac:dyDescent="0.35">
      <c r="A91" s="21" t="s">
        <v>367</v>
      </c>
      <c r="B91" s="16" t="s">
        <v>170</v>
      </c>
      <c r="C91" s="16" t="s">
        <v>366</v>
      </c>
      <c r="D91" s="22" t="s">
        <v>32</v>
      </c>
      <c r="E91" s="22" t="s">
        <v>90</v>
      </c>
      <c r="F91" s="157">
        <f t="shared" si="14"/>
        <v>1.3716169100603363E-4</v>
      </c>
      <c r="G91" s="96">
        <v>0</v>
      </c>
      <c r="H91" s="97">
        <v>9.5000000000000005E-5</v>
      </c>
      <c r="I91" s="15">
        <v>0</v>
      </c>
      <c r="J91" s="13"/>
      <c r="K91" s="98">
        <v>7.7167553942765293E-6</v>
      </c>
      <c r="L91" s="98">
        <v>0</v>
      </c>
      <c r="M91" s="98">
        <v>2.2294865493050998E-6</v>
      </c>
      <c r="N91" s="98">
        <v>3.2215449062452001E-5</v>
      </c>
      <c r="O91" s="98"/>
      <c r="P91" s="98"/>
      <c r="Q91" s="13"/>
      <c r="R91" s="143">
        <f>'Parameters, country spec'!I16</f>
        <v>0.28688514594124209</v>
      </c>
    </row>
    <row r="92" spans="1:18" x14ac:dyDescent="0.35">
      <c r="A92" s="21" t="s">
        <v>368</v>
      </c>
      <c r="B92" s="16" t="s">
        <v>171</v>
      </c>
      <c r="C92" s="16" t="s">
        <v>366</v>
      </c>
      <c r="D92" s="22" t="s">
        <v>32</v>
      </c>
      <c r="E92" s="22" t="s">
        <v>90</v>
      </c>
      <c r="F92" s="157">
        <f t="shared" si="14"/>
        <v>1.4583591964434446E-4</v>
      </c>
      <c r="G92" s="96">
        <v>0</v>
      </c>
      <c r="H92" s="97">
        <v>9.5000000000000005E-5</v>
      </c>
      <c r="I92" s="15">
        <v>0</v>
      </c>
      <c r="J92" s="13"/>
      <c r="K92" s="98">
        <v>1.6883661191733499E-5</v>
      </c>
      <c r="L92" s="98">
        <v>0</v>
      </c>
      <c r="M92" s="98">
        <v>1.73680939015895E-6</v>
      </c>
      <c r="N92" s="98">
        <v>3.2215449062452001E-5</v>
      </c>
      <c r="O92" s="98"/>
      <c r="P92" s="98"/>
      <c r="Q92" s="13"/>
      <c r="R92" s="143">
        <f>'Parameters, country spec'!I17</f>
        <v>3.1378297013894309E-3</v>
      </c>
    </row>
    <row r="93" spans="1:18" x14ac:dyDescent="0.35">
      <c r="A93" s="21" t="s">
        <v>369</v>
      </c>
      <c r="B93" s="16" t="s">
        <v>172</v>
      </c>
      <c r="C93" s="16" t="s">
        <v>366</v>
      </c>
      <c r="D93" s="22" t="s">
        <v>32</v>
      </c>
      <c r="E93" s="22" t="s">
        <v>90</v>
      </c>
      <c r="F93" s="157">
        <f t="shared" si="14"/>
        <v>1.51017250844127E-4</v>
      </c>
      <c r="G93" s="96">
        <v>0</v>
      </c>
      <c r="H93" s="97">
        <v>9.5000000000000005E-5</v>
      </c>
      <c r="I93" s="13">
        <v>0</v>
      </c>
      <c r="J93" s="13"/>
      <c r="K93" s="98">
        <v>2.3801801781675E-5</v>
      </c>
      <c r="L93" s="98">
        <v>0</v>
      </c>
      <c r="M93" s="98">
        <v>0</v>
      </c>
      <c r="N93" s="98">
        <v>3.2215449062452001E-5</v>
      </c>
      <c r="O93" s="98"/>
      <c r="P93" s="98"/>
      <c r="Q93" s="13"/>
      <c r="R93" s="143">
        <f>'Parameters, country spec'!I18</f>
        <v>1.180760891727785E-2</v>
      </c>
    </row>
    <row r="94" spans="1:18" x14ac:dyDescent="0.35">
      <c r="A94" s="21" t="s">
        <v>370</v>
      </c>
      <c r="B94" s="16" t="s">
        <v>173</v>
      </c>
      <c r="C94" s="16" t="s">
        <v>366</v>
      </c>
      <c r="D94" s="22" t="s">
        <v>32</v>
      </c>
      <c r="E94" s="22" t="s">
        <v>90</v>
      </c>
      <c r="F94" s="157">
        <f t="shared" si="14"/>
        <v>1.3750788550144142E-4</v>
      </c>
      <c r="G94" s="96">
        <v>0</v>
      </c>
      <c r="H94" s="97">
        <v>9.5000000000000005E-5</v>
      </c>
      <c r="I94" s="13">
        <v>0</v>
      </c>
      <c r="J94" s="13"/>
      <c r="K94" s="98">
        <v>1.0292436438989401E-5</v>
      </c>
      <c r="L94" s="98">
        <v>0</v>
      </c>
      <c r="M94" s="98">
        <v>0</v>
      </c>
      <c r="N94" s="98">
        <v>3.2215449062452001E-5</v>
      </c>
      <c r="O94" s="98"/>
      <c r="P94" s="98"/>
      <c r="Q94" s="13"/>
      <c r="R94" s="143">
        <f>'Parameters, country spec'!I19</f>
        <v>0.32323260195937931</v>
      </c>
    </row>
    <row r="95" spans="1:18" x14ac:dyDescent="0.35">
      <c r="A95" s="21" t="s">
        <v>371</v>
      </c>
      <c r="B95" s="16" t="s">
        <v>174</v>
      </c>
      <c r="C95" s="16" t="s">
        <v>372</v>
      </c>
      <c r="D95" s="22" t="s">
        <v>32</v>
      </c>
      <c r="E95" s="22" t="s">
        <v>90</v>
      </c>
      <c r="F95" s="157">
        <f t="shared" si="14"/>
        <v>1.5323348809202599E-4</v>
      </c>
      <c r="G95" s="96">
        <v>0</v>
      </c>
      <c r="H95" s="97">
        <v>9.5000000000000005E-5</v>
      </c>
      <c r="I95" s="15">
        <v>0</v>
      </c>
      <c r="J95" s="13"/>
      <c r="K95" s="98">
        <v>2.6539357994497098E-5</v>
      </c>
      <c r="L95" s="98">
        <v>0</v>
      </c>
      <c r="M95" s="98">
        <v>1.3746605833900899E-5</v>
      </c>
      <c r="N95" s="98">
        <v>1.7947524263628E-5</v>
      </c>
      <c r="O95" s="98"/>
      <c r="P95" s="98"/>
      <c r="Q95" s="13"/>
      <c r="R95" s="143">
        <f>'Parameters, country spec'!I20</f>
        <v>0</v>
      </c>
    </row>
    <row r="96" spans="1:18" x14ac:dyDescent="0.35">
      <c r="A96" s="21" t="s">
        <v>373</v>
      </c>
      <c r="B96" s="16" t="s">
        <v>175</v>
      </c>
      <c r="C96" s="16" t="s">
        <v>372</v>
      </c>
      <c r="D96" s="22" t="s">
        <v>32</v>
      </c>
      <c r="E96" s="22" t="s">
        <v>90</v>
      </c>
      <c r="F96" s="157">
        <f t="shared" si="14"/>
        <v>1.4942367225038484E-4</v>
      </c>
      <c r="G96" s="96">
        <v>0</v>
      </c>
      <c r="H96" s="97">
        <v>9.5000000000000005E-5</v>
      </c>
      <c r="I96" s="15">
        <v>0</v>
      </c>
      <c r="J96" s="13"/>
      <c r="K96" s="98">
        <v>2.22082079949972E-5</v>
      </c>
      <c r="L96" s="98">
        <v>0</v>
      </c>
      <c r="M96" s="98">
        <v>1.5192935628999999E-11</v>
      </c>
      <c r="N96" s="98">
        <v>3.2215449062452001E-5</v>
      </c>
      <c r="O96" s="98"/>
      <c r="P96" s="98"/>
      <c r="Q96" s="13"/>
      <c r="R96" s="143">
        <f>'Parameters, country spec'!I21</f>
        <v>0</v>
      </c>
    </row>
    <row r="97" spans="1:19" x14ac:dyDescent="0.35">
      <c r="B97" s="17" t="s">
        <v>177</v>
      </c>
      <c r="C97" s="16" t="s">
        <v>374</v>
      </c>
      <c r="D97" s="22" t="s">
        <v>450</v>
      </c>
      <c r="E97" s="22"/>
      <c r="F97" s="120">
        <f t="shared" si="14"/>
        <v>3.8246443678729497E-4</v>
      </c>
      <c r="G97" s="32">
        <f>'Off-farm feed'!$F$75</f>
        <v>1.684774766302073E-4</v>
      </c>
      <c r="H97" s="32">
        <f>'Off-farm feed'!$G$75</f>
        <v>4.5862068965517246E-5</v>
      </c>
      <c r="I97" s="32"/>
      <c r="J97" s="32"/>
      <c r="K97" s="32">
        <f>'Off-farm feed'!$J$75</f>
        <v>1.0936279334641699E-5</v>
      </c>
      <c r="L97" s="32"/>
      <c r="M97" s="32">
        <f>'Off-farm feed'!$L$75</f>
        <v>6.4606960551724142E-7</v>
      </c>
      <c r="N97" s="32">
        <f>'Off-farm feed'!$M$75</f>
        <v>2.1884761697575221E-5</v>
      </c>
      <c r="O97" s="32"/>
      <c r="P97" s="32">
        <f>'Off-farm feed'!$O$75</f>
        <v>4.5962128379923281E-5</v>
      </c>
      <c r="Q97" s="32">
        <f>'Off-farm feed'!$P$75</f>
        <v>8.8695652173913049E-5</v>
      </c>
      <c r="R97" s="143">
        <f>'Parameters, country spec'!I22</f>
        <v>5.2461984284283551E-2</v>
      </c>
    </row>
    <row r="98" spans="1:19" x14ac:dyDescent="0.35">
      <c r="B98" s="17" t="s">
        <v>375</v>
      </c>
      <c r="C98" s="16" t="s">
        <v>374</v>
      </c>
      <c r="D98" s="22" t="s">
        <v>426</v>
      </c>
      <c r="E98" s="22"/>
      <c r="F98" s="120">
        <f t="shared" si="14"/>
        <v>4.7266553697523981E-4</v>
      </c>
      <c r="G98" s="32">
        <f>'Off-farm feed'!$F$24</f>
        <v>1.5603516238625262E-5</v>
      </c>
      <c r="H98" s="32">
        <f>'Off-farm feed'!$G$24</f>
        <v>7.5304878048780503E-5</v>
      </c>
      <c r="I98" s="32"/>
      <c r="J98" s="32"/>
      <c r="K98" s="32">
        <f>'Off-farm feed'!$J$24</f>
        <v>1.908459074435586E-5</v>
      </c>
      <c r="L98" s="32"/>
      <c r="M98" s="32">
        <f>'Off-farm feed'!$L$24</f>
        <v>5.9672097439024396E-7</v>
      </c>
      <c r="N98" s="32">
        <f>'Off-farm feed'!$M$24</f>
        <v>2.3084271612619523E-5</v>
      </c>
      <c r="O98" s="32"/>
      <c r="P98" s="32">
        <f>'Off-farm feed'!$O$24</f>
        <v>1.2899155935646844E-4</v>
      </c>
      <c r="Q98" s="32">
        <f>'Off-farm feed'!$P$24</f>
        <v>2.1000000000000001E-4</v>
      </c>
      <c r="R98" s="143">
        <f>'Parameters, country spec'!I23</f>
        <v>6.7752088819631406E-2</v>
      </c>
    </row>
    <row r="99" spans="1:19" x14ac:dyDescent="0.35">
      <c r="B99" s="16" t="s">
        <v>181</v>
      </c>
      <c r="C99" s="16" t="s">
        <v>376</v>
      </c>
      <c r="D99" s="22" t="s">
        <v>32</v>
      </c>
      <c r="E99" s="22" t="s">
        <v>90</v>
      </c>
      <c r="F99" s="157">
        <f t="shared" si="14"/>
        <v>1.0210671879533402E-3</v>
      </c>
      <c r="G99" s="98">
        <v>0</v>
      </c>
      <c r="H99" s="98">
        <v>8.5499999999999995E-6</v>
      </c>
      <c r="I99" s="47">
        <v>0</v>
      </c>
      <c r="J99" s="47"/>
      <c r="K99" s="98">
        <v>9.2631927950904603E-7</v>
      </c>
      <c r="L99" s="47">
        <v>0</v>
      </c>
      <c r="M99" s="47">
        <v>0</v>
      </c>
      <c r="N99" s="98">
        <v>2.8993904156206801E-6</v>
      </c>
      <c r="O99" s="98"/>
      <c r="P99" s="98">
        <v>9.9818289932063491E-4</v>
      </c>
      <c r="Q99" s="98">
        <v>1.05085789375756E-5</v>
      </c>
      <c r="R99" s="143">
        <f>'Parameters, country spec'!I24</f>
        <v>7.382094479672017E-3</v>
      </c>
      <c r="S99" t="s">
        <v>475</v>
      </c>
    </row>
    <row r="100" spans="1:19" x14ac:dyDescent="0.35">
      <c r="A100" s="80"/>
      <c r="B100" s="16" t="s">
        <v>377</v>
      </c>
      <c r="C100" s="81" t="s">
        <v>378</v>
      </c>
      <c r="D100" s="22" t="s">
        <v>32</v>
      </c>
      <c r="E100" s="22" t="s">
        <v>90</v>
      </c>
      <c r="F100" s="158">
        <f t="shared" si="14"/>
        <v>1.5506784791680475E-4</v>
      </c>
      <c r="G100" s="79">
        <f>AVERAGE(G90:G98)</f>
        <v>2.045344365209251E-5</v>
      </c>
      <c r="H100" s="79">
        <f>AVERAGE(H90:H98)</f>
        <v>8.7351883001588647E-5</v>
      </c>
      <c r="I100" s="79"/>
      <c r="J100" s="79"/>
      <c r="K100" s="79">
        <f>AVERAGE(K90:K98)</f>
        <v>1.6688187804916834E-5</v>
      </c>
      <c r="L100" s="79"/>
      <c r="M100" s="79">
        <f>AVERAGE(M90:M98)</f>
        <v>2.1066387972584665E-6</v>
      </c>
      <c r="N100" s="79">
        <f>AVERAGE(N90:N98)</f>
        <v>2.8467694660948308E-5</v>
      </c>
      <c r="O100" s="79"/>
      <c r="P100" s="79"/>
      <c r="Q100" s="79"/>
      <c r="R100" s="143">
        <f>'Parameters, country spec'!I25</f>
        <v>0.15181409614428171</v>
      </c>
    </row>
    <row r="101" spans="1:19" x14ac:dyDescent="0.35">
      <c r="A101" s="142"/>
      <c r="B101" s="24" t="s">
        <v>379</v>
      </c>
      <c r="C101" s="25"/>
      <c r="D101" s="99"/>
      <c r="E101" s="99"/>
      <c r="F101" s="45">
        <f t="shared" ref="F101:O101" si="15">SUMPRODUCT(F90:F100,$R$90:$R$100)</f>
        <v>1.8257441386064106E-4</v>
      </c>
      <c r="G101" s="45">
        <f t="shared" si="15"/>
        <v>1.3000954610408004E-5</v>
      </c>
      <c r="H101" s="45">
        <f t="shared" si="15"/>
        <v>8.9288466945467064E-5</v>
      </c>
      <c r="I101" s="45">
        <f t="shared" si="15"/>
        <v>0</v>
      </c>
      <c r="J101" s="45">
        <f t="shared" si="15"/>
        <v>0</v>
      </c>
      <c r="K101" s="45">
        <f t="shared" si="15"/>
        <v>1.1497904288800161E-5</v>
      </c>
      <c r="L101" s="45">
        <f t="shared" si="15"/>
        <v>0</v>
      </c>
      <c r="M101" s="45">
        <f t="shared" si="15"/>
        <v>1.039583119903453E-6</v>
      </c>
      <c r="N101" s="45">
        <f t="shared" si="15"/>
        <v>3.0269448496923567E-5</v>
      </c>
      <c r="O101" s="45">
        <f t="shared" si="15"/>
        <v>0</v>
      </c>
      <c r="P101" s="45">
        <f>SUMPRODUCT(P90:P100,R90:R100)</f>
        <v>1.8519392514019832E-5</v>
      </c>
      <c r="Q101" s="45">
        <f>SUMPRODUCT(Q90:Q100,$R$90:$R$100)</f>
        <v>1.8958663885118975E-5</v>
      </c>
      <c r="R101" s="144"/>
    </row>
    <row r="102" spans="1:19" x14ac:dyDescent="0.35">
      <c r="A102" s="21" t="s">
        <v>365</v>
      </c>
      <c r="B102" s="16" t="s">
        <v>168</v>
      </c>
      <c r="C102" s="16" t="s">
        <v>366</v>
      </c>
      <c r="D102" s="22" t="s">
        <v>30</v>
      </c>
      <c r="E102" s="22" t="s">
        <v>91</v>
      </c>
      <c r="F102" s="271">
        <f t="shared" ref="F102:F112" si="16">SUM(G102:Q102)</f>
        <v>1.6497531832034709E-4</v>
      </c>
      <c r="G102" s="272">
        <v>0</v>
      </c>
      <c r="H102" s="273">
        <v>9.5000000000000005E-5</v>
      </c>
      <c r="I102" s="274">
        <v>0</v>
      </c>
      <c r="J102" s="275"/>
      <c r="K102" s="276">
        <v>1.98412991656734E-5</v>
      </c>
      <c r="L102" s="276">
        <v>0</v>
      </c>
      <c r="M102" s="276">
        <v>2.7814008800000002E-12</v>
      </c>
      <c r="N102" s="276">
        <v>5.0134016373272799E-5</v>
      </c>
      <c r="O102" s="276"/>
      <c r="P102" s="276"/>
      <c r="Q102" s="275"/>
      <c r="R102" s="143">
        <f>'Parameters, country spec'!J15</f>
        <v>0.2173795631525704</v>
      </c>
    </row>
    <row r="103" spans="1:19" x14ac:dyDescent="0.35">
      <c r="A103" s="21" t="s">
        <v>367</v>
      </c>
      <c r="B103" s="16" t="s">
        <v>170</v>
      </c>
      <c r="C103" s="16" t="s">
        <v>366</v>
      </c>
      <c r="D103" s="22" t="s">
        <v>30</v>
      </c>
      <c r="E103" s="22" t="s">
        <v>91</v>
      </c>
      <c r="F103" s="157">
        <f t="shared" si="16"/>
        <v>1.5529602694558698E-4</v>
      </c>
      <c r="G103" s="96">
        <v>0</v>
      </c>
      <c r="H103" s="97">
        <v>9.5000000000000005E-5</v>
      </c>
      <c r="I103" s="15">
        <v>0</v>
      </c>
      <c r="J103" s="13"/>
      <c r="K103" s="98">
        <v>9.9298959847891792E-6</v>
      </c>
      <c r="L103" s="98">
        <v>0</v>
      </c>
      <c r="M103" s="98">
        <v>2.3211458752499099E-7</v>
      </c>
      <c r="N103" s="98">
        <v>5.0134016373272799E-5</v>
      </c>
      <c r="O103" s="98"/>
      <c r="P103" s="98"/>
      <c r="Q103" s="13"/>
      <c r="R103" s="143">
        <f>'Parameters, country spec'!J16</f>
        <v>0.29778613267856158</v>
      </c>
    </row>
    <row r="104" spans="1:19" x14ac:dyDescent="0.35">
      <c r="A104" s="21" t="s">
        <v>368</v>
      </c>
      <c r="B104" s="16" t="s">
        <v>171</v>
      </c>
      <c r="C104" s="16" t="s">
        <v>366</v>
      </c>
      <c r="D104" s="22" t="s">
        <v>30</v>
      </c>
      <c r="E104" s="22" t="s">
        <v>91</v>
      </c>
      <c r="F104" s="157">
        <f t="shared" si="16"/>
        <v>1.7101460368304866E-4</v>
      </c>
      <c r="G104" s="96">
        <v>0</v>
      </c>
      <c r="H104" s="97">
        <v>9.5000000000000005E-5</v>
      </c>
      <c r="I104" s="15">
        <v>0</v>
      </c>
      <c r="J104" s="13"/>
      <c r="K104" s="98">
        <v>2.58805751873948E-5</v>
      </c>
      <c r="L104" s="98">
        <v>0</v>
      </c>
      <c r="M104" s="98">
        <v>1.21223810602E-11</v>
      </c>
      <c r="N104" s="98">
        <v>5.0134016373272799E-5</v>
      </c>
      <c r="O104" s="98"/>
      <c r="P104" s="98"/>
      <c r="Q104" s="13"/>
      <c r="R104" s="143">
        <f>'Parameters, country spec'!J17</f>
        <v>6.5103880953803588E-3</v>
      </c>
    </row>
    <row r="105" spans="1:19" x14ac:dyDescent="0.35">
      <c r="A105" s="21" t="s">
        <v>369</v>
      </c>
      <c r="B105" s="16" t="s">
        <v>172</v>
      </c>
      <c r="C105" s="16" t="s">
        <v>366</v>
      </c>
      <c r="D105" s="22" t="s">
        <v>30</v>
      </c>
      <c r="E105" s="22" t="s">
        <v>91</v>
      </c>
      <c r="F105" s="157">
        <f t="shared" si="16"/>
        <v>1.6990035694818603E-4</v>
      </c>
      <c r="G105" s="96">
        <v>0</v>
      </c>
      <c r="H105" s="97">
        <v>9.5000000000000005E-5</v>
      </c>
      <c r="I105" s="13">
        <v>0</v>
      </c>
      <c r="J105" s="13"/>
      <c r="K105" s="98">
        <v>2.47663396717653E-5</v>
      </c>
      <c r="L105" s="98">
        <v>0</v>
      </c>
      <c r="M105" s="98">
        <v>9.0314793305999998E-13</v>
      </c>
      <c r="N105" s="98">
        <v>5.0134016373272799E-5</v>
      </c>
      <c r="O105" s="98"/>
      <c r="P105" s="98"/>
      <c r="Q105" s="13"/>
      <c r="R105" s="143">
        <f>'Parameters, country spec'!J18</f>
        <v>8.5001790646556635E-2</v>
      </c>
    </row>
    <row r="106" spans="1:19" x14ac:dyDescent="0.35">
      <c r="A106" s="21" t="s">
        <v>370</v>
      </c>
      <c r="B106" s="16" t="s">
        <v>173</v>
      </c>
      <c r="C106" s="16" t="s">
        <v>366</v>
      </c>
      <c r="D106" s="22" t="s">
        <v>30</v>
      </c>
      <c r="E106" s="22" t="s">
        <v>91</v>
      </c>
      <c r="F106" s="157">
        <f t="shared" si="16"/>
        <v>1.6162886944057488E-4</v>
      </c>
      <c r="G106" s="96">
        <v>0</v>
      </c>
      <c r="H106" s="97">
        <v>9.5000000000000005E-5</v>
      </c>
      <c r="I106" s="13">
        <v>0</v>
      </c>
      <c r="J106" s="13"/>
      <c r="K106" s="98">
        <v>1.6494852511427901E-5</v>
      </c>
      <c r="L106" s="98">
        <v>0</v>
      </c>
      <c r="M106" s="98">
        <v>5.5587416614000002E-13</v>
      </c>
      <c r="N106" s="98">
        <v>5.0134016373272799E-5</v>
      </c>
      <c r="O106" s="98"/>
      <c r="P106" s="98"/>
      <c r="Q106" s="13"/>
      <c r="R106" s="143">
        <f>'Parameters, country spec'!J19</f>
        <v>0.34177560689413961</v>
      </c>
    </row>
    <row r="107" spans="1:19" x14ac:dyDescent="0.35">
      <c r="A107" s="21" t="s">
        <v>371</v>
      </c>
      <c r="B107" s="16" t="s">
        <v>174</v>
      </c>
      <c r="C107" s="16" t="s">
        <v>372</v>
      </c>
      <c r="D107" s="22" t="s">
        <v>30</v>
      </c>
      <c r="E107" s="22" t="s">
        <v>91</v>
      </c>
      <c r="F107" s="157">
        <f t="shared" si="16"/>
        <v>1.8222404873625303E-4</v>
      </c>
      <c r="G107" s="96">
        <v>0</v>
      </c>
      <c r="H107" s="97">
        <v>9.5000000000000005E-5</v>
      </c>
      <c r="I107" s="15">
        <v>0</v>
      </c>
      <c r="J107" s="13"/>
      <c r="K107" s="98">
        <v>3.70828979343864E-5</v>
      </c>
      <c r="L107" s="98">
        <v>0</v>
      </c>
      <c r="M107" s="98">
        <v>7.1344285938200002E-9</v>
      </c>
      <c r="N107" s="98">
        <v>5.0134016373272799E-5</v>
      </c>
      <c r="O107" s="98"/>
      <c r="P107" s="98"/>
      <c r="Q107" s="13"/>
      <c r="R107" s="143">
        <f>'Parameters, country spec'!J20</f>
        <v>8.3086315099621146E-4</v>
      </c>
    </row>
    <row r="108" spans="1:19" x14ac:dyDescent="0.35">
      <c r="A108" s="21" t="s">
        <v>373</v>
      </c>
      <c r="B108" s="16" t="s">
        <v>175</v>
      </c>
      <c r="C108" s="16" t="s">
        <v>372</v>
      </c>
      <c r="D108" s="22" t="s">
        <v>30</v>
      </c>
      <c r="E108" s="22" t="s">
        <v>91</v>
      </c>
      <c r="F108" s="157">
        <f t="shared" si="16"/>
        <v>1.7387541025101186E-4</v>
      </c>
      <c r="G108" s="96">
        <v>0</v>
      </c>
      <c r="H108" s="97">
        <v>9.5000000000000005E-5</v>
      </c>
      <c r="I108" s="15">
        <v>0</v>
      </c>
      <c r="J108" s="13"/>
      <c r="K108" s="98">
        <v>2.8736443015720101E-5</v>
      </c>
      <c r="L108" s="98">
        <v>0</v>
      </c>
      <c r="M108" s="98">
        <v>4.9508620189672E-9</v>
      </c>
      <c r="N108" s="98">
        <v>5.0134016373272799E-5</v>
      </c>
      <c r="O108" s="98"/>
      <c r="P108" s="98"/>
      <c r="Q108" s="13"/>
      <c r="R108" s="143">
        <f>'Parameters, country spec'!J21</f>
        <v>8.1618141653563262E-4</v>
      </c>
    </row>
    <row r="109" spans="1:19" x14ac:dyDescent="0.35">
      <c r="B109" s="17" t="s">
        <v>177</v>
      </c>
      <c r="C109" s="16" t="s">
        <v>374</v>
      </c>
      <c r="D109" s="22" t="s">
        <v>450</v>
      </c>
      <c r="E109" s="22"/>
      <c r="F109" s="120">
        <f t="shared" si="16"/>
        <v>3.8246443678729497E-4</v>
      </c>
      <c r="G109" s="32">
        <f>'Off-farm feed'!$F$75</f>
        <v>1.684774766302073E-4</v>
      </c>
      <c r="H109" s="32">
        <f>'Off-farm feed'!$G$75</f>
        <v>4.5862068965517246E-5</v>
      </c>
      <c r="I109" s="32"/>
      <c r="J109" s="32"/>
      <c r="K109" s="32">
        <f>'Off-farm feed'!$J$75</f>
        <v>1.0936279334641699E-5</v>
      </c>
      <c r="L109" s="32"/>
      <c r="M109" s="32">
        <f>'Off-farm feed'!$L$75</f>
        <v>6.4606960551724142E-7</v>
      </c>
      <c r="N109" s="32">
        <f>'Off-farm feed'!$M$75</f>
        <v>2.1884761697575221E-5</v>
      </c>
      <c r="O109" s="32"/>
      <c r="P109" s="32">
        <f>'Off-farm feed'!$O$75</f>
        <v>4.5962128379923281E-5</v>
      </c>
      <c r="Q109" s="32">
        <f>'Off-farm feed'!$P$75</f>
        <v>8.8695652173913049E-5</v>
      </c>
      <c r="R109" s="143">
        <f>'Parameters, country spec'!J22</f>
        <v>5.988480966048656E-3</v>
      </c>
    </row>
    <row r="110" spans="1:19" x14ac:dyDescent="0.35">
      <c r="B110" s="17" t="s">
        <v>375</v>
      </c>
      <c r="C110" s="16" t="s">
        <v>374</v>
      </c>
      <c r="D110" s="22" t="s">
        <v>426</v>
      </c>
      <c r="E110" s="22"/>
      <c r="F110" s="120">
        <f t="shared" si="16"/>
        <v>4.7266553697523981E-4</v>
      </c>
      <c r="G110" s="32">
        <f>'Off-farm feed'!$F$24</f>
        <v>1.5603516238625262E-5</v>
      </c>
      <c r="H110" s="32">
        <f>'Off-farm feed'!$G$24</f>
        <v>7.5304878048780503E-5</v>
      </c>
      <c r="I110" s="32"/>
      <c r="J110" s="32"/>
      <c r="K110" s="32">
        <f>'Off-farm feed'!$J$24</f>
        <v>1.908459074435586E-5</v>
      </c>
      <c r="L110" s="32"/>
      <c r="M110" s="32">
        <f>'Off-farm feed'!$L$24</f>
        <v>5.9672097439024396E-7</v>
      </c>
      <c r="N110" s="32">
        <f>'Off-farm feed'!$M$24</f>
        <v>2.3084271612619523E-5</v>
      </c>
      <c r="O110" s="32"/>
      <c r="P110" s="32">
        <f>'Off-farm feed'!$O$24</f>
        <v>1.2899155935646844E-4</v>
      </c>
      <c r="Q110" s="32">
        <f>'Off-farm feed'!$P$24</f>
        <v>2.1000000000000001E-4</v>
      </c>
      <c r="R110" s="143">
        <f>'Parameters, country spec'!J23</f>
        <v>2.088761505982905E-2</v>
      </c>
    </row>
    <row r="111" spans="1:19" x14ac:dyDescent="0.35">
      <c r="B111" s="16" t="s">
        <v>181</v>
      </c>
      <c r="C111" s="16" t="s">
        <v>376</v>
      </c>
      <c r="D111" s="22" t="s">
        <v>30</v>
      </c>
      <c r="E111" s="22" t="s">
        <v>91</v>
      </c>
      <c r="F111" s="157">
        <f t="shared" si="16"/>
        <v>2.1321474079429004E-3</v>
      </c>
      <c r="G111" s="98">
        <v>0</v>
      </c>
      <c r="H111" s="98">
        <v>8.5499999999999995E-6</v>
      </c>
      <c r="I111">
        <v>0</v>
      </c>
      <c r="K111" s="98">
        <v>1.48453672602851E-6</v>
      </c>
      <c r="L111">
        <v>0</v>
      </c>
      <c r="M111">
        <v>5.00286749526E-14</v>
      </c>
      <c r="N111" s="13">
        <v>4.5120614735945501E-6</v>
      </c>
      <c r="O111" s="13"/>
      <c r="P111" s="98">
        <v>2.1139001122159199E-3</v>
      </c>
      <c r="Q111" s="98">
        <v>3.7006974773287098E-6</v>
      </c>
      <c r="R111" s="143">
        <f>'Parameters, country spec'!J24</f>
        <v>1.0222176972034411E-2</v>
      </c>
    </row>
    <row r="112" spans="1:19" x14ac:dyDescent="0.35">
      <c r="A112" s="80"/>
      <c r="B112" s="16" t="s">
        <v>377</v>
      </c>
      <c r="C112" s="81" t="s">
        <v>378</v>
      </c>
      <c r="D112" s="22" t="s">
        <v>30</v>
      </c>
      <c r="E112" s="22" t="s">
        <v>91</v>
      </c>
      <c r="F112" s="158">
        <f t="shared" si="16"/>
        <v>3.2272507810664973E-4</v>
      </c>
      <c r="G112" s="79">
        <f>AVERAGE(G102:G110)</f>
        <v>2.045344365209251E-5</v>
      </c>
      <c r="H112" s="79">
        <f>AVERAGE(H102:H110)</f>
        <v>8.7351883001588647E-5</v>
      </c>
      <c r="I112" s="79"/>
      <c r="J112" s="79"/>
      <c r="K112" s="79">
        <f>AVERAGE(K102:K110)</f>
        <v>2.1417019283350512E-5</v>
      </c>
      <c r="L112" s="79"/>
      <c r="M112" s="79">
        <f>AVERAGE(M102:M110)</f>
        <v>1.6522298009436702E-7</v>
      </c>
      <c r="N112" s="79">
        <f>AVERAGE(N102:N110)</f>
        <v>4.3989683102567155E-5</v>
      </c>
      <c r="O112" s="79"/>
      <c r="P112" s="79"/>
      <c r="Q112" s="79">
        <f>AVERAGE(Q102:Q110)</f>
        <v>1.4934782608695652E-4</v>
      </c>
      <c r="R112" s="143">
        <f>'Parameters, country spec'!J25</f>
        <v>1.2801200967347369E-2</v>
      </c>
    </row>
    <row r="113" spans="1:18" x14ac:dyDescent="0.35">
      <c r="A113" s="142"/>
      <c r="B113" s="24" t="s">
        <v>379</v>
      </c>
      <c r="C113" s="25"/>
      <c r="D113" s="99"/>
      <c r="E113" s="99"/>
      <c r="F113" s="45">
        <f t="shared" ref="F113:O113" si="17">SUMPRODUCT(F102:F112,$R$102:$R$112)</f>
        <v>1.9128628749935073E-4</v>
      </c>
      <c r="G113" s="45">
        <f t="shared" si="17"/>
        <v>1.5966730454448514E-6</v>
      </c>
      <c r="H113" s="45">
        <f t="shared" si="17"/>
        <v>9.3312742027464691E-5</v>
      </c>
      <c r="I113" s="45">
        <f t="shared" si="17"/>
        <v>0</v>
      </c>
      <c r="J113" s="45">
        <f t="shared" si="17"/>
        <v>0</v>
      </c>
      <c r="K113" s="45">
        <f t="shared" si="17"/>
        <v>1.5989019319382047E-5</v>
      </c>
      <c r="L113" s="45">
        <f t="shared" si="17"/>
        <v>0</v>
      </c>
      <c r="M113" s="45">
        <f t="shared" si="17"/>
        <v>8.7579530817865973E-8</v>
      </c>
      <c r="N113" s="45">
        <f t="shared" si="17"/>
        <v>4.8854831051511817E-5</v>
      </c>
      <c r="O113" s="45">
        <f t="shared" si="17"/>
        <v>0</v>
      </c>
      <c r="P113" s="45">
        <f>SUMPRODUCT(P102:P112,R102:R112)</f>
        <v>2.4578230417041791E-5</v>
      </c>
      <c r="Q113" s="45">
        <f>SUMPRODUCT(Q102:Q112,$R$102:$R$112)</f>
        <v>6.8672121076876409E-6</v>
      </c>
      <c r="R113" s="144"/>
    </row>
    <row r="114" spans="1:18" x14ac:dyDescent="0.35">
      <c r="A114" s="21" t="s">
        <v>365</v>
      </c>
      <c r="B114" s="16" t="s">
        <v>168</v>
      </c>
      <c r="C114" s="16" t="s">
        <v>366</v>
      </c>
      <c r="D114" s="22" t="s">
        <v>38</v>
      </c>
      <c r="E114" s="22" t="s">
        <v>92</v>
      </c>
      <c r="F114" s="271">
        <f t="shared" ref="F114:F124" si="18">SUM(G114:Q114)</f>
        <v>1.5407833072948014E-4</v>
      </c>
      <c r="G114" s="272">
        <v>0</v>
      </c>
      <c r="H114" s="273">
        <v>9.5000000000000005E-5</v>
      </c>
      <c r="I114" s="274">
        <v>0</v>
      </c>
      <c r="J114" s="275"/>
      <c r="K114" s="276">
        <v>2.7175757575757599E-5</v>
      </c>
      <c r="L114" s="276">
        <v>0</v>
      </c>
      <c r="M114" s="276">
        <v>2.7808766578025301E-6</v>
      </c>
      <c r="N114" s="276">
        <v>2.9121696495920001E-5</v>
      </c>
      <c r="O114" s="276"/>
      <c r="P114" s="276"/>
      <c r="Q114" s="275"/>
      <c r="R114" s="143">
        <f>'Parameters, country spec'!K15</f>
        <v>0.25867404183720522</v>
      </c>
    </row>
    <row r="115" spans="1:18" x14ac:dyDescent="0.35">
      <c r="A115" s="21" t="s">
        <v>367</v>
      </c>
      <c r="B115" s="16" t="s">
        <v>170</v>
      </c>
      <c r="C115" s="16" t="s">
        <v>366</v>
      </c>
      <c r="D115" s="22" t="s">
        <v>38</v>
      </c>
      <c r="E115" s="22" t="s">
        <v>92</v>
      </c>
      <c r="F115" s="157">
        <f t="shared" si="18"/>
        <v>1.9823143758335458E-4</v>
      </c>
      <c r="G115" s="96">
        <v>0</v>
      </c>
      <c r="H115" s="97">
        <v>9.5000000000000005E-5</v>
      </c>
      <c r="I115" s="15">
        <v>0</v>
      </c>
      <c r="J115" s="13"/>
      <c r="K115" s="98">
        <v>5.8749743582956696E-6</v>
      </c>
      <c r="L115" s="98">
        <v>0</v>
      </c>
      <c r="M115" s="98">
        <v>6.8234766729138903E-5</v>
      </c>
      <c r="N115" s="98">
        <v>2.9121696495920001E-5</v>
      </c>
      <c r="O115" s="98"/>
      <c r="P115" s="98"/>
      <c r="Q115" s="13"/>
      <c r="R115" s="143">
        <f>'Parameters, country spec'!K16</f>
        <v>0.34116788941693649</v>
      </c>
    </row>
    <row r="116" spans="1:18" x14ac:dyDescent="0.35">
      <c r="A116" s="21" t="s">
        <v>368</v>
      </c>
      <c r="B116" s="16" t="s">
        <v>171</v>
      </c>
      <c r="C116" s="16" t="s">
        <v>366</v>
      </c>
      <c r="D116" s="22" t="s">
        <v>38</v>
      </c>
      <c r="E116" s="22" t="s">
        <v>92</v>
      </c>
      <c r="F116" s="157">
        <f t="shared" si="18"/>
        <v>1.6782537486788383E-4</v>
      </c>
      <c r="G116" s="96">
        <v>0</v>
      </c>
      <c r="H116" s="97">
        <v>9.5000000000000005E-5</v>
      </c>
      <c r="I116" s="15">
        <v>0</v>
      </c>
      <c r="J116" s="13"/>
      <c r="K116" s="98">
        <v>3.9660005274519201E-5</v>
      </c>
      <c r="L116" s="98">
        <v>0</v>
      </c>
      <c r="M116" s="98">
        <v>4.0436730974446204E-6</v>
      </c>
      <c r="N116" s="98">
        <v>2.9121696495920001E-5</v>
      </c>
      <c r="O116" s="98"/>
      <c r="P116" s="98"/>
      <c r="Q116" s="13"/>
      <c r="R116" s="143">
        <f>'Parameters, country spec'!K17</f>
        <v>4.0331815431012892E-2</v>
      </c>
    </row>
    <row r="117" spans="1:18" x14ac:dyDescent="0.35">
      <c r="A117" s="21" t="s">
        <v>369</v>
      </c>
      <c r="B117" s="16" t="s">
        <v>172</v>
      </c>
      <c r="C117" s="16" t="s">
        <v>366</v>
      </c>
      <c r="D117" s="22" t="s">
        <v>38</v>
      </c>
      <c r="E117" s="22" t="s">
        <v>92</v>
      </c>
      <c r="F117" s="157">
        <f t="shared" si="18"/>
        <v>1.6720727047256202E-4</v>
      </c>
      <c r="G117" s="96">
        <v>0</v>
      </c>
      <c r="H117" s="97">
        <v>9.5000000000000005E-5</v>
      </c>
      <c r="I117" s="13">
        <v>0</v>
      </c>
      <c r="J117" s="13"/>
      <c r="K117" s="98">
        <v>3.7780420039184798E-5</v>
      </c>
      <c r="L117" s="98">
        <v>0</v>
      </c>
      <c r="M117" s="98">
        <v>5.3051539374572196E-6</v>
      </c>
      <c r="N117" s="98">
        <v>2.9121696495920001E-5</v>
      </c>
      <c r="O117" s="98"/>
      <c r="P117" s="98"/>
      <c r="Q117" s="13"/>
      <c r="R117" s="143">
        <f>'Parameters, country spec'!K18</f>
        <v>1.0645865256161581E-2</v>
      </c>
    </row>
    <row r="118" spans="1:18" x14ac:dyDescent="0.35">
      <c r="A118" s="21" t="s">
        <v>370</v>
      </c>
      <c r="B118" s="16" t="s">
        <v>173</v>
      </c>
      <c r="C118" s="16" t="s">
        <v>366</v>
      </c>
      <c r="D118" s="22" t="s">
        <v>38</v>
      </c>
      <c r="E118" s="22" t="s">
        <v>92</v>
      </c>
      <c r="F118" s="157">
        <f t="shared" si="18"/>
        <v>1.5258287221384201E-4</v>
      </c>
      <c r="G118" s="96">
        <v>0</v>
      </c>
      <c r="H118" s="97">
        <v>9.5000000000000005E-5</v>
      </c>
      <c r="I118" s="13">
        <v>0</v>
      </c>
      <c r="J118" s="13"/>
      <c r="K118" s="98">
        <v>2.5075572815533999E-5</v>
      </c>
      <c r="L118" s="98">
        <v>0</v>
      </c>
      <c r="M118" s="98">
        <v>3.3856029023880101E-6</v>
      </c>
      <c r="N118" s="98">
        <v>2.9121696495920001E-5</v>
      </c>
      <c r="O118" s="98"/>
      <c r="P118" s="98"/>
      <c r="Q118" s="13"/>
      <c r="R118" s="143">
        <f>'Parameters, country spec'!K19</f>
        <v>0.21912340485214171</v>
      </c>
    </row>
    <row r="119" spans="1:18" x14ac:dyDescent="0.35">
      <c r="A119" s="21" t="s">
        <v>371</v>
      </c>
      <c r="B119" s="16" t="s">
        <v>174</v>
      </c>
      <c r="C119" s="16" t="s">
        <v>372</v>
      </c>
      <c r="D119" s="22" t="s">
        <v>38</v>
      </c>
      <c r="E119" s="22" t="s">
        <v>92</v>
      </c>
      <c r="F119" s="157">
        <f t="shared" si="18"/>
        <v>2.1563635104952661E-4</v>
      </c>
      <c r="G119" s="96">
        <v>0</v>
      </c>
      <c r="H119" s="97">
        <v>9.5000000000000005E-5</v>
      </c>
      <c r="I119" s="15">
        <v>0</v>
      </c>
      <c r="J119" s="13"/>
      <c r="K119" s="98">
        <v>5.8896104209383703E-5</v>
      </c>
      <c r="L119" s="98">
        <v>0</v>
      </c>
      <c r="M119" s="98">
        <v>3.2618550344222897E-5</v>
      </c>
      <c r="N119" s="98">
        <v>2.9121696495920001E-5</v>
      </c>
      <c r="O119" s="98"/>
      <c r="P119" s="98"/>
      <c r="Q119" s="13"/>
      <c r="R119" s="143">
        <f>'Parameters, country spec'!K20</f>
        <v>3.4365153377819389E-3</v>
      </c>
    </row>
    <row r="120" spans="1:18" x14ac:dyDescent="0.35">
      <c r="A120" s="21" t="s">
        <v>373</v>
      </c>
      <c r="B120" s="16" t="s">
        <v>175</v>
      </c>
      <c r="C120" s="16" t="s">
        <v>372</v>
      </c>
      <c r="D120" s="22" t="s">
        <v>38</v>
      </c>
      <c r="E120" s="22" t="s">
        <v>92</v>
      </c>
      <c r="F120" s="157">
        <f t="shared" si="18"/>
        <v>2.222075445689893E-4</v>
      </c>
      <c r="G120" s="96">
        <v>0</v>
      </c>
      <c r="H120" s="97">
        <v>9.5000000000000005E-5</v>
      </c>
      <c r="I120" s="15">
        <v>0</v>
      </c>
      <c r="J120" s="13"/>
      <c r="K120" s="98">
        <v>6.3001335354643105E-5</v>
      </c>
      <c r="L120" s="98">
        <v>0</v>
      </c>
      <c r="M120" s="98">
        <v>3.5084512718426199E-5</v>
      </c>
      <c r="N120" s="98">
        <v>2.9121696495920001E-5</v>
      </c>
      <c r="O120" s="98"/>
      <c r="P120" s="98"/>
      <c r="Q120" s="13"/>
      <c r="R120" s="143">
        <f>'Parameters, country spec'!K21</f>
        <v>3.3757905268185459E-3</v>
      </c>
    </row>
    <row r="121" spans="1:18" x14ac:dyDescent="0.35">
      <c r="B121" s="17" t="s">
        <v>177</v>
      </c>
      <c r="C121" s="16" t="s">
        <v>374</v>
      </c>
      <c r="D121" s="22" t="s">
        <v>450</v>
      </c>
      <c r="E121" s="22"/>
      <c r="F121" s="120">
        <f t="shared" si="18"/>
        <v>3.8246443678729497E-4</v>
      </c>
      <c r="G121" s="32">
        <f>'Off-farm feed'!$F$75</f>
        <v>1.684774766302073E-4</v>
      </c>
      <c r="H121" s="32">
        <f>'Off-farm feed'!$G$75</f>
        <v>4.5862068965517246E-5</v>
      </c>
      <c r="I121" s="32"/>
      <c r="J121" s="32"/>
      <c r="K121" s="32">
        <f>'Off-farm feed'!$J$75</f>
        <v>1.0936279334641699E-5</v>
      </c>
      <c r="L121" s="32"/>
      <c r="M121" s="32">
        <f>'Off-farm feed'!$L$75</f>
        <v>6.4606960551724142E-7</v>
      </c>
      <c r="N121" s="32">
        <f>'Off-farm feed'!$M$75</f>
        <v>2.1884761697575221E-5</v>
      </c>
      <c r="O121" s="32"/>
      <c r="P121" s="32">
        <f>'Off-farm feed'!$O$75</f>
        <v>4.5962128379923281E-5</v>
      </c>
      <c r="Q121" s="32">
        <f>'Off-farm feed'!$P$75</f>
        <v>8.8695652173913049E-5</v>
      </c>
      <c r="R121" s="143">
        <f>'Parameters, country spec'!K22</f>
        <v>9.9524742143764257E-3</v>
      </c>
    </row>
    <row r="122" spans="1:18" x14ac:dyDescent="0.35">
      <c r="B122" s="17" t="s">
        <v>375</v>
      </c>
      <c r="C122" s="16" t="s">
        <v>374</v>
      </c>
      <c r="D122" s="22" t="s">
        <v>426</v>
      </c>
      <c r="E122" s="22"/>
      <c r="F122" s="120">
        <f t="shared" si="18"/>
        <v>4.7266553697523981E-4</v>
      </c>
      <c r="G122" s="32">
        <f>'Off-farm feed'!$F$24</f>
        <v>1.5603516238625262E-5</v>
      </c>
      <c r="H122" s="32">
        <f>'Off-farm feed'!$G$24</f>
        <v>7.5304878048780503E-5</v>
      </c>
      <c r="I122" s="32"/>
      <c r="J122" s="32"/>
      <c r="K122" s="32">
        <f>'Off-farm feed'!$J$24</f>
        <v>1.908459074435586E-5</v>
      </c>
      <c r="L122" s="32"/>
      <c r="M122" s="32">
        <f>'Off-farm feed'!$L$24</f>
        <v>5.9672097439024396E-7</v>
      </c>
      <c r="N122" s="32">
        <f>'Off-farm feed'!$M$24</f>
        <v>2.3084271612619523E-5</v>
      </c>
      <c r="O122" s="32"/>
      <c r="P122" s="32">
        <f>'Off-farm feed'!$O$24</f>
        <v>1.2899155935646844E-4</v>
      </c>
      <c r="Q122" s="32">
        <f>'Off-farm feed'!$P$24</f>
        <v>2.1000000000000001E-4</v>
      </c>
      <c r="R122" s="143">
        <f>'Parameters, country spec'!K23</f>
        <v>8.507721741542934E-2</v>
      </c>
    </row>
    <row r="123" spans="1:18" x14ac:dyDescent="0.35">
      <c r="B123" s="16" t="s">
        <v>181</v>
      </c>
      <c r="C123" s="16" t="s">
        <v>376</v>
      </c>
      <c r="D123" s="22" t="s">
        <v>38</v>
      </c>
      <c r="E123" s="22" t="s">
        <v>92</v>
      </c>
      <c r="F123" s="157">
        <f t="shared" si="18"/>
        <v>1.0330425284900396E-3</v>
      </c>
      <c r="G123" s="98">
        <v>0</v>
      </c>
      <c r="H123" s="98">
        <v>8.5499999999999995E-6</v>
      </c>
      <c r="I123">
        <v>0</v>
      </c>
      <c r="K123" s="98">
        <v>2.2568015533980599E-6</v>
      </c>
      <c r="L123">
        <v>0</v>
      </c>
      <c r="M123">
        <v>3.0470426121492002E-7</v>
      </c>
      <c r="N123" s="13">
        <v>2.6209526846328E-6</v>
      </c>
      <c r="O123" s="13"/>
      <c r="P123" s="98">
        <v>9.3317281206467095E-4</v>
      </c>
      <c r="Q123" s="98">
        <v>8.6137257926122794E-5</v>
      </c>
      <c r="R123" s="143">
        <f>'Parameters, country spec'!K24</f>
        <v>1.307108167649881E-2</v>
      </c>
    </row>
    <row r="124" spans="1:18" x14ac:dyDescent="0.35">
      <c r="A124" s="80"/>
      <c r="B124" s="16" t="s">
        <v>377</v>
      </c>
      <c r="C124" s="81" t="s">
        <v>378</v>
      </c>
      <c r="D124" s="22" t="s">
        <v>38</v>
      </c>
      <c r="E124" s="22" t="s">
        <v>92</v>
      </c>
      <c r="F124" s="158">
        <f t="shared" si="18"/>
        <v>1.8436109059309652E-4</v>
      </c>
      <c r="G124" s="79">
        <f>AVERAGE(G114:G122)</f>
        <v>2.045344365209251E-5</v>
      </c>
      <c r="H124" s="79">
        <f>AVERAGE(H114:H122)</f>
        <v>8.7351883001588647E-5</v>
      </c>
      <c r="I124" s="79"/>
      <c r="J124" s="79"/>
      <c r="K124" s="79">
        <f>AVERAGE(K114:K122)</f>
        <v>3.1942782189590625E-5</v>
      </c>
      <c r="L124" s="79"/>
      <c r="M124" s="79">
        <f>AVERAGE(M114:M122)</f>
        <v>1.6966214107420873E-5</v>
      </c>
      <c r="N124" s="79">
        <f>AVERAGE(N114:N122)</f>
        <v>2.7646767642403862E-5</v>
      </c>
      <c r="O124" s="79"/>
      <c r="P124" s="79"/>
      <c r="Q124" s="79"/>
      <c r="R124" s="143">
        <f>'Parameters, country spec'!K25</f>
        <v>1.5143904035636979E-2</v>
      </c>
    </row>
    <row r="125" spans="1:18" x14ac:dyDescent="0.35">
      <c r="A125" s="41"/>
      <c r="B125" s="42" t="s">
        <v>379</v>
      </c>
      <c r="C125" s="43"/>
      <c r="D125" s="44"/>
      <c r="E125" s="44"/>
      <c r="F125" s="45">
        <f t="shared" ref="F125:O125" si="19">SUMPRODUCT(F114:F124,$R$114:$R$124)</f>
        <v>2.1127514212226309E-4</v>
      </c>
      <c r="G125" s="45">
        <f t="shared" si="19"/>
        <v>3.314016473209646E-6</v>
      </c>
      <c r="H125" s="45">
        <f t="shared" si="19"/>
        <v>9.1589532475353611E-5</v>
      </c>
      <c r="I125" s="45">
        <f t="shared" si="19"/>
        <v>0</v>
      </c>
      <c r="J125" s="45">
        <f t="shared" si="19"/>
        <v>0</v>
      </c>
      <c r="K125" s="45">
        <f t="shared" si="19"/>
        <v>1.919124667823059E-5</v>
      </c>
      <c r="L125" s="45">
        <f t="shared" si="19"/>
        <v>0</v>
      </c>
      <c r="M125" s="45">
        <f t="shared" si="19"/>
        <v>2.5508930419188807E-5</v>
      </c>
      <c r="N125" s="45">
        <f t="shared" si="19"/>
        <v>2.8167294211660124E-5</v>
      </c>
      <c r="O125" s="45">
        <f t="shared" si="19"/>
        <v>0</v>
      </c>
      <c r="P125" s="45">
        <f>SUMPRODUCT(P114:P124,R114:R124)</f>
        <v>2.362925788244996E-5</v>
      </c>
      <c r="Q125" s="45">
        <f>SUMPRODUCT(Q114:Q124,$R$114:$R$124)</f>
        <v>1.9874863982170326E-5</v>
      </c>
      <c r="R125" s="144"/>
    </row>
    <row r="126" spans="1:18" x14ac:dyDescent="0.35">
      <c r="A126" s="277" t="s">
        <v>365</v>
      </c>
      <c r="B126" s="261" t="s">
        <v>168</v>
      </c>
      <c r="C126" s="261" t="s">
        <v>366</v>
      </c>
      <c r="D126" s="278" t="s">
        <v>34</v>
      </c>
      <c r="E126" s="278" t="s">
        <v>93</v>
      </c>
      <c r="F126" s="271">
        <f t="shared" ref="F126:F136" si="20">SUM(G126:Q126)</f>
        <v>1.2860316999940553E-4</v>
      </c>
      <c r="G126" s="272">
        <v>0</v>
      </c>
      <c r="H126" s="273">
        <v>9.5000000000000005E-5</v>
      </c>
      <c r="I126" s="274">
        <v>0</v>
      </c>
      <c r="J126" s="275"/>
      <c r="K126" s="276">
        <v>1.90887140988659E-5</v>
      </c>
      <c r="L126" s="276">
        <v>0</v>
      </c>
      <c r="M126" s="276">
        <v>2.8849274208216E-9</v>
      </c>
      <c r="N126" s="276">
        <v>1.45115709731188E-5</v>
      </c>
      <c r="O126" s="276"/>
      <c r="P126" s="276"/>
      <c r="Q126" s="275"/>
      <c r="R126" s="143">
        <f>'Parameters, country spec'!L15</f>
        <v>0.1343058366954886</v>
      </c>
    </row>
    <row r="127" spans="1:18" x14ac:dyDescent="0.35">
      <c r="A127" s="21" t="s">
        <v>367</v>
      </c>
      <c r="B127" s="16" t="s">
        <v>170</v>
      </c>
      <c r="C127" s="16" t="s">
        <v>366</v>
      </c>
      <c r="D127" s="22" t="s">
        <v>34</v>
      </c>
      <c r="E127" s="22" t="s">
        <v>93</v>
      </c>
      <c r="F127" s="157">
        <f t="shared" si="20"/>
        <v>1.1912253474115631E-4</v>
      </c>
      <c r="G127" s="96">
        <v>0</v>
      </c>
      <c r="H127" s="97">
        <v>9.5000000000000005E-5</v>
      </c>
      <c r="I127" s="15">
        <v>0</v>
      </c>
      <c r="J127" s="13"/>
      <c r="K127" s="98">
        <v>9.6109637680374997E-6</v>
      </c>
      <c r="L127" s="98">
        <v>0</v>
      </c>
      <c r="M127" s="98">
        <v>0</v>
      </c>
      <c r="N127" s="98">
        <v>1.45115709731188E-5</v>
      </c>
      <c r="O127" s="98"/>
      <c r="P127" s="98"/>
      <c r="Q127" s="13"/>
      <c r="R127" s="143">
        <f>'Parameters, country spec'!L16</f>
        <v>5.9748696560920867E-3</v>
      </c>
    </row>
    <row r="128" spans="1:18" x14ac:dyDescent="0.35">
      <c r="A128" s="21" t="s">
        <v>368</v>
      </c>
      <c r="B128" s="16" t="s">
        <v>171</v>
      </c>
      <c r="C128" s="16" t="s">
        <v>366</v>
      </c>
      <c r="D128" s="22" t="s">
        <v>34</v>
      </c>
      <c r="E128" s="22" t="s">
        <v>93</v>
      </c>
      <c r="F128" s="157">
        <f t="shared" si="20"/>
        <v>1.3031260527766205E-4</v>
      </c>
      <c r="G128" s="96">
        <v>0</v>
      </c>
      <c r="H128" s="97">
        <v>9.5000000000000005E-5</v>
      </c>
      <c r="I128" s="15">
        <v>0</v>
      </c>
      <c r="J128" s="13"/>
      <c r="K128" s="98">
        <v>2.07975725290936E-5</v>
      </c>
      <c r="L128" s="98">
        <v>0</v>
      </c>
      <c r="M128" s="98">
        <v>3.4617754496477999E-9</v>
      </c>
      <c r="N128" s="98">
        <v>1.45115709731188E-5</v>
      </c>
      <c r="O128" s="98"/>
      <c r="P128" s="98"/>
      <c r="Q128" s="13"/>
      <c r="R128" s="143">
        <f>'Parameters, country spec'!L17</f>
        <v>0.146104563813133</v>
      </c>
    </row>
    <row r="129" spans="1:18" x14ac:dyDescent="0.35">
      <c r="A129" s="21" t="s">
        <v>369</v>
      </c>
      <c r="B129" s="16" t="s">
        <v>172</v>
      </c>
      <c r="C129" s="16" t="s">
        <v>366</v>
      </c>
      <c r="D129" s="22" t="s">
        <v>34</v>
      </c>
      <c r="E129" s="22" t="s">
        <v>93</v>
      </c>
      <c r="F129" s="157">
        <f t="shared" si="20"/>
        <v>1.2420439073274311E-4</v>
      </c>
      <c r="G129" s="96">
        <v>0</v>
      </c>
      <c r="H129" s="97">
        <v>9.5000000000000005E-5</v>
      </c>
      <c r="I129" s="13">
        <v>0</v>
      </c>
      <c r="J129" s="13"/>
      <c r="K129" s="98">
        <v>1.46928197596243E-5</v>
      </c>
      <c r="L129" s="98">
        <v>0</v>
      </c>
      <c r="M129" s="98">
        <v>0</v>
      </c>
      <c r="N129" s="98">
        <v>1.45115709731188E-5</v>
      </c>
      <c r="O129" s="98"/>
      <c r="P129" s="98"/>
      <c r="Q129" s="13"/>
      <c r="R129" s="143">
        <f>'Parameters, country spec'!L18</f>
        <v>9.236749949865944E-5</v>
      </c>
    </row>
    <row r="130" spans="1:18" x14ac:dyDescent="0.35">
      <c r="A130" s="21" t="s">
        <v>370</v>
      </c>
      <c r="B130" s="16" t="s">
        <v>173</v>
      </c>
      <c r="C130" s="16" t="s">
        <v>366</v>
      </c>
      <c r="D130" s="22" t="s">
        <v>34</v>
      </c>
      <c r="E130" s="22" t="s">
        <v>93</v>
      </c>
      <c r="F130" s="157">
        <f t="shared" si="20"/>
        <v>1.2278996270745091E-4</v>
      </c>
      <c r="G130" s="96">
        <v>0</v>
      </c>
      <c r="H130" s="97">
        <v>9.5000000000000005E-5</v>
      </c>
      <c r="I130" s="13">
        <v>0</v>
      </c>
      <c r="J130" s="13"/>
      <c r="K130" s="98">
        <v>1.32783917343321E-5</v>
      </c>
      <c r="L130" s="98">
        <v>0</v>
      </c>
      <c r="M130" s="98">
        <v>0</v>
      </c>
      <c r="N130" s="98">
        <v>1.45115709731188E-5</v>
      </c>
      <c r="O130" s="98"/>
      <c r="P130" s="98"/>
      <c r="Q130" s="13"/>
      <c r="R130" s="143">
        <f>'Parameters, country spec'!L19</f>
        <v>0.58258426025934973</v>
      </c>
    </row>
    <row r="131" spans="1:18" x14ac:dyDescent="0.35">
      <c r="A131" s="21" t="s">
        <v>371</v>
      </c>
      <c r="B131" s="16" t="s">
        <v>174</v>
      </c>
      <c r="C131" s="16" t="s">
        <v>372</v>
      </c>
      <c r="D131" s="22" t="s">
        <v>34</v>
      </c>
      <c r="E131" s="22" t="s">
        <v>93</v>
      </c>
      <c r="F131" s="157">
        <f t="shared" si="20"/>
        <v>1.471635353756079E-4</v>
      </c>
      <c r="G131" s="96">
        <v>0</v>
      </c>
      <c r="H131" s="97">
        <v>9.5000000000000005E-5</v>
      </c>
      <c r="I131" s="15">
        <v>0</v>
      </c>
      <c r="J131" s="13"/>
      <c r="K131" s="98">
        <v>2.7426462782762501E-5</v>
      </c>
      <c r="L131" s="98">
        <v>0</v>
      </c>
      <c r="M131" s="98">
        <v>1.0225501619726601E-5</v>
      </c>
      <c r="N131" s="98">
        <v>1.45115709731188E-5</v>
      </c>
      <c r="O131" s="98"/>
      <c r="P131" s="98"/>
      <c r="Q131" s="13"/>
      <c r="R131" s="143">
        <f>'Parameters, country spec'!L20</f>
        <v>4.9593085693149293E-3</v>
      </c>
    </row>
    <row r="132" spans="1:18" x14ac:dyDescent="0.35">
      <c r="A132" s="21" t="s">
        <v>373</v>
      </c>
      <c r="B132" s="16" t="s">
        <v>175</v>
      </c>
      <c r="C132" s="16" t="s">
        <v>372</v>
      </c>
      <c r="D132" s="22" t="s">
        <v>34</v>
      </c>
      <c r="E132" s="22" t="s">
        <v>93</v>
      </c>
      <c r="F132" s="157">
        <f t="shared" si="20"/>
        <v>1.4207083497941555E-4</v>
      </c>
      <c r="G132" s="96">
        <v>0</v>
      </c>
      <c r="H132" s="97">
        <v>9.5000000000000005E-5</v>
      </c>
      <c r="I132" s="15">
        <v>0</v>
      </c>
      <c r="J132" s="13"/>
      <c r="K132" s="98">
        <v>2.71812411720093E-5</v>
      </c>
      <c r="L132" s="98">
        <v>0</v>
      </c>
      <c r="M132" s="98">
        <v>5.3780228342874504E-6</v>
      </c>
      <c r="N132" s="98">
        <v>1.45115709731188E-5</v>
      </c>
      <c r="O132" s="98"/>
      <c r="P132" s="98"/>
      <c r="Q132" s="13"/>
      <c r="R132" s="143">
        <f>'Parameters, country spec'!L21</f>
        <v>4.8716753013175436E-3</v>
      </c>
    </row>
    <row r="133" spans="1:18" x14ac:dyDescent="0.35">
      <c r="B133" s="17" t="s">
        <v>177</v>
      </c>
      <c r="C133" s="16" t="s">
        <v>374</v>
      </c>
      <c r="D133" s="22" t="s">
        <v>450</v>
      </c>
      <c r="E133" s="22"/>
      <c r="F133" s="120">
        <f t="shared" si="20"/>
        <v>3.8246443678729497E-4</v>
      </c>
      <c r="G133" s="32">
        <f>'Off-farm feed'!$F$75</f>
        <v>1.684774766302073E-4</v>
      </c>
      <c r="H133" s="32">
        <f>'Off-farm feed'!$G$75</f>
        <v>4.5862068965517246E-5</v>
      </c>
      <c r="I133" s="32"/>
      <c r="J133" s="32"/>
      <c r="K133" s="32">
        <f>'Off-farm feed'!$J$75</f>
        <v>1.0936279334641699E-5</v>
      </c>
      <c r="L133" s="32"/>
      <c r="M133" s="32">
        <f>'Off-farm feed'!$L$75</f>
        <v>6.4606960551724142E-7</v>
      </c>
      <c r="N133" s="32">
        <f>'Off-farm feed'!$M$75</f>
        <v>2.1884761697575221E-5</v>
      </c>
      <c r="O133" s="32"/>
      <c r="P133" s="32">
        <f>'Off-farm feed'!$O$75</f>
        <v>4.5962128379923281E-5</v>
      </c>
      <c r="Q133" s="32">
        <f>'Off-farm feed'!$P$75</f>
        <v>8.8695652173913049E-5</v>
      </c>
      <c r="R133" s="143">
        <f>'Parameters, country spec'!L22</f>
        <v>2.1892083763360489E-2</v>
      </c>
    </row>
    <row r="134" spans="1:18" x14ac:dyDescent="0.35">
      <c r="B134" s="17" t="s">
        <v>375</v>
      </c>
      <c r="C134" s="16" t="s">
        <v>374</v>
      </c>
      <c r="D134" s="22" t="s">
        <v>426</v>
      </c>
      <c r="E134" s="22"/>
      <c r="F134" s="120">
        <f t="shared" si="20"/>
        <v>4.7266553697523981E-4</v>
      </c>
      <c r="G134" s="32">
        <f>'Off-farm feed'!$F$24</f>
        <v>1.5603516238625262E-5</v>
      </c>
      <c r="H134" s="32">
        <f>'Off-farm feed'!$G$24</f>
        <v>7.5304878048780503E-5</v>
      </c>
      <c r="I134" s="32"/>
      <c r="J134" s="32"/>
      <c r="K134" s="32">
        <f>'Off-farm feed'!$J$24</f>
        <v>1.908459074435586E-5</v>
      </c>
      <c r="L134" s="32"/>
      <c r="M134" s="32">
        <f>'Off-farm feed'!$L$24</f>
        <v>5.9672097439024396E-7</v>
      </c>
      <c r="N134" s="32">
        <f>'Off-farm feed'!$M$24</f>
        <v>2.3084271612619523E-5</v>
      </c>
      <c r="O134" s="32"/>
      <c r="P134" s="32">
        <f>'Off-farm feed'!$O$24</f>
        <v>1.2899155935646844E-4</v>
      </c>
      <c r="Q134" s="32">
        <f>'Off-farm feed'!$P$24</f>
        <v>2.1000000000000001E-4</v>
      </c>
      <c r="R134" s="143">
        <f>'Parameters, country spec'!L23</f>
        <v>3.411102350419503E-2</v>
      </c>
    </row>
    <row r="135" spans="1:18" x14ac:dyDescent="0.35">
      <c r="B135" s="16" t="s">
        <v>181</v>
      </c>
      <c r="C135" s="16" t="s">
        <v>376</v>
      </c>
      <c r="D135" s="22" t="s">
        <v>34</v>
      </c>
      <c r="E135" s="22" t="s">
        <v>93</v>
      </c>
      <c r="F135" s="157">
        <f t="shared" si="20"/>
        <v>1.4000152771825397E-4</v>
      </c>
      <c r="G135" s="98">
        <v>0</v>
      </c>
      <c r="H135" s="98">
        <v>8.5499999999999995E-6</v>
      </c>
      <c r="I135">
        <v>0</v>
      </c>
      <c r="K135" s="98">
        <v>1.19505525608989E-6</v>
      </c>
      <c r="L135">
        <v>0</v>
      </c>
      <c r="M135">
        <v>0</v>
      </c>
      <c r="N135" s="13">
        <v>1.30604138758069E-6</v>
      </c>
      <c r="O135" s="13"/>
      <c r="P135" s="98">
        <v>1.12198537729509E-4</v>
      </c>
      <c r="Q135" s="98">
        <v>1.6751893345074401E-5</v>
      </c>
      <c r="R135" s="143">
        <f>'Parameters, country spec'!L24</f>
        <v>2.7931248345105159E-2</v>
      </c>
    </row>
    <row r="136" spans="1:18" x14ac:dyDescent="0.35">
      <c r="A136" s="80"/>
      <c r="B136" s="16" t="s">
        <v>377</v>
      </c>
      <c r="C136" s="81" t="s">
        <v>378</v>
      </c>
      <c r="D136" s="22" t="s">
        <v>34</v>
      </c>
      <c r="E136" s="22" t="s">
        <v>93</v>
      </c>
      <c r="F136" s="158">
        <f t="shared" si="20"/>
        <v>1.4397196307396349E-4</v>
      </c>
      <c r="G136" s="79">
        <f>AVERAGE(G126:G134)</f>
        <v>2.045344365209251E-5</v>
      </c>
      <c r="H136" s="79">
        <f>AVERAGE(H126:H134)</f>
        <v>8.7351883001588647E-5</v>
      </c>
      <c r="I136" s="79"/>
      <c r="J136" s="79"/>
      <c r="K136" s="79">
        <f>AVERAGE(K126:K134)</f>
        <v>1.8010781769302528E-5</v>
      </c>
      <c r="L136" s="79"/>
      <c r="M136" s="79">
        <f>AVERAGE(M126:M134)</f>
        <v>1.8725179707546674E-6</v>
      </c>
      <c r="N136" s="79">
        <f>AVERAGE(N126:N134)</f>
        <v>1.6283336680225152E-5</v>
      </c>
      <c r="O136" s="79"/>
      <c r="P136" s="79"/>
      <c r="Q136" s="79"/>
      <c r="R136" s="143">
        <f>'Parameters, country spec'!L25</f>
        <v>3.7172762593144858E-2</v>
      </c>
    </row>
    <row r="137" spans="1:18" x14ac:dyDescent="0.35">
      <c r="A137" s="142"/>
      <c r="B137" s="24" t="s">
        <v>379</v>
      </c>
      <c r="C137" s="25"/>
      <c r="D137" s="99"/>
      <c r="E137" s="99"/>
      <c r="F137" s="29">
        <f t="shared" ref="F137:O137" si="21">SUMPRODUCT(F126:F136,$R$126:$R$136)</f>
        <v>1.4375039049101718E-4</v>
      </c>
      <c r="G137" s="29">
        <f t="shared" si="21"/>
        <v>4.9808859448834434E-6</v>
      </c>
      <c r="H137" s="29">
        <f t="shared" si="21"/>
        <v>9.0553489473137964E-5</v>
      </c>
      <c r="I137" s="29">
        <f t="shared" si="21"/>
        <v>0</v>
      </c>
      <c r="J137" s="29">
        <f t="shared" si="21"/>
        <v>0</v>
      </c>
      <c r="K137" s="29">
        <f t="shared" si="21"/>
        <v>1.525864664186406E-5</v>
      </c>
      <c r="L137" s="29">
        <f t="shared" si="21"/>
        <v>0</v>
      </c>
      <c r="M137" s="29">
        <f t="shared" si="21"/>
        <v>1.819098816851999E-7</v>
      </c>
      <c r="N137" s="29">
        <f t="shared" si="21"/>
        <v>1.4662423574688914E-5</v>
      </c>
      <c r="O137" s="29">
        <f t="shared" si="21"/>
        <v>0</v>
      </c>
      <c r="P137" s="29">
        <f>SUMPRODUCT(P126:P136,R126:R136)</f>
        <v>8.5400860987674381E-6</v>
      </c>
      <c r="Q137" s="29">
        <f>SUMPRODUCT(Q126:Q136,$R$126:$R$136)</f>
        <v>9.5729488759901347E-6</v>
      </c>
      <c r="R137" s="144"/>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4" tint="0.79998168889431442"/>
  </sheetPr>
  <dimension ref="A2:S137"/>
  <sheetViews>
    <sheetView topLeftCell="B1" zoomScale="80" zoomScaleNormal="80" workbookViewId="0">
      <selection activeCell="F6" sqref="F6:N12"/>
    </sheetView>
  </sheetViews>
  <sheetFormatPr defaultColWidth="8.90625" defaultRowHeight="14.5" x14ac:dyDescent="0.35"/>
  <cols>
    <col min="1" max="1" width="8.54296875" customWidth="1"/>
    <col min="2" max="2" width="30.453125" customWidth="1"/>
    <col min="3" max="3" width="19" customWidth="1"/>
    <col min="4" max="4" width="12.90625" customWidth="1"/>
    <col min="5" max="10" width="12.54296875" customWidth="1"/>
    <col min="11" max="11" width="14.453125" customWidth="1"/>
    <col min="12" max="12" width="15" customWidth="1"/>
    <col min="13" max="18" width="12.54296875" customWidth="1"/>
  </cols>
  <sheetData>
    <row r="2" spans="1:18" ht="21" customHeight="1" x14ac:dyDescent="0.5">
      <c r="A2" s="2" t="s">
        <v>381</v>
      </c>
      <c r="F2" t="s">
        <v>356</v>
      </c>
      <c r="O2" t="s">
        <v>357</v>
      </c>
    </row>
    <row r="3" spans="1:18" x14ac:dyDescent="0.35">
      <c r="H3" s="8"/>
      <c r="I3" s="8"/>
      <c r="J3" s="8"/>
      <c r="K3" s="8"/>
      <c r="L3" s="8"/>
      <c r="M3" s="8"/>
      <c r="N3" s="8"/>
    </row>
    <row r="4" spans="1:18" ht="29" customHeight="1" x14ac:dyDescent="0.35">
      <c r="A4" s="145" t="s">
        <v>358</v>
      </c>
      <c r="B4" s="135"/>
      <c r="C4" s="135"/>
      <c r="D4" s="135"/>
      <c r="E4" s="135"/>
      <c r="F4" s="136" t="s">
        <v>102</v>
      </c>
      <c r="G4" s="136" t="s">
        <v>103</v>
      </c>
      <c r="H4" s="137"/>
      <c r="I4" s="136" t="s">
        <v>104</v>
      </c>
      <c r="J4" s="100"/>
      <c r="K4" s="136" t="s">
        <v>105</v>
      </c>
      <c r="L4" s="100"/>
      <c r="M4" s="100"/>
      <c r="N4" s="100"/>
      <c r="O4" s="101" t="s">
        <v>106</v>
      </c>
      <c r="P4" s="101" t="s">
        <v>107</v>
      </c>
      <c r="Q4" s="138" t="s">
        <v>108</v>
      </c>
      <c r="R4" s="136" t="s">
        <v>359</v>
      </c>
    </row>
    <row r="5" spans="1:18" ht="55.5" customHeight="1" x14ac:dyDescent="0.35">
      <c r="A5" s="94" t="s">
        <v>60</v>
      </c>
      <c r="B5" s="94" t="s">
        <v>358</v>
      </c>
      <c r="C5" s="94" t="s">
        <v>360</v>
      </c>
      <c r="D5" s="94" t="s">
        <v>63</v>
      </c>
      <c r="E5" s="140" t="s">
        <v>64</v>
      </c>
      <c r="F5" s="139"/>
      <c r="G5" s="95" t="s">
        <v>16</v>
      </c>
      <c r="H5" s="95" t="s">
        <v>17</v>
      </c>
      <c r="I5" s="95" t="s">
        <v>361</v>
      </c>
      <c r="J5" s="95" t="s">
        <v>362</v>
      </c>
      <c r="K5" s="95" t="s">
        <v>117</v>
      </c>
      <c r="L5" s="95" t="s">
        <v>118</v>
      </c>
      <c r="M5" s="95" t="s">
        <v>119</v>
      </c>
      <c r="N5" s="95" t="s">
        <v>120</v>
      </c>
      <c r="O5" s="95" t="s">
        <v>121</v>
      </c>
      <c r="P5" s="95" t="s">
        <v>107</v>
      </c>
      <c r="Q5" s="140" t="s">
        <v>364</v>
      </c>
      <c r="R5" s="95"/>
    </row>
    <row r="6" spans="1:18" x14ac:dyDescent="0.35">
      <c r="A6" s="21" t="s">
        <v>365</v>
      </c>
      <c r="B6" s="16" t="s">
        <v>168</v>
      </c>
      <c r="C6" s="16" t="s">
        <v>366</v>
      </c>
      <c r="D6" s="22" t="s">
        <v>155</v>
      </c>
      <c r="E6" s="22" t="s">
        <v>482</v>
      </c>
      <c r="F6" s="271">
        <f t="shared" ref="F6:F12" si="0">SUM(G6:Q6)</f>
        <v>1.0296151144552602E-3</v>
      </c>
      <c r="G6" s="272">
        <v>4.33346937593971E-5</v>
      </c>
      <c r="H6" s="273">
        <v>1.1000000000000001E-6</v>
      </c>
      <c r="I6" s="276">
        <v>8.93389004622238E-4</v>
      </c>
      <c r="J6" s="276">
        <v>8.9338900462223805E-5</v>
      </c>
      <c r="K6" s="276">
        <v>9.0167632840131403E-7</v>
      </c>
      <c r="L6" s="276">
        <v>0</v>
      </c>
      <c r="M6" s="276">
        <v>0</v>
      </c>
      <c r="N6" s="276">
        <v>1.5508392829999999E-6</v>
      </c>
      <c r="O6" s="98"/>
      <c r="P6" s="98"/>
      <c r="Q6" s="13"/>
      <c r="R6" s="143">
        <f>'Parameters, country spec'!B15</f>
        <v>0.16402988956347131</v>
      </c>
    </row>
    <row r="7" spans="1:18" x14ac:dyDescent="0.35">
      <c r="A7" s="21" t="s">
        <v>367</v>
      </c>
      <c r="B7" s="16" t="s">
        <v>170</v>
      </c>
      <c r="C7" s="16" t="s">
        <v>366</v>
      </c>
      <c r="D7" s="22" t="s">
        <v>155</v>
      </c>
      <c r="E7" s="22" t="s">
        <v>482</v>
      </c>
      <c r="F7" s="157">
        <f t="shared" si="0"/>
        <v>2.5431436051094136E-4</v>
      </c>
      <c r="G7" s="96">
        <v>8.5646037195945999E-6</v>
      </c>
      <c r="H7" s="97">
        <v>1.1000000000000001E-6</v>
      </c>
      <c r="I7" s="98">
        <v>2.204033085141384E-4</v>
      </c>
      <c r="J7" s="98">
        <v>2.20403308514138E-5</v>
      </c>
      <c r="K7" s="98">
        <v>6.5527814279456901E-7</v>
      </c>
      <c r="L7" s="98">
        <v>0</v>
      </c>
      <c r="M7" s="98">
        <v>0</v>
      </c>
      <c r="N7" s="98">
        <v>1.5508392829999999E-6</v>
      </c>
      <c r="O7" s="98"/>
      <c r="P7" s="98"/>
      <c r="Q7" s="13"/>
      <c r="R7" s="143">
        <f>'Parameters, country spec'!B16</f>
        <v>0.26979047748052709</v>
      </c>
    </row>
    <row r="8" spans="1:18" x14ac:dyDescent="0.35">
      <c r="A8" s="21" t="s">
        <v>368</v>
      </c>
      <c r="B8" s="16" t="s">
        <v>171</v>
      </c>
      <c r="C8" s="16" t="s">
        <v>366</v>
      </c>
      <c r="D8" s="22" t="s">
        <v>155</v>
      </c>
      <c r="E8" s="22" t="s">
        <v>482</v>
      </c>
      <c r="F8" s="157">
        <f t="shared" si="0"/>
        <v>9.9111399236328991E-4</v>
      </c>
      <c r="G8" s="96">
        <v>4.2111741458943197E-5</v>
      </c>
      <c r="H8" s="97">
        <v>1.1000000000000001E-6</v>
      </c>
      <c r="I8" s="98">
        <v>8.5942041301056103E-4</v>
      </c>
      <c r="J8" s="98">
        <v>8.5942041301056201E-5</v>
      </c>
      <c r="K8" s="98">
        <v>9.8893602669268491E-7</v>
      </c>
      <c r="L8" s="98">
        <v>0</v>
      </c>
      <c r="M8" s="98">
        <v>2.1283036803976E-11</v>
      </c>
      <c r="N8" s="98">
        <v>1.5508392829999999E-6</v>
      </c>
      <c r="O8" s="98"/>
      <c r="P8" s="98"/>
      <c r="Q8" s="13"/>
      <c r="R8" s="143">
        <f>'Parameters, country spec'!B17</f>
        <v>1.8587387131106831E-2</v>
      </c>
    </row>
    <row r="9" spans="1:18" x14ac:dyDescent="0.35">
      <c r="A9" s="21" t="s">
        <v>369</v>
      </c>
      <c r="B9" s="16" t="s">
        <v>172</v>
      </c>
      <c r="C9" s="16" t="s">
        <v>366</v>
      </c>
      <c r="D9" s="22" t="s">
        <v>155</v>
      </c>
      <c r="E9" s="22" t="s">
        <v>482</v>
      </c>
      <c r="F9" s="157">
        <f t="shared" si="0"/>
        <v>8.5530074525416461E-4</v>
      </c>
      <c r="G9" s="96">
        <v>3.57173969818493E-5</v>
      </c>
      <c r="H9" s="97">
        <v>1.1000000000000001E-6</v>
      </c>
      <c r="I9" s="98">
        <v>7.4187413254425704E-4</v>
      </c>
      <c r="J9" s="98">
        <v>7.4187413254425702E-5</v>
      </c>
      <c r="K9" s="98">
        <v>8.6297031950513598E-7</v>
      </c>
      <c r="L9" s="98">
        <v>0</v>
      </c>
      <c r="M9" s="98">
        <v>7.9928711275969202E-9</v>
      </c>
      <c r="N9" s="98">
        <v>1.5508392829999999E-6</v>
      </c>
      <c r="O9" s="98"/>
      <c r="P9" s="98"/>
      <c r="Q9" s="13"/>
      <c r="R9" s="143">
        <f>'Parameters, country spec'!B18</f>
        <v>2.85446978296886E-3</v>
      </c>
    </row>
    <row r="10" spans="1:18" x14ac:dyDescent="0.35">
      <c r="A10" s="21" t="s">
        <v>370</v>
      </c>
      <c r="B10" s="16" t="s">
        <v>173</v>
      </c>
      <c r="C10" s="16" t="s">
        <v>366</v>
      </c>
      <c r="D10" s="22" t="s">
        <v>155</v>
      </c>
      <c r="E10" s="22" t="s">
        <v>482</v>
      </c>
      <c r="F10" s="157">
        <f t="shared" si="0"/>
        <v>8.4382253304000313E-4</v>
      </c>
      <c r="G10" s="96">
        <v>3.5274842783133898E-5</v>
      </c>
      <c r="H10" s="97">
        <v>1.1000000000000001E-6</v>
      </c>
      <c r="I10" s="98">
        <v>7.3201437561888497E-4</v>
      </c>
      <c r="J10" s="98">
        <v>7.3201437561888502E-5</v>
      </c>
      <c r="K10" s="98">
        <v>6.7471987680582603E-7</v>
      </c>
      <c r="L10" s="98">
        <v>0</v>
      </c>
      <c r="M10" s="98">
        <v>6.3179162899379596E-9</v>
      </c>
      <c r="N10" s="98">
        <v>1.5508392829999999E-6</v>
      </c>
      <c r="O10" s="98"/>
      <c r="P10" s="98"/>
      <c r="Q10" s="13"/>
      <c r="R10" s="143">
        <f>'Parameters, country spec'!B19</f>
        <v>0.39960951046637888</v>
      </c>
    </row>
    <row r="11" spans="1:18" x14ac:dyDescent="0.35">
      <c r="A11" s="21" t="s">
        <v>371</v>
      </c>
      <c r="B11" s="16" t="s">
        <v>174</v>
      </c>
      <c r="C11" s="16" t="s">
        <v>372</v>
      </c>
      <c r="D11" s="22" t="s">
        <v>155</v>
      </c>
      <c r="E11" s="22" t="s">
        <v>482</v>
      </c>
      <c r="F11" s="157">
        <f t="shared" si="0"/>
        <v>2.076250829896906E-4</v>
      </c>
      <c r="G11" s="96">
        <v>0</v>
      </c>
      <c r="H11" s="97">
        <v>1.1000000000000001E-6</v>
      </c>
      <c r="I11" s="98">
        <v>1.8457295999999999E-4</v>
      </c>
      <c r="J11" s="98">
        <v>1.8457295999999999E-5</v>
      </c>
      <c r="K11" s="98">
        <v>1.3311447783076901E-6</v>
      </c>
      <c r="L11" s="98">
        <v>0</v>
      </c>
      <c r="M11" s="98">
        <v>6.12842928382921E-7</v>
      </c>
      <c r="N11" s="98">
        <v>1.5508392829999999E-6</v>
      </c>
      <c r="O11" s="98"/>
      <c r="P11" s="98"/>
      <c r="Q11" s="13"/>
      <c r="R11" s="143">
        <f>'Parameters, country spec'!B20</f>
        <v>0</v>
      </c>
    </row>
    <row r="12" spans="1:18" x14ac:dyDescent="0.35">
      <c r="A12" s="21" t="s">
        <v>373</v>
      </c>
      <c r="B12" s="16" t="s">
        <v>175</v>
      </c>
      <c r="C12" s="16" t="s">
        <v>372</v>
      </c>
      <c r="D12" s="22" t="s">
        <v>155</v>
      </c>
      <c r="E12" s="22" t="s">
        <v>482</v>
      </c>
      <c r="F12" s="157">
        <f t="shared" si="0"/>
        <v>2.0426427793620482E-4</v>
      </c>
      <c r="G12" s="96">
        <v>0</v>
      </c>
      <c r="H12" s="97">
        <v>1.1000000000000001E-6</v>
      </c>
      <c r="I12" s="98">
        <v>1.8140179200000001E-4</v>
      </c>
      <c r="J12" s="98">
        <v>1.8140179199999999E-5</v>
      </c>
      <c r="K12" s="98">
        <v>1.23663462441682E-6</v>
      </c>
      <c r="L12" s="98">
        <v>0</v>
      </c>
      <c r="M12" s="98">
        <v>8.3483282878799698E-7</v>
      </c>
      <c r="N12" s="98">
        <v>1.5508392829999999E-6</v>
      </c>
      <c r="O12" s="98"/>
      <c r="P12" s="98"/>
      <c r="Q12" s="13"/>
      <c r="R12" s="143">
        <f>'Parameters, country spec'!B21</f>
        <v>0</v>
      </c>
    </row>
    <row r="13" spans="1:18" x14ac:dyDescent="0.35">
      <c r="B13" s="17" t="s">
        <v>177</v>
      </c>
      <c r="C13" s="16" t="s">
        <v>374</v>
      </c>
      <c r="D13" s="22" t="s">
        <v>450</v>
      </c>
      <c r="E13" s="22"/>
      <c r="F13" s="120">
        <f>SUM(G13:P13)</f>
        <v>6.713768539130542E-4</v>
      </c>
      <c r="G13" s="32">
        <f>'Off-farm feed'!$F$77</f>
        <v>1.946970439026595E-4</v>
      </c>
      <c r="H13" s="32">
        <f>'Off-farm feed'!$G$77</f>
        <v>5.3103448275862083E-7</v>
      </c>
      <c r="I13" s="32">
        <f>'Off-farm feed'!$H$77</f>
        <v>4.2751561806777074E-4</v>
      </c>
      <c r="J13" s="32">
        <f>'Off-farm feed'!$I$77</f>
        <v>4.2751561806777089E-5</v>
      </c>
      <c r="K13" s="32">
        <f>'Off-farm feed'!$J$77</f>
        <v>6.6339607025480414E-7</v>
      </c>
      <c r="L13" s="32"/>
      <c r="M13" s="32">
        <f>'Off-farm feed'!$L$77</f>
        <v>7.9511067188965511E-9</v>
      </c>
      <c r="N13" s="32">
        <f>'Off-farm feed'!$M$77</f>
        <v>1.2789681892721844E-6</v>
      </c>
      <c r="O13" s="32"/>
      <c r="P13" s="32">
        <f>'Off-farm feed'!$O$77</f>
        <v>3.9312802868423825E-6</v>
      </c>
      <c r="Q13" s="32">
        <f>'Off-farm feed'!$P$77</f>
        <v>1.8277027027027027E-6</v>
      </c>
      <c r="R13" s="143">
        <f>'Parameters, country spec'!B22</f>
        <v>4.3850784569502733E-2</v>
      </c>
    </row>
    <row r="14" spans="1:18" x14ac:dyDescent="0.35">
      <c r="B14" s="17" t="s">
        <v>375</v>
      </c>
      <c r="C14" s="16" t="s">
        <v>374</v>
      </c>
      <c r="D14" s="22" t="s">
        <v>426</v>
      </c>
      <c r="E14" s="22"/>
      <c r="F14" s="120">
        <f>SUM(G14:P14)</f>
        <v>1.7957562860818722E-4</v>
      </c>
      <c r="G14" s="32">
        <f>'Off-farm feed'!$F$26</f>
        <v>1.6332109719061441E-5</v>
      </c>
      <c r="H14" s="32">
        <f>'Off-farm feed'!$G$26</f>
        <v>8.7195121951219526E-7</v>
      </c>
      <c r="I14" s="32">
        <f>'Off-farm feed'!$H$26</f>
        <v>1.3333449845358202E-4</v>
      </c>
      <c r="J14" s="32">
        <f>'Off-farm feed'!$I$26</f>
        <v>1.3333449845358203E-5</v>
      </c>
      <c r="K14" s="32">
        <f>'Off-farm feed'!$J$26</f>
        <v>1.1576736579983931E-6</v>
      </c>
      <c r="L14" s="32"/>
      <c r="M14" s="32">
        <f>'Off-farm feed'!$L$26</f>
        <v>7.3437786087804866E-9</v>
      </c>
      <c r="N14" s="32">
        <f>'Off-farm feed'!$M$26</f>
        <v>1.1195281639512197E-6</v>
      </c>
      <c r="O14" s="32"/>
      <c r="P14" s="32">
        <f>'Off-farm feed'!$O$26</f>
        <v>1.3419073770114991E-5</v>
      </c>
      <c r="Q14" s="32">
        <f>'Off-farm feed'!$P$26</f>
        <v>9.087837837837838E-6</v>
      </c>
      <c r="R14" s="143">
        <f>'Parameters, country spec'!B23</f>
        <v>3.9507741172757453E-2</v>
      </c>
    </row>
    <row r="15" spans="1:18" x14ac:dyDescent="0.35">
      <c r="B15" s="16" t="s">
        <v>181</v>
      </c>
      <c r="C15" s="16" t="s">
        <v>376</v>
      </c>
      <c r="D15" s="22" t="s">
        <v>155</v>
      </c>
      <c r="E15" s="22" t="s">
        <v>482</v>
      </c>
      <c r="F15" s="157">
        <f>SUM(G15:Q15)</f>
        <v>8.5595604327518972E-5</v>
      </c>
      <c r="G15" s="98">
        <v>3.1747358504820499E-6</v>
      </c>
      <c r="H15" s="98">
        <v>9.9E-8</v>
      </c>
      <c r="I15" s="98">
        <v>6.5881293805699606E-5</v>
      </c>
      <c r="J15">
        <v>6.5881293805699599E-6</v>
      </c>
      <c r="K15" s="98">
        <v>6.0724788912524299E-8</v>
      </c>
      <c r="L15">
        <v>0</v>
      </c>
      <c r="M15">
        <v>5.6861246609441598E-10</v>
      </c>
      <c r="N15" s="13">
        <v>1.3957553547000001E-7</v>
      </c>
      <c r="O15" s="13"/>
      <c r="P15" s="98">
        <v>9.3385316151342001E-6</v>
      </c>
      <c r="Q15" s="98">
        <v>3.1304473878454498E-7</v>
      </c>
      <c r="R15" s="143">
        <f>'Parameters, country spec'!B24</f>
        <v>3.6206796949373683E-2</v>
      </c>
    </row>
    <row r="16" spans="1:18" x14ac:dyDescent="0.35">
      <c r="A16" s="80"/>
      <c r="B16" s="16" t="s">
        <v>377</v>
      </c>
      <c r="C16" s="81" t="s">
        <v>378</v>
      </c>
      <c r="D16" s="22" t="s">
        <v>155</v>
      </c>
      <c r="E16" s="22" t="s">
        <v>482</v>
      </c>
      <c r="F16" s="158">
        <f>SUM(G16:Q16)</f>
        <v>5.7996202611264888E-4</v>
      </c>
      <c r="G16" s="79">
        <f>AVERAGE(G6:G14)</f>
        <v>4.1781381369404337E-5</v>
      </c>
      <c r="H16" s="79">
        <f>AVERAGE(H6:H14)</f>
        <v>1.0114428558078684E-6</v>
      </c>
      <c r="I16" s="79">
        <f>AVERAGE(I6:I14)</f>
        <v>4.8599178920349256E-4</v>
      </c>
      <c r="J16" s="79">
        <f>AVERAGE(J6:J14)</f>
        <v>4.859917892034926E-5</v>
      </c>
      <c r="K16" s="79">
        <f>AVERAGE(K6:K14)</f>
        <v>9.4138109168635971E-7</v>
      </c>
      <c r="L16" s="79"/>
      <c r="M16" s="79">
        <f>AVERAGE(M6:M14)</f>
        <v>1.6414474588365931E-7</v>
      </c>
      <c r="N16" s="79">
        <f>AVERAGE(N6:N14)</f>
        <v>1.4727079260248228E-6</v>
      </c>
      <c r="O16" s="79"/>
      <c r="P16" s="79"/>
      <c r="Q16" s="79"/>
      <c r="R16" s="143">
        <f>'Parameters, country spec'!B25</f>
        <v>2.556294288391299E-2</v>
      </c>
    </row>
    <row r="17" spans="1:18" x14ac:dyDescent="0.35">
      <c r="A17" s="142"/>
      <c r="B17" s="24" t="s">
        <v>379</v>
      </c>
      <c r="C17" s="25"/>
      <c r="D17" s="99"/>
      <c r="E17" s="99"/>
      <c r="F17" s="29">
        <f t="shared" ref="F17:Q17" si="1">SUMPRODUCT(F6:F16,$R$6:$R$16)</f>
        <v>6.5002211327366735E-4</v>
      </c>
      <c r="G17" s="29">
        <f t="shared" si="1"/>
        <v>3.4765562660525414E-5</v>
      </c>
      <c r="H17" s="29">
        <f t="shared" si="1"/>
        <v>1.0275339385164281E-6</v>
      </c>
      <c r="I17" s="29">
        <f t="shared" si="1"/>
        <v>5.5544052822158966E-4</v>
      </c>
      <c r="J17" s="29">
        <f t="shared" si="1"/>
        <v>5.5544052822158969E-5</v>
      </c>
      <c r="K17" s="29">
        <f t="shared" si="1"/>
        <v>7.162498413301785E-7</v>
      </c>
      <c r="L17" s="29">
        <f t="shared" si="1"/>
        <v>0</v>
      </c>
      <c r="M17" s="29">
        <f t="shared" si="1"/>
        <v>7.4033192130933073E-9</v>
      </c>
      <c r="N17" s="29">
        <f t="shared" si="1"/>
        <v>1.4687827868173246E-6</v>
      </c>
      <c r="O17" s="29">
        <f t="shared" si="1"/>
        <v>0</v>
      </c>
      <c r="P17" s="29">
        <f t="shared" si="1"/>
        <v>1.0406653362229705E-6</v>
      </c>
      <c r="Q17" s="29">
        <f t="shared" si="1"/>
        <v>4.5052048988384485E-7</v>
      </c>
      <c r="R17" s="144"/>
    </row>
    <row r="18" spans="1:18" x14ac:dyDescent="0.35">
      <c r="A18" s="21" t="s">
        <v>365</v>
      </c>
      <c r="B18" s="16" t="s">
        <v>168</v>
      </c>
      <c r="C18" s="16" t="s">
        <v>366</v>
      </c>
      <c r="D18" s="22" t="s">
        <v>36</v>
      </c>
      <c r="E18" s="22" t="s">
        <v>84</v>
      </c>
      <c r="F18" s="157">
        <f t="shared" ref="F18:F24" si="2">SUM(G18:Q18)</f>
        <v>5.8530781673607967E-4</v>
      </c>
      <c r="G18" s="96">
        <v>1.48476732581079E-5</v>
      </c>
      <c r="H18" s="97">
        <v>1.1000000000000001E-6</v>
      </c>
      <c r="I18" s="98">
        <v>5.1560061766249207E-4</v>
      </c>
      <c r="J18" s="98">
        <v>5.15600617662492E-5</v>
      </c>
      <c r="K18" s="98">
        <v>8.6660096144175996E-7</v>
      </c>
      <c r="L18" s="98">
        <v>0</v>
      </c>
      <c r="M18" s="98">
        <v>9.2063687575479994E-12</v>
      </c>
      <c r="N18" s="98">
        <v>1.3328538814200001E-6</v>
      </c>
      <c r="O18" s="98"/>
      <c r="P18" s="98"/>
      <c r="Q18" s="13"/>
      <c r="R18" s="143">
        <f>'Parameters, country spec'!C15</f>
        <v>0.16402988956347131</v>
      </c>
    </row>
    <row r="19" spans="1:18" x14ac:dyDescent="0.35">
      <c r="A19" s="21" t="s">
        <v>367</v>
      </c>
      <c r="B19" s="16" t="s">
        <v>170</v>
      </c>
      <c r="C19" s="16" t="s">
        <v>366</v>
      </c>
      <c r="D19" s="22" t="s">
        <v>36</v>
      </c>
      <c r="E19" s="22" t="s">
        <v>84</v>
      </c>
      <c r="F19" s="157">
        <f t="shared" si="2"/>
        <v>5.0348761541131604E-4</v>
      </c>
      <c r="G19" s="96">
        <v>1.40447733404797E-5</v>
      </c>
      <c r="H19" s="97">
        <v>1.1000000000000001E-6</v>
      </c>
      <c r="I19" s="98">
        <v>4.4216887877114938E-4</v>
      </c>
      <c r="J19" s="98">
        <v>4.4216887877115002E-5</v>
      </c>
      <c r="K19" s="98">
        <v>4.8647220484656601E-7</v>
      </c>
      <c r="L19" s="98">
        <v>0</v>
      </c>
      <c r="M19" s="98">
        <v>1.3774933630536099E-7</v>
      </c>
      <c r="N19" s="98">
        <v>1.3328538814200001E-6</v>
      </c>
      <c r="O19" s="98"/>
      <c r="P19" s="98"/>
      <c r="Q19" s="13"/>
      <c r="R19" s="143">
        <f>'Parameters, country spec'!C16</f>
        <v>0.26979047748052709</v>
      </c>
    </row>
    <row r="20" spans="1:18" x14ac:dyDescent="0.35">
      <c r="A20" s="21" t="s">
        <v>368</v>
      </c>
      <c r="B20" s="16" t="s">
        <v>171</v>
      </c>
      <c r="C20" s="16" t="s">
        <v>366</v>
      </c>
      <c r="D20" s="22" t="s">
        <v>36</v>
      </c>
      <c r="E20" s="22" t="s">
        <v>84</v>
      </c>
      <c r="F20" s="157">
        <f t="shared" si="2"/>
        <v>6.1761163745160182E-4</v>
      </c>
      <c r="G20" s="96">
        <v>1.6338842591140199E-5</v>
      </c>
      <c r="H20" s="97">
        <v>1.1000000000000001E-6</v>
      </c>
      <c r="I20" s="98">
        <v>5.43258830766379E-4</v>
      </c>
      <c r="J20" s="98">
        <v>5.4325883076637902E-5</v>
      </c>
      <c r="K20" s="98">
        <v>1.2030725795815901E-6</v>
      </c>
      <c r="L20" s="98">
        <v>0</v>
      </c>
      <c r="M20" s="98">
        <v>5.2154556442986999E-8</v>
      </c>
      <c r="N20" s="98">
        <v>1.3328538814200001E-6</v>
      </c>
      <c r="O20" s="98"/>
      <c r="P20" s="98"/>
      <c r="Q20" s="13"/>
      <c r="R20" s="143">
        <f>'Parameters, country spec'!C17</f>
        <v>1.8587387131106831E-2</v>
      </c>
    </row>
    <row r="21" spans="1:18" x14ac:dyDescent="0.35">
      <c r="A21" s="21" t="s">
        <v>369</v>
      </c>
      <c r="B21" s="16" t="s">
        <v>172</v>
      </c>
      <c r="C21" s="16" t="s">
        <v>366</v>
      </c>
      <c r="D21" s="22" t="s">
        <v>36</v>
      </c>
      <c r="E21" s="22" t="s">
        <v>84</v>
      </c>
      <c r="F21" s="157">
        <f t="shared" si="2"/>
        <v>7.8191616855976414E-4</v>
      </c>
      <c r="G21" s="96">
        <v>2.1873707810918101E-5</v>
      </c>
      <c r="H21" s="97">
        <v>1.1000000000000001E-6</v>
      </c>
      <c r="I21" s="98">
        <v>6.8758656983667894E-4</v>
      </c>
      <c r="J21" s="98">
        <v>6.8758656983667997E-5</v>
      </c>
      <c r="K21" s="98">
        <v>1.2631936945080999E-6</v>
      </c>
      <c r="L21" s="98">
        <v>0</v>
      </c>
      <c r="M21" s="98">
        <v>1.1863525710000401E-9</v>
      </c>
      <c r="N21" s="98">
        <v>1.3328538814200001E-6</v>
      </c>
      <c r="O21" s="98"/>
      <c r="P21" s="98"/>
      <c r="Q21" s="13"/>
      <c r="R21" s="143">
        <f>'Parameters, country spec'!C18</f>
        <v>2.85446978296886E-3</v>
      </c>
    </row>
    <row r="22" spans="1:18" x14ac:dyDescent="0.35">
      <c r="A22" s="21" t="s">
        <v>370</v>
      </c>
      <c r="B22" s="16" t="s">
        <v>173</v>
      </c>
      <c r="C22" s="16" t="s">
        <v>366</v>
      </c>
      <c r="D22" s="22" t="s">
        <v>36</v>
      </c>
      <c r="E22" s="22" t="s">
        <v>84</v>
      </c>
      <c r="F22" s="157">
        <f t="shared" si="2"/>
        <v>7.6314701218592603E-4</v>
      </c>
      <c r="G22" s="96">
        <v>2.1342573427641399E-5</v>
      </c>
      <c r="H22" s="97">
        <v>1.1000000000000001E-6</v>
      </c>
      <c r="I22" s="98">
        <v>6.7145954331109003E-4</v>
      </c>
      <c r="J22" s="98">
        <v>6.7145954331108897E-5</v>
      </c>
      <c r="K22" s="98">
        <v>7.6532160176210403E-7</v>
      </c>
      <c r="L22" s="98">
        <v>0</v>
      </c>
      <c r="M22" s="98">
        <v>7.6563290357226795E-10</v>
      </c>
      <c r="N22" s="98">
        <v>1.3328538814200001E-6</v>
      </c>
      <c r="O22" s="98"/>
      <c r="P22" s="98"/>
      <c r="Q22" s="13"/>
      <c r="R22" s="143">
        <f>'Parameters, country spec'!C19</f>
        <v>0.39960951046637888</v>
      </c>
    </row>
    <row r="23" spans="1:18" x14ac:dyDescent="0.35">
      <c r="A23" s="21" t="s">
        <v>371</v>
      </c>
      <c r="B23" s="16" t="s">
        <v>174</v>
      </c>
      <c r="C23" s="16" t="s">
        <v>372</v>
      </c>
      <c r="D23" s="22" t="s">
        <v>36</v>
      </c>
      <c r="E23" s="22" t="s">
        <v>84</v>
      </c>
      <c r="F23" s="157">
        <f t="shared" si="2"/>
        <v>2.0727300008761834E-4</v>
      </c>
      <c r="G23" s="96">
        <v>0</v>
      </c>
      <c r="H23" s="97">
        <v>1.1000000000000001E-6</v>
      </c>
      <c r="I23" s="98">
        <v>1.8457295999999999E-4</v>
      </c>
      <c r="J23" s="98">
        <v>1.8457295999999999E-5</v>
      </c>
      <c r="K23" s="98">
        <v>1.6098807704065999E-6</v>
      </c>
      <c r="L23" s="98">
        <v>0</v>
      </c>
      <c r="M23" s="98">
        <v>2.0000943579174501E-7</v>
      </c>
      <c r="N23" s="98">
        <v>1.3328538814200001E-6</v>
      </c>
      <c r="O23" s="98"/>
      <c r="P23" s="98"/>
      <c r="Q23" s="13"/>
      <c r="R23" s="143">
        <f>'Parameters, country spec'!C20</f>
        <v>0</v>
      </c>
    </row>
    <row r="24" spans="1:18" x14ac:dyDescent="0.35">
      <c r="A24" s="21" t="s">
        <v>373</v>
      </c>
      <c r="B24" s="16" t="s">
        <v>175</v>
      </c>
      <c r="C24" s="16" t="s">
        <v>372</v>
      </c>
      <c r="D24" s="22" t="s">
        <v>36</v>
      </c>
      <c r="E24" s="22" t="s">
        <v>84</v>
      </c>
      <c r="F24" s="157">
        <f t="shared" si="2"/>
        <v>2.2801308417325327E-4</v>
      </c>
      <c r="G24" s="96">
        <v>7.8537174919050199E-7</v>
      </c>
      <c r="H24" s="97">
        <v>1.1000000000000001E-6</v>
      </c>
      <c r="I24" s="98">
        <v>2.0235609376337589E-4</v>
      </c>
      <c r="J24" s="98">
        <v>2.02356093763376E-5</v>
      </c>
      <c r="K24" s="98">
        <v>1.97490103259465E-6</v>
      </c>
      <c r="L24" s="98">
        <v>0</v>
      </c>
      <c r="M24" s="98">
        <v>2.2825437033464201E-7</v>
      </c>
      <c r="N24" s="98">
        <v>1.3328538814200001E-6</v>
      </c>
      <c r="O24" s="98"/>
      <c r="P24" s="98"/>
      <c r="Q24" s="13"/>
      <c r="R24" s="143">
        <f>'Parameters, country spec'!C21</f>
        <v>0</v>
      </c>
    </row>
    <row r="25" spans="1:18" x14ac:dyDescent="0.35">
      <c r="B25" s="17" t="s">
        <v>177</v>
      </c>
      <c r="C25" s="16" t="s">
        <v>374</v>
      </c>
      <c r="D25" s="22" t="s">
        <v>450</v>
      </c>
      <c r="E25" s="22"/>
      <c r="F25" s="120">
        <f>SUM(G25:P25)</f>
        <v>6.713768539130542E-4</v>
      </c>
      <c r="G25" s="32">
        <f>'Off-farm feed'!$F$77</f>
        <v>1.946970439026595E-4</v>
      </c>
      <c r="H25" s="32">
        <f>'Off-farm feed'!$G$77</f>
        <v>5.3103448275862083E-7</v>
      </c>
      <c r="I25" s="32">
        <f>'Off-farm feed'!$H$77</f>
        <v>4.2751561806777074E-4</v>
      </c>
      <c r="J25" s="32">
        <f>'Off-farm feed'!$I$77</f>
        <v>4.2751561806777089E-5</v>
      </c>
      <c r="K25" s="32">
        <f>'Off-farm feed'!$J$77</f>
        <v>6.6339607025480414E-7</v>
      </c>
      <c r="L25" s="32"/>
      <c r="M25" s="32">
        <f>'Off-farm feed'!$L$77</f>
        <v>7.9511067188965511E-9</v>
      </c>
      <c r="N25" s="32">
        <f>'Off-farm feed'!$M$77</f>
        <v>1.2789681892721844E-6</v>
      </c>
      <c r="O25" s="32"/>
      <c r="P25" s="32">
        <f>'Off-farm feed'!$O$77</f>
        <v>3.9312802868423825E-6</v>
      </c>
      <c r="Q25" s="32">
        <f>'Off-farm feed'!$P$77</f>
        <v>1.8277027027027027E-6</v>
      </c>
      <c r="R25" s="143">
        <f>'Parameters, country spec'!C22</f>
        <v>4.3850784569502733E-2</v>
      </c>
    </row>
    <row r="26" spans="1:18" x14ac:dyDescent="0.35">
      <c r="B26" s="17" t="s">
        <v>375</v>
      </c>
      <c r="C26" s="16" t="s">
        <v>374</v>
      </c>
      <c r="D26" s="22" t="s">
        <v>426</v>
      </c>
      <c r="E26" s="22"/>
      <c r="F26" s="120">
        <f>SUM(G26:P26)</f>
        <v>1.7957562860818722E-4</v>
      </c>
      <c r="G26" s="32">
        <f>'Off-farm feed'!$F$26</f>
        <v>1.6332109719061441E-5</v>
      </c>
      <c r="H26" s="32">
        <f>'Off-farm feed'!$G$26</f>
        <v>8.7195121951219526E-7</v>
      </c>
      <c r="I26" s="32">
        <f>'Off-farm feed'!$H$26</f>
        <v>1.3333449845358202E-4</v>
      </c>
      <c r="J26" s="32">
        <f>'Off-farm feed'!$I$26</f>
        <v>1.3333449845358203E-5</v>
      </c>
      <c r="K26" s="32">
        <f>'Off-farm feed'!$J$26</f>
        <v>1.1576736579983931E-6</v>
      </c>
      <c r="L26" s="32"/>
      <c r="M26" s="32">
        <f>'Off-farm feed'!$L$26</f>
        <v>7.3437786087804866E-9</v>
      </c>
      <c r="N26" s="32">
        <f>'Off-farm feed'!$M$26</f>
        <v>1.1195281639512197E-6</v>
      </c>
      <c r="O26" s="32"/>
      <c r="P26" s="32">
        <f>'Off-farm feed'!$O$26</f>
        <v>1.3419073770114991E-5</v>
      </c>
      <c r="Q26" s="32">
        <f>'Off-farm feed'!$P$26</f>
        <v>9.087837837837838E-6</v>
      </c>
      <c r="R26" s="143">
        <f>'Parameters, country spec'!C23</f>
        <v>3.9507741172757453E-2</v>
      </c>
    </row>
    <row r="27" spans="1:18" x14ac:dyDescent="0.35">
      <c r="B27" s="16" t="s">
        <v>181</v>
      </c>
      <c r="C27" s="16" t="s">
        <v>376</v>
      </c>
      <c r="D27" s="22" t="s">
        <v>36</v>
      </c>
      <c r="E27" s="22" t="s">
        <v>84</v>
      </c>
      <c r="F27" s="157">
        <f>SUM(G27:Q27)</f>
        <v>7.8334807450651994E-5</v>
      </c>
      <c r="G27" s="98">
        <v>1.9208316084877298E-6</v>
      </c>
      <c r="H27" s="98">
        <v>9.9E-8</v>
      </c>
      <c r="I27" s="98">
        <v>6.0431358897998009E-5</v>
      </c>
      <c r="J27">
        <v>6.0431358897997997E-6</v>
      </c>
      <c r="K27" s="98">
        <v>6.8878944158589396E-8</v>
      </c>
      <c r="L27">
        <v>0</v>
      </c>
      <c r="M27">
        <v>6.8906961321504096E-11</v>
      </c>
      <c r="N27" s="13">
        <v>1.1995684932780001E-7</v>
      </c>
      <c r="O27" s="13"/>
      <c r="P27" s="98">
        <v>9.3385316151342001E-6</v>
      </c>
      <c r="Q27" s="98">
        <v>3.1304473878454498E-7</v>
      </c>
      <c r="R27" s="143">
        <f>'Parameters, country spec'!C24</f>
        <v>3.6206796949373683E-2</v>
      </c>
    </row>
    <row r="28" spans="1:18" x14ac:dyDescent="0.35">
      <c r="A28" s="80"/>
      <c r="B28" s="16" t="s">
        <v>377</v>
      </c>
      <c r="C28" s="81" t="s">
        <v>378</v>
      </c>
      <c r="D28" s="22" t="s">
        <v>36</v>
      </c>
      <c r="E28" s="22" t="s">
        <v>84</v>
      </c>
      <c r="F28" s="158">
        <f>SUM(G28:Q28)</f>
        <v>5.0226205145220476E-4</v>
      </c>
      <c r="G28" s="79">
        <f>AVERAGE(G18:G26)</f>
        <v>3.3362455088799859E-5</v>
      </c>
      <c r="H28" s="79">
        <f>AVERAGE(H18:H26)</f>
        <v>1.0114428558078684E-6</v>
      </c>
      <c r="I28" s="79">
        <f>AVERAGE(I18:I26)</f>
        <v>4.2309484562583536E-4</v>
      </c>
      <c r="J28" s="79">
        <f>AVERAGE(J18:J26)</f>
        <v>4.2309484562583544E-5</v>
      </c>
      <c r="K28" s="79">
        <f>AVERAGE(K18:K26)</f>
        <v>1.110056952599396E-6</v>
      </c>
      <c r="L28" s="79"/>
      <c r="M28" s="79">
        <f>AVERAGE(M18:M26)</f>
        <v>7.0602641782860204E-8</v>
      </c>
      <c r="N28" s="79">
        <f>AVERAGE(N18:N26)</f>
        <v>1.3031637247959338E-6</v>
      </c>
      <c r="O28" s="79"/>
      <c r="P28" s="79"/>
      <c r="Q28" s="79"/>
      <c r="R28" s="143">
        <f>'Parameters, country spec'!C25</f>
        <v>2.556294288391299E-2</v>
      </c>
    </row>
    <row r="29" spans="1:18" x14ac:dyDescent="0.35">
      <c r="A29" s="142"/>
      <c r="B29" s="24" t="s">
        <v>379</v>
      </c>
      <c r="C29" s="25"/>
      <c r="D29" s="99"/>
      <c r="E29" s="99"/>
      <c r="F29" s="45">
        <f t="shared" ref="F29:O29" si="3">SUMPRODUCT(F18:F28,$R$18:$R$28)</f>
        <v>6.0272726518200554E-4</v>
      </c>
      <c r="G29" s="45">
        <f t="shared" si="3"/>
        <v>2.5224690446456615E-5</v>
      </c>
      <c r="H29" s="45">
        <f t="shared" si="3"/>
        <v>1.0275339385164281E-6</v>
      </c>
      <c r="I29" s="45">
        <f t="shared" si="3"/>
        <v>5.2126715742837498E-4</v>
      </c>
      <c r="J29" s="45">
        <f t="shared" si="3"/>
        <v>5.2126715742837477E-5</v>
      </c>
      <c r="K29" s="45">
        <f t="shared" si="3"/>
        <v>7.1088926089760595E-7</v>
      </c>
      <c r="L29" s="45">
        <f t="shared" si="3"/>
        <v>0</v>
      </c>
      <c r="M29" s="45">
        <f t="shared" si="3"/>
        <v>4.0889831434746701E-8</v>
      </c>
      <c r="N29" s="45">
        <f t="shared" si="3"/>
        <v>1.2773888499715423E-6</v>
      </c>
      <c r="O29" s="45">
        <f t="shared" si="3"/>
        <v>0</v>
      </c>
      <c r="P29" s="45">
        <f>SUMPRODUCT(P18:P28,R18:R28)</f>
        <v>1.0406653362229705E-6</v>
      </c>
      <c r="Q29" s="45">
        <f>SUMPRODUCT(Q18:Q28,$R$18:$R$28)</f>
        <v>4.5052048988384485E-7</v>
      </c>
      <c r="R29" s="144"/>
    </row>
    <row r="30" spans="1:18" x14ac:dyDescent="0.35">
      <c r="A30" s="21" t="s">
        <v>365</v>
      </c>
      <c r="B30" s="16" t="s">
        <v>168</v>
      </c>
      <c r="C30" s="16" t="s">
        <v>366</v>
      </c>
      <c r="D30" s="22" t="s">
        <v>33</v>
      </c>
      <c r="E30" s="22" t="s">
        <v>85</v>
      </c>
      <c r="F30" s="271">
        <f t="shared" ref="F30:F36" si="4">SUM(G30:Q30)</f>
        <v>5.376323338933249E-4</v>
      </c>
      <c r="G30" s="272">
        <v>1.49552156590464E-5</v>
      </c>
      <c r="H30" s="273">
        <v>1.1000000000000001E-6</v>
      </c>
      <c r="I30" s="276">
        <v>4.7201791683187299E-4</v>
      </c>
      <c r="J30" s="276">
        <v>4.72017916831873E-5</v>
      </c>
      <c r="K30" s="276">
        <v>7.7126055785450695E-7</v>
      </c>
      <c r="L30" s="276">
        <v>0</v>
      </c>
      <c r="M30" s="276">
        <v>1.40315536367128E-9</v>
      </c>
      <c r="N30" s="276">
        <v>1.5847460060000001E-6</v>
      </c>
      <c r="O30" s="276"/>
      <c r="P30" s="276"/>
      <c r="Q30" s="275"/>
      <c r="R30" s="143">
        <f>'Parameters, country spec'!D15</f>
        <v>0.1435440309091161</v>
      </c>
    </row>
    <row r="31" spans="1:18" x14ac:dyDescent="0.35">
      <c r="A31" s="21" t="s">
        <v>367</v>
      </c>
      <c r="B31" s="16" t="s">
        <v>170</v>
      </c>
      <c r="C31" s="16" t="s">
        <v>366</v>
      </c>
      <c r="D31" s="22" t="s">
        <v>33</v>
      </c>
      <c r="E31" s="22" t="s">
        <v>85</v>
      </c>
      <c r="F31" s="157">
        <f t="shared" si="4"/>
        <v>4.7187582415281903E-4</v>
      </c>
      <c r="G31" s="96">
        <v>1.4649089200819099E-5</v>
      </c>
      <c r="H31" s="97">
        <v>1.1000000000000001E-6</v>
      </c>
      <c r="I31" s="98">
        <v>4.1279131446155741E-4</v>
      </c>
      <c r="J31" s="98">
        <v>4.12791314461557E-5</v>
      </c>
      <c r="K31" s="98">
        <v>4.48333919529489E-7</v>
      </c>
      <c r="L31" s="98">
        <v>0</v>
      </c>
      <c r="M31" s="98">
        <v>2.32091187573621E-8</v>
      </c>
      <c r="N31" s="98">
        <v>1.5847460060000001E-6</v>
      </c>
      <c r="O31" s="98"/>
      <c r="P31" s="98"/>
      <c r="Q31" s="13"/>
      <c r="R31" s="143">
        <f>'Parameters, country spec'!D16</f>
        <v>0.2137111814189753</v>
      </c>
    </row>
    <row r="32" spans="1:18" x14ac:dyDescent="0.35">
      <c r="A32" s="21" t="s">
        <v>368</v>
      </c>
      <c r="B32" s="16" t="s">
        <v>171</v>
      </c>
      <c r="C32" s="16" t="s">
        <v>366</v>
      </c>
      <c r="D32" s="22" t="s">
        <v>33</v>
      </c>
      <c r="E32" s="22" t="s">
        <v>85</v>
      </c>
      <c r="F32" s="157">
        <f t="shared" si="4"/>
        <v>5.9982619502924647E-4</v>
      </c>
      <c r="G32" s="96">
        <v>1.7745600215826799E-5</v>
      </c>
      <c r="H32" s="97">
        <v>1.1000000000000001E-6</v>
      </c>
      <c r="I32" s="98">
        <v>5.2567301542106801E-4</v>
      </c>
      <c r="J32" s="98">
        <v>5.2567301542106802E-5</v>
      </c>
      <c r="K32" s="98">
        <v>1.1545398039684401E-6</v>
      </c>
      <c r="L32" s="98">
        <v>0</v>
      </c>
      <c r="M32" s="98">
        <v>9.9204027640291207E-10</v>
      </c>
      <c r="N32" s="98">
        <v>1.5847460060000001E-6</v>
      </c>
      <c r="O32" s="98"/>
      <c r="P32" s="98"/>
      <c r="Q32" s="13"/>
      <c r="R32" s="143">
        <f>'Parameters, country spec'!D17</f>
        <v>2.857298319366468E-5</v>
      </c>
    </row>
    <row r="33" spans="1:18" x14ac:dyDescent="0.35">
      <c r="A33" s="21" t="s">
        <v>369</v>
      </c>
      <c r="B33" s="16" t="s">
        <v>172</v>
      </c>
      <c r="C33" s="16" t="s">
        <v>366</v>
      </c>
      <c r="D33" s="22" t="s">
        <v>33</v>
      </c>
      <c r="E33" s="22" t="s">
        <v>85</v>
      </c>
      <c r="F33" s="157">
        <f t="shared" si="4"/>
        <v>6.4409795180664082E-4</v>
      </c>
      <c r="G33" s="96">
        <v>1.9532011643195799E-5</v>
      </c>
      <c r="H33" s="97">
        <v>1.1000000000000001E-6</v>
      </c>
      <c r="I33" s="98">
        <v>5.6444049564118102E-4</v>
      </c>
      <c r="J33" s="98">
        <v>5.6444049564118201E-5</v>
      </c>
      <c r="K33" s="98">
        <v>9.9664890622951805E-7</v>
      </c>
      <c r="L33" s="98">
        <v>0</v>
      </c>
      <c r="M33" s="98">
        <v>4.5916287492000002E-14</v>
      </c>
      <c r="N33" s="98">
        <v>1.5847460060000001E-6</v>
      </c>
      <c r="O33" s="98"/>
      <c r="P33" s="98"/>
      <c r="Q33" s="13"/>
      <c r="R33" s="143">
        <f>'Parameters, country spec'!D18</f>
        <v>2.344773715143467E-2</v>
      </c>
    </row>
    <row r="34" spans="1:18" x14ac:dyDescent="0.35">
      <c r="A34" s="21" t="s">
        <v>370</v>
      </c>
      <c r="B34" s="16" t="s">
        <v>173</v>
      </c>
      <c r="C34" s="16" t="s">
        <v>366</v>
      </c>
      <c r="D34" s="22" t="s">
        <v>33</v>
      </c>
      <c r="E34" s="22" t="s">
        <v>85</v>
      </c>
      <c r="F34" s="157">
        <f t="shared" si="4"/>
        <v>7.060668567445685E-4</v>
      </c>
      <c r="G34" s="96">
        <v>2.1924041347400302E-5</v>
      </c>
      <c r="H34" s="97">
        <v>1.1000000000000001E-6</v>
      </c>
      <c r="I34" s="98">
        <v>6.1887583660027101E-4</v>
      </c>
      <c r="J34" s="98">
        <v>6.1887583660027101E-5</v>
      </c>
      <c r="K34" s="98">
        <v>6.9464909994276398E-7</v>
      </c>
      <c r="L34" s="98">
        <v>0</v>
      </c>
      <c r="M34" s="98">
        <v>3.0927274192000003E-14</v>
      </c>
      <c r="N34" s="98">
        <v>1.5847460060000001E-6</v>
      </c>
      <c r="O34" s="98"/>
      <c r="P34" s="98"/>
      <c r="Q34" s="13"/>
      <c r="R34" s="143">
        <f>'Parameters, country spec'!D19</f>
        <v>0.47946147932032229</v>
      </c>
    </row>
    <row r="35" spans="1:18" x14ac:dyDescent="0.35">
      <c r="A35" s="21" t="s">
        <v>371</v>
      </c>
      <c r="B35" s="16" t="s">
        <v>174</v>
      </c>
      <c r="C35" s="16" t="s">
        <v>372</v>
      </c>
      <c r="D35" s="22" t="s">
        <v>33</v>
      </c>
      <c r="E35" s="22" t="s">
        <v>85</v>
      </c>
      <c r="F35" s="157">
        <f t="shared" si="4"/>
        <v>2.0746968068777562E-4</v>
      </c>
      <c r="G35" s="96">
        <v>0</v>
      </c>
      <c r="H35" s="97">
        <v>1.1000000000000001E-6</v>
      </c>
      <c r="I35" s="98">
        <v>1.8457295999999999E-4</v>
      </c>
      <c r="J35" s="98">
        <v>1.8457295999999999E-5</v>
      </c>
      <c r="K35" s="98">
        <v>1.59676558583327E-6</v>
      </c>
      <c r="L35" s="98">
        <v>0</v>
      </c>
      <c r="M35" s="98">
        <v>1.57913095942366E-7</v>
      </c>
      <c r="N35" s="98">
        <v>1.5847460060000001E-6</v>
      </c>
      <c r="O35" s="98"/>
      <c r="P35" s="98"/>
      <c r="Q35" s="13"/>
      <c r="R35" s="143">
        <f>'Parameters, country spec'!D20</f>
        <v>6.205919903371391E-4</v>
      </c>
    </row>
    <row r="36" spans="1:18" x14ac:dyDescent="0.35">
      <c r="A36" s="21" t="s">
        <v>373</v>
      </c>
      <c r="B36" s="16" t="s">
        <v>175</v>
      </c>
      <c r="C36" s="16" t="s">
        <v>372</v>
      </c>
      <c r="D36" s="22" t="s">
        <v>33</v>
      </c>
      <c r="E36" s="22" t="s">
        <v>85</v>
      </c>
      <c r="F36" s="157">
        <f t="shared" si="4"/>
        <v>2.1917152433611231E-4</v>
      </c>
      <c r="G36" s="96">
        <v>5.7786233853056701E-7</v>
      </c>
      <c r="H36" s="97">
        <v>1.1000000000000001E-6</v>
      </c>
      <c r="I36" s="98">
        <v>1.950247051206456E-4</v>
      </c>
      <c r="J36" s="98">
        <v>1.95024705120646E-5</v>
      </c>
      <c r="K36" s="98">
        <v>1.28393231579461E-6</v>
      </c>
      <c r="L36" s="98">
        <v>0</v>
      </c>
      <c r="M36" s="98">
        <v>9.7808043076939995E-8</v>
      </c>
      <c r="N36" s="98">
        <v>1.5847460060000001E-6</v>
      </c>
      <c r="O36" s="98"/>
      <c r="P36" s="98"/>
      <c r="Q36" s="13"/>
      <c r="R36" s="143">
        <f>'Parameters, country spec'!D21</f>
        <v>6.0962584419075097E-4</v>
      </c>
    </row>
    <row r="37" spans="1:18" x14ac:dyDescent="0.35">
      <c r="B37" s="17" t="s">
        <v>177</v>
      </c>
      <c r="C37" s="16" t="s">
        <v>374</v>
      </c>
      <c r="D37" s="22" t="s">
        <v>450</v>
      </c>
      <c r="E37" s="22"/>
      <c r="F37" s="120">
        <f>SUM(G37:P37)</f>
        <v>6.713768539130542E-4</v>
      </c>
      <c r="G37" s="32">
        <f>'Off-farm feed'!$F$77</f>
        <v>1.946970439026595E-4</v>
      </c>
      <c r="H37" s="32">
        <f>'Off-farm feed'!$G$77</f>
        <v>5.3103448275862083E-7</v>
      </c>
      <c r="I37" s="32">
        <f>'Off-farm feed'!$H$77</f>
        <v>4.2751561806777074E-4</v>
      </c>
      <c r="J37" s="32">
        <f>'Off-farm feed'!$I$77</f>
        <v>4.2751561806777089E-5</v>
      </c>
      <c r="K37" s="32">
        <f>'Off-farm feed'!$J$77</f>
        <v>6.6339607025480414E-7</v>
      </c>
      <c r="L37" s="32"/>
      <c r="M37" s="32">
        <f>'Off-farm feed'!$L$77</f>
        <v>7.9511067188965511E-9</v>
      </c>
      <c r="N37" s="32">
        <f>'Off-farm feed'!$M$77</f>
        <v>1.2789681892721844E-6</v>
      </c>
      <c r="O37" s="32"/>
      <c r="P37" s="32">
        <f>'Off-farm feed'!$O$77</f>
        <v>3.9312802868423825E-6</v>
      </c>
      <c r="Q37" s="32">
        <f>'Off-farm feed'!$P$77</f>
        <v>1.8277027027027027E-6</v>
      </c>
      <c r="R37" s="143">
        <f>'Parameters, country spec'!D22</f>
        <v>6.2756108199759894E-2</v>
      </c>
    </row>
    <row r="38" spans="1:18" x14ac:dyDescent="0.35">
      <c r="B38" s="17" t="s">
        <v>375</v>
      </c>
      <c r="C38" s="16" t="s">
        <v>374</v>
      </c>
      <c r="D38" s="22" t="s">
        <v>426</v>
      </c>
      <c r="E38" s="22"/>
      <c r="F38" s="120">
        <f>SUM(G38:P38)</f>
        <v>1.7957562860818722E-4</v>
      </c>
      <c r="G38" s="32">
        <f>'Off-farm feed'!$F$26</f>
        <v>1.6332109719061441E-5</v>
      </c>
      <c r="H38" s="32">
        <f>'Off-farm feed'!$G$26</f>
        <v>8.7195121951219526E-7</v>
      </c>
      <c r="I38" s="32">
        <f>'Off-farm feed'!$H$26</f>
        <v>1.3333449845358202E-4</v>
      </c>
      <c r="J38" s="32">
        <f>'Off-farm feed'!$I$26</f>
        <v>1.3333449845358203E-5</v>
      </c>
      <c r="K38" s="32">
        <f>'Off-farm feed'!$J$26</f>
        <v>1.1576736579983931E-6</v>
      </c>
      <c r="L38" s="32"/>
      <c r="M38" s="32">
        <f>'Off-farm feed'!$L$26</f>
        <v>7.3437786087804866E-9</v>
      </c>
      <c r="N38" s="32">
        <f>'Off-farm feed'!$M$26</f>
        <v>1.1195281639512197E-6</v>
      </c>
      <c r="O38" s="32"/>
      <c r="P38" s="32">
        <f>'Off-farm feed'!$O$26</f>
        <v>1.3419073770114991E-5</v>
      </c>
      <c r="Q38" s="32">
        <f>'Off-farm feed'!$P$26</f>
        <v>9.087837837837838E-6</v>
      </c>
      <c r="R38" s="143">
        <f>'Parameters, country spec'!D23</f>
        <v>6.029992977299907E-2</v>
      </c>
    </row>
    <row r="39" spans="1:18" x14ac:dyDescent="0.35">
      <c r="B39" s="16" t="s">
        <v>181</v>
      </c>
      <c r="C39" s="16" t="s">
        <v>376</v>
      </c>
      <c r="D39" s="22" t="s">
        <v>33</v>
      </c>
      <c r="E39" s="22" t="s">
        <v>85</v>
      </c>
      <c r="F39" s="157">
        <f>SUM(G39:Q39)</f>
        <v>8.7744608808351177E-5</v>
      </c>
      <c r="G39" s="98">
        <v>1.9731637212660302E-6</v>
      </c>
      <c r="H39" s="98">
        <v>9.9E-8</v>
      </c>
      <c r="I39" s="98">
        <v>5.5698825294024412E-5</v>
      </c>
      <c r="J39">
        <v>5.56988252940244E-6</v>
      </c>
      <c r="K39" s="98">
        <v>6.2518418994848798E-8</v>
      </c>
      <c r="L39">
        <v>0</v>
      </c>
      <c r="M39">
        <v>2.78345467728E-15</v>
      </c>
      <c r="N39" s="13">
        <v>1.4262714054E-7</v>
      </c>
      <c r="O39" s="13"/>
      <c r="P39" s="98">
        <v>2.3492890101997999E-5</v>
      </c>
      <c r="Q39" s="98">
        <v>7.0570159934197997E-7</v>
      </c>
      <c r="R39" s="143">
        <f>'Parameters, country spec'!D24</f>
        <v>1.202935742430772E-2</v>
      </c>
    </row>
    <row r="40" spans="1:18" x14ac:dyDescent="0.35">
      <c r="A40" s="80"/>
      <c r="B40" s="16" t="s">
        <v>377</v>
      </c>
      <c r="C40" s="81" t="s">
        <v>378</v>
      </c>
      <c r="D40" s="22" t="s">
        <v>33</v>
      </c>
      <c r="E40" s="22" t="s">
        <v>85</v>
      </c>
      <c r="F40" s="158">
        <f>SUM(G40:Q40)</f>
        <v>4.6886027723497465E-4</v>
      </c>
      <c r="G40" s="79">
        <f>AVERAGE(G30:G38)</f>
        <v>3.3379219336282216E-5</v>
      </c>
      <c r="H40" s="79">
        <f>AVERAGE(H30:H38)</f>
        <v>1.0114428558078684E-6</v>
      </c>
      <c r="I40" s="79">
        <f>AVERAGE(I30:I38)</f>
        <v>3.9269404006643879E-4</v>
      </c>
      <c r="J40" s="79">
        <f>AVERAGE(J30:J38)</f>
        <v>3.9269404006643887E-5</v>
      </c>
      <c r="K40" s="79">
        <f>AVERAGE(K30:K38)</f>
        <v>9.7413332415619954E-7</v>
      </c>
      <c r="L40" s="79"/>
      <c r="M40" s="79">
        <f>AVERAGE(M30:M38)</f>
        <v>3.2957823954220112E-8</v>
      </c>
      <c r="N40" s="79">
        <f>AVERAGE(N30:N38)</f>
        <v>1.4990798216914893E-6</v>
      </c>
      <c r="O40" s="79"/>
      <c r="P40" s="79"/>
      <c r="Q40" s="79"/>
      <c r="R40" s="143">
        <f>'Parameters, country spec'!D25</f>
        <v>3.491384985363475E-3</v>
      </c>
    </row>
    <row r="41" spans="1:18" x14ac:dyDescent="0.35">
      <c r="A41" s="142"/>
      <c r="B41" s="24" t="s">
        <v>379</v>
      </c>
      <c r="C41" s="25"/>
      <c r="D41" s="99"/>
      <c r="E41" s="99"/>
      <c r="F41" s="45">
        <f t="shared" ref="F41:O41" si="5">SUMPRODUCT(F30:F40,$R$30:$R$40)</f>
        <v>5.8758693607040529E-4</v>
      </c>
      <c r="G41" s="45">
        <f t="shared" si="5"/>
        <v>2.9591509614645871E-5</v>
      </c>
      <c r="H41" s="45">
        <f t="shared" si="5"/>
        <v>1.0381920391245239E-6</v>
      </c>
      <c r="I41" s="45">
        <f t="shared" si="5"/>
        <v>5.0309425152569398E-4</v>
      </c>
      <c r="J41" s="45">
        <f t="shared" si="5"/>
        <v>5.0309425152569382E-5</v>
      </c>
      <c r="K41" s="45">
        <f t="shared" si="5"/>
        <v>6.8035004123340132E-7</v>
      </c>
      <c r="L41" s="45">
        <f t="shared" si="5"/>
        <v>0</v>
      </c>
      <c r="M41" s="45">
        <f t="shared" si="5"/>
        <v>6.3760112633067087E-9</v>
      </c>
      <c r="N41" s="45">
        <f t="shared" si="5"/>
        <v>1.5198571201330521E-6</v>
      </c>
      <c r="O41" s="45">
        <f t="shared" si="5"/>
        <v>0</v>
      </c>
      <c r="P41" s="45">
        <f>SUMPRODUCT(P30:P40,R30:R40)</f>
        <v>1.3384854289682064E-6</v>
      </c>
      <c r="Q41" s="45">
        <f>SUMPRODUCT(Q30:Q40,$R$30:$R$40)</f>
        <v>6.7118462875122003E-7</v>
      </c>
      <c r="R41" s="144"/>
    </row>
    <row r="42" spans="1:18" x14ac:dyDescent="0.35">
      <c r="A42" s="21" t="s">
        <v>365</v>
      </c>
      <c r="B42" s="16" t="s">
        <v>168</v>
      </c>
      <c r="C42" s="16" t="s">
        <v>366</v>
      </c>
      <c r="D42" s="22" t="s">
        <v>31</v>
      </c>
      <c r="E42" s="22" t="s">
        <v>86</v>
      </c>
      <c r="F42" s="271">
        <f t="shared" ref="F42:F48" si="6">SUM(G42:Q42)</f>
        <v>8.0424114716977791E-4</v>
      </c>
      <c r="G42" s="272">
        <v>1.05371357003096E-5</v>
      </c>
      <c r="H42" s="273">
        <v>1.1000000000000001E-6</v>
      </c>
      <c r="I42" s="276">
        <v>7.1743610463472103E-4</v>
      </c>
      <c r="J42" s="276">
        <v>7.1743610463472098E-5</v>
      </c>
      <c r="K42" s="276">
        <v>1.8142750866751799E-6</v>
      </c>
      <c r="L42" s="276">
        <v>0</v>
      </c>
      <c r="M42" s="276">
        <v>0</v>
      </c>
      <c r="N42" s="276">
        <v>1.6100212846E-6</v>
      </c>
      <c r="O42" s="276"/>
      <c r="P42" s="276"/>
      <c r="Q42" s="275"/>
      <c r="R42" s="143">
        <f>'Parameters, country spec'!E15</f>
        <v>0.17624165446480369</v>
      </c>
    </row>
    <row r="43" spans="1:18" x14ac:dyDescent="0.35">
      <c r="A43" s="21" t="s">
        <v>367</v>
      </c>
      <c r="B43" s="16" t="s">
        <v>170</v>
      </c>
      <c r="C43" s="16" t="s">
        <v>366</v>
      </c>
      <c r="D43" s="22" t="s">
        <v>31</v>
      </c>
      <c r="E43" s="22" t="s">
        <v>86</v>
      </c>
      <c r="F43" s="157">
        <f t="shared" si="6"/>
        <v>3.4886143898670517E-4</v>
      </c>
      <c r="G43" s="96">
        <v>4.0207208294968496E-6</v>
      </c>
      <c r="H43" s="97">
        <v>1.1000000000000001E-6</v>
      </c>
      <c r="I43" s="98">
        <v>3.1019526728381599E-4</v>
      </c>
      <c r="J43" s="98">
        <v>3.1019526728381603E-5</v>
      </c>
      <c r="K43" s="98">
        <v>4.1083460314251599E-7</v>
      </c>
      <c r="L43" s="98">
        <v>0</v>
      </c>
      <c r="M43" s="98">
        <v>5.0506825726825797E-7</v>
      </c>
      <c r="N43" s="98">
        <v>1.6100212846E-6</v>
      </c>
      <c r="O43" s="98"/>
      <c r="P43" s="98"/>
      <c r="Q43" s="13"/>
      <c r="R43" s="143">
        <f>'Parameters, country spec'!E16</f>
        <v>0.52712316765456624</v>
      </c>
    </row>
    <row r="44" spans="1:18" x14ac:dyDescent="0.35">
      <c r="A44" s="21" t="s">
        <v>368</v>
      </c>
      <c r="B44" s="16" t="s">
        <v>171</v>
      </c>
      <c r="C44" s="16" t="s">
        <v>366</v>
      </c>
      <c r="D44" s="22" t="s">
        <v>31</v>
      </c>
      <c r="E44" s="22" t="s">
        <v>86</v>
      </c>
      <c r="F44" s="157">
        <f t="shared" si="6"/>
        <v>1.2830889552105768E-3</v>
      </c>
      <c r="G44" s="96">
        <v>1.9584863602335901E-5</v>
      </c>
      <c r="H44" s="97">
        <v>1.1000000000000001E-6</v>
      </c>
      <c r="I44" s="98">
        <v>1.1423031173943749E-3</v>
      </c>
      <c r="J44" s="98">
        <v>1.1423031173943699E-4</v>
      </c>
      <c r="K44" s="98">
        <v>4.2541313021400102E-6</v>
      </c>
      <c r="L44" s="98">
        <v>0</v>
      </c>
      <c r="M44" s="98">
        <v>6.5098876890479201E-9</v>
      </c>
      <c r="N44" s="98">
        <v>1.6100212846E-6</v>
      </c>
      <c r="O44" s="98"/>
      <c r="P44" s="98"/>
      <c r="Q44" s="13"/>
      <c r="R44" s="143">
        <f>'Parameters, country spec'!E17</f>
        <v>4.7896893432639032E-2</v>
      </c>
    </row>
    <row r="45" spans="1:18" x14ac:dyDescent="0.35">
      <c r="A45" s="21" t="s">
        <v>369</v>
      </c>
      <c r="B45" s="16" t="s">
        <v>172</v>
      </c>
      <c r="C45" s="16" t="s">
        <v>366</v>
      </c>
      <c r="D45" s="22" t="s">
        <v>31</v>
      </c>
      <c r="E45" s="22" t="s">
        <v>86</v>
      </c>
      <c r="F45" s="157">
        <f t="shared" si="6"/>
        <v>1.0682165552884225E-3</v>
      </c>
      <c r="G45" s="96">
        <v>1.58250003955344E-5</v>
      </c>
      <c r="H45" s="97">
        <v>1.1000000000000001E-6</v>
      </c>
      <c r="I45" s="98">
        <v>9.5176891161277493E-4</v>
      </c>
      <c r="J45" s="98">
        <v>9.5176891161277501E-5</v>
      </c>
      <c r="K45" s="98">
        <v>2.6959452694810602E-6</v>
      </c>
      <c r="L45" s="98">
        <v>0</v>
      </c>
      <c r="M45" s="98">
        <v>3.9785564754896802E-8</v>
      </c>
      <c r="N45" s="98">
        <v>1.6100212846E-6</v>
      </c>
      <c r="O45" s="98"/>
      <c r="P45" s="98"/>
      <c r="Q45" s="13"/>
      <c r="R45" s="143">
        <f>'Parameters, country spec'!E18</f>
        <v>1.056436574017274E-2</v>
      </c>
    </row>
    <row r="46" spans="1:18" x14ac:dyDescent="0.35">
      <c r="A46" s="21" t="s">
        <v>370</v>
      </c>
      <c r="B46" s="16" t="s">
        <v>173</v>
      </c>
      <c r="C46" s="16" t="s">
        <v>366</v>
      </c>
      <c r="D46" s="22" t="s">
        <v>31</v>
      </c>
      <c r="E46" s="22" t="s">
        <v>86</v>
      </c>
      <c r="F46" s="157">
        <f t="shared" si="6"/>
        <v>1.0928562458315128E-3</v>
      </c>
      <c r="G46" s="96">
        <v>1.63548553132347E-5</v>
      </c>
      <c r="H46" s="97">
        <v>1.1000000000000001E-6</v>
      </c>
      <c r="I46" s="98">
        <v>9.7457378580730199E-4</v>
      </c>
      <c r="J46" s="98">
        <v>9.7457378580730199E-5</v>
      </c>
      <c r="K46" s="98">
        <v>1.7300700704720199E-6</v>
      </c>
      <c r="L46" s="98">
        <v>0</v>
      </c>
      <c r="M46" s="98">
        <v>3.01347751738259E-8</v>
      </c>
      <c r="N46" s="98">
        <v>1.6100212846E-6</v>
      </c>
      <c r="O46" s="98"/>
      <c r="P46" s="98"/>
      <c r="Q46" s="13"/>
      <c r="R46" s="143">
        <f>'Parameters, country spec'!E19</f>
        <v>7.5759890638728566E-3</v>
      </c>
    </row>
    <row r="47" spans="1:18" x14ac:dyDescent="0.35">
      <c r="A47" s="21" t="s">
        <v>371</v>
      </c>
      <c r="B47" s="16" t="s">
        <v>174</v>
      </c>
      <c r="C47" s="16" t="s">
        <v>372</v>
      </c>
      <c r="D47" s="22" t="s">
        <v>31</v>
      </c>
      <c r="E47" s="22" t="s">
        <v>86</v>
      </c>
      <c r="F47" s="157">
        <f t="shared" si="6"/>
        <v>3.4617528017266859E-4</v>
      </c>
      <c r="G47" s="96">
        <v>0</v>
      </c>
      <c r="H47" s="97">
        <v>1.1000000000000001E-6</v>
      </c>
      <c r="I47" s="98">
        <v>3.0762159999999999E-4</v>
      </c>
      <c r="J47" s="98">
        <v>3.0762159999999999E-5</v>
      </c>
      <c r="K47" s="98">
        <v>2.9629318429048401E-6</v>
      </c>
      <c r="L47" s="98">
        <v>0</v>
      </c>
      <c r="M47" s="98">
        <v>2.11856704516376E-6</v>
      </c>
      <c r="N47" s="98">
        <v>1.6100212846E-6</v>
      </c>
      <c r="O47" s="98"/>
      <c r="P47" s="98"/>
      <c r="Q47" s="13"/>
      <c r="R47" s="143">
        <f>'Parameters, country spec'!E20</f>
        <v>5.2541698729789991E-4</v>
      </c>
    </row>
    <row r="48" spans="1:18" x14ac:dyDescent="0.35">
      <c r="A48" s="21" t="s">
        <v>373</v>
      </c>
      <c r="B48" s="16" t="s">
        <v>175</v>
      </c>
      <c r="C48" s="16" t="s">
        <v>372</v>
      </c>
      <c r="D48" s="22" t="s">
        <v>31</v>
      </c>
      <c r="E48" s="22" t="s">
        <v>86</v>
      </c>
      <c r="F48" s="157">
        <f t="shared" si="6"/>
        <v>3.5115298621492871E-4</v>
      </c>
      <c r="G48" s="96">
        <v>2.26624667947615E-7</v>
      </c>
      <c r="H48" s="97">
        <v>1.1000000000000001E-6</v>
      </c>
      <c r="I48" s="98">
        <v>3.1348452422699368E-4</v>
      </c>
      <c r="J48" s="98">
        <v>3.13484524226994E-5</v>
      </c>
      <c r="K48" s="98">
        <v>1.68111352317712E-6</v>
      </c>
      <c r="L48" s="98">
        <v>0</v>
      </c>
      <c r="M48" s="98">
        <v>1.70225008951088E-6</v>
      </c>
      <c r="N48" s="98">
        <v>1.6100212846E-6</v>
      </c>
      <c r="O48" s="98"/>
      <c r="P48" s="98"/>
      <c r="Q48" s="13"/>
      <c r="R48" s="143">
        <f>'Parameters, country spec'!E21</f>
        <v>5.1613262720405463E-4</v>
      </c>
    </row>
    <row r="49" spans="1:18" x14ac:dyDescent="0.35">
      <c r="B49" s="17" t="s">
        <v>177</v>
      </c>
      <c r="C49" s="16" t="s">
        <v>374</v>
      </c>
      <c r="D49" s="22" t="s">
        <v>450</v>
      </c>
      <c r="E49" s="22"/>
      <c r="F49" s="120">
        <f>SUM(G49:P49)</f>
        <v>6.713768539130542E-4</v>
      </c>
      <c r="G49" s="32">
        <f>'Off-farm feed'!$F$77</f>
        <v>1.946970439026595E-4</v>
      </c>
      <c r="H49" s="32">
        <f>'Off-farm feed'!$G$77</f>
        <v>5.3103448275862083E-7</v>
      </c>
      <c r="I49" s="32">
        <f>'Off-farm feed'!$H$77</f>
        <v>4.2751561806777074E-4</v>
      </c>
      <c r="J49" s="32">
        <f>'Off-farm feed'!$I$77</f>
        <v>4.2751561806777089E-5</v>
      </c>
      <c r="K49" s="32">
        <f>'Off-farm feed'!$J$77</f>
        <v>6.6339607025480414E-7</v>
      </c>
      <c r="L49" s="32"/>
      <c r="M49" s="32">
        <f>'Off-farm feed'!$L$77</f>
        <v>7.9511067188965511E-9</v>
      </c>
      <c r="N49" s="32">
        <f>'Off-farm feed'!$M$77</f>
        <v>1.2789681892721844E-6</v>
      </c>
      <c r="O49" s="32"/>
      <c r="P49" s="32">
        <f>'Off-farm feed'!$O$77</f>
        <v>3.9312802868423825E-6</v>
      </c>
      <c r="Q49" s="32">
        <f>'Off-farm feed'!$P$77</f>
        <v>1.8277027027027027E-6</v>
      </c>
      <c r="R49" s="143">
        <f>'Parameters, country spec'!E22</f>
        <v>5.7339277577128883E-4</v>
      </c>
    </row>
    <row r="50" spans="1:18" x14ac:dyDescent="0.35">
      <c r="B50" s="17" t="s">
        <v>375</v>
      </c>
      <c r="C50" s="16" t="s">
        <v>374</v>
      </c>
      <c r="D50" s="22" t="s">
        <v>426</v>
      </c>
      <c r="E50" s="22"/>
      <c r="F50" s="120">
        <f>SUM(G50:P50)</f>
        <v>1.7957562860818722E-4</v>
      </c>
      <c r="G50" s="32">
        <f>'Off-farm feed'!$F$26</f>
        <v>1.6332109719061441E-5</v>
      </c>
      <c r="H50" s="32">
        <f>'Off-farm feed'!$G$26</f>
        <v>8.7195121951219526E-7</v>
      </c>
      <c r="I50" s="32">
        <f>'Off-farm feed'!$H$26</f>
        <v>1.3333449845358202E-4</v>
      </c>
      <c r="J50" s="32">
        <f>'Off-farm feed'!$I$26</f>
        <v>1.3333449845358203E-5</v>
      </c>
      <c r="K50" s="32">
        <f>'Off-farm feed'!$J$26</f>
        <v>1.1576736579983931E-6</v>
      </c>
      <c r="L50" s="32"/>
      <c r="M50" s="32">
        <f>'Off-farm feed'!$L$26</f>
        <v>7.3437786087804866E-9</v>
      </c>
      <c r="N50" s="32">
        <f>'Off-farm feed'!$M$26</f>
        <v>1.1195281639512197E-6</v>
      </c>
      <c r="O50" s="32"/>
      <c r="P50" s="32">
        <f>'Off-farm feed'!$O$26</f>
        <v>1.3419073770114991E-5</v>
      </c>
      <c r="Q50" s="32">
        <f>'Off-farm feed'!$P$26</f>
        <v>9.087837837837838E-6</v>
      </c>
      <c r="R50" s="143">
        <f>'Parameters, country spec'!E23</f>
        <v>0.1010354992810391</v>
      </c>
    </row>
    <row r="51" spans="1:18" x14ac:dyDescent="0.35">
      <c r="B51" s="16" t="s">
        <v>181</v>
      </c>
      <c r="C51" s="16" t="s">
        <v>376</v>
      </c>
      <c r="D51" s="22" t="s">
        <v>31</v>
      </c>
      <c r="E51" s="22" t="s">
        <v>86</v>
      </c>
      <c r="F51" s="157">
        <f>SUM(G51:Q51)</f>
        <v>1.2541804183091736E-4</v>
      </c>
      <c r="G51" s="98">
        <v>1.47193697819112E-6</v>
      </c>
      <c r="H51" s="98">
        <v>9.9E-8</v>
      </c>
      <c r="I51" s="98">
        <v>8.7711640722657209E-5</v>
      </c>
      <c r="J51">
        <v>8.7711640722657203E-6</v>
      </c>
      <c r="K51" s="98">
        <v>1.55706306342482E-7</v>
      </c>
      <c r="L51">
        <v>0</v>
      </c>
      <c r="M51">
        <v>2.7121297656443401E-9</v>
      </c>
      <c r="N51" s="13">
        <v>1.4490191561399999E-7</v>
      </c>
      <c r="O51" s="13"/>
      <c r="P51" s="98">
        <v>2.4913162191712101E-5</v>
      </c>
      <c r="Q51" s="98">
        <v>2.14781751436908E-6</v>
      </c>
      <c r="R51" s="143">
        <f>'Parameters, country spec'!E24</f>
        <v>6.3687941219233005E-2</v>
      </c>
    </row>
    <row r="52" spans="1:18" x14ac:dyDescent="0.35">
      <c r="A52" s="80"/>
      <c r="B52" s="16" t="s">
        <v>377</v>
      </c>
      <c r="C52" s="81" t="s">
        <v>378</v>
      </c>
      <c r="D52" s="22" t="s">
        <v>31</v>
      </c>
      <c r="E52" s="22" t="s">
        <v>86</v>
      </c>
      <c r="F52" s="158">
        <f>SUM(G52:Q52)</f>
        <v>6.8091052637098636E-4</v>
      </c>
      <c r="G52" s="79">
        <f>AVERAGE(G42:G50)</f>
        <v>3.0842039347842225E-5</v>
      </c>
      <c r="H52" s="79">
        <f>AVERAGE(H42:H50)</f>
        <v>1.0114428558078684E-6</v>
      </c>
      <c r="I52" s="79">
        <f>AVERAGE(I42:I50)</f>
        <v>5.864703808312595E-4</v>
      </c>
      <c r="J52" s="79">
        <f>AVERAGE(J42:J50)</f>
        <v>5.8647038083125889E-5</v>
      </c>
      <c r="K52" s="79">
        <f>AVERAGE(K42:K50)</f>
        <v>1.9300412695828826E-6</v>
      </c>
      <c r="L52" s="79"/>
      <c r="M52" s="79">
        <f>AVERAGE(M42:M50)</f>
        <v>4.9084561165426052E-7</v>
      </c>
      <c r="N52" s="79">
        <f>AVERAGE(N42:N50)</f>
        <v>1.5187383717137114E-6</v>
      </c>
      <c r="O52" s="79"/>
      <c r="P52" s="79"/>
      <c r="Q52" s="79"/>
      <c r="R52" s="143">
        <f>'Parameters, country spec'!E25</f>
        <v>6.4259546753399996E-2</v>
      </c>
    </row>
    <row r="53" spans="1:18" x14ac:dyDescent="0.35">
      <c r="A53" s="142"/>
      <c r="B53" s="24" t="s">
        <v>379</v>
      </c>
      <c r="C53" s="25"/>
      <c r="D53" s="99"/>
      <c r="E53" s="99"/>
      <c r="F53" s="45">
        <f t="shared" ref="F53:O53" si="7">SUMPRODUCT(F42:F52,$R$42:$R$52)</f>
        <v>4.7728843195524851E-4</v>
      </c>
      <c r="G53" s="45">
        <f t="shared" si="7"/>
        <v>9.0431545626962054E-6</v>
      </c>
      <c r="H53" s="45">
        <f t="shared" si="7"/>
        <v>1.0071904657777191E-6</v>
      </c>
      <c r="I53" s="45">
        <f t="shared" si="7"/>
        <v>4.1941677971298237E-4</v>
      </c>
      <c r="J53" s="45">
        <f t="shared" si="7"/>
        <v>4.1941677971298206E-5</v>
      </c>
      <c r="K53" s="45">
        <f t="shared" si="7"/>
        <v>1.0353700638243729E-6</v>
      </c>
      <c r="L53" s="45">
        <f t="shared" si="7"/>
        <v>0</v>
      </c>
      <c r="M53" s="45">
        <f t="shared" si="7"/>
        <v>3.016460988968327E-7</v>
      </c>
      <c r="N53" s="45">
        <f t="shared" si="7"/>
        <v>1.4610980089485344E-6</v>
      </c>
      <c r="O53" s="45">
        <f t="shared" si="7"/>
        <v>0</v>
      </c>
      <c r="P53" s="45">
        <f>SUMPRODUCT(P42:P52,R42:R52)</f>
        <v>2.9447249952196497E-6</v>
      </c>
      <c r="Q53" s="45">
        <f>SUMPRODUCT(Q42:Q52,$R$42:$R$52)</f>
        <v>1.0560323004618292E-6</v>
      </c>
      <c r="R53" s="144"/>
    </row>
    <row r="54" spans="1:18" x14ac:dyDescent="0.35">
      <c r="A54" s="21" t="s">
        <v>365</v>
      </c>
      <c r="B54" s="16" t="s">
        <v>168</v>
      </c>
      <c r="C54" s="16" t="s">
        <v>366</v>
      </c>
      <c r="D54" s="22" t="s">
        <v>35</v>
      </c>
      <c r="E54" s="22" t="s">
        <v>87</v>
      </c>
      <c r="F54" s="271">
        <f t="shared" ref="F54:F60" si="8">SUM(G54:Q54)</f>
        <v>6.2529149780172143E-4</v>
      </c>
      <c r="G54" s="272">
        <v>2.0840455424550699E-5</v>
      </c>
      <c r="H54" s="273">
        <v>1.1000000000000001E-6</v>
      </c>
      <c r="I54" s="276">
        <v>5.46310338305571E-4</v>
      </c>
      <c r="J54" s="276">
        <v>5.4631033830557102E-5</v>
      </c>
      <c r="K54" s="276">
        <v>9.3378076224258701E-7</v>
      </c>
      <c r="L54" s="276">
        <v>0</v>
      </c>
      <c r="M54" s="276">
        <v>0</v>
      </c>
      <c r="N54" s="276">
        <v>1.4758894788E-6</v>
      </c>
      <c r="O54" s="276"/>
      <c r="P54" s="276"/>
      <c r="Q54" s="275"/>
      <c r="R54" s="143">
        <f>'Parameters, country spec'!F15</f>
        <v>9.4621646910172968E-2</v>
      </c>
    </row>
    <row r="55" spans="1:18" x14ac:dyDescent="0.35">
      <c r="A55" s="21" t="s">
        <v>367</v>
      </c>
      <c r="B55" s="16" t="s">
        <v>170</v>
      </c>
      <c r="C55" s="16" t="s">
        <v>366</v>
      </c>
      <c r="D55" s="22" t="s">
        <v>35</v>
      </c>
      <c r="E55" s="22" t="s">
        <v>87</v>
      </c>
      <c r="F55" s="157">
        <f t="shared" si="8"/>
        <v>6.7121811720300198E-4</v>
      </c>
      <c r="G55" s="96">
        <v>2.5234639471025001E-5</v>
      </c>
      <c r="H55" s="97">
        <v>1.1000000000000001E-6</v>
      </c>
      <c r="I55" s="98">
        <v>5.8430276339029345E-4</v>
      </c>
      <c r="J55" s="98">
        <v>5.8430276339029297E-5</v>
      </c>
      <c r="K55" s="98">
        <v>6.7099201689440703E-7</v>
      </c>
      <c r="L55" s="98">
        <v>0</v>
      </c>
      <c r="M55" s="98">
        <v>3.5565069597836901E-9</v>
      </c>
      <c r="N55" s="98">
        <v>1.4758894788E-6</v>
      </c>
      <c r="O55" s="98"/>
      <c r="P55" s="98"/>
      <c r="Q55" s="13"/>
      <c r="R55" s="143">
        <f>'Parameters, country spec'!F16</f>
        <v>0.56124001601073992</v>
      </c>
    </row>
    <row r="56" spans="1:18" x14ac:dyDescent="0.35">
      <c r="A56" s="21" t="s">
        <v>368</v>
      </c>
      <c r="B56" s="16" t="s">
        <v>171</v>
      </c>
      <c r="C56" s="16" t="s">
        <v>366</v>
      </c>
      <c r="D56" s="22" t="s">
        <v>35</v>
      </c>
      <c r="E56" s="22" t="s">
        <v>87</v>
      </c>
      <c r="F56" s="157">
        <f t="shared" si="8"/>
        <v>8.4989071317922169E-4</v>
      </c>
      <c r="G56" s="96">
        <v>3.0917889724284498E-5</v>
      </c>
      <c r="H56" s="97">
        <v>1.1000000000000001E-6</v>
      </c>
      <c r="I56" s="98">
        <v>7.4059024764441502E-4</v>
      </c>
      <c r="J56" s="98">
        <v>7.40590247644416E-5</v>
      </c>
      <c r="K56" s="98">
        <v>1.7476615672806699E-6</v>
      </c>
      <c r="L56" s="98">
        <v>0</v>
      </c>
      <c r="M56" s="98">
        <v>0</v>
      </c>
      <c r="N56" s="98">
        <v>1.4758894788E-6</v>
      </c>
      <c r="O56" s="98"/>
      <c r="P56" s="98"/>
      <c r="Q56" s="13"/>
      <c r="R56" s="143">
        <f>'Parameters, country spec'!F17</f>
        <v>5.0680010317105902E-2</v>
      </c>
    </row>
    <row r="57" spans="1:18" x14ac:dyDescent="0.35">
      <c r="A57" s="21" t="s">
        <v>369</v>
      </c>
      <c r="B57" s="16" t="s">
        <v>172</v>
      </c>
      <c r="C57" s="16" t="s">
        <v>366</v>
      </c>
      <c r="D57" s="22" t="s">
        <v>35</v>
      </c>
      <c r="E57" s="22" t="s">
        <v>87</v>
      </c>
      <c r="F57" s="157">
        <f t="shared" si="8"/>
        <v>9.8766602869040801E-4</v>
      </c>
      <c r="G57" s="96">
        <v>3.6934244569794703E-5</v>
      </c>
      <c r="H57" s="97">
        <v>1.1000000000000001E-6</v>
      </c>
      <c r="I57" s="98">
        <v>8.6047136243440109E-4</v>
      </c>
      <c r="J57" s="98">
        <v>8.6047136243440098E-5</v>
      </c>
      <c r="K57" s="98">
        <v>1.63739596397218E-6</v>
      </c>
      <c r="L57" s="98">
        <v>0</v>
      </c>
      <c r="M57" s="98">
        <v>0</v>
      </c>
      <c r="N57" s="98">
        <v>1.4758894788E-6</v>
      </c>
      <c r="O57" s="98"/>
      <c r="P57" s="98"/>
      <c r="Q57" s="13"/>
      <c r="R57" s="143">
        <f>'Parameters, country spec'!F18</f>
        <v>1.9697569305132029E-2</v>
      </c>
    </row>
    <row r="58" spans="1:18" x14ac:dyDescent="0.35">
      <c r="A58" s="21" t="s">
        <v>370</v>
      </c>
      <c r="B58" s="16" t="s">
        <v>173</v>
      </c>
      <c r="C58" s="16" t="s">
        <v>366</v>
      </c>
      <c r="D58" s="22" t="s">
        <v>35</v>
      </c>
      <c r="E58" s="22" t="s">
        <v>87</v>
      </c>
      <c r="F58" s="157">
        <f t="shared" si="8"/>
        <v>9.2821826558983265E-4</v>
      </c>
      <c r="G58" s="96">
        <v>3.45284431496848E-5</v>
      </c>
      <c r="H58" s="97">
        <v>1.1000000000000001E-6</v>
      </c>
      <c r="I58" s="98">
        <v>8.0923948646907402E-4</v>
      </c>
      <c r="J58" s="98">
        <v>8.0923948646907404E-5</v>
      </c>
      <c r="K58" s="98">
        <v>9.5049784536643499E-7</v>
      </c>
      <c r="L58" s="98">
        <v>0</v>
      </c>
      <c r="M58" s="98">
        <v>0</v>
      </c>
      <c r="N58" s="98">
        <v>1.4758894788E-6</v>
      </c>
      <c r="O58" s="98"/>
      <c r="P58" s="98"/>
      <c r="Q58" s="13"/>
      <c r="R58" s="143">
        <f>'Parameters, country spec'!F19</f>
        <v>8.8612672319940383E-2</v>
      </c>
    </row>
    <row r="59" spans="1:18" x14ac:dyDescent="0.35">
      <c r="A59" s="21" t="s">
        <v>371</v>
      </c>
      <c r="B59" s="16" t="s">
        <v>174</v>
      </c>
      <c r="C59" s="16" t="s">
        <v>372</v>
      </c>
      <c r="D59" s="22" t="s">
        <v>35</v>
      </c>
      <c r="E59" s="22" t="s">
        <v>87</v>
      </c>
      <c r="F59" s="157">
        <f t="shared" si="8"/>
        <v>2.0874575176417238E-4</v>
      </c>
      <c r="G59" s="96">
        <v>0</v>
      </c>
      <c r="H59" s="97">
        <v>1.1000000000000001E-6</v>
      </c>
      <c r="I59" s="98">
        <v>1.8457295999999999E-4</v>
      </c>
      <c r="J59" s="98">
        <v>1.8457295999999999E-5</v>
      </c>
      <c r="K59" s="98">
        <v>2.0386135462280298E-6</v>
      </c>
      <c r="L59" s="98">
        <v>0</v>
      </c>
      <c r="M59" s="98">
        <v>1.10099273914435E-6</v>
      </c>
      <c r="N59" s="98">
        <v>1.4758894788E-6</v>
      </c>
      <c r="O59" s="98"/>
      <c r="P59" s="98"/>
      <c r="Q59" s="13"/>
      <c r="R59" s="143">
        <f>'Parameters, country spec'!F20</f>
        <v>9.055122364146367E-4</v>
      </c>
    </row>
    <row r="60" spans="1:18" x14ac:dyDescent="0.35">
      <c r="A60" s="21" t="s">
        <v>373</v>
      </c>
      <c r="B60" s="16" t="s">
        <v>175</v>
      </c>
      <c r="C60" s="16" t="s">
        <v>372</v>
      </c>
      <c r="D60" s="22" t="s">
        <v>35</v>
      </c>
      <c r="E60" s="22" t="s">
        <v>87</v>
      </c>
      <c r="F60" s="157">
        <f t="shared" si="8"/>
        <v>2.4593199333482814E-4</v>
      </c>
      <c r="G60" s="96">
        <v>1.6660580890879601E-6</v>
      </c>
      <c r="H60" s="97">
        <v>1.1000000000000001E-6</v>
      </c>
      <c r="I60" s="98">
        <v>2.155261909452459E-4</v>
      </c>
      <c r="J60" s="98">
        <v>2.1552619094524601E-5</v>
      </c>
      <c r="K60" s="98">
        <v>3.2161563517915298E-6</v>
      </c>
      <c r="L60" s="98">
        <v>0</v>
      </c>
      <c r="M60" s="98">
        <v>1.3950793753781901E-6</v>
      </c>
      <c r="N60" s="98">
        <v>1.4758894788E-6</v>
      </c>
      <c r="O60" s="98"/>
      <c r="P60" s="98"/>
      <c r="Q60" s="13"/>
      <c r="R60" s="143">
        <f>'Parameters, country spec'!F21</f>
        <v>8.8951141806825748E-4</v>
      </c>
    </row>
    <row r="61" spans="1:18" x14ac:dyDescent="0.35">
      <c r="B61" s="17" t="s">
        <v>177</v>
      </c>
      <c r="C61" s="16" t="s">
        <v>374</v>
      </c>
      <c r="D61" s="22" t="s">
        <v>450</v>
      </c>
      <c r="E61" s="22"/>
      <c r="F61" s="120">
        <f>SUM(G61:P61)</f>
        <v>6.713768539130542E-4</v>
      </c>
      <c r="G61" s="32">
        <f>'Off-farm feed'!$F$77</f>
        <v>1.946970439026595E-4</v>
      </c>
      <c r="H61" s="32">
        <f>'Off-farm feed'!$G$77</f>
        <v>5.3103448275862083E-7</v>
      </c>
      <c r="I61" s="32">
        <f>'Off-farm feed'!$H$77</f>
        <v>4.2751561806777074E-4</v>
      </c>
      <c r="J61" s="32">
        <f>'Off-farm feed'!$I$77</f>
        <v>4.2751561806777089E-5</v>
      </c>
      <c r="K61" s="32">
        <f>'Off-farm feed'!$J$77</f>
        <v>6.6339607025480414E-7</v>
      </c>
      <c r="L61" s="32"/>
      <c r="M61" s="32">
        <f>'Off-farm feed'!$L$77</f>
        <v>7.9511067188965511E-9</v>
      </c>
      <c r="N61" s="32">
        <f>'Off-farm feed'!$M$77</f>
        <v>1.2789681892721844E-6</v>
      </c>
      <c r="O61" s="32"/>
      <c r="P61" s="32">
        <f>'Off-farm feed'!$O$77</f>
        <v>3.9312802868423825E-6</v>
      </c>
      <c r="Q61" s="32">
        <f>'Off-farm feed'!$P$77</f>
        <v>1.8277027027027027E-6</v>
      </c>
      <c r="R61" s="143">
        <f>'Parameters, country spec'!F22</f>
        <v>3.9081132627509529E-4</v>
      </c>
    </row>
    <row r="62" spans="1:18" x14ac:dyDescent="0.35">
      <c r="B62" s="17" t="s">
        <v>375</v>
      </c>
      <c r="C62" s="16" t="s">
        <v>374</v>
      </c>
      <c r="D62" s="22" t="s">
        <v>426</v>
      </c>
      <c r="E62" s="22"/>
      <c r="F62" s="120">
        <f>SUM(G62:P62)</f>
        <v>1.7957562860818722E-4</v>
      </c>
      <c r="G62" s="32">
        <f>'Off-farm feed'!$F$26</f>
        <v>1.6332109719061441E-5</v>
      </c>
      <c r="H62" s="32">
        <f>'Off-farm feed'!$G$26</f>
        <v>8.7195121951219526E-7</v>
      </c>
      <c r="I62" s="32">
        <f>'Off-farm feed'!$H$26</f>
        <v>1.3333449845358202E-4</v>
      </c>
      <c r="J62" s="32">
        <f>'Off-farm feed'!$I$26</f>
        <v>1.3333449845358203E-5</v>
      </c>
      <c r="K62" s="32">
        <f>'Off-farm feed'!$J$26</f>
        <v>1.1576736579983931E-6</v>
      </c>
      <c r="L62" s="32"/>
      <c r="M62" s="32">
        <f>'Off-farm feed'!$L$26</f>
        <v>7.3437786087804866E-9</v>
      </c>
      <c r="N62" s="32">
        <f>'Off-farm feed'!$M$26</f>
        <v>1.1195281639512197E-6</v>
      </c>
      <c r="O62" s="32"/>
      <c r="P62" s="32">
        <f>'Off-farm feed'!$O$26</f>
        <v>1.3419073770114991E-5</v>
      </c>
      <c r="Q62" s="32">
        <f>'Off-farm feed'!$P$26</f>
        <v>9.087837837837838E-6</v>
      </c>
      <c r="R62" s="143">
        <f>'Parameters, country spec'!F23</f>
        <v>7.4520089695706837E-2</v>
      </c>
    </row>
    <row r="63" spans="1:18" x14ac:dyDescent="0.35">
      <c r="B63" s="16" t="s">
        <v>181</v>
      </c>
      <c r="C63" s="16" t="s">
        <v>376</v>
      </c>
      <c r="D63" s="22" t="s">
        <v>35</v>
      </c>
      <c r="E63" s="22" t="s">
        <v>87</v>
      </c>
      <c r="F63" s="157">
        <f>SUM(G63:Q63)</f>
        <v>1.0112842036935186E-4</v>
      </c>
      <c r="G63" s="98">
        <v>3.10755988347163E-6</v>
      </c>
      <c r="H63" s="98">
        <v>9.9E-8</v>
      </c>
      <c r="I63" s="98">
        <v>7.2831553782216611E-5</v>
      </c>
      <c r="J63">
        <v>7.2831553782216598E-6</v>
      </c>
      <c r="K63" s="98">
        <v>8.5544806082979093E-8</v>
      </c>
      <c r="L63">
        <v>0</v>
      </c>
      <c r="M63">
        <v>0</v>
      </c>
      <c r="N63" s="13">
        <v>1.3283005309199999E-7</v>
      </c>
      <c r="O63" s="13"/>
      <c r="P63" s="98">
        <v>1.7376008471844101E-5</v>
      </c>
      <c r="Q63" s="98">
        <v>2.1276799442287201E-7</v>
      </c>
      <c r="R63" s="143">
        <f>'Parameters, country spec'!F24</f>
        <v>5.8765674595574857E-2</v>
      </c>
    </row>
    <row r="64" spans="1:18" x14ac:dyDescent="0.35">
      <c r="A64" s="80"/>
      <c r="B64" s="16" t="s">
        <v>377</v>
      </c>
      <c r="C64" s="81" t="s">
        <v>378</v>
      </c>
      <c r="D64" s="22" t="s">
        <v>35</v>
      </c>
      <c r="E64" s="22" t="s">
        <v>87</v>
      </c>
      <c r="F64" s="158">
        <f>SUM(G64:Q64)</f>
        <v>5.9450716622527452E-4</v>
      </c>
      <c r="G64" s="79">
        <f>AVERAGE(G54:G62)</f>
        <v>4.0127876005572074E-5</v>
      </c>
      <c r="H64" s="79">
        <f>AVERAGE(H54:H62)</f>
        <v>1.0114428558078684E-6</v>
      </c>
      <c r="I64" s="79">
        <f>AVERAGE(I54:I62)</f>
        <v>5.0020705174559481E-4</v>
      </c>
      <c r="J64" s="79">
        <f>AVERAGE(J54:J62)</f>
        <v>5.0020705174559485E-5</v>
      </c>
      <c r="K64" s="79">
        <f>AVERAGE(K54:K62)</f>
        <v>1.4462408646698928E-6</v>
      </c>
      <c r="L64" s="79"/>
      <c r="M64" s="79">
        <f>AVERAGE(M54:M62)</f>
        <v>2.7943594520111117E-7</v>
      </c>
      <c r="N64" s="79">
        <f>AVERAGE(N54:N62)</f>
        <v>1.4144136338692673E-6</v>
      </c>
      <c r="O64" s="79"/>
      <c r="P64" s="79"/>
      <c r="Q64" s="79"/>
      <c r="R64" s="143">
        <f>'Parameters, country spec'!F25</f>
        <v>4.9676485864869203E-2</v>
      </c>
    </row>
    <row r="65" spans="1:18" x14ac:dyDescent="0.35">
      <c r="A65" s="142"/>
      <c r="B65" s="24" t="s">
        <v>379</v>
      </c>
      <c r="C65" s="25"/>
      <c r="D65" s="99"/>
      <c r="E65" s="99"/>
      <c r="F65" s="45">
        <f t="shared" ref="F65:O65" si="9">SUMPRODUCT(F54:F64,$R$54:$R$64)</f>
        <v>6.301876308012818E-4</v>
      </c>
      <c r="G65" s="45">
        <f t="shared" si="9"/>
        <v>2.4959410893172988E-5</v>
      </c>
      <c r="H65" s="45">
        <f t="shared" si="9"/>
        <v>1.0195597782627902E-6</v>
      </c>
      <c r="I65" s="45">
        <f t="shared" si="9"/>
        <v>5.4540861208258269E-4</v>
      </c>
      <c r="J65" s="45">
        <f t="shared" si="9"/>
        <v>5.4540861208258241E-5</v>
      </c>
      <c r="K65" s="45">
        <f t="shared" si="9"/>
        <v>8.3810109168215524E-7</v>
      </c>
      <c r="L65" s="45">
        <f t="shared" si="9"/>
        <v>0</v>
      </c>
      <c r="M65" s="45">
        <f t="shared" si="9"/>
        <v>1.8665717659173883E-8</v>
      </c>
      <c r="N65" s="45">
        <f t="shared" si="9"/>
        <v>1.3672767454676486E-6</v>
      </c>
      <c r="O65" s="45">
        <f t="shared" si="9"/>
        <v>0</v>
      </c>
      <c r="P65" s="45">
        <f>SUMPRODUCT(P54:P64,R54:R64)</f>
        <v>2.0226398294714783E-6</v>
      </c>
      <c r="Q65" s="45">
        <f>SUMPRODUCT(Q54:Q64,$R$54:$R$64)</f>
        <v>6.9044423245760154E-7</v>
      </c>
      <c r="R65" s="144"/>
    </row>
    <row r="66" spans="1:18" x14ac:dyDescent="0.35">
      <c r="A66" s="21" t="s">
        <v>365</v>
      </c>
      <c r="B66" s="16" t="s">
        <v>168</v>
      </c>
      <c r="C66" s="16" t="s">
        <v>366</v>
      </c>
      <c r="D66" s="22" t="s">
        <v>37</v>
      </c>
      <c r="E66" s="22" t="s">
        <v>88</v>
      </c>
      <c r="F66" s="271">
        <f t="shared" ref="F66:F72" si="10">SUM(G66:Q66)</f>
        <v>5.0076308556644162E-4</v>
      </c>
      <c r="G66" s="272">
        <v>1.42900987499634E-5</v>
      </c>
      <c r="H66" s="273">
        <v>1.1000000000000001E-6</v>
      </c>
      <c r="I66" s="276">
        <v>4.3928712789075599E-4</v>
      </c>
      <c r="J66" s="276">
        <v>4.3928712789075603E-5</v>
      </c>
      <c r="K66" s="276">
        <v>6.9965951964663698E-7</v>
      </c>
      <c r="L66" s="276">
        <v>0</v>
      </c>
      <c r="M66" s="276">
        <v>0</v>
      </c>
      <c r="N66" s="276">
        <v>1.4574866170000001E-6</v>
      </c>
      <c r="O66" s="276"/>
      <c r="P66" s="276"/>
      <c r="Q66" s="275"/>
      <c r="R66" s="143">
        <f>'Parameters, country spec'!G15</f>
        <v>1.5696345190060228E-2</v>
      </c>
    </row>
    <row r="67" spans="1:18" x14ac:dyDescent="0.35">
      <c r="A67" s="21" t="s">
        <v>367</v>
      </c>
      <c r="B67" s="16" t="s">
        <v>170</v>
      </c>
      <c r="C67" s="16" t="s">
        <v>366</v>
      </c>
      <c r="D67" s="22" t="s">
        <v>37</v>
      </c>
      <c r="E67" s="22" t="s">
        <v>88</v>
      </c>
      <c r="F67" s="157">
        <f t="shared" si="10"/>
        <v>5.0348761541131604E-4</v>
      </c>
      <c r="G67" s="96">
        <v>1.40447733404797E-5</v>
      </c>
      <c r="H67" s="97">
        <v>1.1000000000000001E-6</v>
      </c>
      <c r="I67" s="98">
        <v>4.4216887877114938E-4</v>
      </c>
      <c r="J67" s="98">
        <v>4.4216887877115002E-5</v>
      </c>
      <c r="K67" s="98">
        <v>4.8647220484656601E-7</v>
      </c>
      <c r="L67" s="98">
        <v>0</v>
      </c>
      <c r="M67" s="98">
        <v>1.3774933630536099E-7</v>
      </c>
      <c r="N67" s="98">
        <v>1.3328538814200001E-6</v>
      </c>
      <c r="O67" s="98"/>
      <c r="P67" s="98"/>
      <c r="Q67" s="13"/>
      <c r="R67" s="143">
        <f>'Parameters, country spec'!G16</f>
        <v>4.3262189278547086E-3</v>
      </c>
    </row>
    <row r="68" spans="1:18" x14ac:dyDescent="0.35">
      <c r="A68" s="21" t="s">
        <v>368</v>
      </c>
      <c r="B68" s="16" t="s">
        <v>171</v>
      </c>
      <c r="C68" s="16" t="s">
        <v>366</v>
      </c>
      <c r="D68" s="22" t="s">
        <v>37</v>
      </c>
      <c r="E68" s="22" t="s">
        <v>88</v>
      </c>
      <c r="F68" s="157">
        <f t="shared" si="10"/>
        <v>3.8830254117131944E-4</v>
      </c>
      <c r="G68" s="96">
        <v>1.0423347933344499E-5</v>
      </c>
      <c r="H68" s="97">
        <v>1.1000000000000001E-6</v>
      </c>
      <c r="I68" s="98">
        <v>3.4061625508795799E-4</v>
      </c>
      <c r="J68" s="98">
        <v>3.4061625508795799E-5</v>
      </c>
      <c r="K68" s="98">
        <v>6.438260242211E-7</v>
      </c>
      <c r="L68" s="98">
        <v>0</v>
      </c>
      <c r="M68" s="98">
        <v>0</v>
      </c>
      <c r="N68" s="98">
        <v>1.4574866170000001E-6</v>
      </c>
      <c r="O68" s="98"/>
      <c r="P68" s="98"/>
      <c r="Q68" s="13"/>
      <c r="R68" s="143">
        <f>'Parameters, country spec'!G17</f>
        <v>9.0473725401480211E-4</v>
      </c>
    </row>
    <row r="69" spans="1:18" x14ac:dyDescent="0.35">
      <c r="A69" s="21" t="s">
        <v>369</v>
      </c>
      <c r="B69" s="16" t="s">
        <v>172</v>
      </c>
      <c r="C69" s="16" t="s">
        <v>366</v>
      </c>
      <c r="D69" s="22" t="s">
        <v>37</v>
      </c>
      <c r="E69" s="22" t="s">
        <v>88</v>
      </c>
      <c r="F69" s="157">
        <f t="shared" si="10"/>
        <v>7.8191616855976414E-4</v>
      </c>
      <c r="G69" s="96">
        <v>2.1873707810918101E-5</v>
      </c>
      <c r="H69" s="97">
        <v>1.1000000000000001E-6</v>
      </c>
      <c r="I69" s="98">
        <v>6.8758656983667894E-4</v>
      </c>
      <c r="J69" s="98">
        <v>6.8758656983667997E-5</v>
      </c>
      <c r="K69" s="98">
        <v>1.2631936945080999E-6</v>
      </c>
      <c r="L69" s="98">
        <v>0</v>
      </c>
      <c r="M69" s="98">
        <v>1.1863525710000401E-9</v>
      </c>
      <c r="N69" s="98">
        <v>1.3328538814200001E-6</v>
      </c>
      <c r="O69" s="98"/>
      <c r="P69" s="98"/>
      <c r="Q69" s="13"/>
      <c r="R69" s="143">
        <f>'Parameters, country spec'!G18</f>
        <v>0</v>
      </c>
    </row>
    <row r="70" spans="1:18" x14ac:dyDescent="0.35">
      <c r="A70" s="21" t="s">
        <v>370</v>
      </c>
      <c r="B70" s="16" t="s">
        <v>173</v>
      </c>
      <c r="C70" s="16" t="s">
        <v>366</v>
      </c>
      <c r="D70" s="22" t="s">
        <v>37</v>
      </c>
      <c r="E70" s="22" t="s">
        <v>88</v>
      </c>
      <c r="F70" s="157">
        <f t="shared" si="10"/>
        <v>6.0382498978413788E-4</v>
      </c>
      <c r="G70" s="96">
        <v>1.9066159328693E-5</v>
      </c>
      <c r="H70" s="97">
        <v>1.1000000000000001E-6</v>
      </c>
      <c r="I70" s="98">
        <v>5.2875256401532398E-4</v>
      </c>
      <c r="J70" s="98">
        <v>5.2875256401532301E-5</v>
      </c>
      <c r="K70" s="98">
        <v>5.7352342158859497E-7</v>
      </c>
      <c r="L70" s="98">
        <v>0</v>
      </c>
      <c r="M70" s="98">
        <v>0</v>
      </c>
      <c r="N70" s="98">
        <v>1.4574866170000001E-6</v>
      </c>
      <c r="O70" s="98"/>
      <c r="P70" s="98"/>
      <c r="Q70" s="13"/>
      <c r="R70" s="143">
        <f>'Parameters, country spec'!G19</f>
        <v>6.7415867076212046E-3</v>
      </c>
    </row>
    <row r="71" spans="1:18" x14ac:dyDescent="0.35">
      <c r="A71" s="21" t="s">
        <v>371</v>
      </c>
      <c r="B71" s="16" t="s">
        <v>174</v>
      </c>
      <c r="C71" s="16" t="s">
        <v>372</v>
      </c>
      <c r="D71" s="22" t="s">
        <v>37</v>
      </c>
      <c r="E71" s="22" t="s">
        <v>88</v>
      </c>
      <c r="F71" s="157">
        <f t="shared" si="10"/>
        <v>2.0662178533731066E-4</v>
      </c>
      <c r="G71" s="96">
        <v>0</v>
      </c>
      <c r="H71" s="97">
        <v>1.1000000000000001E-6</v>
      </c>
      <c r="I71" s="98">
        <v>1.8457295999999999E-4</v>
      </c>
      <c r="J71" s="98">
        <v>1.8457295999999999E-5</v>
      </c>
      <c r="K71" s="98">
        <v>1.0340427203106899E-6</v>
      </c>
      <c r="L71" s="98">
        <v>0</v>
      </c>
      <c r="M71" s="98">
        <v>0</v>
      </c>
      <c r="N71" s="98">
        <v>1.4574866170000001E-6</v>
      </c>
      <c r="O71" s="98"/>
      <c r="P71" s="98"/>
      <c r="Q71" s="13"/>
      <c r="R71" s="143">
        <f>'Parameters, country spec'!G20</f>
        <v>1.991421252024156E-4</v>
      </c>
    </row>
    <row r="72" spans="1:18" x14ac:dyDescent="0.35">
      <c r="A72" s="21" t="s">
        <v>373</v>
      </c>
      <c r="B72" s="16" t="s">
        <v>175</v>
      </c>
      <c r="C72" s="16" t="s">
        <v>372</v>
      </c>
      <c r="D72" s="22" t="s">
        <v>37</v>
      </c>
      <c r="E72" s="22" t="s">
        <v>88</v>
      </c>
      <c r="F72" s="157">
        <f t="shared" si="10"/>
        <v>2.147503579809894E-4</v>
      </c>
      <c r="G72" s="96">
        <v>4.56233062574511E-7</v>
      </c>
      <c r="H72" s="97">
        <v>1.1000000000000001E-6</v>
      </c>
      <c r="I72" s="98">
        <v>1.9161296011702001E-4</v>
      </c>
      <c r="J72" s="98">
        <v>1.9161296011701999E-5</v>
      </c>
      <c r="K72" s="98">
        <v>9.6238217269290007E-7</v>
      </c>
      <c r="L72" s="98">
        <v>0</v>
      </c>
      <c r="M72" s="98">
        <v>0</v>
      </c>
      <c r="N72" s="98">
        <v>1.4574866170000001E-6</v>
      </c>
      <c r="O72" s="98"/>
      <c r="P72" s="98"/>
      <c r="Q72" s="13"/>
      <c r="R72" s="143">
        <f>'Parameters, country spec'!G21</f>
        <v>1.956231921202263E-4</v>
      </c>
    </row>
    <row r="73" spans="1:18" x14ac:dyDescent="0.35">
      <c r="B73" s="17" t="s">
        <v>177</v>
      </c>
      <c r="C73" s="16" t="s">
        <v>374</v>
      </c>
      <c r="D73" s="22" t="s">
        <v>450</v>
      </c>
      <c r="E73" s="22"/>
      <c r="F73" s="120">
        <f>SUM(G73:P73)</f>
        <v>6.713768539130542E-4</v>
      </c>
      <c r="G73" s="32">
        <f>'Off-farm feed'!$F$77</f>
        <v>1.946970439026595E-4</v>
      </c>
      <c r="H73" s="32">
        <f>'Off-farm feed'!$G$77</f>
        <v>5.3103448275862083E-7</v>
      </c>
      <c r="I73" s="32">
        <f>'Off-farm feed'!$H$77</f>
        <v>4.2751561806777074E-4</v>
      </c>
      <c r="J73" s="32">
        <f>'Off-farm feed'!$I$77</f>
        <v>4.2751561806777089E-5</v>
      </c>
      <c r="K73" s="32">
        <f>'Off-farm feed'!$J$77</f>
        <v>6.6339607025480414E-7</v>
      </c>
      <c r="L73" s="32"/>
      <c r="M73" s="32">
        <f>'Off-farm feed'!$L$77</f>
        <v>7.9511067188965511E-9</v>
      </c>
      <c r="N73" s="32">
        <f>'Off-farm feed'!$M$77</f>
        <v>1.2789681892721844E-6</v>
      </c>
      <c r="O73" s="32"/>
      <c r="P73" s="32">
        <f>'Off-farm feed'!$O$77</f>
        <v>3.9312802868423825E-6</v>
      </c>
      <c r="Q73" s="32">
        <f>'Off-farm feed'!$P$77</f>
        <v>1.8277027027027027E-6</v>
      </c>
      <c r="R73" s="143">
        <f>'Parameters, country spec'!G22</f>
        <v>1.066163161801318E-2</v>
      </c>
    </row>
    <row r="74" spans="1:18" x14ac:dyDescent="0.35">
      <c r="B74" s="17" t="s">
        <v>375</v>
      </c>
      <c r="C74" s="16" t="s">
        <v>374</v>
      </c>
      <c r="D74" s="22" t="s">
        <v>426</v>
      </c>
      <c r="E74" s="22"/>
      <c r="F74" s="120">
        <f>SUM(G74:P74)</f>
        <v>1.7957562860818722E-4</v>
      </c>
      <c r="G74" s="32">
        <f>'Off-farm feed'!$F$26</f>
        <v>1.6332109719061441E-5</v>
      </c>
      <c r="H74" s="32">
        <f>'Off-farm feed'!$G$26</f>
        <v>8.7195121951219526E-7</v>
      </c>
      <c r="I74" s="32">
        <f>'Off-farm feed'!$H$26</f>
        <v>1.3333449845358202E-4</v>
      </c>
      <c r="J74" s="32">
        <f>'Off-farm feed'!$I$26</f>
        <v>1.3333449845358203E-5</v>
      </c>
      <c r="K74" s="32">
        <f>'Off-farm feed'!$J$26</f>
        <v>1.1576736579983931E-6</v>
      </c>
      <c r="L74" s="32"/>
      <c r="M74" s="32">
        <f>'Off-farm feed'!$L$26</f>
        <v>7.3437786087804866E-9</v>
      </c>
      <c r="N74" s="32">
        <f>'Off-farm feed'!$M$26</f>
        <v>1.1195281639512197E-6</v>
      </c>
      <c r="O74" s="32"/>
      <c r="P74" s="32">
        <f>'Off-farm feed'!$O$26</f>
        <v>1.3419073770114991E-5</v>
      </c>
      <c r="Q74" s="32">
        <f>'Off-farm feed'!$P$26</f>
        <v>9.087837837837838E-6</v>
      </c>
      <c r="R74" s="143">
        <f>'Parameters, country spec'!G23</f>
        <v>2.0288138727708259E-2</v>
      </c>
    </row>
    <row r="75" spans="1:18" x14ac:dyDescent="0.35">
      <c r="B75" s="16" t="s">
        <v>181</v>
      </c>
      <c r="C75" s="16" t="s">
        <v>376</v>
      </c>
      <c r="D75" s="22" t="s">
        <v>37</v>
      </c>
      <c r="E75" s="22" t="s">
        <v>88</v>
      </c>
      <c r="F75" s="157">
        <f>SUM(G75:Q75)</f>
        <v>7.2397887078904451E-5</v>
      </c>
      <c r="G75" s="98">
        <v>1.7159543395823699E-6</v>
      </c>
      <c r="H75" s="98">
        <v>9.9E-8</v>
      </c>
      <c r="I75" s="98">
        <v>4.7587730761379113E-5</v>
      </c>
      <c r="J75">
        <v>4.7587730761379099E-6</v>
      </c>
      <c r="K75" s="98">
        <v>5.16171079429735E-8</v>
      </c>
      <c r="L75">
        <v>0</v>
      </c>
      <c r="M75">
        <v>0</v>
      </c>
      <c r="N75" s="13">
        <v>1.3117379553000001E-7</v>
      </c>
      <c r="O75" s="13"/>
      <c r="P75" s="98">
        <v>1.6341912215219399E-5</v>
      </c>
      <c r="Q75" s="98">
        <v>1.71172578311269E-6</v>
      </c>
      <c r="R75" s="143">
        <f>'Parameters, country spec'!G24</f>
        <v>2.0037841928894622E-2</v>
      </c>
    </row>
    <row r="76" spans="1:18" x14ac:dyDescent="0.35">
      <c r="A76" s="80"/>
      <c r="B76" s="16" t="s">
        <v>377</v>
      </c>
      <c r="C76" s="81" t="s">
        <v>378</v>
      </c>
      <c r="D76" s="22" t="s">
        <v>37</v>
      </c>
      <c r="E76" s="22" t="s">
        <v>88</v>
      </c>
      <c r="F76" s="158">
        <f>SUM(G76:Q76)</f>
        <v>4.4814096358617377E-4</v>
      </c>
      <c r="G76" s="79">
        <f>AVERAGE(G66:G74)</f>
        <v>3.2353719316410466E-5</v>
      </c>
      <c r="H76" s="79">
        <f>AVERAGE(H66:H74)</f>
        <v>1.0114428558078684E-6</v>
      </c>
      <c r="I76" s="79">
        <f>AVERAGE(I66:I74)</f>
        <v>3.7504971469335991E-4</v>
      </c>
      <c r="J76" s="79">
        <f>AVERAGE(J66:J74)</f>
        <v>3.7504971469335991E-5</v>
      </c>
      <c r="K76" s="79">
        <f>AVERAGE(K66:K74)</f>
        <v>8.3157438734086507E-7</v>
      </c>
      <c r="L76" s="79"/>
      <c r="M76" s="79">
        <f>AVERAGE(M66:M74)</f>
        <v>1.713673046711534E-8</v>
      </c>
      <c r="N76" s="79">
        <f>AVERAGE(N66:N74)</f>
        <v>1.3724041334514894E-6</v>
      </c>
      <c r="O76" s="79"/>
      <c r="P76" s="79"/>
      <c r="Q76" s="79"/>
      <c r="R76" s="143">
        <f>'Parameters, country spec'!G25</f>
        <v>0.92094873432851032</v>
      </c>
    </row>
    <row r="77" spans="1:18" x14ac:dyDescent="0.35">
      <c r="A77" s="142"/>
      <c r="B77" s="24" t="s">
        <v>379</v>
      </c>
      <c r="C77" s="25"/>
      <c r="D77" s="99"/>
      <c r="E77" s="99"/>
      <c r="F77" s="45">
        <f t="shared" ref="F77:O77" si="11">SUMPRODUCT(F66:F76,$R$66:$R$76)</f>
        <v>4.3951033404420912E-4</v>
      </c>
      <c r="G77" s="45">
        <f t="shared" si="11"/>
        <v>3.2660756038277707E-5</v>
      </c>
      <c r="H77" s="45">
        <f t="shared" si="11"/>
        <v>9.8769274432628432E-7</v>
      </c>
      <c r="I77" s="45">
        <f t="shared" si="11"/>
        <v>3.6637339974894935E-4</v>
      </c>
      <c r="J77" s="45">
        <f t="shared" si="11"/>
        <v>3.6637339974894938E-5</v>
      </c>
      <c r="K77" s="45">
        <f t="shared" si="11"/>
        <v>8.1536142286275376E-7</v>
      </c>
      <c r="L77" s="45">
        <f t="shared" si="11"/>
        <v>0</v>
      </c>
      <c r="M77" s="45">
        <f t="shared" si="11"/>
        <v>1.6611747390235268E-8</v>
      </c>
      <c r="N77" s="45">
        <f t="shared" si="11"/>
        <v>1.3432545306047779E-6</v>
      </c>
      <c r="O77" s="45">
        <f t="shared" si="11"/>
        <v>0</v>
      </c>
      <c r="P77" s="45">
        <f>SUMPRODUCT(P66:P76,R66:R76)</f>
        <v>6.4161854623535315E-7</v>
      </c>
      <c r="Q77" s="45">
        <f>SUMPRODUCT(Q66:Q76,$R$66:$R$76)</f>
        <v>2.3816089838005906E-7</v>
      </c>
      <c r="R77" s="144"/>
    </row>
    <row r="78" spans="1:18" x14ac:dyDescent="0.35">
      <c r="A78" s="21" t="s">
        <v>365</v>
      </c>
      <c r="B78" s="16" t="s">
        <v>168</v>
      </c>
      <c r="C78" s="16" t="s">
        <v>366</v>
      </c>
      <c r="D78" s="22" t="s">
        <v>39</v>
      </c>
      <c r="E78" s="22" t="s">
        <v>89</v>
      </c>
      <c r="F78" s="271">
        <f t="shared" ref="F78:F84" si="12">SUM(G78:Q78)</f>
        <v>7.6121683150041691E-4</v>
      </c>
      <c r="G78" s="272">
        <v>3.4604422826583401E-6</v>
      </c>
      <c r="H78" s="273">
        <v>1.1000000000000001E-6</v>
      </c>
      <c r="I78" s="276">
        <v>6.8538167784717497E-4</v>
      </c>
      <c r="J78" s="276">
        <v>6.8538167784717503E-5</v>
      </c>
      <c r="K78" s="276">
        <v>1.23800967386619E-6</v>
      </c>
      <c r="L78" s="276">
        <v>0</v>
      </c>
      <c r="M78" s="276">
        <v>0</v>
      </c>
      <c r="N78" s="276">
        <v>1.4985339119999999E-6</v>
      </c>
      <c r="O78" s="276"/>
      <c r="P78" s="276"/>
      <c r="Q78" s="275"/>
      <c r="R78" s="143">
        <f>'Parameters, country spec'!H15</f>
        <v>8.7634739536272627E-2</v>
      </c>
    </row>
    <row r="79" spans="1:18" x14ac:dyDescent="0.35">
      <c r="A79" s="21" t="s">
        <v>367</v>
      </c>
      <c r="B79" s="16" t="s">
        <v>170</v>
      </c>
      <c r="C79" s="16" t="s">
        <v>366</v>
      </c>
      <c r="D79" s="22" t="s">
        <v>39</v>
      </c>
      <c r="E79" s="22" t="s">
        <v>89</v>
      </c>
      <c r="F79" s="157">
        <f t="shared" si="12"/>
        <v>4.3982361019904938E-4</v>
      </c>
      <c r="G79" s="96">
        <v>2.0038682712477099E-6</v>
      </c>
      <c r="H79" s="97">
        <v>1.1000000000000001E-6</v>
      </c>
      <c r="I79" s="98">
        <v>3.9516072590425238E-4</v>
      </c>
      <c r="J79" s="98">
        <v>3.9516072590425301E-5</v>
      </c>
      <c r="K79" s="98">
        <v>4.25445690620501E-7</v>
      </c>
      <c r="L79" s="98">
        <v>0</v>
      </c>
      <c r="M79" s="98">
        <v>1.1896383050346399E-7</v>
      </c>
      <c r="N79" s="98">
        <v>1.4985339119999999E-6</v>
      </c>
      <c r="O79" s="98"/>
      <c r="P79" s="98"/>
      <c r="Q79" s="13"/>
      <c r="R79" s="143">
        <f>'Parameters, country spec'!H16</f>
        <v>0.57303226549823605</v>
      </c>
    </row>
    <row r="80" spans="1:18" x14ac:dyDescent="0.35">
      <c r="A80" s="21" t="s">
        <v>368</v>
      </c>
      <c r="B80" s="16" t="s">
        <v>171</v>
      </c>
      <c r="C80" s="16" t="s">
        <v>366</v>
      </c>
      <c r="D80" s="22" t="s">
        <v>39</v>
      </c>
      <c r="E80" s="22" t="s">
        <v>89</v>
      </c>
      <c r="F80" s="157">
        <f t="shared" si="12"/>
        <v>9.6609796472621793E-4</v>
      </c>
      <c r="G80" s="96">
        <v>4.6619871080123402E-6</v>
      </c>
      <c r="H80" s="97">
        <v>1.1000000000000001E-6</v>
      </c>
      <c r="I80" s="98">
        <v>8.6975755481815699E-4</v>
      </c>
      <c r="J80" s="98">
        <v>8.6975755481815697E-5</v>
      </c>
      <c r="K80" s="98">
        <v>2.1041334062329101E-6</v>
      </c>
      <c r="L80" s="98">
        <v>0</v>
      </c>
      <c r="M80" s="98">
        <v>0</v>
      </c>
      <c r="N80" s="98">
        <v>1.4985339119999999E-6</v>
      </c>
      <c r="O80" s="98"/>
      <c r="P80" s="98"/>
      <c r="Q80" s="13"/>
      <c r="R80" s="143">
        <f>'Parameters, country spec'!H17</f>
        <v>1.8199416246980429E-2</v>
      </c>
    </row>
    <row r="81" spans="1:18" x14ac:dyDescent="0.35">
      <c r="A81" s="21" t="s">
        <v>369</v>
      </c>
      <c r="B81" s="16" t="s">
        <v>172</v>
      </c>
      <c r="C81" s="16" t="s">
        <v>366</v>
      </c>
      <c r="D81" s="22" t="s">
        <v>39</v>
      </c>
      <c r="E81" s="22" t="s">
        <v>89</v>
      </c>
      <c r="F81" s="157">
        <f t="shared" si="12"/>
        <v>9.4252772207496283E-4</v>
      </c>
      <c r="G81" s="96">
        <v>4.5545567787407397E-6</v>
      </c>
      <c r="H81" s="97">
        <v>1.1000000000000001E-6</v>
      </c>
      <c r="I81" s="98">
        <v>8.48841595525421E-4</v>
      </c>
      <c r="J81" s="98">
        <v>8.4884159552542194E-5</v>
      </c>
      <c r="K81" s="98">
        <v>1.6122237952389601E-6</v>
      </c>
      <c r="L81" s="98">
        <v>0</v>
      </c>
      <c r="M81" s="98">
        <v>3.6652511019930199E-8</v>
      </c>
      <c r="N81" s="98">
        <v>1.4985339119999999E-6</v>
      </c>
      <c r="O81" s="98"/>
      <c r="P81" s="98"/>
      <c r="Q81" s="13"/>
      <c r="R81" s="143">
        <f>'Parameters, country spec'!H18</f>
        <v>1.4500630224108489E-3</v>
      </c>
    </row>
    <row r="82" spans="1:18" x14ac:dyDescent="0.35">
      <c r="A82" s="21" t="s">
        <v>370</v>
      </c>
      <c r="B82" s="16" t="s">
        <v>173</v>
      </c>
      <c r="C82" s="16" t="s">
        <v>366</v>
      </c>
      <c r="D82" s="22" t="s">
        <v>39</v>
      </c>
      <c r="E82" s="22" t="s">
        <v>89</v>
      </c>
      <c r="F82" s="157">
        <f t="shared" si="12"/>
        <v>1.2230783061102377E-3</v>
      </c>
      <c r="G82" s="96">
        <v>6.1188597918394202E-6</v>
      </c>
      <c r="H82" s="97">
        <v>1.1000000000000001E-6</v>
      </c>
      <c r="I82" s="98">
        <v>1.1027150359909461E-3</v>
      </c>
      <c r="J82" s="98">
        <v>1.10271503599095E-4</v>
      </c>
      <c r="K82" s="98">
        <v>1.3449289839238301E-6</v>
      </c>
      <c r="L82" s="98">
        <v>0</v>
      </c>
      <c r="M82" s="98">
        <v>2.9443832433219999E-8</v>
      </c>
      <c r="N82" s="98">
        <v>1.4985339119999999E-6</v>
      </c>
      <c r="O82" s="98"/>
      <c r="P82" s="98"/>
      <c r="Q82" s="13"/>
      <c r="R82" s="143">
        <f>'Parameters, country spec'!H19</f>
        <v>8.3008572023096597E-2</v>
      </c>
    </row>
    <row r="83" spans="1:18" x14ac:dyDescent="0.35">
      <c r="A83" s="21" t="s">
        <v>371</v>
      </c>
      <c r="B83" s="16" t="s">
        <v>174</v>
      </c>
      <c r="C83" s="16" t="s">
        <v>372</v>
      </c>
      <c r="D83" s="22" t="s">
        <v>39</v>
      </c>
      <c r="E83" s="22" t="s">
        <v>89</v>
      </c>
      <c r="F83" s="157">
        <f t="shared" si="12"/>
        <v>2.0732558963819123E-4</v>
      </c>
      <c r="G83" s="96">
        <v>0</v>
      </c>
      <c r="H83" s="97">
        <v>1.1000000000000001E-6</v>
      </c>
      <c r="I83" s="98">
        <v>1.8457295999999999E-4</v>
      </c>
      <c r="J83" s="98">
        <v>1.8457295999999999E-5</v>
      </c>
      <c r="K83" s="98">
        <v>1.69241163572995E-6</v>
      </c>
      <c r="L83" s="98">
        <v>0</v>
      </c>
      <c r="M83" s="98">
        <v>4.3880904612717098E-9</v>
      </c>
      <c r="N83" s="98">
        <v>1.4985339119999999E-6</v>
      </c>
      <c r="O83" s="98"/>
      <c r="P83" s="98"/>
      <c r="Q83" s="13"/>
      <c r="R83" s="143">
        <f>'Parameters, country spec'!H20</f>
        <v>1.927136550134527E-3</v>
      </c>
    </row>
    <row r="84" spans="1:18" x14ac:dyDescent="0.35">
      <c r="A84" s="21" t="s">
        <v>373</v>
      </c>
      <c r="B84" s="16" t="s">
        <v>175</v>
      </c>
      <c r="C84" s="16" t="s">
        <v>372</v>
      </c>
      <c r="D84" s="22" t="s">
        <v>39</v>
      </c>
      <c r="E84" s="22" t="s">
        <v>89</v>
      </c>
      <c r="F84" s="157">
        <f t="shared" si="12"/>
        <v>2.3268660968817935E-4</v>
      </c>
      <c r="G84" s="96">
        <v>1.55570415501492E-7</v>
      </c>
      <c r="H84" s="97">
        <v>1.1000000000000001E-6</v>
      </c>
      <c r="I84" s="98">
        <v>2.0684410516885461E-4</v>
      </c>
      <c r="J84" s="98">
        <v>2.06844105168855E-5</v>
      </c>
      <c r="K84" s="98">
        <v>2.3978871315382E-6</v>
      </c>
      <c r="L84" s="98">
        <v>0</v>
      </c>
      <c r="M84" s="98">
        <v>6.1025433995682499E-9</v>
      </c>
      <c r="N84" s="98">
        <v>1.4985339119999999E-6</v>
      </c>
      <c r="O84" s="98"/>
      <c r="P84" s="98"/>
      <c r="Q84" s="13"/>
      <c r="R84" s="143">
        <f>'Parameters, country spec'!H21</f>
        <v>1.8930831597192171E-3</v>
      </c>
    </row>
    <row r="85" spans="1:18" x14ac:dyDescent="0.35">
      <c r="B85" s="17" t="s">
        <v>177</v>
      </c>
      <c r="C85" s="16" t="s">
        <v>374</v>
      </c>
      <c r="D85" s="22" t="s">
        <v>450</v>
      </c>
      <c r="E85" s="22"/>
      <c r="F85" s="120">
        <f>SUM(G85:P85)</f>
        <v>6.713768539130542E-4</v>
      </c>
      <c r="G85" s="32">
        <f>'Off-farm feed'!$F$77</f>
        <v>1.946970439026595E-4</v>
      </c>
      <c r="H85" s="32">
        <f>'Off-farm feed'!$G$77</f>
        <v>5.3103448275862083E-7</v>
      </c>
      <c r="I85" s="32">
        <f>'Off-farm feed'!$H$77</f>
        <v>4.2751561806777074E-4</v>
      </c>
      <c r="J85" s="32">
        <f>'Off-farm feed'!$I$77</f>
        <v>4.2751561806777089E-5</v>
      </c>
      <c r="K85" s="32">
        <f>'Off-farm feed'!$J$77</f>
        <v>6.6339607025480414E-7</v>
      </c>
      <c r="L85" s="32"/>
      <c r="M85" s="32">
        <f>'Off-farm feed'!$L$77</f>
        <v>7.9511067188965511E-9</v>
      </c>
      <c r="N85" s="32">
        <f>'Off-farm feed'!$M$77</f>
        <v>1.2789681892721844E-6</v>
      </c>
      <c r="O85" s="32"/>
      <c r="P85" s="32">
        <f>'Off-farm feed'!$O$77</f>
        <v>3.9312802868423825E-6</v>
      </c>
      <c r="Q85" s="32">
        <f>'Off-farm feed'!$P$77</f>
        <v>1.8277027027027027E-6</v>
      </c>
      <c r="R85" s="143">
        <f>'Parameters, country spec'!H22</f>
        <v>3.2461288333790871E-3</v>
      </c>
    </row>
    <row r="86" spans="1:18" x14ac:dyDescent="0.35">
      <c r="B86" s="17" t="s">
        <v>375</v>
      </c>
      <c r="C86" s="16" t="s">
        <v>374</v>
      </c>
      <c r="D86" s="22" t="s">
        <v>426</v>
      </c>
      <c r="E86" s="22"/>
      <c r="F86" s="120">
        <f>SUM(G86:P86)</f>
        <v>1.7957562860818722E-4</v>
      </c>
      <c r="G86" s="32">
        <f>'Off-farm feed'!$F$26</f>
        <v>1.6332109719061441E-5</v>
      </c>
      <c r="H86" s="32">
        <f>'Off-farm feed'!$G$26</f>
        <v>8.7195121951219526E-7</v>
      </c>
      <c r="I86" s="32">
        <f>'Off-farm feed'!$H$26</f>
        <v>1.3333449845358202E-4</v>
      </c>
      <c r="J86" s="32">
        <f>'Off-farm feed'!$I$26</f>
        <v>1.3333449845358203E-5</v>
      </c>
      <c r="K86" s="32">
        <f>'Off-farm feed'!$J$26</f>
        <v>1.1576736579983931E-6</v>
      </c>
      <c r="L86" s="32"/>
      <c r="M86" s="32">
        <f>'Off-farm feed'!$L$26</f>
        <v>7.3437786087804866E-9</v>
      </c>
      <c r="N86" s="32">
        <f>'Off-farm feed'!$M$26</f>
        <v>1.1195281639512197E-6</v>
      </c>
      <c r="O86" s="32"/>
      <c r="P86" s="32">
        <f>'Off-farm feed'!$O$26</f>
        <v>1.3419073770114991E-5</v>
      </c>
      <c r="Q86" s="32">
        <f>'Off-farm feed'!$P$26</f>
        <v>9.087837837837838E-6</v>
      </c>
      <c r="R86" s="143">
        <f>'Parameters, country spec'!H23</f>
        <v>8.0143174333338049E-2</v>
      </c>
    </row>
    <row r="87" spans="1:18" x14ac:dyDescent="0.35">
      <c r="B87" s="16" t="s">
        <v>181</v>
      </c>
      <c r="C87" s="16" t="s">
        <v>376</v>
      </c>
      <c r="D87" s="22" t="s">
        <v>39</v>
      </c>
      <c r="E87" s="22" t="s">
        <v>89</v>
      </c>
      <c r="F87" s="157">
        <f>SUM(G87:Q87)</f>
        <v>1.3082524378321331E-4</v>
      </c>
      <c r="G87" s="98">
        <v>5.5069738126554801E-7</v>
      </c>
      <c r="H87" s="98">
        <v>9.9E-8</v>
      </c>
      <c r="I87" s="98">
        <v>9.9244353239185217E-5</v>
      </c>
      <c r="J87">
        <v>9.9244353239185299E-6</v>
      </c>
      <c r="K87" s="98">
        <v>1.2104360855314501E-7</v>
      </c>
      <c r="L87">
        <v>0</v>
      </c>
      <c r="M87">
        <v>2.6499449189897999E-9</v>
      </c>
      <c r="N87" s="13">
        <v>1.3486805208E-7</v>
      </c>
      <c r="O87" s="13"/>
      <c r="P87" s="98">
        <v>1.8648447718521899E-5</v>
      </c>
      <c r="Q87" s="98">
        <v>2.0997485147699699E-6</v>
      </c>
      <c r="R87" s="143">
        <f>'Parameters, country spec'!H24</f>
        <v>8.4604092546848059E-2</v>
      </c>
    </row>
    <row r="88" spans="1:18" x14ac:dyDescent="0.35">
      <c r="A88" s="80"/>
      <c r="B88" s="16" t="s">
        <v>377</v>
      </c>
      <c r="C88" s="81" t="s">
        <v>378</v>
      </c>
      <c r="D88" s="22" t="s">
        <v>39</v>
      </c>
      <c r="E88" s="22" t="s">
        <v>89</v>
      </c>
      <c r="F88" s="158">
        <f>SUM(G88:Q88)</f>
        <v>6.2292875137794882E-4</v>
      </c>
      <c r="G88" s="79">
        <f>AVERAGE(G78:G86)</f>
        <v>2.5776048696635664E-5</v>
      </c>
      <c r="H88" s="79">
        <f>AVERAGE(H78:H86)</f>
        <v>1.0114428558078684E-6</v>
      </c>
      <c r="I88" s="79">
        <f>AVERAGE(I78:I86)</f>
        <v>5.3934708575290654E-4</v>
      </c>
      <c r="J88" s="79">
        <f>AVERAGE(J78:J86)</f>
        <v>5.3934708575290723E-5</v>
      </c>
      <c r="K88" s="79">
        <f>AVERAGE(K78:K86)</f>
        <v>1.404012227267082E-6</v>
      </c>
      <c r="L88" s="79"/>
      <c r="M88" s="79">
        <f>AVERAGE(M78:M86)</f>
        <v>2.3427299238347906E-8</v>
      </c>
      <c r="N88" s="79">
        <f>AVERAGE(N78:N86)</f>
        <v>1.4320259708026001E-6</v>
      </c>
      <c r="O88" s="79"/>
      <c r="P88" s="79"/>
      <c r="Q88" s="79"/>
      <c r="R88" s="143">
        <f>'Parameters, country spec'!H25</f>
        <v>6.4861328249584266E-2</v>
      </c>
    </row>
    <row r="89" spans="1:18" x14ac:dyDescent="0.35">
      <c r="A89" s="142"/>
      <c r="B89" s="24" t="s">
        <v>379</v>
      </c>
      <c r="C89" s="25"/>
      <c r="D89" s="99"/>
      <c r="E89" s="99"/>
      <c r="F89" s="45">
        <f t="shared" ref="F89:O89" si="13">SUMPRODUCT(F78:F88,$R$78:$R$88)</f>
        <v>5.081007995352756E-4</v>
      </c>
      <c r="G89" s="45">
        <f t="shared" si="13"/>
        <v>5.7105771052348359E-6</v>
      </c>
      <c r="H89" s="45">
        <f t="shared" si="13"/>
        <v>9.894438808204585E-7</v>
      </c>
      <c r="I89" s="45">
        <f t="shared" si="13"/>
        <v>4.5129798282554927E-4</v>
      </c>
      <c r="J89" s="45">
        <f t="shared" si="13"/>
        <v>4.512979828255501E-5</v>
      </c>
      <c r="K89" s="45">
        <f t="shared" si="13"/>
        <v>7.0860012506573262E-7</v>
      </c>
      <c r="L89" s="45">
        <f t="shared" si="13"/>
        <v>0</v>
      </c>
      <c r="M89" s="45">
        <f t="shared" si="13"/>
        <v>7.304544729063635E-8</v>
      </c>
      <c r="N89" s="45">
        <f t="shared" si="13"/>
        <v>1.3477609436165628E-6</v>
      </c>
      <c r="O89" s="45">
        <f t="shared" si="13"/>
        <v>0</v>
      </c>
      <c r="P89" s="45">
        <f>SUMPRODUCT(P78:P88,R78:R88)</f>
        <v>2.6659436074743478E-6</v>
      </c>
      <c r="Q89" s="45">
        <f>SUMPRODUCT(Q78:Q88,$R$78:$R$88)</f>
        <v>9.1190844826173726E-7</v>
      </c>
      <c r="R89" s="144"/>
    </row>
    <row r="90" spans="1:18" x14ac:dyDescent="0.35">
      <c r="A90" s="21" t="s">
        <v>365</v>
      </c>
      <c r="B90" s="16" t="s">
        <v>168</v>
      </c>
      <c r="C90" s="16" t="s">
        <v>366</v>
      </c>
      <c r="D90" s="22" t="s">
        <v>32</v>
      </c>
      <c r="E90" s="22" t="s">
        <v>90</v>
      </c>
      <c r="F90" s="271">
        <f t="shared" ref="F90:F96" si="14">SUM(G90:Q90)</f>
        <v>5.4050107801737271E-4</v>
      </c>
      <c r="G90" s="272">
        <v>1.7348280495920599E-5</v>
      </c>
      <c r="H90" s="273">
        <v>1.1000000000000001E-6</v>
      </c>
      <c r="I90" s="276">
        <v>4.72465531207451E-4</v>
      </c>
      <c r="J90" s="276">
        <v>4.7246553120745103E-5</v>
      </c>
      <c r="K90" s="276">
        <v>7.7223974763406999E-7</v>
      </c>
      <c r="L90" s="276">
        <v>0</v>
      </c>
      <c r="M90" s="276">
        <v>5.8804621981939997E-11</v>
      </c>
      <c r="N90" s="276">
        <v>1.5684146409999999E-6</v>
      </c>
      <c r="O90" s="276"/>
      <c r="P90" s="276"/>
      <c r="Q90" s="275"/>
      <c r="R90" s="143">
        <f>'Parameters, country spec'!I15</f>
        <v>9.5526549752842554E-2</v>
      </c>
    </row>
    <row r="91" spans="1:18" x14ac:dyDescent="0.35">
      <c r="A91" s="21" t="s">
        <v>367</v>
      </c>
      <c r="B91" s="16" t="s">
        <v>170</v>
      </c>
      <c r="C91" s="16" t="s">
        <v>366</v>
      </c>
      <c r="D91" s="22" t="s">
        <v>32</v>
      </c>
      <c r="E91" s="22" t="s">
        <v>90</v>
      </c>
      <c r="F91" s="157">
        <f t="shared" si="14"/>
        <v>4.9170687326348568E-4</v>
      </c>
      <c r="G91" s="96">
        <v>1.77198396121134E-5</v>
      </c>
      <c r="H91" s="97">
        <v>1.1000000000000001E-6</v>
      </c>
      <c r="I91" s="98">
        <v>4.2801643748347341E-4</v>
      </c>
      <c r="J91" s="98">
        <v>4.28016437483474E-5</v>
      </c>
      <c r="K91" s="98">
        <v>4.68099345950762E-7</v>
      </c>
      <c r="L91" s="98">
        <v>0</v>
      </c>
      <c r="M91" s="98">
        <v>3.24384326007302E-8</v>
      </c>
      <c r="N91" s="98">
        <v>1.5684146409999999E-6</v>
      </c>
      <c r="O91" s="98"/>
      <c r="P91" s="98"/>
      <c r="Q91" s="13"/>
      <c r="R91" s="143">
        <f>'Parameters, country spec'!I16</f>
        <v>0.28688514594124209</v>
      </c>
    </row>
    <row r="92" spans="1:18" x14ac:dyDescent="0.35">
      <c r="A92" s="21" t="s">
        <v>368</v>
      </c>
      <c r="B92" s="16" t="s">
        <v>171</v>
      </c>
      <c r="C92" s="16" t="s">
        <v>366</v>
      </c>
      <c r="D92" s="22" t="s">
        <v>32</v>
      </c>
      <c r="E92" s="22" t="s">
        <v>90</v>
      </c>
      <c r="F92" s="157">
        <f t="shared" si="14"/>
        <v>5.4823029373005669E-4</v>
      </c>
      <c r="G92" s="96">
        <v>1.8237463588767599E-5</v>
      </c>
      <c r="H92" s="97">
        <v>1.1000000000000001E-6</v>
      </c>
      <c r="I92" s="98">
        <v>4.78431800356391E-4</v>
      </c>
      <c r="J92" s="98">
        <v>4.7843180035639103E-5</v>
      </c>
      <c r="K92" s="98">
        <v>1.02416499646555E-6</v>
      </c>
      <c r="L92" s="98">
        <v>0</v>
      </c>
      <c r="M92" s="98">
        <v>2.5270111793474001E-8</v>
      </c>
      <c r="N92" s="98">
        <v>1.5684146409999999E-6</v>
      </c>
      <c r="O92" s="98"/>
      <c r="P92" s="98"/>
      <c r="Q92" s="13"/>
      <c r="R92" s="143">
        <f>'Parameters, country spec'!I17</f>
        <v>3.1378297013894309E-3</v>
      </c>
    </row>
    <row r="93" spans="1:18" x14ac:dyDescent="0.35">
      <c r="A93" s="21" t="s">
        <v>369</v>
      </c>
      <c r="B93" s="16" t="s">
        <v>172</v>
      </c>
      <c r="C93" s="16" t="s">
        <v>366</v>
      </c>
      <c r="D93" s="22" t="s">
        <v>32</v>
      </c>
      <c r="E93" s="22" t="s">
        <v>90</v>
      </c>
      <c r="F93" s="157">
        <f t="shared" si="14"/>
        <v>8.8503529959118872E-4</v>
      </c>
      <c r="G93" s="96">
        <v>3.2781637272394797E-5</v>
      </c>
      <c r="H93" s="97">
        <v>1.1000000000000001E-6</v>
      </c>
      <c r="I93" s="98">
        <v>7.710376612810421E-4</v>
      </c>
      <c r="J93" s="98">
        <v>7.7103766128104205E-5</v>
      </c>
      <c r="K93" s="98">
        <v>1.44382026864755E-6</v>
      </c>
      <c r="L93" s="98">
        <v>0</v>
      </c>
      <c r="M93" s="98">
        <v>0</v>
      </c>
      <c r="N93" s="98">
        <v>1.5684146409999999E-6</v>
      </c>
      <c r="O93" s="98"/>
      <c r="P93" s="98"/>
      <c r="Q93" s="13"/>
      <c r="R93" s="143">
        <f>'Parameters, country spec'!I18</f>
        <v>1.180760891727785E-2</v>
      </c>
    </row>
    <row r="94" spans="1:18" x14ac:dyDescent="0.35">
      <c r="A94" s="21" t="s">
        <v>370</v>
      </c>
      <c r="B94" s="16" t="s">
        <v>173</v>
      </c>
      <c r="C94" s="16" t="s">
        <v>366</v>
      </c>
      <c r="D94" s="22" t="s">
        <v>32</v>
      </c>
      <c r="E94" s="22" t="s">
        <v>90</v>
      </c>
      <c r="F94" s="157">
        <f t="shared" si="14"/>
        <v>6.4934104750531978E-4</v>
      </c>
      <c r="G94" s="96">
        <v>2.28291296848485E-5</v>
      </c>
      <c r="H94" s="97">
        <v>1.1000000000000001E-6</v>
      </c>
      <c r="I94" s="98">
        <v>5.6656287518152301E-4</v>
      </c>
      <c r="J94" s="98">
        <v>5.66562875181523E-5</v>
      </c>
      <c r="K94" s="98">
        <v>6.2434047979596701E-7</v>
      </c>
      <c r="L94" s="98">
        <v>0</v>
      </c>
      <c r="M94" s="98">
        <v>0</v>
      </c>
      <c r="N94" s="98">
        <v>1.5684146409999999E-6</v>
      </c>
      <c r="O94" s="98"/>
      <c r="P94" s="98"/>
      <c r="Q94" s="13"/>
      <c r="R94" s="143">
        <f>'Parameters, country spec'!I19</f>
        <v>0.32323260195937931</v>
      </c>
    </row>
    <row r="95" spans="1:18" x14ac:dyDescent="0.35">
      <c r="A95" s="21" t="s">
        <v>371</v>
      </c>
      <c r="B95" s="16" t="s">
        <v>174</v>
      </c>
      <c r="C95" s="16" t="s">
        <v>372</v>
      </c>
      <c r="D95" s="22" t="s">
        <v>32</v>
      </c>
      <c r="E95" s="22" t="s">
        <v>90</v>
      </c>
      <c r="F95" s="157">
        <f t="shared" si="14"/>
        <v>2.0727300008761834E-4</v>
      </c>
      <c r="G95" s="96">
        <v>0</v>
      </c>
      <c r="H95" s="97">
        <v>1.1000000000000001E-6</v>
      </c>
      <c r="I95" s="98">
        <v>1.8457295999999999E-4</v>
      </c>
      <c r="J95" s="98">
        <v>1.8457295999999999E-5</v>
      </c>
      <c r="K95" s="98">
        <v>1.6098807704065999E-6</v>
      </c>
      <c r="L95" s="98">
        <v>0</v>
      </c>
      <c r="M95" s="98">
        <v>2.0000943579174501E-7</v>
      </c>
      <c r="N95" s="98">
        <v>1.3328538814200001E-6</v>
      </c>
      <c r="O95" s="98"/>
      <c r="P95" s="98"/>
      <c r="Q95" s="13"/>
      <c r="R95" s="143">
        <f>'Parameters, country spec'!I20</f>
        <v>0</v>
      </c>
    </row>
    <row r="96" spans="1:18" x14ac:dyDescent="0.35">
      <c r="A96" s="21" t="s">
        <v>373</v>
      </c>
      <c r="B96" s="16" t="s">
        <v>175</v>
      </c>
      <c r="C96" s="16" t="s">
        <v>372</v>
      </c>
      <c r="D96" s="22" t="s">
        <v>32</v>
      </c>
      <c r="E96" s="22" t="s">
        <v>90</v>
      </c>
      <c r="F96" s="157">
        <f t="shared" si="14"/>
        <v>2.1998305327249396E-4</v>
      </c>
      <c r="G96" s="96">
        <v>7.0244415562254001E-7</v>
      </c>
      <c r="H96" s="97">
        <v>1.1000000000000001E-6</v>
      </c>
      <c r="I96" s="98">
        <v>1.956954923493564E-4</v>
      </c>
      <c r="J96" s="98">
        <v>1.9569549234935701E-5</v>
      </c>
      <c r="K96" s="98">
        <v>1.34715267052615E-6</v>
      </c>
      <c r="L96" s="98">
        <v>0</v>
      </c>
      <c r="M96" s="98">
        <v>2.2105314722E-13</v>
      </c>
      <c r="N96" s="98">
        <v>1.5684146409999999E-6</v>
      </c>
      <c r="O96" s="98"/>
      <c r="P96" s="98"/>
      <c r="Q96" s="13"/>
      <c r="R96" s="143">
        <f>'Parameters, country spec'!I21</f>
        <v>0</v>
      </c>
    </row>
    <row r="97" spans="1:19" x14ac:dyDescent="0.35">
      <c r="B97" s="17" t="s">
        <v>177</v>
      </c>
      <c r="C97" s="16" t="s">
        <v>374</v>
      </c>
      <c r="D97" s="22" t="s">
        <v>450</v>
      </c>
      <c r="E97" s="22"/>
      <c r="F97" s="120">
        <f>SUM(G97:P97)</f>
        <v>6.713768539130542E-4</v>
      </c>
      <c r="G97" s="32">
        <f>'Off-farm feed'!$F$77</f>
        <v>1.946970439026595E-4</v>
      </c>
      <c r="H97" s="32">
        <f>'Off-farm feed'!$G$77</f>
        <v>5.3103448275862083E-7</v>
      </c>
      <c r="I97" s="32">
        <f>'Off-farm feed'!$H$77</f>
        <v>4.2751561806777074E-4</v>
      </c>
      <c r="J97" s="32">
        <f>'Off-farm feed'!$I$77</f>
        <v>4.2751561806777089E-5</v>
      </c>
      <c r="K97" s="32">
        <f>'Off-farm feed'!$J$77</f>
        <v>6.6339607025480414E-7</v>
      </c>
      <c r="L97" s="32"/>
      <c r="M97" s="32">
        <f>'Off-farm feed'!$L$77</f>
        <v>7.9511067188965511E-9</v>
      </c>
      <c r="N97" s="32">
        <f>'Off-farm feed'!$M$77</f>
        <v>1.2789681892721844E-6</v>
      </c>
      <c r="O97" s="32"/>
      <c r="P97" s="32">
        <f>'Off-farm feed'!$O$77</f>
        <v>3.9312802868423825E-6</v>
      </c>
      <c r="Q97" s="32">
        <f>'Off-farm feed'!$P$77</f>
        <v>1.8277027027027027E-6</v>
      </c>
      <c r="R97" s="143">
        <f>'Parameters, country spec'!I22</f>
        <v>5.2461984284283551E-2</v>
      </c>
    </row>
    <row r="98" spans="1:19" x14ac:dyDescent="0.35">
      <c r="B98" s="17" t="s">
        <v>375</v>
      </c>
      <c r="C98" s="16" t="s">
        <v>374</v>
      </c>
      <c r="D98" s="22" t="s">
        <v>426</v>
      </c>
      <c r="E98" s="22"/>
      <c r="F98" s="120">
        <f>SUM(G98:P98)</f>
        <v>1.7957562860818722E-4</v>
      </c>
      <c r="G98" s="32">
        <f>'Off-farm feed'!$F$26</f>
        <v>1.6332109719061441E-5</v>
      </c>
      <c r="H98" s="32">
        <f>'Off-farm feed'!$G$26</f>
        <v>8.7195121951219526E-7</v>
      </c>
      <c r="I98" s="32">
        <f>'Off-farm feed'!$H$26</f>
        <v>1.3333449845358202E-4</v>
      </c>
      <c r="J98" s="32">
        <f>'Off-farm feed'!$I$26</f>
        <v>1.3333449845358203E-5</v>
      </c>
      <c r="K98" s="32">
        <f>'Off-farm feed'!$J$26</f>
        <v>1.1576736579983931E-6</v>
      </c>
      <c r="L98" s="32"/>
      <c r="M98" s="32">
        <f>'Off-farm feed'!$L$26</f>
        <v>7.3437786087804866E-9</v>
      </c>
      <c r="N98" s="32">
        <f>'Off-farm feed'!$M$26</f>
        <v>1.1195281639512197E-6</v>
      </c>
      <c r="O98" s="32"/>
      <c r="P98" s="32">
        <f>'Off-farm feed'!$O$26</f>
        <v>1.3419073770114991E-5</v>
      </c>
      <c r="Q98" s="32">
        <f>'Off-farm feed'!$P$26</f>
        <v>9.087837837837838E-6</v>
      </c>
      <c r="R98" s="143">
        <f>'Parameters, country spec'!I23</f>
        <v>6.7752088819631406E-2</v>
      </c>
    </row>
    <row r="99" spans="1:19" x14ac:dyDescent="0.35">
      <c r="B99" s="16" t="s">
        <v>181</v>
      </c>
      <c r="C99" s="16" t="s">
        <v>376</v>
      </c>
      <c r="D99" s="22" t="s">
        <v>32</v>
      </c>
      <c r="E99" s="22" t="s">
        <v>90</v>
      </c>
      <c r="F99" s="157">
        <f>SUM(G99:Q99)</f>
        <v>8.2639285976818797E-5</v>
      </c>
      <c r="G99" s="98">
        <v>2.0546216716363599E-6</v>
      </c>
      <c r="H99" s="98">
        <v>9.9E-8</v>
      </c>
      <c r="I99" s="98">
        <v>5.0990658766337112E-5</v>
      </c>
      <c r="J99">
        <v>5.0990658766337097E-6</v>
      </c>
      <c r="K99" s="98">
        <v>5.6190643181637003E-8</v>
      </c>
      <c r="L99">
        <v>0</v>
      </c>
      <c r="M99">
        <v>0</v>
      </c>
      <c r="N99" s="13">
        <v>1.4115731769000001E-7</v>
      </c>
      <c r="O99" s="13"/>
      <c r="P99" s="98">
        <v>2.3492890101997999E-5</v>
      </c>
      <c r="Q99" s="98">
        <v>7.0570159934197997E-7</v>
      </c>
      <c r="R99" s="143">
        <f>'Parameters, country spec'!I24</f>
        <v>7.382094479672017E-3</v>
      </c>
      <c r="S99" t="s">
        <v>475</v>
      </c>
    </row>
    <row r="100" spans="1:19" x14ac:dyDescent="0.35">
      <c r="A100" s="80"/>
      <c r="B100" s="16" t="s">
        <v>377</v>
      </c>
      <c r="C100" s="81" t="s">
        <v>378</v>
      </c>
      <c r="D100" s="22" t="s">
        <v>32</v>
      </c>
      <c r="E100" s="22" t="s">
        <v>90</v>
      </c>
      <c r="F100" s="158">
        <f>SUM(G100:Q100)</f>
        <v>4.8618586377020221E-4</v>
      </c>
      <c r="G100" s="79">
        <f>AVERAGE(G90:G98)</f>
        <v>3.5627549825709826E-5</v>
      </c>
      <c r="H100" s="79">
        <f>AVERAGE(H90:H98)</f>
        <v>1.0114428558078684E-6</v>
      </c>
      <c r="I100" s="79">
        <f>AVERAGE(I90:I98)</f>
        <v>4.0640365270895444E-4</v>
      </c>
      <c r="J100" s="79">
        <f>AVERAGE(J90:J98)</f>
        <v>4.0640365270895457E-5</v>
      </c>
      <c r="K100" s="79">
        <f>AVERAGE(K90:K98)</f>
        <v>1.0123075564088716E-6</v>
      </c>
      <c r="L100" s="79"/>
      <c r="M100" s="79">
        <f>AVERAGE(M90:M98)</f>
        <v>3.0341321243195044E-8</v>
      </c>
      <c r="N100" s="79">
        <f>AVERAGE(N90:N98)</f>
        <v>1.4602042311826004E-6</v>
      </c>
      <c r="O100" s="79"/>
      <c r="P100" s="79"/>
      <c r="Q100" s="79"/>
      <c r="R100" s="143">
        <f>'Parameters, country spec'!I25</f>
        <v>0.15181409614428171</v>
      </c>
    </row>
    <row r="101" spans="1:19" x14ac:dyDescent="0.35">
      <c r="A101" s="142"/>
      <c r="B101" s="24" t="s">
        <v>379</v>
      </c>
      <c r="C101" s="25"/>
      <c r="D101" s="99"/>
      <c r="E101" s="99"/>
      <c r="F101" s="45">
        <f t="shared" ref="F101:O101" si="15">SUMPRODUCT(F90:F100,$R$90:$R$100)</f>
        <v>5.365625059371332E-4</v>
      </c>
      <c r="G101" s="45">
        <f t="shared" si="15"/>
        <v>3.130885744074651E-5</v>
      </c>
      <c r="H101" s="45">
        <f t="shared" si="15"/>
        <v>1.0338664593685662E-6</v>
      </c>
      <c r="I101" s="45">
        <f t="shared" si="15"/>
        <v>4.5519773068738946E-4</v>
      </c>
      <c r="J101" s="45">
        <f t="shared" si="15"/>
        <v>4.551977306873897E-5</v>
      </c>
      <c r="K101" s="45">
        <f t="shared" si="15"/>
        <v>6.9746431011455032E-7</v>
      </c>
      <c r="L101" s="45">
        <f t="shared" si="15"/>
        <v>0</v>
      </c>
      <c r="M101" s="45">
        <f t="shared" si="15"/>
        <v>1.4911942617418243E-8</v>
      </c>
      <c r="N101" s="45">
        <f t="shared" si="15"/>
        <v>1.495852695368064E-6</v>
      </c>
      <c r="O101" s="45">
        <f t="shared" si="15"/>
        <v>0</v>
      </c>
      <c r="P101" s="45">
        <f>SUMPRODUCT(P90:P100,R90:R100)</f>
        <v>1.2888397769089567E-6</v>
      </c>
      <c r="Q101" s="45">
        <f>SUMPRODUCT(Q90:Q100,$R$90:$R$100)</f>
        <v>7.1681446271392607E-7</v>
      </c>
      <c r="R101" s="144"/>
    </row>
    <row r="102" spans="1:19" x14ac:dyDescent="0.35">
      <c r="A102" s="21" t="s">
        <v>365</v>
      </c>
      <c r="B102" s="16" t="s">
        <v>168</v>
      </c>
      <c r="C102" s="16" t="s">
        <v>366</v>
      </c>
      <c r="D102" s="22" t="s">
        <v>30</v>
      </c>
      <c r="E102" s="22" t="s">
        <v>91</v>
      </c>
      <c r="F102" s="271">
        <f t="shared" ref="F102:F108" si="16">SUM(G102:Q102)</f>
        <v>7.6696358474400187E-4</v>
      </c>
      <c r="G102" s="272">
        <v>2.6533375174134799E-5</v>
      </c>
      <c r="H102" s="273">
        <v>1.1000000000000001E-6</v>
      </c>
      <c r="I102" s="276">
        <v>6.6964096180350803E-4</v>
      </c>
      <c r="J102" s="276">
        <v>6.6964096180350798E-5</v>
      </c>
      <c r="K102" s="276">
        <v>1.2035756853396901E-6</v>
      </c>
      <c r="L102" s="276">
        <v>0</v>
      </c>
      <c r="M102" s="276">
        <v>4.0468638400000002E-14</v>
      </c>
      <c r="N102" s="276">
        <v>1.5215758602E-6</v>
      </c>
      <c r="O102" s="276"/>
      <c r="P102" s="276"/>
      <c r="Q102" s="275"/>
      <c r="R102" s="143">
        <f>'Parameters, country spec'!J15</f>
        <v>0.2173795631525704</v>
      </c>
    </row>
    <row r="103" spans="1:19" x14ac:dyDescent="0.35">
      <c r="A103" s="21" t="s">
        <v>367</v>
      </c>
      <c r="B103" s="16" t="s">
        <v>170</v>
      </c>
      <c r="C103" s="16" t="s">
        <v>366</v>
      </c>
      <c r="D103" s="22" t="s">
        <v>30</v>
      </c>
      <c r="E103" s="22" t="s">
        <v>91</v>
      </c>
      <c r="F103" s="157">
        <f t="shared" si="16"/>
        <v>6.1017364080065493E-4</v>
      </c>
      <c r="G103" s="96">
        <v>2.2376108534218499E-5</v>
      </c>
      <c r="H103" s="97">
        <v>1.1000000000000001E-6</v>
      </c>
      <c r="I103" s="98">
        <v>5.3142748224594837E-4</v>
      </c>
      <c r="J103" s="98">
        <v>5.3142748224594797E-5</v>
      </c>
      <c r="K103" s="98">
        <v>6.0234873056705096E-7</v>
      </c>
      <c r="L103" s="98">
        <v>0</v>
      </c>
      <c r="M103" s="98">
        <v>3.3772051261859101E-9</v>
      </c>
      <c r="N103" s="98">
        <v>1.5215758602E-6</v>
      </c>
      <c r="O103" s="98"/>
      <c r="P103" s="98"/>
      <c r="Q103" s="13"/>
      <c r="R103" s="143">
        <f>'Parameters, country spec'!J16</f>
        <v>0.29778613267856158</v>
      </c>
    </row>
    <row r="104" spans="1:19" x14ac:dyDescent="0.35">
      <c r="A104" s="21" t="s">
        <v>368</v>
      </c>
      <c r="B104" s="16" t="s">
        <v>171</v>
      </c>
      <c r="C104" s="16" t="s">
        <v>366</v>
      </c>
      <c r="D104" s="22" t="s">
        <v>30</v>
      </c>
      <c r="E104" s="22" t="s">
        <v>91</v>
      </c>
      <c r="F104" s="157">
        <f t="shared" si="16"/>
        <v>7.7542919636243814E-4</v>
      </c>
      <c r="G104" s="96">
        <v>2.74338362257975E-5</v>
      </c>
      <c r="H104" s="97">
        <v>1.1000000000000001E-6</v>
      </c>
      <c r="I104" s="98">
        <v>6.7618533197909996E-4</v>
      </c>
      <c r="J104" s="98">
        <v>6.7618533197909994E-5</v>
      </c>
      <c r="K104" s="98">
        <v>1.5699189230533901E-6</v>
      </c>
      <c r="L104" s="98">
        <v>0</v>
      </c>
      <c r="M104" s="98">
        <v>1.7637740003599999E-13</v>
      </c>
      <c r="N104" s="98">
        <v>1.5215758602E-6</v>
      </c>
      <c r="O104" s="98"/>
      <c r="P104" s="98"/>
      <c r="Q104" s="13"/>
      <c r="R104" s="143">
        <f>'Parameters, country spec'!J17</f>
        <v>6.5103880953803588E-3</v>
      </c>
    </row>
    <row r="105" spans="1:19" x14ac:dyDescent="0.35">
      <c r="A105" s="21" t="s">
        <v>369</v>
      </c>
      <c r="B105" s="16" t="s">
        <v>172</v>
      </c>
      <c r="C105" s="16" t="s">
        <v>366</v>
      </c>
      <c r="D105" s="22" t="s">
        <v>30</v>
      </c>
      <c r="E105" s="22" t="s">
        <v>91</v>
      </c>
      <c r="F105" s="157">
        <f t="shared" si="16"/>
        <v>9.1547339181212797E-4</v>
      </c>
      <c r="G105" s="96">
        <v>3.34732159669112E-5</v>
      </c>
      <c r="H105" s="97">
        <v>1.1000000000000001E-6</v>
      </c>
      <c r="I105" s="98">
        <v>7.9806933701305092E-4</v>
      </c>
      <c r="J105" s="98">
        <v>7.9806933701305198E-5</v>
      </c>
      <c r="K105" s="98">
        <v>1.5023292575201099E-6</v>
      </c>
      <c r="L105" s="98">
        <v>0</v>
      </c>
      <c r="M105" s="98">
        <v>1.3140560710799999E-14</v>
      </c>
      <c r="N105" s="98">
        <v>1.5215758602E-6</v>
      </c>
      <c r="O105" s="98"/>
      <c r="P105" s="98"/>
      <c r="Q105" s="13"/>
      <c r="R105" s="143">
        <f>'Parameters, country spec'!J18</f>
        <v>8.5001790646556635E-2</v>
      </c>
    </row>
    <row r="106" spans="1:19" x14ac:dyDescent="0.35">
      <c r="A106" s="21" t="s">
        <v>370</v>
      </c>
      <c r="B106" s="16" t="s">
        <v>173</v>
      </c>
      <c r="C106" s="16" t="s">
        <v>366</v>
      </c>
      <c r="D106" s="22" t="s">
        <v>30</v>
      </c>
      <c r="E106" s="22" t="s">
        <v>91</v>
      </c>
      <c r="F106" s="157">
        <f t="shared" si="16"/>
        <v>9.7067859991607406E-4</v>
      </c>
      <c r="G106" s="96">
        <v>3.5903303170938602E-5</v>
      </c>
      <c r="H106" s="97">
        <v>1.1000000000000001E-6</v>
      </c>
      <c r="I106" s="98">
        <v>8.4650285551226103E-4</v>
      </c>
      <c r="J106" s="98">
        <v>8.4650285551226095E-5</v>
      </c>
      <c r="K106" s="98">
        <v>1.00057981336048E-6</v>
      </c>
      <c r="L106" s="98">
        <v>0</v>
      </c>
      <c r="M106" s="98">
        <v>8.0878203452000004E-15</v>
      </c>
      <c r="N106" s="98">
        <v>1.5215758602E-6</v>
      </c>
      <c r="O106" s="98"/>
      <c r="P106" s="98"/>
      <c r="Q106" s="13"/>
      <c r="R106" s="143">
        <f>'Parameters, country spec'!J19</f>
        <v>0.34177560689413961</v>
      </c>
    </row>
    <row r="107" spans="1:19" x14ac:dyDescent="0.35">
      <c r="A107" s="21" t="s">
        <v>371</v>
      </c>
      <c r="B107" s="16" t="s">
        <v>174</v>
      </c>
      <c r="C107" s="16" t="s">
        <v>372</v>
      </c>
      <c r="D107" s="22" t="s">
        <v>30</v>
      </c>
      <c r="E107" s="22" t="s">
        <v>91</v>
      </c>
      <c r="F107" s="157">
        <f t="shared" si="16"/>
        <v>2.0790138888415369E-4</v>
      </c>
      <c r="G107" s="96">
        <v>0</v>
      </c>
      <c r="H107" s="97">
        <v>1.1000000000000001E-6</v>
      </c>
      <c r="I107" s="98">
        <v>1.8457295999999999E-4</v>
      </c>
      <c r="J107" s="98">
        <v>1.8457295999999999E-5</v>
      </c>
      <c r="K107" s="98">
        <v>2.2494532199271001E-6</v>
      </c>
      <c r="L107" s="98">
        <v>0</v>
      </c>
      <c r="M107" s="98">
        <v>1.038040266076E-10</v>
      </c>
      <c r="N107" s="98">
        <v>1.5215758602E-6</v>
      </c>
      <c r="O107" s="98"/>
      <c r="P107" s="98"/>
      <c r="Q107" s="13"/>
      <c r="R107" s="143">
        <f>'Parameters, country spec'!J20</f>
        <v>8.3086315099621146E-4</v>
      </c>
    </row>
    <row r="108" spans="1:19" x14ac:dyDescent="0.35">
      <c r="A108" s="21" t="s">
        <v>373</v>
      </c>
      <c r="B108" s="16" t="s">
        <v>175</v>
      </c>
      <c r="C108" s="16" t="s">
        <v>372</v>
      </c>
      <c r="D108" s="22" t="s">
        <v>30</v>
      </c>
      <c r="E108" s="22" t="s">
        <v>91</v>
      </c>
      <c r="F108" s="157">
        <f t="shared" si="16"/>
        <v>2.2514369738538717E-4</v>
      </c>
      <c r="G108" s="96">
        <v>8.9196149290068503E-7</v>
      </c>
      <c r="H108" s="97">
        <v>1.1000000000000001E-6</v>
      </c>
      <c r="I108" s="98">
        <v>1.9989721070580411E-4</v>
      </c>
      <c r="J108" s="98">
        <v>1.9989721070580399E-5</v>
      </c>
      <c r="K108" s="98">
        <v>1.74315622218462E-6</v>
      </c>
      <c r="L108" s="98">
        <v>0</v>
      </c>
      <c r="M108" s="98">
        <v>7.2033717345296003E-11</v>
      </c>
      <c r="N108" s="98">
        <v>1.5215758602E-6</v>
      </c>
      <c r="O108" s="98"/>
      <c r="P108" s="98"/>
      <c r="Q108" s="13"/>
      <c r="R108" s="143">
        <f>'Parameters, country spec'!J21</f>
        <v>8.1618141653563262E-4</v>
      </c>
    </row>
    <row r="109" spans="1:19" x14ac:dyDescent="0.35">
      <c r="B109" s="17" t="s">
        <v>177</v>
      </c>
      <c r="C109" s="16" t="s">
        <v>374</v>
      </c>
      <c r="D109" s="22" t="s">
        <v>450</v>
      </c>
      <c r="E109" s="22"/>
      <c r="F109" s="120">
        <f>SUM(G109:P109)</f>
        <v>6.713768539130542E-4</v>
      </c>
      <c r="G109" s="32">
        <f>'Off-farm feed'!$F$77</f>
        <v>1.946970439026595E-4</v>
      </c>
      <c r="H109" s="32">
        <f>'Off-farm feed'!$G$77</f>
        <v>5.3103448275862083E-7</v>
      </c>
      <c r="I109" s="32">
        <f>'Off-farm feed'!$H$77</f>
        <v>4.2751561806777074E-4</v>
      </c>
      <c r="J109" s="32">
        <f>'Off-farm feed'!$I$77</f>
        <v>4.2751561806777089E-5</v>
      </c>
      <c r="K109" s="32">
        <f>'Off-farm feed'!$J$77</f>
        <v>6.6339607025480414E-7</v>
      </c>
      <c r="L109" s="32"/>
      <c r="M109" s="32">
        <f>'Off-farm feed'!$L$77</f>
        <v>7.9511067188965511E-9</v>
      </c>
      <c r="N109" s="32">
        <f>'Off-farm feed'!$M$77</f>
        <v>1.2789681892721844E-6</v>
      </c>
      <c r="O109" s="32"/>
      <c r="P109" s="32">
        <f>'Off-farm feed'!$O$77</f>
        <v>3.9312802868423825E-6</v>
      </c>
      <c r="Q109" s="32">
        <f>'Off-farm feed'!$P$77</f>
        <v>1.8277027027027027E-6</v>
      </c>
      <c r="R109" s="143">
        <f>'Parameters, country spec'!J22</f>
        <v>5.988480966048656E-3</v>
      </c>
    </row>
    <row r="110" spans="1:19" x14ac:dyDescent="0.35">
      <c r="B110" s="17" t="s">
        <v>375</v>
      </c>
      <c r="C110" s="16" t="s">
        <v>374</v>
      </c>
      <c r="D110" s="22" t="s">
        <v>426</v>
      </c>
      <c r="E110" s="22"/>
      <c r="F110" s="120">
        <f>SUM(G110:P110)</f>
        <v>1.7957562860818722E-4</v>
      </c>
      <c r="G110" s="32">
        <f>'Off-farm feed'!$F$26</f>
        <v>1.6332109719061441E-5</v>
      </c>
      <c r="H110" s="32">
        <f>'Off-farm feed'!$G$26</f>
        <v>8.7195121951219526E-7</v>
      </c>
      <c r="I110" s="32">
        <f>'Off-farm feed'!$H$26</f>
        <v>1.3333449845358202E-4</v>
      </c>
      <c r="J110" s="32">
        <f>'Off-farm feed'!$I$26</f>
        <v>1.3333449845358203E-5</v>
      </c>
      <c r="K110" s="32">
        <f>'Off-farm feed'!$J$26</f>
        <v>1.1576736579983931E-6</v>
      </c>
      <c r="L110" s="32"/>
      <c r="M110" s="32">
        <f>'Off-farm feed'!$L$26</f>
        <v>7.3437786087804866E-9</v>
      </c>
      <c r="N110" s="32">
        <f>'Off-farm feed'!$M$26</f>
        <v>1.1195281639512197E-6</v>
      </c>
      <c r="O110" s="32"/>
      <c r="P110" s="32">
        <f>'Off-farm feed'!$O$26</f>
        <v>1.3419073770114991E-5</v>
      </c>
      <c r="Q110" s="32">
        <f>'Off-farm feed'!$P$26</f>
        <v>9.087837837837838E-6</v>
      </c>
      <c r="R110" s="143">
        <f>'Parameters, country spec'!J23</f>
        <v>2.088761505982905E-2</v>
      </c>
    </row>
    <row r="111" spans="1:19" x14ac:dyDescent="0.35">
      <c r="B111" s="16" t="s">
        <v>181</v>
      </c>
      <c r="C111" s="16" t="s">
        <v>376</v>
      </c>
      <c r="D111" s="22" t="s">
        <v>30</v>
      </c>
      <c r="E111" s="22" t="s">
        <v>91</v>
      </c>
      <c r="F111" s="157">
        <f>SUM(G111:Q111)</f>
        <v>1.0756621758759058E-4</v>
      </c>
      <c r="G111" s="98">
        <v>3.23129728538447E-6</v>
      </c>
      <c r="H111" s="98">
        <v>9.9E-8</v>
      </c>
      <c r="I111" s="98">
        <v>7.6185256996103506E-5</v>
      </c>
      <c r="J111">
        <v>7.6185256996103501E-6</v>
      </c>
      <c r="K111" s="98">
        <v>9.0052183202443105E-8</v>
      </c>
      <c r="L111">
        <v>0</v>
      </c>
      <c r="M111">
        <v>7.2790383106799998E-16</v>
      </c>
      <c r="N111" s="13">
        <v>1.36941827418E-7</v>
      </c>
      <c r="O111" s="13"/>
      <c r="P111" s="98">
        <v>1.9943224185242898E-5</v>
      </c>
      <c r="Q111" s="98">
        <v>2.6191940990099401E-7</v>
      </c>
      <c r="R111" s="143">
        <f>'Parameters, country spec'!J24</f>
        <v>1.0222176972034411E-2</v>
      </c>
    </row>
    <row r="112" spans="1:19" x14ac:dyDescent="0.35">
      <c r="A112" s="80"/>
      <c r="B112" s="16" t="s">
        <v>377</v>
      </c>
      <c r="C112" s="81" t="s">
        <v>378</v>
      </c>
      <c r="D112" s="22" t="s">
        <v>30</v>
      </c>
      <c r="E112" s="22" t="s">
        <v>91</v>
      </c>
      <c r="F112" s="158">
        <f>SUM(G112:Q112)</f>
        <v>5.8948506981879132E-4</v>
      </c>
      <c r="G112" s="79">
        <f>AVERAGE(G102:G110)</f>
        <v>3.9737883798513583E-5</v>
      </c>
      <c r="H112" s="79">
        <f>AVERAGE(H102:H110)</f>
        <v>1.0114428558078684E-6</v>
      </c>
      <c r="I112" s="79">
        <f>AVERAGE(I102:I110)</f>
        <v>4.9634958397566957E-4</v>
      </c>
      <c r="J112" s="79">
        <f>AVERAGE(J102:J110)</f>
        <v>4.9634958397566955E-5</v>
      </c>
      <c r="K112" s="79">
        <f>AVERAGE(K102:K110)</f>
        <v>1.299159064467293E-6</v>
      </c>
      <c r="L112" s="79"/>
      <c r="M112" s="79">
        <f>AVERAGE(M102:M110)</f>
        <v>2.0942406969150372E-9</v>
      </c>
      <c r="N112" s="79">
        <f>AVERAGE(N102:N110)</f>
        <v>1.4499474860692671E-6</v>
      </c>
      <c r="O112" s="79"/>
      <c r="P112" s="79"/>
      <c r="Q112" s="79"/>
      <c r="R112" s="143">
        <f>'Parameters, country spec'!J25</f>
        <v>1.2801200967347369E-2</v>
      </c>
    </row>
    <row r="113" spans="1:18" x14ac:dyDescent="0.35">
      <c r="A113" s="142"/>
      <c r="B113" s="24" t="s">
        <v>379</v>
      </c>
      <c r="C113" s="25"/>
      <c r="D113" s="99"/>
      <c r="E113" s="99"/>
      <c r="F113" s="45">
        <f t="shared" ref="F113:O113" si="17">SUMPRODUCT(F102:F112,$R$102:$R$112)</f>
        <v>7.7981655552810455E-4</v>
      </c>
      <c r="G113" s="45">
        <f t="shared" si="17"/>
        <v>2.977539967063136E-5</v>
      </c>
      <c r="H113" s="45">
        <f t="shared" si="17"/>
        <v>1.0804633287390649E-6</v>
      </c>
      <c r="I113" s="45">
        <f t="shared" si="17"/>
        <v>6.7816593933848872E-4</v>
      </c>
      <c r="J113" s="45">
        <f t="shared" si="17"/>
        <v>6.7816593933848855E-5</v>
      </c>
      <c r="K113" s="45">
        <f t="shared" si="17"/>
        <v>9.6989590875823383E-7</v>
      </c>
      <c r="L113" s="45">
        <f t="shared" si="17"/>
        <v>0</v>
      </c>
      <c r="M113" s="45">
        <f t="shared" si="17"/>
        <v>1.233661595228286E-9</v>
      </c>
      <c r="N113" s="45">
        <f t="shared" si="17"/>
        <v>1.4966542879286845E-6</v>
      </c>
      <c r="O113" s="45">
        <f t="shared" si="17"/>
        <v>0</v>
      </c>
      <c r="P113" s="45">
        <f>SUMPRODUCT(P102:P112,R102:R112)</f>
        <v>5.0769801155407846E-7</v>
      </c>
      <c r="Q113" s="45">
        <f>SUMPRODUCT(Q102:Q112,$R$102:$R$112)</f>
        <v>2.0344580789005549E-7</v>
      </c>
      <c r="R113" s="144"/>
    </row>
    <row r="114" spans="1:18" x14ac:dyDescent="0.35">
      <c r="A114" s="21" t="s">
        <v>365</v>
      </c>
      <c r="B114" s="16" t="s">
        <v>168</v>
      </c>
      <c r="C114" s="16" t="s">
        <v>366</v>
      </c>
      <c r="D114" s="22" t="s">
        <v>38</v>
      </c>
      <c r="E114" s="22" t="s">
        <v>92</v>
      </c>
      <c r="F114" s="271">
        <f t="shared" ref="F114:F120" si="18">SUM(G114:Q114)</f>
        <v>7.5793369764586287E-4</v>
      </c>
      <c r="G114" s="272">
        <v>1.6656438537736301E-5</v>
      </c>
      <c r="H114" s="273">
        <v>1.1000000000000001E-6</v>
      </c>
      <c r="I114" s="276">
        <v>6.7006907764630402E-4</v>
      </c>
      <c r="J114" s="276">
        <v>6.7006907764630393E-5</v>
      </c>
      <c r="K114" s="276">
        <v>1.64848484848485E-6</v>
      </c>
      <c r="L114" s="276">
        <v>0</v>
      </c>
      <c r="M114" s="276">
        <v>4.0461011107327797E-8</v>
      </c>
      <c r="N114" s="276">
        <v>1.4123278375999999E-6</v>
      </c>
      <c r="O114" s="276"/>
      <c r="P114" s="276"/>
      <c r="Q114" s="275"/>
      <c r="R114" s="143">
        <f>'Parameters, country spec'!K15</f>
        <v>0.25867404183720522</v>
      </c>
    </row>
    <row r="115" spans="1:18" x14ac:dyDescent="0.35">
      <c r="A115" s="21" t="s">
        <v>367</v>
      </c>
      <c r="B115" s="16" t="s">
        <v>170</v>
      </c>
      <c r="C115" s="16" t="s">
        <v>366</v>
      </c>
      <c r="D115" s="22" t="s">
        <v>38</v>
      </c>
      <c r="E115" s="22" t="s">
        <v>92</v>
      </c>
      <c r="F115" s="157">
        <f t="shared" si="18"/>
        <v>3.2230444816981531E-4</v>
      </c>
      <c r="G115" s="96">
        <v>6.0676976287880996E-6</v>
      </c>
      <c r="H115" s="97">
        <v>1.1000000000000001E-6</v>
      </c>
      <c r="I115" s="98">
        <v>2.8397749857393798E-4</v>
      </c>
      <c r="J115" s="98">
        <v>2.8397749857393802E-5</v>
      </c>
      <c r="K115" s="98">
        <v>3.5637667829090599E-7</v>
      </c>
      <c r="L115" s="98">
        <v>0</v>
      </c>
      <c r="M115" s="98">
        <v>9.9279759380455499E-7</v>
      </c>
      <c r="N115" s="98">
        <v>1.4123278375999999E-6</v>
      </c>
      <c r="O115" s="98"/>
      <c r="P115" s="98"/>
      <c r="Q115" s="13"/>
      <c r="R115" s="143">
        <f>'Parameters, country spec'!K16</f>
        <v>0.34116788941693649</v>
      </c>
    </row>
    <row r="116" spans="1:18" x14ac:dyDescent="0.35">
      <c r="A116" s="21" t="s">
        <v>368</v>
      </c>
      <c r="B116" s="16" t="s">
        <v>171</v>
      </c>
      <c r="C116" s="16" t="s">
        <v>366</v>
      </c>
      <c r="D116" s="22" t="s">
        <v>38</v>
      </c>
      <c r="E116" s="22" t="s">
        <v>92</v>
      </c>
      <c r="F116" s="157">
        <f t="shared" si="18"/>
        <v>8.2032664331825405E-4</v>
      </c>
      <c r="G116" s="96">
        <v>1.9268303553438E-5</v>
      </c>
      <c r="H116" s="97">
        <v>1.1000000000000001E-6</v>
      </c>
      <c r="I116" s="98">
        <v>7.2371036062986508E-4</v>
      </c>
      <c r="J116" s="98">
        <v>7.2371036062986502E-5</v>
      </c>
      <c r="K116" s="98">
        <v>2.4057808730306002E-6</v>
      </c>
      <c r="L116" s="98">
        <v>0</v>
      </c>
      <c r="M116" s="98">
        <v>5.8834361333881001E-8</v>
      </c>
      <c r="N116" s="98">
        <v>1.4123278375999999E-6</v>
      </c>
      <c r="O116" s="98"/>
      <c r="P116" s="98"/>
      <c r="Q116" s="13"/>
      <c r="R116" s="143">
        <f>'Parameters, country spec'!K17</f>
        <v>4.0331815431012892E-2</v>
      </c>
    </row>
    <row r="117" spans="1:18" x14ac:dyDescent="0.35">
      <c r="A117" s="21" t="s">
        <v>369</v>
      </c>
      <c r="B117" s="16" t="s">
        <v>172</v>
      </c>
      <c r="C117" s="16" t="s">
        <v>366</v>
      </c>
      <c r="D117" s="22" t="s">
        <v>38</v>
      </c>
      <c r="E117" s="22" t="s">
        <v>92</v>
      </c>
      <c r="F117" s="157">
        <f t="shared" si="18"/>
        <v>9.4685032492134531E-4</v>
      </c>
      <c r="G117" s="96">
        <v>2.3403482752626099E-5</v>
      </c>
      <c r="H117" s="97">
        <v>1.1000000000000001E-6</v>
      </c>
      <c r="I117" s="98">
        <v>8.3505960069387699E-4</v>
      </c>
      <c r="J117" s="98">
        <v>8.3505960069387699E-5</v>
      </c>
      <c r="K117" s="98">
        <v>2.2917649979166499E-6</v>
      </c>
      <c r="L117" s="98">
        <v>0</v>
      </c>
      <c r="M117" s="98">
        <v>7.7188569937927195E-8</v>
      </c>
      <c r="N117" s="98">
        <v>1.4123278375999999E-6</v>
      </c>
      <c r="O117" s="98"/>
      <c r="P117" s="98"/>
      <c r="Q117" s="13"/>
      <c r="R117" s="143">
        <f>'Parameters, country spec'!K18</f>
        <v>1.0645865256161581E-2</v>
      </c>
    </row>
    <row r="118" spans="1:18" x14ac:dyDescent="0.35">
      <c r="A118" s="21" t="s">
        <v>370</v>
      </c>
      <c r="B118" s="16" t="s">
        <v>173</v>
      </c>
      <c r="C118" s="16" t="s">
        <v>366</v>
      </c>
      <c r="D118" s="22" t="s">
        <v>38</v>
      </c>
      <c r="E118" s="22" t="s">
        <v>92</v>
      </c>
      <c r="F118" s="157">
        <f t="shared" si="18"/>
        <v>9.9422818122045834E-4</v>
      </c>
      <c r="G118" s="96">
        <v>2.50158305670159E-5</v>
      </c>
      <c r="H118" s="97">
        <v>1.1000000000000001E-6</v>
      </c>
      <c r="I118" s="98">
        <v>8.7739061438280193E-4</v>
      </c>
      <c r="J118" s="98">
        <v>8.7739061438280199E-5</v>
      </c>
      <c r="K118" s="98">
        <v>1.5210873786407801E-6</v>
      </c>
      <c r="L118" s="98">
        <v>0</v>
      </c>
      <c r="M118" s="98">
        <v>4.92596161193171E-8</v>
      </c>
      <c r="N118" s="98">
        <v>1.4123278375999999E-6</v>
      </c>
      <c r="O118" s="98"/>
      <c r="P118" s="98"/>
      <c r="Q118" s="13"/>
      <c r="R118" s="143">
        <f>'Parameters, country spec'!K19</f>
        <v>0.21912340485214171</v>
      </c>
    </row>
    <row r="119" spans="1:18" x14ac:dyDescent="0.35">
      <c r="A119" s="21" t="s">
        <v>371</v>
      </c>
      <c r="B119" s="16" t="s">
        <v>174</v>
      </c>
      <c r="C119" s="16" t="s">
        <v>372</v>
      </c>
      <c r="D119" s="22" t="s">
        <v>38</v>
      </c>
      <c r="E119" s="22" t="s">
        <v>92</v>
      </c>
      <c r="F119" s="157">
        <f t="shared" si="18"/>
        <v>3.4494332405198534E-4</v>
      </c>
      <c r="G119" s="96">
        <v>0</v>
      </c>
      <c r="H119" s="97">
        <v>1.1000000000000001E-6</v>
      </c>
      <c r="I119" s="98">
        <v>3.0762159999999999E-4</v>
      </c>
      <c r="J119" s="98">
        <v>3.0762159999999999E-5</v>
      </c>
      <c r="K119" s="98">
        <v>3.5726450367868798E-6</v>
      </c>
      <c r="L119" s="98">
        <v>0</v>
      </c>
      <c r="M119" s="98">
        <v>4.7459117759844598E-7</v>
      </c>
      <c r="N119" s="98">
        <v>1.4123278375999999E-6</v>
      </c>
      <c r="O119" s="98"/>
      <c r="P119" s="98"/>
      <c r="Q119" s="13"/>
      <c r="R119" s="143">
        <f>'Parameters, country spec'!K20</f>
        <v>3.4365153377819389E-3</v>
      </c>
    </row>
    <row r="120" spans="1:18" x14ac:dyDescent="0.35">
      <c r="A120" s="21" t="s">
        <v>373</v>
      </c>
      <c r="B120" s="16" t="s">
        <v>175</v>
      </c>
      <c r="C120" s="16" t="s">
        <v>372</v>
      </c>
      <c r="D120" s="22" t="s">
        <v>38</v>
      </c>
      <c r="E120" s="22" t="s">
        <v>92</v>
      </c>
      <c r="F120" s="157">
        <f t="shared" si="18"/>
        <v>3.6818817979115932E-4</v>
      </c>
      <c r="G120" s="96">
        <v>8.9627430212095202E-7</v>
      </c>
      <c r="H120" s="97">
        <v>1.1000000000000001E-6</v>
      </c>
      <c r="I120" s="98">
        <v>3.2767948955501999E-4</v>
      </c>
      <c r="J120" s="98">
        <v>3.2767948955502001E-5</v>
      </c>
      <c r="K120" s="98">
        <v>3.8216688707544397E-6</v>
      </c>
      <c r="L120" s="98">
        <v>0</v>
      </c>
      <c r="M120" s="98">
        <v>5.1047027016191603E-7</v>
      </c>
      <c r="N120" s="98">
        <v>1.4123278375999999E-6</v>
      </c>
      <c r="O120" s="98"/>
      <c r="P120" s="98"/>
      <c r="Q120" s="13"/>
      <c r="R120" s="143">
        <f>'Parameters, country spec'!K21</f>
        <v>3.3757905268185459E-3</v>
      </c>
    </row>
    <row r="121" spans="1:18" x14ac:dyDescent="0.35">
      <c r="B121" s="17" t="s">
        <v>177</v>
      </c>
      <c r="C121" s="16" t="s">
        <v>374</v>
      </c>
      <c r="D121" s="22" t="s">
        <v>450</v>
      </c>
      <c r="E121" s="22"/>
      <c r="F121" s="120">
        <f>SUM(G121:P121)</f>
        <v>6.713768539130542E-4</v>
      </c>
      <c r="G121" s="32">
        <f>'Off-farm feed'!$F$77</f>
        <v>1.946970439026595E-4</v>
      </c>
      <c r="H121" s="32">
        <f>'Off-farm feed'!$G$77</f>
        <v>5.3103448275862083E-7</v>
      </c>
      <c r="I121" s="32">
        <f>'Off-farm feed'!$H$77</f>
        <v>4.2751561806777074E-4</v>
      </c>
      <c r="J121" s="32">
        <f>'Off-farm feed'!$I$77</f>
        <v>4.2751561806777089E-5</v>
      </c>
      <c r="K121" s="32">
        <f>'Off-farm feed'!$J$77</f>
        <v>6.6339607025480414E-7</v>
      </c>
      <c r="L121" s="32"/>
      <c r="M121" s="32">
        <f>'Off-farm feed'!$L$77</f>
        <v>7.9511067188965511E-9</v>
      </c>
      <c r="N121" s="32">
        <f>'Off-farm feed'!$M$77</f>
        <v>1.2789681892721844E-6</v>
      </c>
      <c r="O121" s="32"/>
      <c r="P121" s="32">
        <f>'Off-farm feed'!$O$77</f>
        <v>3.9312802868423825E-6</v>
      </c>
      <c r="Q121" s="32">
        <f>'Off-farm feed'!$P$77</f>
        <v>1.8277027027027027E-6</v>
      </c>
      <c r="R121" s="143">
        <f>'Parameters, country spec'!K22</f>
        <v>9.9524742143764257E-3</v>
      </c>
    </row>
    <row r="122" spans="1:18" x14ac:dyDescent="0.35">
      <c r="B122" s="17" t="s">
        <v>375</v>
      </c>
      <c r="C122" s="16" t="s">
        <v>374</v>
      </c>
      <c r="D122" s="22" t="s">
        <v>426</v>
      </c>
      <c r="E122" s="22"/>
      <c r="F122" s="120">
        <f>SUM(G122:P122)</f>
        <v>1.7957562860818722E-4</v>
      </c>
      <c r="G122" s="32">
        <f>'Off-farm feed'!$F$26</f>
        <v>1.6332109719061441E-5</v>
      </c>
      <c r="H122" s="32">
        <f>'Off-farm feed'!$G$26</f>
        <v>8.7195121951219526E-7</v>
      </c>
      <c r="I122" s="32">
        <f>'Off-farm feed'!$H$26</f>
        <v>1.3333449845358202E-4</v>
      </c>
      <c r="J122" s="32">
        <f>'Off-farm feed'!$I$26</f>
        <v>1.3333449845358203E-5</v>
      </c>
      <c r="K122" s="32">
        <f>'Off-farm feed'!$J$26</f>
        <v>1.1576736579983931E-6</v>
      </c>
      <c r="L122" s="32"/>
      <c r="M122" s="32">
        <f>'Off-farm feed'!$L$26</f>
        <v>7.3437786087804866E-9</v>
      </c>
      <c r="N122" s="32">
        <f>'Off-farm feed'!$M$26</f>
        <v>1.1195281639512197E-6</v>
      </c>
      <c r="O122" s="32"/>
      <c r="P122" s="32">
        <f>'Off-farm feed'!$O$26</f>
        <v>1.3419073770114991E-5</v>
      </c>
      <c r="Q122" s="32">
        <f>'Off-farm feed'!$P$26</f>
        <v>9.087837837837838E-6</v>
      </c>
      <c r="R122" s="143">
        <f>'Parameters, country spec'!K23</f>
        <v>8.507721741542934E-2</v>
      </c>
    </row>
    <row r="123" spans="1:18" x14ac:dyDescent="0.35">
      <c r="B123" s="16" t="s">
        <v>181</v>
      </c>
      <c r="C123" s="16" t="s">
        <v>376</v>
      </c>
      <c r="D123" s="22" t="s">
        <v>38</v>
      </c>
      <c r="E123" s="22" t="s">
        <v>92</v>
      </c>
      <c r="F123" s="157">
        <f>SUM(G123:Q123)</f>
        <v>1.0933806362560572E-4</v>
      </c>
      <c r="G123" s="98">
        <v>2.2514247510314298E-6</v>
      </c>
      <c r="H123" s="98">
        <v>9.9E-8</v>
      </c>
      <c r="I123" s="98">
        <v>7.8965155294452198E-5</v>
      </c>
      <c r="J123">
        <v>7.8965155294452204E-6</v>
      </c>
      <c r="K123" s="98">
        <v>1.3689786407767001E-7</v>
      </c>
      <c r="L123">
        <v>0</v>
      </c>
      <c r="M123">
        <v>4.4333654507385397E-9</v>
      </c>
      <c r="N123" s="13">
        <v>1.2710950538399999E-7</v>
      </c>
      <c r="O123" s="13"/>
      <c r="P123" s="98">
        <v>1.3804343589274599E-5</v>
      </c>
      <c r="Q123" s="98">
        <v>6.0531837264898599E-6</v>
      </c>
      <c r="R123" s="143">
        <f>'Parameters, country spec'!K24</f>
        <v>1.307108167649881E-2</v>
      </c>
    </row>
    <row r="124" spans="1:18" x14ac:dyDescent="0.35">
      <c r="A124" s="80"/>
      <c r="B124" s="16" t="s">
        <v>377</v>
      </c>
      <c r="C124" s="81" t="s">
        <v>378</v>
      </c>
      <c r="D124" s="22" t="s">
        <v>38</v>
      </c>
      <c r="E124" s="22" t="s">
        <v>92</v>
      </c>
      <c r="F124" s="158">
        <f>SUM(G124:Q124)</f>
        <v>5.9870854750924051E-4</v>
      </c>
      <c r="G124" s="79">
        <f>AVERAGE(G114:G122)</f>
        <v>3.3593020107049586E-5</v>
      </c>
      <c r="H124" s="79">
        <f>AVERAGE(H114:H122)</f>
        <v>1.0114428558078684E-6</v>
      </c>
      <c r="I124" s="79">
        <f>AVERAGE(I114:I122)</f>
        <v>5.0959537311146203E-4</v>
      </c>
      <c r="J124" s="79">
        <f>AVERAGE(J114:J122)</f>
        <v>5.0959537311146217E-5</v>
      </c>
      <c r="K124" s="79">
        <f>AVERAGE(K114:K122)</f>
        <v>1.9376531569064777E-6</v>
      </c>
      <c r="L124" s="79"/>
      <c r="M124" s="79">
        <f>AVERAGE(M114:M122)</f>
        <v>2.4654416504344962E-7</v>
      </c>
      <c r="N124" s="79">
        <f>AVERAGE(N114:N122)</f>
        <v>1.3649768018248223E-6</v>
      </c>
      <c r="O124" s="79"/>
      <c r="P124" s="79"/>
      <c r="Q124" s="79"/>
      <c r="R124" s="143">
        <f>'Parameters, country spec'!K25</f>
        <v>1.5143904035636979E-2</v>
      </c>
    </row>
    <row r="125" spans="1:18" x14ac:dyDescent="0.35">
      <c r="A125" s="41"/>
      <c r="B125" s="42" t="s">
        <v>379</v>
      </c>
      <c r="C125" s="43"/>
      <c r="D125" s="44"/>
      <c r="E125" s="44"/>
      <c r="F125" s="45">
        <f t="shared" ref="F125:O125" si="19">SUMPRODUCT(F114:F124,$R$114:$R$124)</f>
        <v>6.0192560573006019E-4</v>
      </c>
      <c r="G125" s="45">
        <f t="shared" si="19"/>
        <v>1.6754913250701088E-5</v>
      </c>
      <c r="H125" s="45">
        <f t="shared" si="19"/>
        <v>1.0605103760304102E-6</v>
      </c>
      <c r="I125" s="45">
        <f t="shared" si="19"/>
        <v>5.270600973085644E-4</v>
      </c>
      <c r="J125" s="45">
        <f t="shared" si="19"/>
        <v>5.270600973085644E-5</v>
      </c>
      <c r="K125" s="45">
        <f t="shared" si="19"/>
        <v>1.1641434202673335E-6</v>
      </c>
      <c r="L125" s="45">
        <f t="shared" si="19"/>
        <v>0</v>
      </c>
      <c r="M125" s="45">
        <f t="shared" si="19"/>
        <v>3.7101513555448066E-7</v>
      </c>
      <c r="N125" s="45">
        <f t="shared" si="19"/>
        <v>1.3685737243102985E-6</v>
      </c>
      <c r="O125" s="45">
        <f t="shared" si="19"/>
        <v>0</v>
      </c>
      <c r="P125" s="45">
        <f>SUMPRODUCT(P114:P124,R114:R124)</f>
        <v>1.3612211248839042E-6</v>
      </c>
      <c r="Q125" s="45">
        <f>SUMPRODUCT(Q114:Q124,$R$114:$R$124)</f>
        <v>8.7047977847789216E-7</v>
      </c>
      <c r="R125" s="144"/>
    </row>
    <row r="126" spans="1:18" x14ac:dyDescent="0.35">
      <c r="A126" s="277" t="s">
        <v>365</v>
      </c>
      <c r="B126" s="261" t="s">
        <v>168</v>
      </c>
      <c r="C126" s="261" t="s">
        <v>366</v>
      </c>
      <c r="D126" s="278" t="s">
        <v>34</v>
      </c>
      <c r="E126" s="278" t="s">
        <v>93</v>
      </c>
      <c r="F126" s="271">
        <f t="shared" ref="F126:F132" si="20">SUM(G126:Q126)</f>
        <v>7.5143494997671485E-4</v>
      </c>
      <c r="G126" s="272">
        <v>3.4194516835659798E-5</v>
      </c>
      <c r="H126" s="273">
        <v>1.1000000000000001E-6</v>
      </c>
      <c r="I126" s="276">
        <v>6.4877223033503201E-4</v>
      </c>
      <c r="J126" s="276">
        <v>6.4877223033503201E-5</v>
      </c>
      <c r="K126" s="276">
        <v>1.1579237811979299E-6</v>
      </c>
      <c r="L126" s="276">
        <v>0</v>
      </c>
      <c r="M126" s="276">
        <v>4.1974921861488002E-11</v>
      </c>
      <c r="N126" s="276">
        <v>1.3330140164000001E-6</v>
      </c>
      <c r="O126" s="276"/>
      <c r="P126" s="276"/>
      <c r="Q126" s="275"/>
      <c r="R126" s="143">
        <f>'Parameters, country spec'!L15</f>
        <v>0.1343058366954886</v>
      </c>
    </row>
    <row r="127" spans="1:18" x14ac:dyDescent="0.35">
      <c r="A127" s="21" t="s">
        <v>367</v>
      </c>
      <c r="B127" s="16" t="s">
        <v>170</v>
      </c>
      <c r="C127" s="16" t="s">
        <v>366</v>
      </c>
      <c r="D127" s="22" t="s">
        <v>34</v>
      </c>
      <c r="E127" s="22" t="s">
        <v>93</v>
      </c>
      <c r="F127" s="157">
        <f t="shared" si="20"/>
        <v>6.0020470375904595E-4</v>
      </c>
      <c r="G127" s="96">
        <v>2.9011100690969499E-5</v>
      </c>
      <c r="H127" s="97">
        <v>1.1000000000000001E-6</v>
      </c>
      <c r="I127" s="98">
        <v>5.1652507889928044E-4</v>
      </c>
      <c r="J127" s="98">
        <v>5.1652507889928003E-5</v>
      </c>
      <c r="K127" s="98">
        <v>5.8300226246793003E-7</v>
      </c>
      <c r="L127" s="98">
        <v>0</v>
      </c>
      <c r="M127" s="98">
        <v>0</v>
      </c>
      <c r="N127" s="98">
        <v>1.3330140164000001E-6</v>
      </c>
      <c r="O127" s="98"/>
      <c r="P127" s="98"/>
      <c r="Q127" s="13"/>
      <c r="R127" s="143">
        <f>'Parameters, country spec'!L16</f>
        <v>5.9748696560920867E-3</v>
      </c>
    </row>
    <row r="128" spans="1:18" x14ac:dyDescent="0.35">
      <c r="A128" s="21" t="s">
        <v>368</v>
      </c>
      <c r="B128" s="16" t="s">
        <v>171</v>
      </c>
      <c r="C128" s="16" t="s">
        <v>366</v>
      </c>
      <c r="D128" s="22" t="s">
        <v>34</v>
      </c>
      <c r="E128" s="22" t="s">
        <v>93</v>
      </c>
      <c r="F128" s="157">
        <f t="shared" si="20"/>
        <v>6.5413213535696639E-4</v>
      </c>
      <c r="G128" s="96">
        <v>2.9531307160612801E-5</v>
      </c>
      <c r="H128" s="97">
        <v>1.1000000000000001E-6</v>
      </c>
      <c r="I128" s="98">
        <v>5.6446016405914097E-4</v>
      </c>
      <c r="J128" s="98">
        <v>5.6446016405914097E-5</v>
      </c>
      <c r="K128" s="98">
        <v>1.2615833469923E-6</v>
      </c>
      <c r="L128" s="98">
        <v>0</v>
      </c>
      <c r="M128" s="98">
        <v>5.0367906295404003E-11</v>
      </c>
      <c r="N128" s="98">
        <v>1.3330140164000001E-6</v>
      </c>
      <c r="O128" s="98"/>
      <c r="P128" s="98"/>
      <c r="Q128" s="13"/>
      <c r="R128" s="143">
        <f>'Parameters, country spec'!L17</f>
        <v>0.146104563813133</v>
      </c>
    </row>
    <row r="129" spans="1:18" x14ac:dyDescent="0.35">
      <c r="A129" s="21" t="s">
        <v>369</v>
      </c>
      <c r="B129" s="16" t="s">
        <v>172</v>
      </c>
      <c r="C129" s="16" t="s">
        <v>366</v>
      </c>
      <c r="D129" s="22" t="s">
        <v>34</v>
      </c>
      <c r="E129" s="22" t="s">
        <v>93</v>
      </c>
      <c r="F129" s="157">
        <f t="shared" si="20"/>
        <v>5.9725437088799249E-4</v>
      </c>
      <c r="G129" s="96">
        <v>2.6601012751935601E-5</v>
      </c>
      <c r="H129" s="97">
        <v>1.1000000000000001E-6</v>
      </c>
      <c r="I129" s="98">
        <v>5.1575370530733996E-4</v>
      </c>
      <c r="J129" s="98">
        <v>5.1575370530733998E-5</v>
      </c>
      <c r="K129" s="98">
        <v>8.9126828158292095E-7</v>
      </c>
      <c r="L129" s="98">
        <v>0</v>
      </c>
      <c r="M129" s="98">
        <v>0</v>
      </c>
      <c r="N129" s="98">
        <v>1.3330140164000001E-6</v>
      </c>
      <c r="O129" s="98"/>
      <c r="P129" s="98"/>
      <c r="Q129" s="13"/>
      <c r="R129" s="143">
        <f>'Parameters, country spec'!L18</f>
        <v>9.236749949865944E-5</v>
      </c>
    </row>
    <row r="130" spans="1:18" x14ac:dyDescent="0.35">
      <c r="A130" s="21" t="s">
        <v>370</v>
      </c>
      <c r="B130" s="16" t="s">
        <v>173</v>
      </c>
      <c r="C130" s="16" t="s">
        <v>366</v>
      </c>
      <c r="D130" s="22" t="s">
        <v>34</v>
      </c>
      <c r="E130" s="22" t="s">
        <v>93</v>
      </c>
      <c r="F130" s="157">
        <f t="shared" si="20"/>
        <v>8.1341848794026252E-4</v>
      </c>
      <c r="G130" s="96">
        <v>3.8715854793773698E-5</v>
      </c>
      <c r="H130" s="97">
        <v>1.1000000000000001E-6</v>
      </c>
      <c r="I130" s="98">
        <v>7.0133104566287802E-4</v>
      </c>
      <c r="J130" s="98">
        <v>7.0133104566287799E-5</v>
      </c>
      <c r="K130" s="98">
        <v>8.0546890092290805E-7</v>
      </c>
      <c r="L130" s="98">
        <v>0</v>
      </c>
      <c r="M130" s="98">
        <v>0</v>
      </c>
      <c r="N130" s="98">
        <v>1.3330140164000001E-6</v>
      </c>
      <c r="O130" s="98"/>
      <c r="P130" s="98"/>
      <c r="Q130" s="13"/>
      <c r="R130" s="143">
        <f>'Parameters, country spec'!L19</f>
        <v>0.58258426025934973</v>
      </c>
    </row>
    <row r="131" spans="1:18" x14ac:dyDescent="0.35">
      <c r="A131" s="21" t="s">
        <v>371</v>
      </c>
      <c r="B131" s="16" t="s">
        <v>174</v>
      </c>
      <c r="C131" s="16" t="s">
        <v>372</v>
      </c>
      <c r="D131" s="22" t="s">
        <v>34</v>
      </c>
      <c r="E131" s="22" t="s">
        <v>93</v>
      </c>
      <c r="F131" s="157">
        <f t="shared" si="20"/>
        <v>2.0727574098590296E-4</v>
      </c>
      <c r="G131" s="96">
        <v>0</v>
      </c>
      <c r="H131" s="97">
        <v>1.1000000000000001E-6</v>
      </c>
      <c r="I131" s="98">
        <v>1.8457295999999999E-4</v>
      </c>
      <c r="J131" s="98">
        <v>1.8457295999999999E-5</v>
      </c>
      <c r="K131" s="98">
        <v>1.6636926576519699E-6</v>
      </c>
      <c r="L131" s="98">
        <v>0</v>
      </c>
      <c r="M131" s="98">
        <v>1.4877831185101599E-7</v>
      </c>
      <c r="N131" s="98">
        <v>1.3330140164000001E-6</v>
      </c>
      <c r="O131" s="98"/>
      <c r="P131" s="98"/>
      <c r="Q131" s="13"/>
      <c r="R131" s="143">
        <f>'Parameters, country spec'!L20</f>
        <v>4.9593085693149293E-3</v>
      </c>
    </row>
    <row r="132" spans="1:18" x14ac:dyDescent="0.35">
      <c r="A132" s="21" t="s">
        <v>373</v>
      </c>
      <c r="B132" s="16" t="s">
        <v>175</v>
      </c>
      <c r="C132" s="16" t="s">
        <v>372</v>
      </c>
      <c r="D132" s="22" t="s">
        <v>34</v>
      </c>
      <c r="E132" s="22" t="s">
        <v>93</v>
      </c>
      <c r="F132" s="157">
        <f t="shared" si="20"/>
        <v>2.2407611265281446E-4</v>
      </c>
      <c r="G132" s="96">
        <v>1.13015961741459E-6</v>
      </c>
      <c r="H132" s="97">
        <v>1.1000000000000001E-6</v>
      </c>
      <c r="I132" s="98">
        <v>1.9889624794727011E-4</v>
      </c>
      <c r="J132" s="98">
        <v>1.9889624794727002E-5</v>
      </c>
      <c r="K132" s="98">
        <v>1.6488174841183101E-6</v>
      </c>
      <c r="L132" s="98">
        <v>0</v>
      </c>
      <c r="M132" s="98">
        <v>7.8248792884440994E-8</v>
      </c>
      <c r="N132" s="98">
        <v>1.3330140164000001E-6</v>
      </c>
      <c r="O132" s="98"/>
      <c r="P132" s="98"/>
      <c r="Q132" s="13"/>
      <c r="R132" s="143">
        <f>'Parameters, country spec'!L21</f>
        <v>4.8716753013175436E-3</v>
      </c>
    </row>
    <row r="133" spans="1:18" x14ac:dyDescent="0.35">
      <c r="B133" s="17" t="s">
        <v>177</v>
      </c>
      <c r="C133" s="16" t="s">
        <v>374</v>
      </c>
      <c r="D133" s="22" t="s">
        <v>450</v>
      </c>
      <c r="E133" s="22"/>
      <c r="F133" s="120">
        <f>SUM(G133:P133)</f>
        <v>6.713768539130542E-4</v>
      </c>
      <c r="G133" s="32">
        <f>'Off-farm feed'!$F$77</f>
        <v>1.946970439026595E-4</v>
      </c>
      <c r="H133" s="32">
        <f>'Off-farm feed'!$G$77</f>
        <v>5.3103448275862083E-7</v>
      </c>
      <c r="I133" s="32">
        <f>'Off-farm feed'!$H$77</f>
        <v>4.2751561806777074E-4</v>
      </c>
      <c r="J133" s="32">
        <f>'Off-farm feed'!$I$77</f>
        <v>4.2751561806777089E-5</v>
      </c>
      <c r="K133" s="32">
        <f>'Off-farm feed'!$J$77</f>
        <v>6.6339607025480414E-7</v>
      </c>
      <c r="L133" s="32"/>
      <c r="M133" s="32">
        <f>'Off-farm feed'!$L$77</f>
        <v>7.9511067188965511E-9</v>
      </c>
      <c r="N133" s="32">
        <f>'Off-farm feed'!$M$77</f>
        <v>1.2789681892721844E-6</v>
      </c>
      <c r="O133" s="32"/>
      <c r="P133" s="32">
        <f>'Off-farm feed'!$O$77</f>
        <v>3.9312802868423825E-6</v>
      </c>
      <c r="Q133" s="32">
        <f>'Off-farm feed'!$P$77</f>
        <v>1.8277027027027027E-6</v>
      </c>
      <c r="R133" s="143">
        <f>'Parameters, country spec'!L22</f>
        <v>2.1892083763360489E-2</v>
      </c>
    </row>
    <row r="134" spans="1:18" x14ac:dyDescent="0.35">
      <c r="B134" s="17" t="s">
        <v>375</v>
      </c>
      <c r="C134" s="16" t="s">
        <v>374</v>
      </c>
      <c r="D134" s="22" t="s">
        <v>426</v>
      </c>
      <c r="E134" s="22"/>
      <c r="F134" s="120">
        <f>SUM(G134:P134)</f>
        <v>1.7957562860818722E-4</v>
      </c>
      <c r="G134" s="32">
        <f>'Off-farm feed'!$F$26</f>
        <v>1.6332109719061441E-5</v>
      </c>
      <c r="H134" s="32">
        <f>'Off-farm feed'!$G$26</f>
        <v>8.7195121951219526E-7</v>
      </c>
      <c r="I134" s="32">
        <f>'Off-farm feed'!$H$26</f>
        <v>1.3333449845358202E-4</v>
      </c>
      <c r="J134" s="32">
        <f>'Off-farm feed'!$I$26</f>
        <v>1.3333449845358203E-5</v>
      </c>
      <c r="K134" s="32">
        <f>'Off-farm feed'!$J$26</f>
        <v>1.1576736579983931E-6</v>
      </c>
      <c r="L134" s="32"/>
      <c r="M134" s="32">
        <f>'Off-farm feed'!$L$26</f>
        <v>7.3437786087804866E-9</v>
      </c>
      <c r="N134" s="32">
        <f>'Off-farm feed'!$M$26</f>
        <v>1.1195281639512197E-6</v>
      </c>
      <c r="O134" s="32"/>
      <c r="P134" s="32">
        <f>'Off-farm feed'!$O$26</f>
        <v>1.3419073770114991E-5</v>
      </c>
      <c r="Q134" s="32">
        <f>'Off-farm feed'!$P$26</f>
        <v>9.087837837837838E-6</v>
      </c>
      <c r="R134" s="143">
        <f>'Parameters, country spec'!L23</f>
        <v>3.411102350419503E-2</v>
      </c>
    </row>
    <row r="135" spans="1:18" x14ac:dyDescent="0.35">
      <c r="B135" s="16" t="s">
        <v>181</v>
      </c>
      <c r="C135" s="16" t="s">
        <v>376</v>
      </c>
      <c r="D135" s="22" t="s">
        <v>34</v>
      </c>
      <c r="E135" s="22" t="s">
        <v>93</v>
      </c>
      <c r="F135" s="157">
        <f>SUM(G135:Q135)</f>
        <v>8.3728956204249578E-5</v>
      </c>
      <c r="G135" s="98">
        <v>3.4844269314396402E-6</v>
      </c>
      <c r="H135" s="98">
        <v>9.9E-8</v>
      </c>
      <c r="I135" s="98">
        <v>6.3119794109659015E-5</v>
      </c>
      <c r="J135">
        <v>6.3119794109659E-6</v>
      </c>
      <c r="K135" s="98">
        <v>7.2492201083061705E-8</v>
      </c>
      <c r="L135">
        <v>0</v>
      </c>
      <c r="M135">
        <v>0</v>
      </c>
      <c r="N135" s="13">
        <v>1.1997126147599999E-7</v>
      </c>
      <c r="O135" s="13"/>
      <c r="P135" s="98">
        <v>9.3475299429580403E-6</v>
      </c>
      <c r="Q135" s="98">
        <v>1.1737623466679099E-6</v>
      </c>
      <c r="R135" s="143">
        <f>'Parameters, country spec'!L24</f>
        <v>2.7931248345105159E-2</v>
      </c>
    </row>
    <row r="136" spans="1:18" x14ac:dyDescent="0.35">
      <c r="A136" s="80"/>
      <c r="B136" s="16" t="s">
        <v>377</v>
      </c>
      <c r="C136" s="81" t="s">
        <v>378</v>
      </c>
      <c r="D136" s="22" t="s">
        <v>34</v>
      </c>
      <c r="E136" s="22" t="s">
        <v>93</v>
      </c>
      <c r="F136" s="158">
        <f>SUM(G136:Q136)</f>
        <v>5.2015540333599818E-4</v>
      </c>
      <c r="G136" s="79">
        <f>AVERAGE(G126:G134)</f>
        <v>4.1134789496898551E-5</v>
      </c>
      <c r="H136" s="79">
        <f>AVERAGE(H126:H134)</f>
        <v>1.0114428558078684E-6</v>
      </c>
      <c r="I136" s="79">
        <f>AVERAGE(I126:I134)</f>
        <v>4.3235128319247715E-4</v>
      </c>
      <c r="J136" s="79">
        <f>AVERAGE(J126:J134)</f>
        <v>4.3235128319247706E-5</v>
      </c>
      <c r="K136" s="79">
        <f>AVERAGE(K126:K134)</f>
        <v>1.0925362714652738E-6</v>
      </c>
      <c r="L136" s="79"/>
      <c r="M136" s="79">
        <f>AVERAGE(M126:M134)</f>
        <v>2.6934925876810101E-8</v>
      </c>
      <c r="N136" s="79">
        <f>AVERAGE(N126:N134)</f>
        <v>1.3032882742248228E-6</v>
      </c>
      <c r="O136" s="79"/>
      <c r="P136" s="79"/>
      <c r="Q136" s="79"/>
      <c r="R136" s="143">
        <f>'Parameters, country spec'!L25</f>
        <v>3.7172762593144858E-2</v>
      </c>
    </row>
    <row r="137" spans="1:18" x14ac:dyDescent="0.35">
      <c r="A137" s="142"/>
      <c r="B137" s="24" t="s">
        <v>379</v>
      </c>
      <c r="C137" s="25"/>
      <c r="D137" s="99"/>
      <c r="E137" s="99"/>
      <c r="F137" s="29">
        <f t="shared" ref="F137:O137" si="21">SUMPRODUCT(F126:F136,$R$126:$R$136)</f>
        <v>7.1863709465618886E-4</v>
      </c>
      <c r="G137" s="29">
        <f t="shared" si="21"/>
        <v>3.808957708616364E-5</v>
      </c>
      <c r="H137" s="29">
        <f t="shared" si="21"/>
        <v>1.0485140886363342E-6</v>
      </c>
      <c r="I137" s="29">
        <f t="shared" si="21"/>
        <v>6.1494874299888164E-4</v>
      </c>
      <c r="J137" s="29">
        <f t="shared" si="21"/>
        <v>6.1494874299888134E-5</v>
      </c>
      <c r="K137" s="29">
        <f t="shared" si="21"/>
        <v>9.2559141092484812E-7</v>
      </c>
      <c r="L137" s="29">
        <f t="shared" si="21"/>
        <v>0</v>
      </c>
      <c r="M137" s="29">
        <f t="shared" si="21"/>
        <v>2.5578524306421346E-9</v>
      </c>
      <c r="N137" s="29">
        <f t="shared" si="21"/>
        <v>1.2895618332969692E-6</v>
      </c>
      <c r="O137" s="29">
        <f t="shared" si="21"/>
        <v>0</v>
      </c>
      <c r="P137" s="29">
        <f>SUMPRODUCT(P126:P136,R126:R136)</f>
        <v>8.0489043836378843E-7</v>
      </c>
      <c r="Q137" s="29">
        <f>SUMPRODUCT(Q126:Q136,$R$126:$R$136)</f>
        <v>3.8279231835380216E-7</v>
      </c>
      <c r="R137" s="144"/>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theme="4" tint="0.39997558519241921"/>
  </sheetPr>
  <dimension ref="A2:O137"/>
  <sheetViews>
    <sheetView zoomScale="80" zoomScaleNormal="80" workbookViewId="0">
      <selection activeCell="F6" sqref="F6:L12"/>
    </sheetView>
  </sheetViews>
  <sheetFormatPr defaultColWidth="8.90625" defaultRowHeight="14.5" x14ac:dyDescent="0.35"/>
  <cols>
    <col min="1" max="1" width="8.54296875" customWidth="1"/>
    <col min="2" max="2" width="30.453125" customWidth="1"/>
    <col min="3" max="3" width="19" customWidth="1"/>
    <col min="4" max="4" width="12.90625" customWidth="1"/>
    <col min="5" max="9" width="11.54296875" customWidth="1"/>
    <col min="10" max="12" width="15.54296875" customWidth="1"/>
    <col min="15" max="15" width="13.54296875" customWidth="1"/>
  </cols>
  <sheetData>
    <row r="2" spans="1:15" ht="21" customHeight="1" x14ac:dyDescent="0.5">
      <c r="A2" s="2" t="s">
        <v>382</v>
      </c>
      <c r="F2" t="s">
        <v>383</v>
      </c>
      <c r="L2" t="s">
        <v>357</v>
      </c>
    </row>
    <row r="3" spans="1:15" x14ac:dyDescent="0.35">
      <c r="H3" s="8"/>
      <c r="I3" s="8"/>
      <c r="J3" s="8"/>
      <c r="K3" s="8"/>
    </row>
    <row r="4" spans="1:15" x14ac:dyDescent="0.35">
      <c r="A4" s="149" t="s">
        <v>358</v>
      </c>
      <c r="B4" s="150"/>
      <c r="C4" s="150"/>
      <c r="D4" s="150"/>
      <c r="E4" s="150"/>
      <c r="F4" s="151" t="s">
        <v>50</v>
      </c>
      <c r="G4" s="151" t="s">
        <v>384</v>
      </c>
      <c r="H4" s="151" t="s">
        <v>52</v>
      </c>
      <c r="I4" s="151" t="s">
        <v>53</v>
      </c>
      <c r="J4" s="152" t="s">
        <v>54</v>
      </c>
      <c r="K4" s="152" t="s">
        <v>55</v>
      </c>
      <c r="L4" s="152" t="s">
        <v>56</v>
      </c>
      <c r="M4" s="153" t="s">
        <v>359</v>
      </c>
    </row>
    <row r="5" spans="1:15" ht="43.5" customHeight="1" x14ac:dyDescent="0.35">
      <c r="A5" s="154" t="s">
        <v>60</v>
      </c>
      <c r="B5" s="154" t="s">
        <v>358</v>
      </c>
      <c r="C5" s="154" t="s">
        <v>360</v>
      </c>
      <c r="D5" s="154" t="s">
        <v>63</v>
      </c>
      <c r="E5" s="140" t="s">
        <v>64</v>
      </c>
      <c r="F5" s="162" t="s">
        <v>71</v>
      </c>
      <c r="G5" s="162" t="s">
        <v>385</v>
      </c>
      <c r="H5" s="162" t="s">
        <v>386</v>
      </c>
      <c r="I5" s="163" t="s">
        <v>74</v>
      </c>
      <c r="J5" s="164" t="s">
        <v>75</v>
      </c>
      <c r="K5" s="165" t="s">
        <v>76</v>
      </c>
      <c r="L5" s="165" t="s">
        <v>77</v>
      </c>
      <c r="M5" s="95"/>
      <c r="O5" s="95" t="s">
        <v>476</v>
      </c>
    </row>
    <row r="6" spans="1:15" x14ac:dyDescent="0.35">
      <c r="A6" s="21" t="s">
        <v>365</v>
      </c>
      <c r="B6" s="16" t="s">
        <v>168</v>
      </c>
      <c r="C6" s="16" t="s">
        <v>366</v>
      </c>
      <c r="D6" s="22" t="s">
        <v>155</v>
      </c>
      <c r="E6" s="22" t="s">
        <v>482</v>
      </c>
      <c r="F6" s="23">
        <v>1.74399542375601</v>
      </c>
      <c r="G6" s="38">
        <v>3.0781519229293501E-2</v>
      </c>
      <c r="H6" s="38">
        <v>3.4007910763242202E-3</v>
      </c>
      <c r="I6" s="20">
        <v>0</v>
      </c>
      <c r="J6" s="27">
        <v>0.13515964534109101</v>
      </c>
      <c r="K6" s="27">
        <v>6.2182124337334297E-12</v>
      </c>
      <c r="L6" s="27">
        <v>1.81838347417504E-3</v>
      </c>
      <c r="M6" s="143">
        <f>'Parameters, country spec'!B15</f>
        <v>0.16402988956347131</v>
      </c>
      <c r="O6" s="251">
        <f>K6*M6/K17*100</f>
        <v>8.9501136361073144</v>
      </c>
    </row>
    <row r="7" spans="1:15" x14ac:dyDescent="0.35">
      <c r="A7" s="21" t="s">
        <v>367</v>
      </c>
      <c r="B7" s="16" t="s">
        <v>170</v>
      </c>
      <c r="C7" s="16" t="s">
        <v>366</v>
      </c>
      <c r="D7" s="22" t="s">
        <v>155</v>
      </c>
      <c r="E7" s="22" t="s">
        <v>482</v>
      </c>
      <c r="F7" s="20">
        <v>1.5209032948848999</v>
      </c>
      <c r="G7" s="38">
        <v>6.0836131795395897E-3</v>
      </c>
      <c r="H7" s="38">
        <v>1.36881296539641E-3</v>
      </c>
      <c r="I7" s="20">
        <v>0</v>
      </c>
      <c r="J7" s="27">
        <v>3.1938969192582899E-2</v>
      </c>
      <c r="K7" s="27">
        <v>5.4227778639415299E-12</v>
      </c>
      <c r="L7" s="27">
        <v>3.5938257584182702E-4</v>
      </c>
      <c r="M7" s="143">
        <f>'Parameters, country spec'!B16</f>
        <v>0.26979047748052709</v>
      </c>
      <c r="O7" s="251">
        <f>K7*M7/K17*100</f>
        <v>12.837735792296842</v>
      </c>
    </row>
    <row r="8" spans="1:15" x14ac:dyDescent="0.35">
      <c r="A8" s="21" t="s">
        <v>368</v>
      </c>
      <c r="B8" s="16" t="s">
        <v>171</v>
      </c>
      <c r="C8" s="16" t="s">
        <v>366</v>
      </c>
      <c r="D8" s="22" t="s">
        <v>155</v>
      </c>
      <c r="E8" s="22" t="s">
        <v>482</v>
      </c>
      <c r="F8" s="20">
        <v>2.0075725637103199</v>
      </c>
      <c r="G8" s="38">
        <v>2.9912831199283701E-2</v>
      </c>
      <c r="H8" s="38">
        <v>4.4166596401626901E-3</v>
      </c>
      <c r="I8" s="20">
        <v>6.2688988000000001E-6</v>
      </c>
      <c r="J8" s="27">
        <v>6.6249894602440407E-2</v>
      </c>
      <c r="K8" s="27">
        <v>7.1579962351048499E-12</v>
      </c>
      <c r="L8" s="27">
        <v>1.76706671017073E-3</v>
      </c>
      <c r="M8" s="143">
        <f>'Parameters, country spec'!B17</f>
        <v>1.8587387131106831E-2</v>
      </c>
      <c r="O8">
        <f>K8*M8/K17*100</f>
        <v>1.1674809748457302</v>
      </c>
    </row>
    <row r="9" spans="1:15" x14ac:dyDescent="0.35">
      <c r="A9" s="21" t="s">
        <v>369</v>
      </c>
      <c r="B9" s="16" t="s">
        <v>172</v>
      </c>
      <c r="C9" s="16" t="s">
        <v>366</v>
      </c>
      <c r="D9" s="22" t="s">
        <v>155</v>
      </c>
      <c r="E9" s="22" t="s">
        <v>482</v>
      </c>
      <c r="F9" s="20">
        <v>1.6691314173930201</v>
      </c>
      <c r="G9" s="38">
        <v>2.5370797544373901E-2</v>
      </c>
      <c r="H9" s="38">
        <v>3.3382628347860301E-3</v>
      </c>
      <c r="I9" s="20">
        <v>2.3542927958000001E-3</v>
      </c>
      <c r="J9" s="27">
        <v>0.20363403292194801</v>
      </c>
      <c r="K9" s="27">
        <v>5.9512849585438101E-12</v>
      </c>
      <c r="L9" s="27">
        <v>1.49875120320333E-3</v>
      </c>
      <c r="M9" s="143">
        <f>'Parameters, country spec'!B18</f>
        <v>2.85446978296886E-3</v>
      </c>
      <c r="O9" s="251">
        <f>K9*M9/K17*100</f>
        <v>0.14906517616188555</v>
      </c>
    </row>
    <row r="10" spans="1:15" x14ac:dyDescent="0.35">
      <c r="A10" s="21" t="s">
        <v>370</v>
      </c>
      <c r="B10" s="16" t="s">
        <v>173</v>
      </c>
      <c r="C10" s="16" t="s">
        <v>366</v>
      </c>
      <c r="D10" s="22" t="s">
        <v>155</v>
      </c>
      <c r="E10" s="22" t="s">
        <v>482</v>
      </c>
      <c r="F10" s="20">
        <v>1.30502303365654</v>
      </c>
      <c r="G10" s="38">
        <v>2.5056442246205599E-2</v>
      </c>
      <c r="H10" s="38">
        <v>2.4142926122646098E-3</v>
      </c>
      <c r="I10" s="20">
        <v>1.860936398E-3</v>
      </c>
      <c r="J10" s="27">
        <v>0.10113928510838199</v>
      </c>
      <c r="K10" s="27">
        <v>4.6530571947916698E-12</v>
      </c>
      <c r="L10" s="27">
        <v>1.48018101909544E-3</v>
      </c>
      <c r="M10" s="143">
        <f>'Parameters, country spec'!B19</f>
        <v>0.39960951046637888</v>
      </c>
      <c r="O10" s="251">
        <f>K10*M10/K17*100</f>
        <v>16.316019232758077</v>
      </c>
    </row>
    <row r="11" spans="1:15" x14ac:dyDescent="0.35">
      <c r="A11" s="21" t="s">
        <v>371</v>
      </c>
      <c r="B11" s="16" t="s">
        <v>174</v>
      </c>
      <c r="C11" s="16" t="s">
        <v>372</v>
      </c>
      <c r="D11" s="22" t="s">
        <v>155</v>
      </c>
      <c r="E11" s="22" t="s">
        <v>482</v>
      </c>
      <c r="F11" s="20">
        <v>2.8087205154563901</v>
      </c>
      <c r="G11" s="38">
        <v>3.44E-2</v>
      </c>
      <c r="H11" s="38">
        <v>3.93220872163894E-3</v>
      </c>
      <c r="I11" s="20">
        <v>0.180512317566</v>
      </c>
      <c r="J11" s="27">
        <v>0.21627147969014199</v>
      </c>
      <c r="K11" s="27">
        <v>1.00144877642388E-11</v>
      </c>
      <c r="L11" s="27">
        <v>0</v>
      </c>
      <c r="M11" s="143">
        <f>'Parameters, country spec'!B20</f>
        <v>0</v>
      </c>
      <c r="O11" s="251">
        <f>K11*M11/K17*100</f>
        <v>0</v>
      </c>
    </row>
    <row r="12" spans="1:15" x14ac:dyDescent="0.35">
      <c r="A12" s="21" t="s">
        <v>373</v>
      </c>
      <c r="B12" s="16" t="s">
        <v>175</v>
      </c>
      <c r="C12" s="16" t="s">
        <v>372</v>
      </c>
      <c r="D12" s="22" t="s">
        <v>155</v>
      </c>
      <c r="E12" s="22" t="s">
        <v>482</v>
      </c>
      <c r="F12" s="20">
        <v>2.6093037333917799</v>
      </c>
      <c r="G12" s="38">
        <v>0.04</v>
      </c>
      <c r="H12" s="38">
        <v>3.6530252267484901E-3</v>
      </c>
      <c r="I12" s="20">
        <v>0.24589923734999999</v>
      </c>
      <c r="J12" s="27">
        <v>0.200916387471167</v>
      </c>
      <c r="K12" s="27">
        <v>9.30346759937015E-12</v>
      </c>
      <c r="L12" s="27">
        <v>0</v>
      </c>
      <c r="M12" s="143">
        <f>'Parameters, country spec'!B21</f>
        <v>0</v>
      </c>
      <c r="O12" s="251">
        <f>K12*M12/K17*100</f>
        <v>0</v>
      </c>
    </row>
    <row r="13" spans="1:15" x14ac:dyDescent="0.35">
      <c r="B13" s="17" t="s">
        <v>177</v>
      </c>
      <c r="C13" s="16" t="s">
        <v>374</v>
      </c>
      <c r="D13" s="22" t="s">
        <v>450</v>
      </c>
      <c r="E13" s="22"/>
      <c r="F13" s="18">
        <f>'Off-farm feed'!$F$88</f>
        <v>1.5397450382845068</v>
      </c>
      <c r="G13" s="19">
        <f>'Off-farm feed'!$G$88</f>
        <v>2.276724967641296E-2</v>
      </c>
      <c r="H13" s="19">
        <f>'Off-farm feed'!$H$88</f>
        <v>2.4780679919905292E-3</v>
      </c>
      <c r="I13" s="19">
        <f>'Off-farm feed'!$I$88</f>
        <v>8.1100925319702543E-4</v>
      </c>
      <c r="J13" s="18">
        <f>'Off-farm feed'!$J$88</f>
        <v>0.29368572248181479</v>
      </c>
      <c r="K13" s="28">
        <f>'Off-farm feed'!$K$88</f>
        <v>1.2571008272056975E-11</v>
      </c>
      <c r="L13" s="28">
        <f>'Off-farm feed'!$L$88</f>
        <v>1.3841258986185109E-3</v>
      </c>
      <c r="M13" s="143">
        <f>'Parameters, country spec'!B22</f>
        <v>4.3850784569502733E-2</v>
      </c>
      <c r="O13" s="251">
        <f>K13*M13/K17*100</f>
        <v>4.8371269141458457</v>
      </c>
    </row>
    <row r="14" spans="1:15" x14ac:dyDescent="0.35">
      <c r="B14" s="17" t="s">
        <v>375</v>
      </c>
      <c r="C14" s="16" t="s">
        <v>374</v>
      </c>
      <c r="D14" s="22" t="s">
        <v>426</v>
      </c>
      <c r="E14" s="22"/>
      <c r="F14" s="18">
        <f>'Off-farm feed'!$F$36</f>
        <v>2.5509164954964105</v>
      </c>
      <c r="G14" s="19">
        <f>'Off-farm feed'!$G$36</f>
        <v>4.2620923125915401E-2</v>
      </c>
      <c r="H14" s="19">
        <f>'Off-farm feed'!$H$36</f>
        <v>3.2959349471355006E-3</v>
      </c>
      <c r="I14" s="19">
        <f>'Off-farm feed'!$I$36</f>
        <v>2.435286335413451E-3</v>
      </c>
      <c r="J14" s="18">
        <f>'Off-farm feed'!$J$36</f>
        <v>0.25920846302270906</v>
      </c>
      <c r="K14" s="28">
        <f>'Off-farm feed'!$K$36</f>
        <v>1.4553836091881654E-10</v>
      </c>
      <c r="L14" s="28">
        <f>'Off-farm feed'!$L$36</f>
        <v>1.0450321677831977E-4</v>
      </c>
      <c r="M14" s="143">
        <f>'Parameters, country spec'!B23</f>
        <v>3.9507741172757453E-2</v>
      </c>
      <c r="O14" s="251">
        <f>K14*M14/K17*100</f>
        <v>50.45447383719749</v>
      </c>
    </row>
    <row r="15" spans="1:15" x14ac:dyDescent="0.35">
      <c r="B15" s="16" t="s">
        <v>181</v>
      </c>
      <c r="C15" s="16" t="s">
        <v>376</v>
      </c>
      <c r="D15" s="22" t="s">
        <v>155</v>
      </c>
      <c r="E15" s="22" t="s">
        <v>482</v>
      </c>
      <c r="F15" s="20">
        <v>0.117452073029089</v>
      </c>
      <c r="G15" s="20">
        <v>2.2550798021585099E-3</v>
      </c>
      <c r="H15" s="20">
        <v>2.17286335103815E-4</v>
      </c>
      <c r="I15" s="27">
        <v>1.6748427582E-4</v>
      </c>
      <c r="J15" s="27">
        <v>9.1025356597544006E-3</v>
      </c>
      <c r="K15" s="27">
        <v>4.1877514753125102E-13</v>
      </c>
      <c r="L15" s="27">
        <v>1.3321629171859001E-4</v>
      </c>
      <c r="M15" s="143">
        <f>'Parameters, country spec'!B24</f>
        <v>3.6206796949373683E-2</v>
      </c>
      <c r="O15" s="251">
        <f>K15*M15/K17*100</f>
        <v>0.13304881438476829</v>
      </c>
    </row>
    <row r="16" spans="1:15" x14ac:dyDescent="0.35">
      <c r="A16" s="80"/>
      <c r="B16" s="16" t="s">
        <v>377</v>
      </c>
      <c r="C16" s="81" t="s">
        <v>378</v>
      </c>
      <c r="D16" s="22" t="s">
        <v>155</v>
      </c>
      <c r="E16" s="22" t="s">
        <v>482</v>
      </c>
      <c r="F16" s="103">
        <f t="shared" ref="F16:L16" si="0">AVERAGE(F6:F14)</f>
        <v>1.9728123906699864</v>
      </c>
      <c r="G16" s="103">
        <f t="shared" si="0"/>
        <v>2.8554819577891626E-2</v>
      </c>
      <c r="H16" s="103">
        <f t="shared" si="0"/>
        <v>3.144228446271935E-3</v>
      </c>
      <c r="I16" s="103">
        <f t="shared" si="0"/>
        <v>4.8208816510801167E-2</v>
      </c>
      <c r="J16" s="161">
        <f t="shared" si="0"/>
        <v>0.16757820887025301</v>
      </c>
      <c r="K16" s="161">
        <f t="shared" si="0"/>
        <v>2.2981183693399751E-11</v>
      </c>
      <c r="L16" s="161">
        <f t="shared" si="0"/>
        <v>9.3471045532035515E-4</v>
      </c>
      <c r="M16" s="143">
        <f>'Parameters, country spec'!B25</f>
        <v>2.556294288391299E-2</v>
      </c>
      <c r="O16" s="251">
        <f>K16*M16/K17*100</f>
        <v>5.1549356221020588</v>
      </c>
    </row>
    <row r="17" spans="1:15" x14ac:dyDescent="0.35">
      <c r="A17" s="142"/>
      <c r="B17" s="24" t="s">
        <v>379</v>
      </c>
      <c r="C17" s="25"/>
      <c r="D17" s="99"/>
      <c r="E17" s="99"/>
      <c r="F17" s="29">
        <f>SUMPRODUCT(F6:F16,M6:M16)</f>
        <v>1.4829556625896494</v>
      </c>
      <c r="G17" s="29">
        <f>SUMPRODUCT(G6:G16,M6:M16)</f>
        <v>2.0825416871610374E-2</v>
      </c>
      <c r="H17" s="29">
        <f>SUMPRODUCT(H6:H16,M6:M16)</f>
        <v>2.3106446549309668E-3</v>
      </c>
      <c r="I17" s="29">
        <f>SUMPRODUCT(I6:I16,M6:M16)</f>
        <v>2.1206840095089633E-3</v>
      </c>
      <c r="J17" s="29">
        <f>SUMPRODUCT(J6:J16,M6:M16)</f>
        <v>0.10074840734752448</v>
      </c>
      <c r="K17" s="29">
        <f>SUMPRODUCT(K6:K16,M6:M16)</f>
        <v>1.1396198308283345E-11</v>
      </c>
      <c r="L17" s="29">
        <f>SUMPRODUCT(L6:L16,M6:M16)</f>
        <v>1.1173859205245848E-3</v>
      </c>
      <c r="M17" s="144"/>
    </row>
    <row r="18" spans="1:15" x14ac:dyDescent="0.35">
      <c r="A18" s="21" t="s">
        <v>365</v>
      </c>
      <c r="B18" s="16" t="s">
        <v>168</v>
      </c>
      <c r="C18" s="16" t="s">
        <v>366</v>
      </c>
      <c r="D18" s="22" t="s">
        <v>36</v>
      </c>
      <c r="E18" s="22" t="s">
        <v>84</v>
      </c>
      <c r="F18" s="288">
        <v>1.67615369658936</v>
      </c>
      <c r="G18" s="288">
        <v>1.575584474794E-2</v>
      </c>
      <c r="H18" s="288">
        <v>1.1733075876125499E-3</v>
      </c>
      <c r="I18" s="289">
        <v>2.7117274000000001E-6</v>
      </c>
      <c r="J18" s="287">
        <v>0.37818016640853902</v>
      </c>
      <c r="K18" s="287">
        <v>2.0149782021456099E-11</v>
      </c>
      <c r="L18" s="209">
        <v>1.5160827948018901E-3</v>
      </c>
      <c r="M18" s="143">
        <f>'Parameters, country spec'!C15</f>
        <v>0.16402988956347131</v>
      </c>
      <c r="O18" s="251">
        <f>K18*M18/K29*100</f>
        <v>14.964076593898954</v>
      </c>
    </row>
    <row r="19" spans="1:15" x14ac:dyDescent="0.35">
      <c r="A19" s="21" t="s">
        <v>367</v>
      </c>
      <c r="B19" s="16" t="s">
        <v>170</v>
      </c>
      <c r="C19" s="16" t="s">
        <v>366</v>
      </c>
      <c r="D19" s="22" t="s">
        <v>36</v>
      </c>
      <c r="E19" s="22" t="s">
        <v>84</v>
      </c>
      <c r="F19" s="20">
        <v>1.1291040108032699</v>
      </c>
      <c r="G19" s="38">
        <v>1.49038347238525E-2</v>
      </c>
      <c r="H19" s="38">
        <v>4.1775900362313904E-3</v>
      </c>
      <c r="I19" s="20">
        <v>4.0573939566E-2</v>
      </c>
      <c r="J19" s="27">
        <v>0.119829776279331</v>
      </c>
      <c r="K19" s="27">
        <v>1.35734567441708E-11</v>
      </c>
      <c r="L19" s="27">
        <v>1.4340993937730999E-3</v>
      </c>
      <c r="M19" s="143">
        <f>'Parameters, country spec'!C16</f>
        <v>0.26979047748052709</v>
      </c>
      <c r="O19" s="251">
        <f>K19*M19/K29*100</f>
        <v>16.579585077735391</v>
      </c>
    </row>
    <row r="20" spans="1:15" x14ac:dyDescent="0.35">
      <c r="A20" s="21" t="s">
        <v>368</v>
      </c>
      <c r="B20" s="16" t="s">
        <v>171</v>
      </c>
      <c r="C20" s="16" t="s">
        <v>366</v>
      </c>
      <c r="D20" s="22" t="s">
        <v>36</v>
      </c>
      <c r="E20" s="22" t="s">
        <v>84</v>
      </c>
      <c r="F20" s="20">
        <v>2.4422767881129501</v>
      </c>
      <c r="G20" s="38">
        <v>1.73382228145719E-2</v>
      </c>
      <c r="H20" s="38">
        <v>3.6630048199799699E-3</v>
      </c>
      <c r="I20" s="20">
        <v>1.5362076347999999E-2</v>
      </c>
      <c r="J20" s="27">
        <v>0.12972202005597699</v>
      </c>
      <c r="K20" s="27">
        <v>2.9359685222586201E-11</v>
      </c>
      <c r="L20" s="27">
        <v>1.6683447775817199E-3</v>
      </c>
      <c r="M20" s="143">
        <f>'Parameters, country spec'!C17</f>
        <v>1.8587387131106831E-2</v>
      </c>
      <c r="O20" s="251">
        <f>K20*M20/K29*100</f>
        <v>2.4707358510509554</v>
      </c>
    </row>
    <row r="21" spans="1:15" x14ac:dyDescent="0.35">
      <c r="A21" s="21" t="s">
        <v>369</v>
      </c>
      <c r="B21" s="16" t="s">
        <v>172</v>
      </c>
      <c r="C21" s="16" t="s">
        <v>366</v>
      </c>
      <c r="D21" s="22" t="s">
        <v>36</v>
      </c>
      <c r="E21" s="22" t="s">
        <v>84</v>
      </c>
      <c r="F21" s="20">
        <v>2.4432315157319699</v>
      </c>
      <c r="G21" s="38">
        <v>2.3211633118504299E-2</v>
      </c>
      <c r="H21" s="38">
        <v>1.7103308613634701E-3</v>
      </c>
      <c r="I21" s="20">
        <v>3.4943905220000002E-4</v>
      </c>
      <c r="J21" s="27">
        <v>0.21293031415070801</v>
      </c>
      <c r="K21" s="27">
        <v>2.9371162423902602E-11</v>
      </c>
      <c r="L21" s="27">
        <v>2.2335049737538899E-3</v>
      </c>
      <c r="M21" s="143">
        <f>'Parameters, country spec'!C18</f>
        <v>2.85446978296886E-3</v>
      </c>
      <c r="O21" s="251">
        <f>K21*M21/K29*100</f>
        <v>0.37957986113120151</v>
      </c>
    </row>
    <row r="22" spans="1:15" x14ac:dyDescent="0.35">
      <c r="A22" s="21" t="s">
        <v>370</v>
      </c>
      <c r="B22" s="16" t="s">
        <v>173</v>
      </c>
      <c r="C22" s="16" t="s">
        <v>366</v>
      </c>
      <c r="D22" s="22" t="s">
        <v>36</v>
      </c>
      <c r="E22" s="22" t="s">
        <v>84</v>
      </c>
      <c r="F22" s="20">
        <v>1.4802621840380401</v>
      </c>
      <c r="G22" s="38">
        <v>2.2648011415782002E-2</v>
      </c>
      <c r="H22" s="38">
        <v>2.0723670576532501E-3</v>
      </c>
      <c r="I22" s="20">
        <v>2.255164634E-4</v>
      </c>
      <c r="J22" s="27">
        <v>0.44839391553031899</v>
      </c>
      <c r="K22" s="27">
        <v>1.77948838484579E-11</v>
      </c>
      <c r="L22" s="27">
        <v>2.17927131126581E-3</v>
      </c>
      <c r="M22" s="143">
        <f>'Parameters, country spec'!C19</f>
        <v>0.39960951046637888</v>
      </c>
      <c r="O22" s="251">
        <f>K22*M22/K29*100</f>
        <v>32.194934870537942</v>
      </c>
    </row>
    <row r="23" spans="1:15" x14ac:dyDescent="0.35">
      <c r="A23" s="21" t="s">
        <v>371</v>
      </c>
      <c r="B23" s="16" t="s">
        <v>174</v>
      </c>
      <c r="C23" s="16" t="s">
        <v>372</v>
      </c>
      <c r="D23" s="22" t="s">
        <v>36</v>
      </c>
      <c r="E23" s="22" t="s">
        <v>84</v>
      </c>
      <c r="F23" s="20">
        <v>3.39685451272122</v>
      </c>
      <c r="G23" s="38">
        <v>3.44E-2</v>
      </c>
      <c r="H23" s="38">
        <v>1.69862221424959E-3</v>
      </c>
      <c r="I23" s="20">
        <v>5.8912594268000003E-2</v>
      </c>
      <c r="J23" s="27">
        <v>1.1407877305615</v>
      </c>
      <c r="K23" s="27">
        <v>4.0835084592305499E-11</v>
      </c>
      <c r="L23" s="27">
        <v>0</v>
      </c>
      <c r="M23" s="143">
        <f>'Parameters, country spec'!C20</f>
        <v>0</v>
      </c>
      <c r="O23" s="251">
        <f>K23*M23/K29*100</f>
        <v>0</v>
      </c>
    </row>
    <row r="24" spans="1:15" x14ac:dyDescent="0.35">
      <c r="A24" s="21" t="s">
        <v>373</v>
      </c>
      <c r="B24" s="16" t="s">
        <v>175</v>
      </c>
      <c r="C24" s="16" t="s">
        <v>372</v>
      </c>
      <c r="D24" s="22" t="s">
        <v>36</v>
      </c>
      <c r="E24" s="22" t="s">
        <v>84</v>
      </c>
      <c r="F24" s="20">
        <v>4.1670486461258998</v>
      </c>
      <c r="G24" s="38">
        <v>4.0833409729225202E-2</v>
      </c>
      <c r="H24" s="38">
        <v>1.6668194584503601E-3</v>
      </c>
      <c r="I24" s="20">
        <v>6.7232113605999996E-2</v>
      </c>
      <c r="J24" s="27">
        <v>0.53657001891840095</v>
      </c>
      <c r="K24" s="27">
        <v>5.0093927581398302E-11</v>
      </c>
      <c r="L24" s="27">
        <v>8.0193615240083796E-5</v>
      </c>
      <c r="M24" s="143">
        <f>'Parameters, country spec'!C21</f>
        <v>0</v>
      </c>
      <c r="O24" s="251">
        <f>K24*M24/K29*100</f>
        <v>0</v>
      </c>
    </row>
    <row r="25" spans="1:15" x14ac:dyDescent="0.35">
      <c r="B25" s="17" t="s">
        <v>177</v>
      </c>
      <c r="C25" s="16" t="s">
        <v>374</v>
      </c>
      <c r="D25" s="22" t="s">
        <v>450</v>
      </c>
      <c r="E25" s="22"/>
      <c r="F25" s="18">
        <f>'Off-farm feed'!$F$88</f>
        <v>1.5397450382845068</v>
      </c>
      <c r="G25" s="19">
        <f>'Off-farm feed'!$G$88</f>
        <v>2.276724967641296E-2</v>
      </c>
      <c r="H25" s="19">
        <f>'Off-farm feed'!$H$88</f>
        <v>2.4780679919905292E-3</v>
      </c>
      <c r="I25" s="19">
        <f>'Off-farm feed'!$I$88</f>
        <v>8.1100925319702543E-4</v>
      </c>
      <c r="J25" s="18">
        <f>'Off-farm feed'!$J$88</f>
        <v>0.29368572248181479</v>
      </c>
      <c r="K25" s="28">
        <f>'Off-farm feed'!$K$88</f>
        <v>1.2571008272056975E-11</v>
      </c>
      <c r="L25" s="28">
        <f>'Off-farm feed'!$L$88</f>
        <v>1.3841258986185109E-3</v>
      </c>
      <c r="M25" s="143">
        <f>'Parameters, country spec'!C22</f>
        <v>4.3850784569502733E-2</v>
      </c>
      <c r="O25" s="251">
        <f>K25*M25/K29*100</f>
        <v>2.495767114232649</v>
      </c>
    </row>
    <row r="26" spans="1:15" x14ac:dyDescent="0.35">
      <c r="B26" s="17" t="s">
        <v>375</v>
      </c>
      <c r="C26" s="16" t="s">
        <v>374</v>
      </c>
      <c r="D26" s="22" t="s">
        <v>426</v>
      </c>
      <c r="E26" s="22"/>
      <c r="F26" s="18">
        <f>'Off-farm feed'!$F$36</f>
        <v>2.5509164954964105</v>
      </c>
      <c r="G26" s="19">
        <f>'Off-farm feed'!$G$36</f>
        <v>4.2620923125915401E-2</v>
      </c>
      <c r="H26" s="19">
        <f>'Off-farm feed'!$H$36</f>
        <v>3.2959349471355006E-3</v>
      </c>
      <c r="I26" s="19">
        <f>'Off-farm feed'!$I$36</f>
        <v>2.435286335413451E-3</v>
      </c>
      <c r="J26" s="18">
        <f>'Off-farm feed'!$J$36</f>
        <v>0.25920846302270906</v>
      </c>
      <c r="K26" s="28">
        <f>'Off-farm feed'!$K$36</f>
        <v>1.4553836091881654E-10</v>
      </c>
      <c r="L26" s="28">
        <f>'Off-farm feed'!$L$36</f>
        <v>1.0450321677831977E-4</v>
      </c>
      <c r="M26" s="143">
        <f>'Parameters, country spec'!C23</f>
        <v>3.9507741172757453E-2</v>
      </c>
      <c r="O26" s="251">
        <f>K26*M26/K29*100</f>
        <v>26.032522777216577</v>
      </c>
    </row>
    <row r="27" spans="1:15" x14ac:dyDescent="0.35">
      <c r="B27" s="16" t="s">
        <v>181</v>
      </c>
      <c r="C27" s="16" t="s">
        <v>376</v>
      </c>
      <c r="D27" s="22" t="s">
        <v>36</v>
      </c>
      <c r="E27" s="22" t="s">
        <v>84</v>
      </c>
      <c r="F27" s="20">
        <v>0.133223596563423</v>
      </c>
      <c r="G27" s="20">
        <v>2.0383210274203798E-3</v>
      </c>
      <c r="H27" s="20">
        <v>1.8651303518879301E-4</v>
      </c>
      <c r="I27" s="27">
        <v>2.0296481705999999E-5</v>
      </c>
      <c r="J27" s="27">
        <v>4.0355452397728697E-2</v>
      </c>
      <c r="K27" s="27">
        <v>1.6015395463612101E-12</v>
      </c>
      <c r="L27" s="27">
        <v>1.96134418013923E-4</v>
      </c>
      <c r="M27" s="143">
        <f>'Parameters, country spec'!C24</f>
        <v>3.6206796949373683E-2</v>
      </c>
      <c r="O27" s="251">
        <f>K27*M27/K29*100</f>
        <v>0.26253327190984249</v>
      </c>
    </row>
    <row r="28" spans="1:15" x14ac:dyDescent="0.35">
      <c r="A28" s="80"/>
      <c r="B28" s="16" t="s">
        <v>377</v>
      </c>
      <c r="C28" s="81" t="s">
        <v>378</v>
      </c>
      <c r="D28" s="22" t="s">
        <v>36</v>
      </c>
      <c r="E28" s="22" t="s">
        <v>84</v>
      </c>
      <c r="F28" s="103">
        <f t="shared" ref="F28:L28" si="1">AVERAGE(F18:F26)</f>
        <v>2.3139547653226251</v>
      </c>
      <c r="G28" s="103">
        <f t="shared" si="1"/>
        <v>2.6053236594689364E-2</v>
      </c>
      <c r="H28" s="103">
        <f t="shared" si="1"/>
        <v>2.4373383305185126E-3</v>
      </c>
      <c r="I28" s="103">
        <f t="shared" si="1"/>
        <v>2.0656076291067832E-2</v>
      </c>
      <c r="J28" s="161">
        <f t="shared" si="1"/>
        <v>0.39103423637881096</v>
      </c>
      <c r="K28" s="161">
        <f t="shared" si="1"/>
        <v>3.9920816847238988E-11</v>
      </c>
      <c r="L28" s="161">
        <f t="shared" si="1"/>
        <v>1.1777917757570362E-3</v>
      </c>
      <c r="M28" s="143">
        <f>'Parameters, country spec'!C25</f>
        <v>2.556294288391299E-2</v>
      </c>
      <c r="O28" s="251">
        <f>K28*M28/K29*100</f>
        <v>4.6202645822864881</v>
      </c>
    </row>
    <row r="29" spans="1:15" x14ac:dyDescent="0.35">
      <c r="A29" s="142"/>
      <c r="B29" s="24" t="s">
        <v>379</v>
      </c>
      <c r="C29" s="25"/>
      <c r="D29" s="99"/>
      <c r="E29" s="99"/>
      <c r="F29" s="29">
        <f>SUMPRODUCT(F18:F28,M18:M28)</f>
        <v>1.455732407179211</v>
      </c>
      <c r="G29" s="29">
        <f>SUMPRODUCT(G18:G28,M18:M28)</f>
        <v>1.9466248715062081E-2</v>
      </c>
      <c r="H29" s="29">
        <f>SUMPRODUCT(H18:H28,M18:M28)</f>
        <v>2.5285756370473545E-3</v>
      </c>
      <c r="I29" s="29">
        <f>SUMPRODUCT(I18:I28,M18:M28)</f>
        <v>1.1984105203391028E-2</v>
      </c>
      <c r="J29" s="29">
        <f>SUMPRODUCT(J18:J28,M18:M28)</f>
        <v>0.31113947086042687</v>
      </c>
      <c r="K29" s="29">
        <f>SUMPRODUCT(K18:K28,M18:M28)</f>
        <v>2.208734029773025E-11</v>
      </c>
      <c r="L29" s="29">
        <f>SUMPRODUCT(L18:L28,M18:M28)</f>
        <v>1.6458653537543501E-3</v>
      </c>
      <c r="M29" s="144"/>
    </row>
    <row r="30" spans="1:15" x14ac:dyDescent="0.35">
      <c r="A30" s="21" t="s">
        <v>365</v>
      </c>
      <c r="B30" s="16" t="s">
        <v>168</v>
      </c>
      <c r="C30" s="16" t="s">
        <v>366</v>
      </c>
      <c r="D30" s="22" t="s">
        <v>33</v>
      </c>
      <c r="E30" s="22" t="s">
        <v>85</v>
      </c>
      <c r="F30" s="23">
        <v>1.4917491355313801</v>
      </c>
      <c r="G30" s="38">
        <v>1.4022441873994901E-2</v>
      </c>
      <c r="H30" s="38">
        <v>1.0442243948719601E-3</v>
      </c>
      <c r="I30" s="20">
        <v>4.1329811419999997E-4</v>
      </c>
      <c r="J30" s="27">
        <v>0.341339501218759</v>
      </c>
      <c r="K30" s="27">
        <v>1.36821682915835E-11</v>
      </c>
      <c r="L30" s="27">
        <v>1.1576521359024301E-3</v>
      </c>
      <c r="M30" s="143">
        <f>'Parameters, country spec'!D15</f>
        <v>0.1435440309091161</v>
      </c>
      <c r="O30" s="251">
        <f>K30*M30/K41*100</f>
        <v>9.7946065013399366</v>
      </c>
    </row>
    <row r="31" spans="1:15" x14ac:dyDescent="0.35">
      <c r="A31" s="21" t="s">
        <v>367</v>
      </c>
      <c r="B31" s="16" t="s">
        <v>170</v>
      </c>
      <c r="C31" s="16" t="s">
        <v>366</v>
      </c>
      <c r="D31" s="22" t="s">
        <v>33</v>
      </c>
      <c r="E31" s="22" t="s">
        <v>85</v>
      </c>
      <c r="F31" s="20">
        <v>1.0405848919560701</v>
      </c>
      <c r="G31" s="38">
        <v>1.37354088706301E-2</v>
      </c>
      <c r="H31" s="38">
        <v>3.8500767288887402E-3</v>
      </c>
      <c r="I31" s="20">
        <v>6.8362244573999999E-3</v>
      </c>
      <c r="J31" s="27">
        <v>8.7208089923184004E-2</v>
      </c>
      <c r="K31" s="27">
        <v>9.5441366609880203E-12</v>
      </c>
      <c r="L31" s="27">
        <v>1.1339555235430701E-3</v>
      </c>
      <c r="M31" s="143">
        <f>'Parameters, country spec'!D16</f>
        <v>0.2137111814189753</v>
      </c>
      <c r="O31" s="251">
        <f>K31*M31/K41*100</f>
        <v>10.17210470151003</v>
      </c>
    </row>
    <row r="32" spans="1:15" x14ac:dyDescent="0.35">
      <c r="A32" s="21" t="s">
        <v>368</v>
      </c>
      <c r="B32" s="16" t="s">
        <v>171</v>
      </c>
      <c r="C32" s="16" t="s">
        <v>366</v>
      </c>
      <c r="D32" s="22" t="s">
        <v>33</v>
      </c>
      <c r="E32" s="22" t="s">
        <v>85</v>
      </c>
      <c r="F32" s="20">
        <v>2.3437536621151001</v>
      </c>
      <c r="G32" s="38">
        <v>1.6638786976974299E-2</v>
      </c>
      <c r="H32" s="38">
        <v>3.5152366852762599E-3</v>
      </c>
      <c r="I32" s="20">
        <v>2.9220454559999998E-4</v>
      </c>
      <c r="J32" s="27">
        <v>0.124488944513976</v>
      </c>
      <c r="K32" s="27">
        <v>2.1496665407921299E-11</v>
      </c>
      <c r="L32" s="27">
        <v>1.3736500001787701E-3</v>
      </c>
      <c r="M32" s="143">
        <f>'Parameters, country spec'!D17</f>
        <v>2.857298319366468E-5</v>
      </c>
      <c r="O32" s="251">
        <f>K32*M32/K41*100</f>
        <v>3.0631877023699059E-3</v>
      </c>
    </row>
    <row r="33" spans="1:15" x14ac:dyDescent="0.35">
      <c r="A33" s="21" t="s">
        <v>369</v>
      </c>
      <c r="B33" s="16" t="s">
        <v>172</v>
      </c>
      <c r="C33" s="16" t="s">
        <v>366</v>
      </c>
      <c r="D33" s="22" t="s">
        <v>33</v>
      </c>
      <c r="E33" s="22" t="s">
        <v>85</v>
      </c>
      <c r="F33" s="20">
        <v>1.9276885472167999</v>
      </c>
      <c r="G33" s="38">
        <v>1.8313777894819701E-2</v>
      </c>
      <c r="H33" s="38">
        <v>1.34943626593408E-3</v>
      </c>
      <c r="I33" s="20">
        <v>1.35246E-8</v>
      </c>
      <c r="J33" s="27">
        <v>0.16800017734734601</v>
      </c>
      <c r="K33" s="27">
        <v>1.7680559343768899E-11</v>
      </c>
      <c r="L33" s="27">
        <v>1.51193239286652E-3</v>
      </c>
      <c r="M33" s="143">
        <f>'Parameters, country spec'!D18</f>
        <v>2.344773715143467E-2</v>
      </c>
      <c r="O33" s="251">
        <f>K33*M33/K41*100</f>
        <v>2.0674921276537797</v>
      </c>
    </row>
    <row r="34" spans="1:15" x14ac:dyDescent="0.35">
      <c r="A34" s="21" t="s">
        <v>370</v>
      </c>
      <c r="B34" s="16" t="s">
        <v>173</v>
      </c>
      <c r="C34" s="16" t="s">
        <v>366</v>
      </c>
      <c r="D34" s="22" t="s">
        <v>33</v>
      </c>
      <c r="E34" s="22" t="s">
        <v>85</v>
      </c>
      <c r="F34" s="20">
        <v>1.3435695418159099</v>
      </c>
      <c r="G34" s="38">
        <v>2.05566139897835E-2</v>
      </c>
      <c r="H34" s="38">
        <v>1.88099735854228E-3</v>
      </c>
      <c r="I34" s="20">
        <v>9.1096000000000001E-9</v>
      </c>
      <c r="J34" s="27">
        <v>0.299611305331553</v>
      </c>
      <c r="K34" s="27">
        <v>1.2323080432704899E-11</v>
      </c>
      <c r="L34" s="27">
        <v>1.6970944366207501E-3</v>
      </c>
      <c r="M34" s="143">
        <f>'Parameters, country spec'!D19</f>
        <v>0.47946147932032229</v>
      </c>
      <c r="O34" s="251">
        <f>K34*M34/K41*100</f>
        <v>29.465914979962665</v>
      </c>
    </row>
    <row r="35" spans="1:15" x14ac:dyDescent="0.35">
      <c r="A35" s="21" t="s">
        <v>371</v>
      </c>
      <c r="B35" s="16" t="s">
        <v>174</v>
      </c>
      <c r="C35" s="16" t="s">
        <v>372</v>
      </c>
      <c r="D35" s="22" t="s">
        <v>33</v>
      </c>
      <c r="E35" s="22" t="s">
        <v>85</v>
      </c>
      <c r="F35" s="20">
        <v>3.3691814236813</v>
      </c>
      <c r="G35" s="38">
        <v>3.44E-2</v>
      </c>
      <c r="H35" s="38">
        <v>1.6847840814699601E-3</v>
      </c>
      <c r="I35" s="20">
        <v>4.6513156312000002E-2</v>
      </c>
      <c r="J35" s="27">
        <v>0.36443155171019598</v>
      </c>
      <c r="K35" s="27">
        <v>3.0901782441632898E-11</v>
      </c>
      <c r="L35" s="27">
        <v>0</v>
      </c>
      <c r="M35" s="143">
        <f>'Parameters, country spec'!D20</f>
        <v>6.205919903371391E-4</v>
      </c>
      <c r="O35" s="251">
        <f>K35*M35/K41*100</f>
        <v>9.5639351792855584E-2</v>
      </c>
    </row>
    <row r="36" spans="1:15" x14ac:dyDescent="0.35">
      <c r="A36" s="21" t="s">
        <v>373</v>
      </c>
      <c r="B36" s="16" t="s">
        <v>175</v>
      </c>
      <c r="C36" s="16" t="s">
        <v>372</v>
      </c>
      <c r="D36" s="22" t="s">
        <v>33</v>
      </c>
      <c r="E36" s="22" t="s">
        <v>85</v>
      </c>
      <c r="F36" s="20">
        <v>2.7091020410374802</v>
      </c>
      <c r="G36" s="38">
        <v>4.0541820408207502E-2</v>
      </c>
      <c r="H36" s="38">
        <v>1.0836408164149899E-3</v>
      </c>
      <c r="I36" s="20">
        <v>2.8809268598399999E-2</v>
      </c>
      <c r="J36" s="27">
        <v>0.32345594729171101</v>
      </c>
      <c r="K36" s="27">
        <v>2.4847602831922301E-11</v>
      </c>
      <c r="L36" s="27">
        <v>4.4731121617282003E-5</v>
      </c>
      <c r="M36" s="143">
        <f>'Parameters, country spec'!D21</f>
        <v>6.0962584419075097E-4</v>
      </c>
      <c r="O36" s="251">
        <f>K36*M36/K41*100</f>
        <v>7.5543098475423121E-2</v>
      </c>
    </row>
    <row r="37" spans="1:15" x14ac:dyDescent="0.35">
      <c r="B37" s="17" t="s">
        <v>177</v>
      </c>
      <c r="C37" s="16" t="s">
        <v>374</v>
      </c>
      <c r="D37" s="22" t="s">
        <v>450</v>
      </c>
      <c r="E37" s="22"/>
      <c r="F37" s="18">
        <f>'Off-farm feed'!$F$88</f>
        <v>1.5397450382845068</v>
      </c>
      <c r="G37" s="19">
        <f>'Off-farm feed'!$G$88</f>
        <v>2.276724967641296E-2</v>
      </c>
      <c r="H37" s="19">
        <f>'Off-farm feed'!$H$88</f>
        <v>2.4780679919905292E-3</v>
      </c>
      <c r="I37" s="19">
        <f>'Off-farm feed'!$I$88</f>
        <v>8.1100925319702543E-4</v>
      </c>
      <c r="J37" s="18">
        <f>'Off-farm feed'!$J$88</f>
        <v>0.29368572248181479</v>
      </c>
      <c r="K37" s="28">
        <f>'Off-farm feed'!$K$88</f>
        <v>1.2571008272056975E-11</v>
      </c>
      <c r="L37" s="28">
        <f>'Off-farm feed'!$L$88</f>
        <v>1.3841258986185109E-3</v>
      </c>
      <c r="M37" s="143">
        <f>'Parameters, country spec'!D22</f>
        <v>6.2756108199759894E-2</v>
      </c>
      <c r="O37" s="251">
        <f>K37*M37/K41*100</f>
        <v>3.9343504565030649</v>
      </c>
    </row>
    <row r="38" spans="1:15" x14ac:dyDescent="0.35">
      <c r="B38" s="17" t="s">
        <v>375</v>
      </c>
      <c r="C38" s="16" t="s">
        <v>374</v>
      </c>
      <c r="D38" s="22" t="s">
        <v>426</v>
      </c>
      <c r="E38" s="22"/>
      <c r="F38" s="18">
        <f>'Off-farm feed'!$F$36</f>
        <v>2.5509164954964105</v>
      </c>
      <c r="G38" s="19">
        <f>'Off-farm feed'!$G$36</f>
        <v>4.2620923125915401E-2</v>
      </c>
      <c r="H38" s="19">
        <f>'Off-farm feed'!$H$36</f>
        <v>3.2959349471355006E-3</v>
      </c>
      <c r="I38" s="19">
        <f>'Off-farm feed'!$I$36</f>
        <v>2.435286335413451E-3</v>
      </c>
      <c r="J38" s="18">
        <f>'Off-farm feed'!$J$36</f>
        <v>0.25920846302270906</v>
      </c>
      <c r="K38" s="28">
        <f>'Off-farm feed'!$K$36</f>
        <v>1.4553836091881654E-10</v>
      </c>
      <c r="L38" s="28">
        <f>'Off-farm feed'!$L$36</f>
        <v>1.0450321677831977E-4</v>
      </c>
      <c r="M38" s="143">
        <f>'Parameters, country spec'!D23</f>
        <v>6.029992977299907E-2</v>
      </c>
      <c r="O38" s="251">
        <f>K38*M38/K41*100</f>
        <v>43.766439089437192</v>
      </c>
    </row>
    <row r="39" spans="1:15" x14ac:dyDescent="0.35">
      <c r="B39" s="16" t="s">
        <v>181</v>
      </c>
      <c r="C39" s="16" t="s">
        <v>376</v>
      </c>
      <c r="D39" s="22" t="s">
        <v>33</v>
      </c>
      <c r="E39" s="22" t="s">
        <v>85</v>
      </c>
      <c r="F39" s="20">
        <v>0.120921258763432</v>
      </c>
      <c r="G39" s="20">
        <v>1.85009525908051E-3</v>
      </c>
      <c r="H39" s="20">
        <v>1.69289762268805E-4</v>
      </c>
      <c r="I39" s="27">
        <v>8.1986400000000003E-10</v>
      </c>
      <c r="J39" s="27">
        <v>2.69650174798397E-2</v>
      </c>
      <c r="K39" s="27">
        <v>1.10907723894344E-12</v>
      </c>
      <c r="L39" s="27">
        <v>1.52738499295868E-4</v>
      </c>
      <c r="M39" s="143">
        <f>'Parameters, country spec'!D24</f>
        <v>1.202935742430772E-2</v>
      </c>
      <c r="O39" s="251">
        <f>K39*M39/K41*100</f>
        <v>6.6535151325949046E-2</v>
      </c>
    </row>
    <row r="40" spans="1:15" x14ac:dyDescent="0.35">
      <c r="A40" s="80"/>
      <c r="B40" s="16" t="s">
        <v>377</v>
      </c>
      <c r="C40" s="81" t="s">
        <v>378</v>
      </c>
      <c r="D40" s="22" t="s">
        <v>33</v>
      </c>
      <c r="E40" s="22" t="s">
        <v>85</v>
      </c>
      <c r="F40" s="103">
        <f t="shared" ref="F40:L40" si="2">AVERAGE(F30:F38)</f>
        <v>2.0351434196816616</v>
      </c>
      <c r="G40" s="103">
        <f t="shared" si="2"/>
        <v>2.4844113646304261E-2</v>
      </c>
      <c r="H40" s="103">
        <f t="shared" si="2"/>
        <v>2.2424888078360333E-3</v>
      </c>
      <c r="I40" s="103">
        <f t="shared" si="2"/>
        <v>9.5678300278233871E-3</v>
      </c>
      <c r="J40" s="161">
        <f t="shared" si="2"/>
        <v>0.25126996698236098</v>
      </c>
      <c r="K40" s="161">
        <f t="shared" si="2"/>
        <v>3.2065040511266144E-11</v>
      </c>
      <c r="L40" s="161">
        <f t="shared" si="2"/>
        <v>9.3418274734729482E-4</v>
      </c>
      <c r="M40" s="143">
        <f>'Parameters, country spec'!D25</f>
        <v>3.491384985363475E-3</v>
      </c>
      <c r="O40" s="251">
        <f>K40*M40/K41*100</f>
        <v>0.55831135429673717</v>
      </c>
    </row>
    <row r="41" spans="1:15" x14ac:dyDescent="0.35">
      <c r="A41" s="142"/>
      <c r="B41" s="24" t="s">
        <v>379</v>
      </c>
      <c r="C41" s="25"/>
      <c r="D41" s="99"/>
      <c r="E41" s="99"/>
      <c r="F41" s="29">
        <f>SUMPRODUCT(F30:F40,M30:M40)</f>
        <v>1.3887240447363247</v>
      </c>
      <c r="G41" s="29">
        <f>SUMPRODUCT(G30:G40,M30:M40)</f>
        <v>1.9388127094179471E-2</v>
      </c>
      <c r="H41" s="29">
        <f>SUMPRODUCT(H30:H40,M30:M40)</f>
        <v>2.2721346355337462E-3</v>
      </c>
      <c r="I41" s="29">
        <f>SUMPRODUCT(I30:I40,M30:M40)</f>
        <v>1.7978940508484279E-3</v>
      </c>
      <c r="J41" s="29">
        <f>SUMPRODUCT(J30:J40,M30:M40)</f>
        <v>0.25091528005972347</v>
      </c>
      <c r="K41" s="29">
        <f>SUMPRODUCT(K30:K40,M30:M40)</f>
        <v>2.0051786540705938E-11</v>
      </c>
      <c r="L41" s="29">
        <f>SUMPRODUCT(L30:L40,M30:M40)</f>
        <v>1.3559851784909736E-3</v>
      </c>
      <c r="M41" s="144"/>
    </row>
    <row r="42" spans="1:15" x14ac:dyDescent="0.35">
      <c r="A42" s="21" t="s">
        <v>365</v>
      </c>
      <c r="B42" s="16" t="s">
        <v>168</v>
      </c>
      <c r="C42" s="16" t="s">
        <v>366</v>
      </c>
      <c r="D42" s="22" t="s">
        <v>31</v>
      </c>
      <c r="E42" s="22" t="s">
        <v>86</v>
      </c>
      <c r="F42" s="23">
        <v>3.50911668514801</v>
      </c>
      <c r="G42" s="38">
        <v>3.29856968403913E-2</v>
      </c>
      <c r="H42" s="38">
        <v>2.45638167960361E-3</v>
      </c>
      <c r="I42" s="20">
        <v>0</v>
      </c>
      <c r="J42" s="27">
        <v>0.37077186530606498</v>
      </c>
      <c r="K42" s="27">
        <v>1.6521352778529399E-10</v>
      </c>
      <c r="L42" s="27">
        <v>4.3171634906833496E-3</v>
      </c>
      <c r="M42" s="143">
        <f>'Parameters, country spec'!E15</f>
        <v>0.17624165446480369</v>
      </c>
      <c r="O42" s="251">
        <f>K42*M42/K53*100</f>
        <v>28.104740983877175</v>
      </c>
    </row>
    <row r="43" spans="1:15" x14ac:dyDescent="0.35">
      <c r="A43" s="21" t="s">
        <v>367</v>
      </c>
      <c r="B43" s="16" t="s">
        <v>170</v>
      </c>
      <c r="C43" s="16" t="s">
        <v>366</v>
      </c>
      <c r="D43" s="22" t="s">
        <v>31</v>
      </c>
      <c r="E43" s="22" t="s">
        <v>86</v>
      </c>
      <c r="F43" s="20">
        <v>0.95354882265326901</v>
      </c>
      <c r="G43" s="38">
        <v>1.25865588271519E-2</v>
      </c>
      <c r="H43" s="38">
        <v>3.5280505803380298E-3</v>
      </c>
      <c r="I43" s="20">
        <v>0.14876738789999999</v>
      </c>
      <c r="J43" s="27">
        <v>5.3593544093051101E-2</v>
      </c>
      <c r="K43" s="27">
        <v>4.4894250901609901E-11</v>
      </c>
      <c r="L43" s="27">
        <v>1.64732709770681E-3</v>
      </c>
      <c r="M43" s="143">
        <f>'Parameters, country spec'!E16</f>
        <v>0.52712316765456624</v>
      </c>
      <c r="O43" s="251">
        <f>K43*M43/K53*100</f>
        <v>22.84169115345291</v>
      </c>
    </row>
    <row r="44" spans="1:15" x14ac:dyDescent="0.35">
      <c r="A44" s="21" t="s">
        <v>368</v>
      </c>
      <c r="B44" s="16" t="s">
        <v>171</v>
      </c>
      <c r="C44" s="16" t="s">
        <v>366</v>
      </c>
      <c r="D44" s="22" t="s">
        <v>31</v>
      </c>
      <c r="E44" s="22" t="s">
        <v>86</v>
      </c>
      <c r="F44" s="20">
        <v>8.6360260462545604</v>
      </c>
      <c r="G44" s="38">
        <v>6.1308916561460203E-2</v>
      </c>
      <c r="H44" s="38">
        <v>1.29525880059423E-2</v>
      </c>
      <c r="I44" s="20">
        <v>1.9174813959999999E-3</v>
      </c>
      <c r="J44" s="27">
        <v>0.390875174879527</v>
      </c>
      <c r="K44" s="27">
        <v>4.0659472373379301E-10</v>
      </c>
      <c r="L44" s="27">
        <v>8.0241026137238807E-3</v>
      </c>
      <c r="M44" s="143">
        <f>'Parameters, country spec'!E17</f>
        <v>4.7896893432639032E-2</v>
      </c>
      <c r="O44" s="251">
        <f>K44*M44/K53*100</f>
        <v>18.797258165272876</v>
      </c>
    </row>
    <row r="45" spans="1:15" x14ac:dyDescent="0.35">
      <c r="A45" s="21" t="s">
        <v>369</v>
      </c>
      <c r="B45" s="16" t="s">
        <v>172</v>
      </c>
      <c r="C45" s="16" t="s">
        <v>366</v>
      </c>
      <c r="D45" s="22" t="s">
        <v>31</v>
      </c>
      <c r="E45" s="22" t="s">
        <v>86</v>
      </c>
      <c r="F45" s="20">
        <v>5.2144168196228904</v>
      </c>
      <c r="G45" s="38">
        <v>4.9538952557176601E-2</v>
      </c>
      <c r="H45" s="38">
        <v>3.6502386094761701E-3</v>
      </c>
      <c r="I45" s="20">
        <v>1.1718801289799999E-2</v>
      </c>
      <c r="J45" s="27">
        <v>8.4176330719172403E-3</v>
      </c>
      <c r="K45" s="27">
        <v>2.45501154680622E-10</v>
      </c>
      <c r="L45" s="27">
        <v>6.4836513347401497E-3</v>
      </c>
      <c r="M45" s="143">
        <f>'Parameters, country spec'!E18</f>
        <v>1.056436574017274E-2</v>
      </c>
      <c r="O45" s="251">
        <f>K45*M45/K53*100</f>
        <v>2.5033546969482305</v>
      </c>
    </row>
    <row r="46" spans="1:15" x14ac:dyDescent="0.35">
      <c r="A46" s="21" t="s">
        <v>370</v>
      </c>
      <c r="B46" s="16" t="s">
        <v>173</v>
      </c>
      <c r="C46" s="16" t="s">
        <v>366</v>
      </c>
      <c r="D46" s="22" t="s">
        <v>31</v>
      </c>
      <c r="E46" s="22" t="s">
        <v>86</v>
      </c>
      <c r="F46" s="20">
        <v>3.3462498577843802</v>
      </c>
      <c r="G46" s="38">
        <v>5.1197622824101001E-2</v>
      </c>
      <c r="H46" s="38">
        <v>4.6847498008981301E-3</v>
      </c>
      <c r="I46" s="20">
        <v>8.8761701473999994E-3</v>
      </c>
      <c r="J46" s="27">
        <v>8.3195467839192599E-2</v>
      </c>
      <c r="K46" s="27">
        <v>1.5754555731801701E-10</v>
      </c>
      <c r="L46" s="27">
        <v>6.7007378724021297E-3</v>
      </c>
      <c r="M46" s="143">
        <f>'Parameters, country spec'!E19</f>
        <v>7.5759890638728566E-3</v>
      </c>
      <c r="O46" s="251">
        <f>K46*M46/K53*100</f>
        <v>1.1520489203313242</v>
      </c>
    </row>
    <row r="47" spans="1:15" x14ac:dyDescent="0.35">
      <c r="A47" s="21" t="s">
        <v>371</v>
      </c>
      <c r="B47" s="16" t="s">
        <v>174</v>
      </c>
      <c r="C47" s="16" t="s">
        <v>372</v>
      </c>
      <c r="D47" s="22" t="s">
        <v>31</v>
      </c>
      <c r="E47" s="22" t="s">
        <v>86</v>
      </c>
      <c r="F47" s="20">
        <v>6.2517973917501299</v>
      </c>
      <c r="G47" s="38">
        <v>3.44E-2</v>
      </c>
      <c r="H47" s="38">
        <v>3.1262575093647998E-3</v>
      </c>
      <c r="I47" s="20">
        <v>0.62402196310000002</v>
      </c>
      <c r="J47" s="27">
        <v>0.105818547832502</v>
      </c>
      <c r="K47" s="27">
        <v>2.9434230741357398E-10</v>
      </c>
      <c r="L47" s="27">
        <v>0</v>
      </c>
      <c r="M47" s="143">
        <f>'Parameters, country spec'!E20</f>
        <v>5.2541698729789991E-4</v>
      </c>
      <c r="O47" s="251">
        <f>K47*M47/K53*100</f>
        <v>0.1492733300294406</v>
      </c>
    </row>
    <row r="48" spans="1:15" x14ac:dyDescent="0.35">
      <c r="A48" s="21" t="s">
        <v>373</v>
      </c>
      <c r="B48" s="16" t="s">
        <v>175</v>
      </c>
      <c r="C48" s="16" t="s">
        <v>372</v>
      </c>
      <c r="D48" s="22" t="s">
        <v>31</v>
      </c>
      <c r="E48" s="22" t="s">
        <v>86</v>
      </c>
      <c r="F48" s="20">
        <v>3.5471558904070699</v>
      </c>
      <c r="G48" s="38">
        <v>4.0709431178081401E-2</v>
      </c>
      <c r="H48" s="38">
        <v>1.41886235616283E-3</v>
      </c>
      <c r="I48" s="20">
        <v>0.50139618898000005</v>
      </c>
      <c r="J48" s="27">
        <v>6.0039515316619101E-2</v>
      </c>
      <c r="K48" s="27">
        <v>1.6700446033581199E-10</v>
      </c>
      <c r="L48" s="27">
        <v>9.2850255551224706E-5</v>
      </c>
      <c r="M48" s="143">
        <f>'Parameters, country spec'!E21</f>
        <v>5.1613262720405463E-4</v>
      </c>
      <c r="O48" s="251">
        <f>K48*M48/K53*100</f>
        <v>8.31983676382793E-2</v>
      </c>
    </row>
    <row r="49" spans="1:15" x14ac:dyDescent="0.35">
      <c r="B49" s="17" t="s">
        <v>177</v>
      </c>
      <c r="C49" s="16" t="s">
        <v>374</v>
      </c>
      <c r="D49" s="22" t="s">
        <v>450</v>
      </c>
      <c r="E49" s="22"/>
      <c r="F49" s="18">
        <f>'Off-farm feed'!$F$88</f>
        <v>1.5397450382845068</v>
      </c>
      <c r="G49" s="19">
        <f>'Off-farm feed'!$G$88</f>
        <v>2.276724967641296E-2</v>
      </c>
      <c r="H49" s="19">
        <f>'Off-farm feed'!$H$88</f>
        <v>2.4780679919905292E-3</v>
      </c>
      <c r="I49" s="19">
        <f>'Off-farm feed'!$I$88</f>
        <v>8.1100925319702543E-4</v>
      </c>
      <c r="J49" s="18">
        <f>'Off-farm feed'!$J$88</f>
        <v>0.29368572248181479</v>
      </c>
      <c r="K49" s="28">
        <f>'Off-farm feed'!$K$88</f>
        <v>1.2571008272056975E-11</v>
      </c>
      <c r="L49" s="28">
        <f>'Off-farm feed'!$L$88</f>
        <v>1.3841258986185109E-3</v>
      </c>
      <c r="M49" s="143">
        <f>'Parameters, country spec'!E22</f>
        <v>5.7339277577128883E-4</v>
      </c>
      <c r="O49" s="251">
        <f>K49*M49/K53*100</f>
        <v>6.9574124564284068E-3</v>
      </c>
    </row>
    <row r="50" spans="1:15" x14ac:dyDescent="0.35">
      <c r="B50" s="17" t="s">
        <v>375</v>
      </c>
      <c r="C50" s="16" t="s">
        <v>374</v>
      </c>
      <c r="D50" s="22" t="s">
        <v>426</v>
      </c>
      <c r="E50" s="22"/>
      <c r="F50" s="18">
        <f>'Off-farm feed'!$F$36</f>
        <v>2.5509164954964105</v>
      </c>
      <c r="G50" s="19">
        <f>'Off-farm feed'!$G$36</f>
        <v>4.2620923125915401E-2</v>
      </c>
      <c r="H50" s="19">
        <f>'Off-farm feed'!$H$36</f>
        <v>3.2959349471355006E-3</v>
      </c>
      <c r="I50" s="19">
        <f>'Off-farm feed'!$I$36</f>
        <v>2.435286335413451E-3</v>
      </c>
      <c r="J50" s="18">
        <f>'Off-farm feed'!$J$36</f>
        <v>0.25920846302270906</v>
      </c>
      <c r="K50" s="28">
        <f>'Off-farm feed'!$K$36</f>
        <v>1.4553836091881654E-10</v>
      </c>
      <c r="L50" s="28">
        <f>'Off-farm feed'!$L$36</f>
        <v>1.0450321677831977E-4</v>
      </c>
      <c r="M50" s="143">
        <f>'Parameters, country spec'!E23</f>
        <v>0.1010354992810391</v>
      </c>
      <c r="O50" s="251">
        <f>K50*M50/K53*100</f>
        <v>14.193087910486355</v>
      </c>
    </row>
    <row r="51" spans="1:15" x14ac:dyDescent="0.35">
      <c r="B51" s="16" t="s">
        <v>181</v>
      </c>
      <c r="C51" s="16" t="s">
        <v>376</v>
      </c>
      <c r="D51" s="22" t="s">
        <v>31</v>
      </c>
      <c r="E51" s="22" t="s">
        <v>86</v>
      </c>
      <c r="F51" s="20">
        <v>0.30116248720059402</v>
      </c>
      <c r="G51" s="20">
        <v>4.6077860541690902E-3</v>
      </c>
      <c r="H51" s="20">
        <v>4.2162748208083201E-4</v>
      </c>
      <c r="I51" s="27">
        <v>7.9885531326599995E-4</v>
      </c>
      <c r="J51" s="27">
        <v>7.4875921055273303E-3</v>
      </c>
      <c r="K51" s="27">
        <v>1.41791001586215E-11</v>
      </c>
      <c r="L51" s="27">
        <v>6.0306640851619199E-4</v>
      </c>
      <c r="M51" s="143">
        <f>'Parameters, country spec'!E24</f>
        <v>6.3687941219233005E-2</v>
      </c>
      <c r="O51" s="251">
        <f>K51*M51/K53*100</f>
        <v>0.87162825831761359</v>
      </c>
    </row>
    <row r="52" spans="1:15" x14ac:dyDescent="0.35">
      <c r="A52" s="80"/>
      <c r="B52" s="16" t="s">
        <v>377</v>
      </c>
      <c r="C52" s="81" t="s">
        <v>378</v>
      </c>
      <c r="D52" s="22" t="s">
        <v>31</v>
      </c>
      <c r="E52" s="22" t="s">
        <v>86</v>
      </c>
      <c r="F52" s="103">
        <f t="shared" ref="F52:L52" si="3">AVERAGE(F42:F50)</f>
        <v>3.9498858941556918</v>
      </c>
      <c r="G52" s="103">
        <f t="shared" si="3"/>
        <v>3.8679483510076752E-2</v>
      </c>
      <c r="H52" s="103">
        <f t="shared" si="3"/>
        <v>4.1767923867679895E-3</v>
      </c>
      <c r="I52" s="103">
        <f t="shared" si="3"/>
        <v>0.14443825426686782</v>
      </c>
      <c r="J52" s="161">
        <f t="shared" si="3"/>
        <v>0.18062288153815531</v>
      </c>
      <c r="K52" s="161">
        <f t="shared" si="3"/>
        <v>1.8213392792884392E-10</v>
      </c>
      <c r="L52" s="161">
        <f t="shared" si="3"/>
        <v>3.1949401978004863E-3</v>
      </c>
      <c r="M52" s="143">
        <f>'Parameters, country spec'!E25</f>
        <v>6.4259546753399996E-2</v>
      </c>
      <c r="O52" s="251">
        <f>K52*M52/K53*100</f>
        <v>11.296760801189357</v>
      </c>
    </row>
    <row r="53" spans="1:15" x14ac:dyDescent="0.35">
      <c r="A53" s="142"/>
      <c r="B53" s="24" t="s">
        <v>379</v>
      </c>
      <c r="C53" s="25"/>
      <c r="D53" s="99"/>
      <c r="E53" s="99"/>
      <c r="F53" s="29">
        <f>SUMPRODUCT(F42:F52,M42:M52)</f>
        <v>2.1518970840976719</v>
      </c>
      <c r="G53" s="29">
        <f>SUMPRODUCT(G42:G52,M42:M52)</f>
        <v>2.3433200551234559E-2</v>
      </c>
      <c r="H53" s="29">
        <f>SUMPRODUCT(H42:H52,M42:M52)</f>
        <v>3.6191303863048669E-3</v>
      </c>
      <c r="I53" s="29">
        <f>SUMPRODUCT(I42:I52,M42:M52)</f>
        <v>8.8867213899515463E-2</v>
      </c>
      <c r="J53" s="29">
        <f>SUMPRODUCT(J42:J52,M42:M52)</f>
        <v>0.15156462199751924</v>
      </c>
      <c r="K53" s="29">
        <f>SUMPRODUCT(K42:K52,M42:M52)</f>
        <v>1.0360353612065253E-10</v>
      </c>
      <c r="L53" s="29">
        <f>SUMPRODUCT(L42:L52,M42:M52)</f>
        <v>2.3879118552675243E-3</v>
      </c>
      <c r="M53" s="144"/>
    </row>
    <row r="54" spans="1:15" x14ac:dyDescent="0.35">
      <c r="A54" s="21" t="s">
        <v>365</v>
      </c>
      <c r="B54" s="16" t="s">
        <v>168</v>
      </c>
      <c r="C54" s="16" t="s">
        <v>366</v>
      </c>
      <c r="D54" s="22" t="s">
        <v>35</v>
      </c>
      <c r="E54" s="22" t="s">
        <v>87</v>
      </c>
      <c r="F54" s="23">
        <v>1.80609086081903</v>
      </c>
      <c r="G54" s="38">
        <v>1.6977254091698799E-2</v>
      </c>
      <c r="H54" s="38">
        <v>1.2642636025733201E-3</v>
      </c>
      <c r="I54" s="20">
        <v>0</v>
      </c>
      <c r="J54" s="27">
        <v>0.23878435636340001</v>
      </c>
      <c r="K54" s="27">
        <v>2.26804674792707E-11</v>
      </c>
      <c r="L54" s="27">
        <v>1.2237100149001499E-3</v>
      </c>
      <c r="M54" s="143">
        <f>'Parameters, country spec'!F15</f>
        <v>9.4621646910172968E-2</v>
      </c>
      <c r="O54" s="251">
        <f>K54*M54/K65*100</f>
        <v>6.7541766792551723</v>
      </c>
    </row>
    <row r="55" spans="1:15" x14ac:dyDescent="0.35">
      <c r="A55" s="21" t="s">
        <v>367</v>
      </c>
      <c r="B55" s="16" t="s">
        <v>170</v>
      </c>
      <c r="C55" s="16" t="s">
        <v>366</v>
      </c>
      <c r="D55" s="22" t="s">
        <v>35</v>
      </c>
      <c r="E55" s="22" t="s">
        <v>87</v>
      </c>
      <c r="F55" s="20">
        <v>1.5573752620283901</v>
      </c>
      <c r="G55" s="38">
        <v>2.0556886953023001E-2</v>
      </c>
      <c r="H55" s="38">
        <v>5.7621577065291698E-3</v>
      </c>
      <c r="I55" s="20">
        <v>1.0475658346000001E-3</v>
      </c>
      <c r="J55" s="27">
        <v>0.21701136572466201</v>
      </c>
      <c r="K55" s="27">
        <v>1.95571550411576E-11</v>
      </c>
      <c r="L55" s="27">
        <v>1.4817277460602201E-3</v>
      </c>
      <c r="M55" s="143">
        <f>'Parameters, country spec'!F16</f>
        <v>0.56124001601073992</v>
      </c>
      <c r="O55" s="251">
        <f>K55*M55/K65*100</f>
        <v>34.544922239046741</v>
      </c>
    </row>
    <row r="56" spans="1:15" x14ac:dyDescent="0.35">
      <c r="A56" s="21" t="s">
        <v>368</v>
      </c>
      <c r="B56" s="16" t="s">
        <v>171</v>
      </c>
      <c r="C56" s="16" t="s">
        <v>366</v>
      </c>
      <c r="D56" s="22" t="s">
        <v>35</v>
      </c>
      <c r="E56" s="22" t="s">
        <v>87</v>
      </c>
      <c r="F56" s="20">
        <v>3.5478102914880898</v>
      </c>
      <c r="G56" s="38">
        <v>2.5186631440402899E-2</v>
      </c>
      <c r="H56" s="38">
        <v>5.3211193183949701E-3</v>
      </c>
      <c r="I56" s="20">
        <v>0</v>
      </c>
      <c r="J56" s="27">
        <v>0.188442653194448</v>
      </c>
      <c r="K56" s="27">
        <v>4.4552573563341E-11</v>
      </c>
      <c r="L56" s="27">
        <v>1.8154368762313699E-3</v>
      </c>
      <c r="M56" s="143">
        <f>'Parameters, country spec'!F17</f>
        <v>5.0680010317105902E-2</v>
      </c>
      <c r="O56" s="251">
        <f>K56*M56/K65*100</f>
        <v>7.106232343692068</v>
      </c>
    </row>
    <row r="57" spans="1:15" x14ac:dyDescent="0.35">
      <c r="A57" s="21" t="s">
        <v>369</v>
      </c>
      <c r="B57" s="16" t="s">
        <v>172</v>
      </c>
      <c r="C57" s="16" t="s">
        <v>366</v>
      </c>
      <c r="D57" s="22" t="s">
        <v>35</v>
      </c>
      <c r="E57" s="22" t="s">
        <v>87</v>
      </c>
      <c r="F57" s="20">
        <v>3.1670023689177702</v>
      </c>
      <c r="G57" s="38">
        <v>3.0087732824095499E-2</v>
      </c>
      <c r="H57" s="38">
        <v>2.21699083967019E-3</v>
      </c>
      <c r="I57" s="20">
        <v>0</v>
      </c>
      <c r="J57" s="27">
        <v>0.27600774015378998</v>
      </c>
      <c r="K57" s="27">
        <v>3.9770476554230403E-11</v>
      </c>
      <c r="L57" s="27">
        <v>2.16870524430028E-3</v>
      </c>
      <c r="M57" s="143">
        <f>'Parameters, country spec'!F18</f>
        <v>1.9697569305132029E-2</v>
      </c>
      <c r="O57" s="251">
        <f>K57*M57/K65*100</f>
        <v>2.4654905632509228</v>
      </c>
    </row>
    <row r="58" spans="1:15" x14ac:dyDescent="0.35">
      <c r="A58" s="21" t="s">
        <v>370</v>
      </c>
      <c r="B58" s="16" t="s">
        <v>173</v>
      </c>
      <c r="C58" s="16" t="s">
        <v>366</v>
      </c>
      <c r="D58" s="22" t="s">
        <v>35</v>
      </c>
      <c r="E58" s="22" t="s">
        <v>87</v>
      </c>
      <c r="F58" s="20">
        <v>1.83842454370303</v>
      </c>
      <c r="G58" s="38">
        <v>2.8127895518656298E-2</v>
      </c>
      <c r="H58" s="38">
        <v>2.57379436118424E-3</v>
      </c>
      <c r="I58" s="20">
        <v>0</v>
      </c>
      <c r="J58" s="27">
        <v>0.17433246804818101</v>
      </c>
      <c r="K58" s="27">
        <v>2.3086506322080101E-11</v>
      </c>
      <c r="L58" s="27">
        <v>2.0274413788196098E-3</v>
      </c>
      <c r="M58" s="143">
        <f>'Parameters, country spec'!F19</f>
        <v>8.8612672319940383E-2</v>
      </c>
      <c r="O58" s="251">
        <f>K58*M58/K65*100</f>
        <v>6.4384890654305833</v>
      </c>
    </row>
    <row r="59" spans="1:15" x14ac:dyDescent="0.35">
      <c r="A59" s="21" t="s">
        <v>371</v>
      </c>
      <c r="B59" s="16" t="s">
        <v>174</v>
      </c>
      <c r="C59" s="16" t="s">
        <v>372</v>
      </c>
      <c r="D59" s="22" t="s">
        <v>35</v>
      </c>
      <c r="E59" s="22" t="s">
        <v>87</v>
      </c>
      <c r="F59" s="20">
        <v>4.3014822907974102</v>
      </c>
      <c r="G59" s="38">
        <v>3.44E-2</v>
      </c>
      <c r="H59" s="38">
        <v>2.1509880231804202E-3</v>
      </c>
      <c r="I59" s="20">
        <v>0.32429639269999999</v>
      </c>
      <c r="J59" s="27">
        <v>0.46527499376285097</v>
      </c>
      <c r="K59" s="27">
        <v>5.40170106197471E-11</v>
      </c>
      <c r="L59" s="27">
        <v>0</v>
      </c>
      <c r="M59" s="143">
        <f>'Parameters, country spec'!F20</f>
        <v>9.055122364146367E-4</v>
      </c>
      <c r="O59" s="251">
        <f>K59*M59/K65*100</f>
        <v>0.1539411695853608</v>
      </c>
    </row>
    <row r="60" spans="1:15" x14ac:dyDescent="0.35">
      <c r="A60" s="21" t="s">
        <v>373</v>
      </c>
      <c r="B60" s="16" t="s">
        <v>175</v>
      </c>
      <c r="C60" s="16" t="s">
        <v>372</v>
      </c>
      <c r="D60" s="22" t="s">
        <v>35</v>
      </c>
      <c r="E60" s="22" t="s">
        <v>87</v>
      </c>
      <c r="F60" s="20">
        <v>6.7861020629750302</v>
      </c>
      <c r="G60" s="38">
        <v>4.1357220412595E-2</v>
      </c>
      <c r="H60" s="38">
        <v>2.7144408251900099E-3</v>
      </c>
      <c r="I60" s="20">
        <v>0.41091933932000002</v>
      </c>
      <c r="J60" s="27">
        <v>0.81023344191096602</v>
      </c>
      <c r="K60" s="27">
        <v>8.5218285795721799E-11</v>
      </c>
      <c r="L60" s="27">
        <v>9.7827611128910807E-5</v>
      </c>
      <c r="M60" s="143">
        <f>'Parameters, country spec'!F21</f>
        <v>8.8951141806825748E-4</v>
      </c>
      <c r="O60" s="251">
        <f>K60*M60/K65*100</f>
        <v>0.23856912270343736</v>
      </c>
    </row>
    <row r="61" spans="1:15" x14ac:dyDescent="0.35">
      <c r="B61" s="17" t="s">
        <v>177</v>
      </c>
      <c r="C61" s="16" t="s">
        <v>374</v>
      </c>
      <c r="D61" s="22" t="s">
        <v>450</v>
      </c>
      <c r="E61" s="22"/>
      <c r="F61" s="18">
        <f>'Off-farm feed'!$F$88</f>
        <v>1.5397450382845068</v>
      </c>
      <c r="G61" s="19">
        <f>'Off-farm feed'!$G$88</f>
        <v>2.276724967641296E-2</v>
      </c>
      <c r="H61" s="19">
        <f>'Off-farm feed'!$H$88</f>
        <v>2.4780679919905292E-3</v>
      </c>
      <c r="I61" s="19">
        <f>'Off-farm feed'!$I$88</f>
        <v>8.1100925319702543E-4</v>
      </c>
      <c r="J61" s="18">
        <f>'Off-farm feed'!$J$88</f>
        <v>0.29368572248181479</v>
      </c>
      <c r="K61" s="28">
        <f>'Off-farm feed'!$K$88</f>
        <v>1.2571008272056975E-11</v>
      </c>
      <c r="L61" s="28">
        <f>'Off-farm feed'!$L$88</f>
        <v>1.3841258986185109E-3</v>
      </c>
      <c r="M61" s="143">
        <f>'Parameters, country spec'!F22</f>
        <v>3.9081132627509529E-4</v>
      </c>
      <c r="O61" s="251">
        <f>K61*M61/K65*100</f>
        <v>1.5462053308983837E-2</v>
      </c>
    </row>
    <row r="62" spans="1:15" x14ac:dyDescent="0.35">
      <c r="B62" s="17" t="s">
        <v>375</v>
      </c>
      <c r="C62" s="16" t="s">
        <v>374</v>
      </c>
      <c r="D62" s="22" t="s">
        <v>426</v>
      </c>
      <c r="E62" s="22"/>
      <c r="F62" s="18">
        <f>'Off-farm feed'!$F$36</f>
        <v>2.5509164954964105</v>
      </c>
      <c r="G62" s="19">
        <f>'Off-farm feed'!$G$36</f>
        <v>4.2620923125915401E-2</v>
      </c>
      <c r="H62" s="19">
        <f>'Off-farm feed'!$H$36</f>
        <v>3.2959349471355006E-3</v>
      </c>
      <c r="I62" s="19">
        <f>'Off-farm feed'!$I$36</f>
        <v>2.435286335413451E-3</v>
      </c>
      <c r="J62" s="18">
        <f>'Off-farm feed'!$J$36</f>
        <v>0.25920846302270906</v>
      </c>
      <c r="K62" s="28">
        <f>'Off-farm feed'!$K$36</f>
        <v>1.4553836091881654E-10</v>
      </c>
      <c r="L62" s="28">
        <f>'Off-farm feed'!$L$36</f>
        <v>1.0450321677831977E-4</v>
      </c>
      <c r="M62" s="143">
        <f>'Parameters, country spec'!F23</f>
        <v>7.4520089695706837E-2</v>
      </c>
      <c r="O62" s="251">
        <f>K62*M62/K65*100</f>
        <v>34.133495155623947</v>
      </c>
    </row>
    <row r="63" spans="1:15" x14ac:dyDescent="0.35">
      <c r="B63" s="16" t="s">
        <v>181</v>
      </c>
      <c r="C63" s="16" t="s">
        <v>376</v>
      </c>
      <c r="D63" s="22" t="s">
        <v>35</v>
      </c>
      <c r="E63" s="22" t="s">
        <v>87</v>
      </c>
      <c r="F63" s="20">
        <v>0.16545820893327301</v>
      </c>
      <c r="G63" s="20">
        <v>2.5315105966790701E-3</v>
      </c>
      <c r="H63" s="20">
        <v>2.31641492506582E-4</v>
      </c>
      <c r="I63" s="27">
        <v>0</v>
      </c>
      <c r="J63" s="27">
        <v>1.56899221243363E-2</v>
      </c>
      <c r="K63" s="27">
        <v>2.07778556898721E-12</v>
      </c>
      <c r="L63" s="27">
        <v>1.82469724093765E-4</v>
      </c>
      <c r="M63" s="143">
        <f>'Parameters, country spec'!F24</f>
        <v>5.8765674595574857E-2</v>
      </c>
      <c r="O63" s="251">
        <f>K63*M63/K65*100</f>
        <v>0.3842858239802871</v>
      </c>
    </row>
    <row r="64" spans="1:15" x14ac:dyDescent="0.35">
      <c r="A64" s="80"/>
      <c r="B64" s="16" t="s">
        <v>377</v>
      </c>
      <c r="C64" s="81" t="s">
        <v>378</v>
      </c>
      <c r="D64" s="22" t="s">
        <v>35</v>
      </c>
      <c r="E64" s="22" t="s">
        <v>87</v>
      </c>
      <c r="F64" s="103">
        <f t="shared" ref="F64:L64" si="4">AVERAGE(F54:F62)</f>
        <v>3.0105499127232962</v>
      </c>
      <c r="G64" s="103">
        <f t="shared" si="4"/>
        <v>2.9120199338088872E-2</v>
      </c>
      <c r="H64" s="103">
        <f t="shared" si="4"/>
        <v>3.0864175128720384E-3</v>
      </c>
      <c r="I64" s="103">
        <f t="shared" si="4"/>
        <v>8.2167732604801161E-2</v>
      </c>
      <c r="J64" s="161">
        <f t="shared" si="4"/>
        <v>0.32477568940698021</v>
      </c>
      <c r="K64" s="161">
        <f t="shared" si="4"/>
        <v>4.9665760507380241E-11</v>
      </c>
      <c r="L64" s="161">
        <f t="shared" si="4"/>
        <v>1.1448308874263745E-3</v>
      </c>
      <c r="M64" s="143">
        <f>'Parameters, country spec'!F25</f>
        <v>4.9676485864869203E-2</v>
      </c>
      <c r="O64" s="251">
        <f>K64*M64/K65*100</f>
        <v>7.7649357841224749</v>
      </c>
    </row>
    <row r="65" spans="1:15" x14ac:dyDescent="0.35">
      <c r="A65" s="142"/>
      <c r="B65" s="24" t="s">
        <v>379</v>
      </c>
      <c r="C65" s="25"/>
      <c r="D65" s="99"/>
      <c r="E65" s="99"/>
      <c r="F65" s="29">
        <f>SUMPRODUCT(F54:F64,M54:M64)</f>
        <v>1.8099540706384114</v>
      </c>
      <c r="G65" s="29">
        <f>SUMPRODUCT(G54:G64,M54:M64)</f>
        <v>2.2353670390016889E-2</v>
      </c>
      <c r="H65" s="29">
        <f>SUMPRODUCT(H54:H64,M54:M64)</f>
        <v>4.3128737382235986E-3</v>
      </c>
      <c r="I65" s="29">
        <f>SUMPRODUCT(I54:I64,M54:M64)</f>
        <v>5.5107065768707497E-3</v>
      </c>
      <c r="J65" s="29">
        <f>SUMPRODUCT(J54:J64,M54:M64)</f>
        <v>0.21245343601484989</v>
      </c>
      <c r="K65" s="29">
        <f>SUMPRODUCT(K54:K64,M54:M64)</f>
        <v>3.1773868044829907E-11</v>
      </c>
      <c r="L65" s="29">
        <f>SUMPRODUCT(L54:L64,M54:M64)</f>
        <v>1.3377856126610417E-3</v>
      </c>
      <c r="M65" s="144"/>
    </row>
    <row r="66" spans="1:15" x14ac:dyDescent="0.35">
      <c r="A66" s="21" t="s">
        <v>365</v>
      </c>
      <c r="B66" s="16" t="s">
        <v>168</v>
      </c>
      <c r="C66" s="16" t="s">
        <v>366</v>
      </c>
      <c r="D66" s="22" t="s">
        <v>37</v>
      </c>
      <c r="E66" s="22" t="s">
        <v>88</v>
      </c>
      <c r="F66" s="23">
        <v>1.35326054595943</v>
      </c>
      <c r="G66" s="38">
        <v>1.27206491320187E-2</v>
      </c>
      <c r="H66" s="38">
        <v>9.4728238217160396E-4</v>
      </c>
      <c r="I66" s="20">
        <v>0</v>
      </c>
      <c r="J66" s="27">
        <v>0.49429911929803699</v>
      </c>
      <c r="K66" s="27">
        <v>5.9489298724408499E-12</v>
      </c>
      <c r="L66" s="27">
        <v>1.0205419070028799E-3</v>
      </c>
      <c r="M66" s="143">
        <f>'Parameters, country spec'!G15</f>
        <v>1.5696345190060228E-2</v>
      </c>
      <c r="O66" s="251">
        <f>K66*M66/K77*100</f>
        <v>0.34012844347381993</v>
      </c>
    </row>
    <row r="67" spans="1:15" x14ac:dyDescent="0.35">
      <c r="A67" s="21" t="s">
        <v>367</v>
      </c>
      <c r="B67" s="16" t="s">
        <v>170</v>
      </c>
      <c r="C67" s="16" t="s">
        <v>366</v>
      </c>
      <c r="D67" s="22" t="s">
        <v>37</v>
      </c>
      <c r="E67" s="22" t="s">
        <v>88</v>
      </c>
      <c r="F67" s="20">
        <v>1.1291040108032699</v>
      </c>
      <c r="G67" s="38">
        <v>1.49038347238525E-2</v>
      </c>
      <c r="H67" s="38">
        <v>4.1775900362313904E-3</v>
      </c>
      <c r="I67" s="20">
        <v>4.0573939566E-2</v>
      </c>
      <c r="J67" s="27">
        <v>0.119829776279331</v>
      </c>
      <c r="K67" s="27">
        <v>1.35734567441708E-11</v>
      </c>
      <c r="L67" s="27">
        <v>1.4340993937730999E-3</v>
      </c>
      <c r="M67" s="143">
        <f>'Parameters, country spec'!G16</f>
        <v>4.3262189278547086E-3</v>
      </c>
      <c r="O67" s="251">
        <f>K67*M67/K77*100</f>
        <v>0.2138969133759798</v>
      </c>
    </row>
    <row r="68" spans="1:15" x14ac:dyDescent="0.35">
      <c r="A68" s="21" t="s">
        <v>368</v>
      </c>
      <c r="B68" s="16" t="s">
        <v>171</v>
      </c>
      <c r="C68" s="16" t="s">
        <v>366</v>
      </c>
      <c r="D68" s="22" t="s">
        <v>37</v>
      </c>
      <c r="E68" s="22" t="s">
        <v>88</v>
      </c>
      <c r="F68" s="20">
        <v>1.30698794172925</v>
      </c>
      <c r="G68" s="38">
        <v>9.2785749182710594E-3</v>
      </c>
      <c r="H68" s="38">
        <v>1.9602623066769802E-3</v>
      </c>
      <c r="I68" s="20">
        <v>0</v>
      </c>
      <c r="J68" s="27">
        <v>0.27901604719794898</v>
      </c>
      <c r="K68" s="27">
        <v>5.7455156234978196E-12</v>
      </c>
      <c r="L68" s="27">
        <v>7.4439397259428504E-4</v>
      </c>
      <c r="M68" s="143">
        <f>'Parameters, country spec'!G17</f>
        <v>9.0473725401480211E-4</v>
      </c>
      <c r="O68" s="251">
        <f>K68*M68/K77*100</f>
        <v>1.8934639660849184E-2</v>
      </c>
    </row>
    <row r="69" spans="1:15" x14ac:dyDescent="0.35">
      <c r="A69" s="21" t="s">
        <v>369</v>
      </c>
      <c r="B69" s="16" t="s">
        <v>172</v>
      </c>
      <c r="C69" s="16" t="s">
        <v>366</v>
      </c>
      <c r="D69" s="22" t="s">
        <v>37</v>
      </c>
      <c r="E69" s="22" t="s">
        <v>88</v>
      </c>
      <c r="F69" s="20">
        <v>2.4432315157319699</v>
      </c>
      <c r="G69" s="38">
        <v>2.3211633118504299E-2</v>
      </c>
      <c r="H69" s="38">
        <v>1.7103308613634701E-3</v>
      </c>
      <c r="I69" s="20">
        <v>3.4943905220000002E-4</v>
      </c>
      <c r="J69" s="27">
        <v>0.21293031415070801</v>
      </c>
      <c r="K69" s="27">
        <v>2.9371162423902602E-11</v>
      </c>
      <c r="L69" s="27">
        <v>2.2335049737538899E-3</v>
      </c>
      <c r="M69" s="143">
        <f>'Parameters, country spec'!G18</f>
        <v>0</v>
      </c>
      <c r="O69" s="251">
        <f>K69*M69/K77*100</f>
        <v>0</v>
      </c>
    </row>
    <row r="70" spans="1:15" x14ac:dyDescent="0.35">
      <c r="A70" s="21" t="s">
        <v>370</v>
      </c>
      <c r="B70" s="16" t="s">
        <v>173</v>
      </c>
      <c r="C70" s="16" t="s">
        <v>366</v>
      </c>
      <c r="D70" s="22" t="s">
        <v>37</v>
      </c>
      <c r="E70" s="22" t="s">
        <v>88</v>
      </c>
      <c r="F70" s="20">
        <v>1.10929187244031</v>
      </c>
      <c r="G70" s="38">
        <v>1.6972165648336701E-2</v>
      </c>
      <c r="H70" s="38">
        <v>1.5530086214164301E-3</v>
      </c>
      <c r="I70" s="20">
        <v>0</v>
      </c>
      <c r="J70" s="27">
        <v>0.75710778767266096</v>
      </c>
      <c r="K70" s="27">
        <v>4.8764442124021097E-12</v>
      </c>
      <c r="L70" s="27">
        <v>1.36162912104263E-3</v>
      </c>
      <c r="M70" s="143">
        <f>'Parameters, country spec'!G19</f>
        <v>6.7415867076212046E-3</v>
      </c>
      <c r="O70" s="251">
        <f>K70*M70/K77*100</f>
        <v>0.11974873821693958</v>
      </c>
    </row>
    <row r="71" spans="1:15" x14ac:dyDescent="0.35">
      <c r="A71" s="21" t="s">
        <v>371</v>
      </c>
      <c r="B71" s="16" t="s">
        <v>174</v>
      </c>
      <c r="C71" s="16" t="s">
        <v>372</v>
      </c>
      <c r="D71" s="22" t="s">
        <v>37</v>
      </c>
      <c r="E71" s="22" t="s">
        <v>88</v>
      </c>
      <c r="F71" s="20">
        <v>2.18183404970218</v>
      </c>
      <c r="G71" s="38">
        <v>3.44E-2</v>
      </c>
      <c r="H71" s="38">
        <v>1.0910422482772999E-3</v>
      </c>
      <c r="I71" s="20">
        <v>0</v>
      </c>
      <c r="J71" s="27">
        <v>0.38005192765038298</v>
      </c>
      <c r="K71" s="27">
        <v>9.5913368595103996E-12</v>
      </c>
      <c r="L71" s="27">
        <v>0</v>
      </c>
      <c r="M71" s="143">
        <f>'Parameters, country spec'!G20</f>
        <v>1.991421252024156E-4</v>
      </c>
      <c r="O71" s="251">
        <f>K71*M71/K77*100</f>
        <v>6.9574139387902825E-3</v>
      </c>
    </row>
    <row r="72" spans="1:15" x14ac:dyDescent="0.35">
      <c r="A72" s="21" t="s">
        <v>373</v>
      </c>
      <c r="B72" s="16" t="s">
        <v>175</v>
      </c>
      <c r="C72" s="16" t="s">
        <v>372</v>
      </c>
      <c r="D72" s="22" t="s">
        <v>37</v>
      </c>
      <c r="E72" s="22" t="s">
        <v>88</v>
      </c>
      <c r="F72" s="20">
        <v>2.0306300232710202</v>
      </c>
      <c r="G72" s="38">
        <v>4.0406126004654201E-2</v>
      </c>
      <c r="H72" s="38">
        <v>8.1225200930840796E-4</v>
      </c>
      <c r="I72" s="20">
        <v>0</v>
      </c>
      <c r="J72" s="27">
        <v>0.37422237023258798</v>
      </c>
      <c r="K72" s="287">
        <v>8.9266443489991099E-12</v>
      </c>
      <c r="L72" s="27">
        <v>3.2582347250661698E-5</v>
      </c>
      <c r="M72" s="143">
        <f>'Parameters, country spec'!G21</f>
        <v>1.956231921202263E-4</v>
      </c>
      <c r="O72" s="251">
        <f>K72*M72/K77*100</f>
        <v>6.3608350669157928E-3</v>
      </c>
    </row>
    <row r="73" spans="1:15" x14ac:dyDescent="0.35">
      <c r="B73" s="17" t="s">
        <v>177</v>
      </c>
      <c r="C73" s="16" t="s">
        <v>374</v>
      </c>
      <c r="D73" s="22" t="s">
        <v>450</v>
      </c>
      <c r="E73" s="22"/>
      <c r="F73" s="18">
        <f>'Off-farm feed'!$F$88</f>
        <v>1.5397450382845068</v>
      </c>
      <c r="G73" s="19">
        <f>'Off-farm feed'!$G$88</f>
        <v>2.276724967641296E-2</v>
      </c>
      <c r="H73" s="19">
        <f>'Off-farm feed'!$H$88</f>
        <v>2.4780679919905292E-3</v>
      </c>
      <c r="I73" s="19">
        <f>'Off-farm feed'!$I$88</f>
        <v>8.1100925319702543E-4</v>
      </c>
      <c r="J73" s="18">
        <f>'Off-farm feed'!$J$88</f>
        <v>0.29368572248181479</v>
      </c>
      <c r="K73" s="28">
        <f>'Off-farm feed'!$K$88</f>
        <v>1.2571008272056975E-11</v>
      </c>
      <c r="L73" s="28">
        <f>'Off-farm feed'!$L$88</f>
        <v>1.3841258986185109E-3</v>
      </c>
      <c r="M73" s="143">
        <f>'Parameters, country spec'!G22</f>
        <v>1.066163161801318E-2</v>
      </c>
      <c r="O73" s="251">
        <f>K73*M73/K77*100</f>
        <v>0.48820176594374226</v>
      </c>
    </row>
    <row r="74" spans="1:15" x14ac:dyDescent="0.35">
      <c r="B74" s="17" t="s">
        <v>375</v>
      </c>
      <c r="C74" s="16" t="s">
        <v>374</v>
      </c>
      <c r="D74" s="22" t="s">
        <v>426</v>
      </c>
      <c r="E74" s="22"/>
      <c r="F74" s="18">
        <f>'Off-farm feed'!$F$36</f>
        <v>2.5509164954964105</v>
      </c>
      <c r="G74" s="19">
        <f>'Off-farm feed'!$G$36</f>
        <v>4.2620923125915401E-2</v>
      </c>
      <c r="H74" s="19">
        <f>'Off-farm feed'!$H$36</f>
        <v>3.2959349471355006E-3</v>
      </c>
      <c r="I74" s="19">
        <f>'Off-farm feed'!$I$36</f>
        <v>2.435286335413451E-3</v>
      </c>
      <c r="J74" s="18">
        <f>'Off-farm feed'!$J$36</f>
        <v>0.25920846302270906</v>
      </c>
      <c r="K74" s="28">
        <f>'Off-farm feed'!$K$36</f>
        <v>1.4553836091881654E-10</v>
      </c>
      <c r="L74" s="28">
        <f>'Off-farm feed'!$L$36</f>
        <v>1.0450321677831977E-4</v>
      </c>
      <c r="M74" s="143">
        <f>'Parameters, country spec'!G23</f>
        <v>2.0288138727708259E-2</v>
      </c>
      <c r="O74" s="251">
        <f>K74*M74/K77*100</f>
        <v>10.755367306827083</v>
      </c>
    </row>
    <row r="75" spans="1:15" x14ac:dyDescent="0.35">
      <c r="B75" s="16" t="s">
        <v>181</v>
      </c>
      <c r="C75" s="16" t="s">
        <v>376</v>
      </c>
      <c r="D75" s="22" t="s">
        <v>37</v>
      </c>
      <c r="E75" s="22" t="s">
        <v>88</v>
      </c>
      <c r="F75" s="20">
        <v>9.9836268519627805E-2</v>
      </c>
      <c r="G75" s="20">
        <v>1.52749490835031E-3</v>
      </c>
      <c r="H75" s="20">
        <v>1.3977077592747901E-4</v>
      </c>
      <c r="I75" s="27">
        <v>0</v>
      </c>
      <c r="J75" s="27">
        <v>6.8139700890539501E-2</v>
      </c>
      <c r="K75" s="27">
        <v>4.3887997911619E-13</v>
      </c>
      <c r="L75" s="27">
        <v>1.2254662089383701E-4</v>
      </c>
      <c r="M75" s="143">
        <f>'Parameters, country spec'!G24</f>
        <v>2.0037841928894622E-2</v>
      </c>
      <c r="O75" s="251">
        <f>K75*M75/K77*100</f>
        <v>3.2033343965994381E-2</v>
      </c>
    </row>
    <row r="76" spans="1:15" x14ac:dyDescent="0.35">
      <c r="A76" s="80"/>
      <c r="B76" s="16" t="s">
        <v>377</v>
      </c>
      <c r="C76" s="81" t="s">
        <v>378</v>
      </c>
      <c r="D76" s="22" t="s">
        <v>37</v>
      </c>
      <c r="E76" s="22" t="s">
        <v>88</v>
      </c>
      <c r="F76" s="103">
        <f t="shared" ref="F76:L76" si="5">AVERAGE(F66:F74)</f>
        <v>1.7383334992687054</v>
      </c>
      <c r="G76" s="103">
        <f t="shared" si="5"/>
        <v>2.4142350705329538E-2</v>
      </c>
      <c r="H76" s="103">
        <f t="shared" si="5"/>
        <v>2.0028634893968461E-3</v>
      </c>
      <c r="I76" s="103">
        <f t="shared" si="5"/>
        <v>4.9077415785344974E-3</v>
      </c>
      <c r="J76" s="161">
        <f t="shared" si="5"/>
        <v>0.35226128088735348</v>
      </c>
      <c r="K76" s="161">
        <f t="shared" si="5"/>
        <v>2.6238095475088581E-11</v>
      </c>
      <c r="L76" s="161">
        <f t="shared" si="5"/>
        <v>9.2393120342380863E-4</v>
      </c>
      <c r="M76" s="143">
        <f>'Parameters, country spec'!G25</f>
        <v>0.92094873432851032</v>
      </c>
      <c r="O76" s="251">
        <f>K76*M76/K77*100</f>
        <v>88.018370599529888</v>
      </c>
    </row>
    <row r="77" spans="1:15" x14ac:dyDescent="0.35">
      <c r="A77" s="142"/>
      <c r="B77" s="24" t="s">
        <v>379</v>
      </c>
      <c r="C77" s="25"/>
      <c r="D77" s="99"/>
      <c r="E77" s="99"/>
      <c r="F77" s="29">
        <f>SUMPRODUCT(F66:F76,M66:M76)</f>
        <v>1.7067046787117481</v>
      </c>
      <c r="G77" s="29">
        <f>SUMPRODUCT(G66:G76,M66:M76)</f>
        <v>2.3773624072277833E-2</v>
      </c>
      <c r="H77" s="29">
        <f>SUMPRODUCT(H66:H76,M66:M76)</f>
        <v>1.9861854065760204E-3</v>
      </c>
      <c r="I77" s="29">
        <f>SUMPRODUCT(I66:I76,M66:M76)</f>
        <v>4.75336424940176E-3</v>
      </c>
      <c r="J77" s="29">
        <f>SUMPRODUCT(J66:J76,M66:M76)</f>
        <v>0.34795251396651744</v>
      </c>
      <c r="K77" s="29">
        <f>SUMPRODUCT(K66:K76,M66:M76)</f>
        <v>2.7453292596060062E-11</v>
      </c>
      <c r="L77" s="29">
        <f>SUMPRODUCT(L66:L76,M66:M76)</f>
        <v>9.023084600212599E-4</v>
      </c>
      <c r="M77" s="144"/>
    </row>
    <row r="78" spans="1:15" x14ac:dyDescent="0.35">
      <c r="A78" s="21" t="s">
        <v>365</v>
      </c>
      <c r="B78" s="16" t="s">
        <v>168</v>
      </c>
      <c r="C78" s="16" t="s">
        <v>366</v>
      </c>
      <c r="D78" s="22" t="s">
        <v>39</v>
      </c>
      <c r="E78" s="22" t="s">
        <v>89</v>
      </c>
      <c r="F78" s="23">
        <v>2.3945213351850998</v>
      </c>
      <c r="G78" s="38">
        <v>2.2508500550739899E-2</v>
      </c>
      <c r="H78" s="38">
        <v>1.6761649346295701E-3</v>
      </c>
      <c r="I78" s="20">
        <v>0</v>
      </c>
      <c r="J78" s="27">
        <v>0.25300416646712298</v>
      </c>
      <c r="K78" s="27">
        <v>1.2885666478366499E-10</v>
      </c>
      <c r="L78" s="27">
        <v>3.4813267475086698E-3</v>
      </c>
      <c r="M78" s="143">
        <f>'Parameters, country spec'!H15</f>
        <v>8.7634739536272627E-2</v>
      </c>
      <c r="O78" s="251">
        <f>K78*M78/K89*100</f>
        <v>13.920811426027194</v>
      </c>
    </row>
    <row r="79" spans="1:15" x14ac:dyDescent="0.35">
      <c r="A79" s="21" t="s">
        <v>367</v>
      </c>
      <c r="B79" s="16" t="s">
        <v>170</v>
      </c>
      <c r="C79" s="16" t="s">
        <v>366</v>
      </c>
      <c r="D79" s="22" t="s">
        <v>39</v>
      </c>
      <c r="E79" s="22" t="s">
        <v>89</v>
      </c>
      <c r="F79" s="20">
        <v>0.98746121746068405</v>
      </c>
      <c r="G79" s="38">
        <v>1.30341922802828E-2</v>
      </c>
      <c r="H79" s="38">
        <v>3.6535235937156202E-3</v>
      </c>
      <c r="I79" s="20">
        <v>3.5040686212000002E-2</v>
      </c>
      <c r="J79" s="27">
        <v>0.206655389859563</v>
      </c>
      <c r="K79" s="27">
        <v>5.3138369333161899E-11</v>
      </c>
      <c r="L79" s="27">
        <v>2.0159620191149401E-3</v>
      </c>
      <c r="M79" s="143">
        <f>'Parameters, country spec'!H16</f>
        <v>0.57303226549823605</v>
      </c>
      <c r="O79" s="251">
        <f>K79*M79/K89*100</f>
        <v>37.537786796723758</v>
      </c>
    </row>
    <row r="80" spans="1:15" x14ac:dyDescent="0.35">
      <c r="A80" s="21" t="s">
        <v>368</v>
      </c>
      <c r="B80" s="16" t="s">
        <v>171</v>
      </c>
      <c r="C80" s="16" t="s">
        <v>366</v>
      </c>
      <c r="D80" s="22" t="s">
        <v>39</v>
      </c>
      <c r="E80" s="22" t="s">
        <v>89</v>
      </c>
      <c r="F80" s="20">
        <v>4.2714598141060698</v>
      </c>
      <c r="G80" s="38">
        <v>3.0323967521176699E-2</v>
      </c>
      <c r="H80" s="38">
        <v>6.4064720115162002E-3</v>
      </c>
      <c r="I80" s="20">
        <v>0</v>
      </c>
      <c r="J80" s="27">
        <v>0.19333054264625499</v>
      </c>
      <c r="K80" s="27">
        <v>2.29860581033669E-10</v>
      </c>
      <c r="L80" s="27">
        <v>4.6901231374377999E-3</v>
      </c>
      <c r="M80" s="143">
        <f>'Parameters, country spec'!H17</f>
        <v>1.8199416246980429E-2</v>
      </c>
      <c r="O80" s="251">
        <f>K80*M80/K89*100</f>
        <v>5.1570735130452281</v>
      </c>
    </row>
    <row r="81" spans="1:15" x14ac:dyDescent="0.35">
      <c r="A81" s="21" t="s">
        <v>369</v>
      </c>
      <c r="B81" s="16" t="s">
        <v>172</v>
      </c>
      <c r="C81" s="16" t="s">
        <v>366</v>
      </c>
      <c r="D81" s="22" t="s">
        <v>39</v>
      </c>
      <c r="E81" s="22" t="s">
        <v>89</v>
      </c>
      <c r="F81" s="20">
        <v>3.1183151119787</v>
      </c>
      <c r="G81" s="38">
        <v>2.9625185276579299E-2</v>
      </c>
      <c r="H81" s="38">
        <v>2.1829083888005802E-3</v>
      </c>
      <c r="I81" s="20">
        <v>1.0795963210799999E-2</v>
      </c>
      <c r="J81" s="27">
        <v>5.0338960852672103E-3</v>
      </c>
      <c r="K81" s="27">
        <v>1.67806266400636E-10</v>
      </c>
      <c r="L81" s="27">
        <v>4.5820444445316601E-3</v>
      </c>
      <c r="M81" s="143">
        <f>'Parameters, country spec'!H18</f>
        <v>1.4500630224108489E-3</v>
      </c>
      <c r="O81" s="251">
        <f>K81*M81/K89*100</f>
        <v>0.29996902851162921</v>
      </c>
    </row>
    <row r="82" spans="1:15" x14ac:dyDescent="0.35">
      <c r="A82" s="21" t="s">
        <v>370</v>
      </c>
      <c r="B82" s="16" t="s">
        <v>173</v>
      </c>
      <c r="C82" s="16" t="s">
        <v>366</v>
      </c>
      <c r="D82" s="22" t="s">
        <v>39</v>
      </c>
      <c r="E82" s="22" t="s">
        <v>89</v>
      </c>
      <c r="F82" s="20">
        <v>2.6013214713074202</v>
      </c>
      <c r="G82" s="38">
        <v>3.9800218511003599E-2</v>
      </c>
      <c r="H82" s="38">
        <v>3.6418500598303901E-3</v>
      </c>
      <c r="I82" s="20">
        <v>8.6726536024000003E-3</v>
      </c>
      <c r="J82" s="27">
        <v>0.16899432911919299</v>
      </c>
      <c r="K82" s="27">
        <v>1.3998522539658301E-10</v>
      </c>
      <c r="L82" s="27">
        <v>6.1557883407960699E-3</v>
      </c>
      <c r="M82" s="143">
        <f>'Parameters, country spec'!H19</f>
        <v>8.3008572023096597E-2</v>
      </c>
      <c r="O82" s="251">
        <f>K82*M82/K89*100</f>
        <v>14.324732074032983</v>
      </c>
    </row>
    <row r="83" spans="1:15" x14ac:dyDescent="0.35">
      <c r="A83" s="21" t="s">
        <v>371</v>
      </c>
      <c r="B83" s="16" t="s">
        <v>174</v>
      </c>
      <c r="C83" s="16" t="s">
        <v>372</v>
      </c>
      <c r="D83" s="22" t="s">
        <v>39</v>
      </c>
      <c r="E83" s="22" t="s">
        <v>89</v>
      </c>
      <c r="F83" s="20">
        <v>3.57099495061314</v>
      </c>
      <c r="G83" s="38">
        <v>3.44E-2</v>
      </c>
      <c r="H83" s="38">
        <v>1.7857024277514E-3</v>
      </c>
      <c r="I83" s="20">
        <v>1.2925079856000001E-3</v>
      </c>
      <c r="J83" s="27">
        <v>6.0443017633573098E-2</v>
      </c>
      <c r="K83" s="27">
        <v>1.9216638103571101E-10</v>
      </c>
      <c r="L83" s="27">
        <v>0</v>
      </c>
      <c r="M83" s="143">
        <f>'Parameters, country spec'!H20</f>
        <v>1.927136550134527E-3</v>
      </c>
      <c r="O83" s="251">
        <f>K83*M83/K89*100</f>
        <v>0.45653204152798871</v>
      </c>
    </row>
    <row r="84" spans="1:15" x14ac:dyDescent="0.35">
      <c r="A84" s="21" t="s">
        <v>373</v>
      </c>
      <c r="B84" s="16" t="s">
        <v>175</v>
      </c>
      <c r="C84" s="16" t="s">
        <v>372</v>
      </c>
      <c r="D84" s="22" t="s">
        <v>39</v>
      </c>
      <c r="E84" s="22" t="s">
        <v>89</v>
      </c>
      <c r="F84" s="20">
        <v>5.0595509142608499</v>
      </c>
      <c r="G84" s="38">
        <v>4.1011910182852197E-2</v>
      </c>
      <c r="H84" s="38">
        <v>2.02382036570434E-3</v>
      </c>
      <c r="I84" s="20">
        <v>1.7974985124000001E-3</v>
      </c>
      <c r="J84" s="27">
        <v>8.5638464729870606E-2</v>
      </c>
      <c r="K84" s="27">
        <v>2.7227022225066201E-10</v>
      </c>
      <c r="L84" s="27">
        <v>1.5650931423434399E-4</v>
      </c>
      <c r="M84" s="143">
        <f>'Parameters, country spec'!H21</f>
        <v>1.8930831597192171E-3</v>
      </c>
      <c r="O84" s="251">
        <f>K84*M84/K89*100</f>
        <v>0.63540583989749821</v>
      </c>
    </row>
    <row r="85" spans="1:15" x14ac:dyDescent="0.35">
      <c r="B85" s="17" t="s">
        <v>177</v>
      </c>
      <c r="C85" s="16" t="s">
        <v>374</v>
      </c>
      <c r="D85" s="22" t="s">
        <v>450</v>
      </c>
      <c r="E85" s="22"/>
      <c r="F85" s="18">
        <f>'Off-farm feed'!$F$88</f>
        <v>1.5397450382845068</v>
      </c>
      <c r="G85" s="19">
        <f>'Off-farm feed'!$G$88</f>
        <v>2.276724967641296E-2</v>
      </c>
      <c r="H85" s="19">
        <f>'Off-farm feed'!$H$88</f>
        <v>2.4780679919905292E-3</v>
      </c>
      <c r="I85" s="19">
        <f>'Off-farm feed'!$I$88</f>
        <v>8.1100925319702543E-4</v>
      </c>
      <c r="J85" s="18">
        <f>'Off-farm feed'!$J$88</f>
        <v>0.29368572248181479</v>
      </c>
      <c r="K85" s="28">
        <f>'Off-farm feed'!$K$88</f>
        <v>1.2571008272056975E-11</v>
      </c>
      <c r="L85" s="28">
        <f>'Off-farm feed'!$L$88</f>
        <v>1.3841258986185109E-3</v>
      </c>
      <c r="M85" s="143">
        <f>'Parameters, country spec'!H22</f>
        <v>3.2461288333790871E-3</v>
      </c>
      <c r="O85" s="251">
        <f>K85*M85/K89*100</f>
        <v>5.0305703692607742E-2</v>
      </c>
    </row>
    <row r="86" spans="1:15" x14ac:dyDescent="0.35">
      <c r="B86" s="17" t="s">
        <v>375</v>
      </c>
      <c r="C86" s="16" t="s">
        <v>374</v>
      </c>
      <c r="D86" s="22" t="s">
        <v>426</v>
      </c>
      <c r="E86" s="22"/>
      <c r="F86" s="18">
        <f>'Off-farm feed'!$F$36</f>
        <v>2.5509164954964105</v>
      </c>
      <c r="G86" s="19">
        <f>'Off-farm feed'!$G$36</f>
        <v>4.2620923125915401E-2</v>
      </c>
      <c r="H86" s="19">
        <f>'Off-farm feed'!$H$36</f>
        <v>3.2959349471355006E-3</v>
      </c>
      <c r="I86" s="19">
        <f>'Off-farm feed'!$I$36</f>
        <v>2.435286335413451E-3</v>
      </c>
      <c r="J86" s="18">
        <f>'Off-farm feed'!$J$36</f>
        <v>0.25920846302270906</v>
      </c>
      <c r="K86" s="28">
        <f>'Off-farm feed'!$K$36</f>
        <v>1.4553836091881654E-10</v>
      </c>
      <c r="L86" s="28">
        <f>'Off-farm feed'!$L$36</f>
        <v>1.0450321677831977E-4</v>
      </c>
      <c r="M86" s="143">
        <f>'Parameters, country spec'!H23</f>
        <v>8.0143174333338049E-2</v>
      </c>
      <c r="O86" s="251">
        <f>K86*M86/K89*100</f>
        <v>14.378890737981129</v>
      </c>
    </row>
    <row r="87" spans="1:15" x14ac:dyDescent="0.35">
      <c r="B87" s="16" t="s">
        <v>181</v>
      </c>
      <c r="C87" s="16" t="s">
        <v>376</v>
      </c>
      <c r="D87" s="22" t="s">
        <v>39</v>
      </c>
      <c r="E87" s="22" t="s">
        <v>89</v>
      </c>
      <c r="F87" s="20">
        <v>0.23411893241766801</v>
      </c>
      <c r="G87" s="20">
        <v>3.5820196659903198E-3</v>
      </c>
      <c r="H87" s="20">
        <v>3.2776650538473499E-4</v>
      </c>
      <c r="I87" s="27">
        <v>7.8053882421600003E-4</v>
      </c>
      <c r="J87" s="27">
        <v>1.5209489620727301E-2</v>
      </c>
      <c r="K87" s="27">
        <v>1.25986702856925E-11</v>
      </c>
      <c r="L87" s="27">
        <v>5.5402095067164602E-4</v>
      </c>
      <c r="M87" s="143">
        <f>'Parameters, country spec'!H24</f>
        <v>8.4604092546848059E-2</v>
      </c>
      <c r="O87" s="251">
        <f>K87*M87/K89*100</f>
        <v>1.3140062956230256</v>
      </c>
    </row>
    <row r="88" spans="1:15" x14ac:dyDescent="0.35">
      <c r="A88" s="80"/>
      <c r="B88" s="16" t="s">
        <v>377</v>
      </c>
      <c r="C88" s="81" t="s">
        <v>378</v>
      </c>
      <c r="D88" s="22" t="s">
        <v>39</v>
      </c>
      <c r="E88" s="22" t="s">
        <v>89</v>
      </c>
      <c r="F88" s="103">
        <f t="shared" ref="F88:L88" si="6">AVERAGE(F78:F86)</f>
        <v>2.8993651498547646</v>
      </c>
      <c r="G88" s="103">
        <f t="shared" si="6"/>
        <v>3.0676905236106982E-2</v>
      </c>
      <c r="H88" s="103">
        <f t="shared" si="6"/>
        <v>3.0160494134526808E-3</v>
      </c>
      <c r="I88" s="103">
        <f t="shared" si="6"/>
        <v>6.7606227902011649E-3</v>
      </c>
      <c r="J88" s="161">
        <f t="shared" si="6"/>
        <v>0.16955488800504095</v>
      </c>
      <c r="K88" s="161">
        <f t="shared" si="6"/>
        <v>1.4913256438055125E-10</v>
      </c>
      <c r="L88" s="161">
        <f t="shared" si="6"/>
        <v>2.5078203465578124E-3</v>
      </c>
      <c r="M88" s="143">
        <f>'Parameters, country spec'!H25</f>
        <v>6.4861328249584266E-2</v>
      </c>
      <c r="O88" s="251">
        <f>K88*M88/K89*100</f>
        <v>11.924486542936954</v>
      </c>
    </row>
    <row r="89" spans="1:15" x14ac:dyDescent="0.35">
      <c r="A89" s="142"/>
      <c r="B89" s="24" t="s">
        <v>379</v>
      </c>
      <c r="C89" s="25"/>
      <c r="D89" s="99"/>
      <c r="E89" s="99"/>
      <c r="F89" s="29">
        <f>SUMPRODUCT(F78:F88,M78:M88)</f>
        <v>1.507642997557411</v>
      </c>
      <c r="G89" s="29">
        <f>SUMPRODUCT(G78:G88,M78:M88)</f>
        <v>1.9266547807436973E-2</v>
      </c>
      <c r="H89" s="29">
        <f>SUMPRODUCT(H78:H88,M78:M88)</f>
        <v>3.1653600864276262E-3</v>
      </c>
      <c r="I89" s="29">
        <f>SUMPRODUCT(I78:I88,M78:M88)</f>
        <v>2.1523240847187288E-2</v>
      </c>
      <c r="J89" s="29">
        <f>SUMPRODUCT(J78:J88,M78:M88)</f>
        <v>0.19243601461518658</v>
      </c>
      <c r="K89" s="29">
        <f>SUMPRODUCT(K78:K88,M78:M88)</f>
        <v>8.1118261789801042E-11</v>
      </c>
      <c r="L89" s="29">
        <f>SUMPRODUCT(L78:L88,M78:M88)</f>
        <v>2.2859789561491027E-3</v>
      </c>
      <c r="M89" s="144"/>
    </row>
    <row r="90" spans="1:15" x14ac:dyDescent="0.35">
      <c r="A90" s="21" t="s">
        <v>365</v>
      </c>
      <c r="B90" s="16" t="s">
        <v>168</v>
      </c>
      <c r="C90" s="16" t="s">
        <v>366</v>
      </c>
      <c r="D90" s="22" t="s">
        <v>32</v>
      </c>
      <c r="E90" s="22" t="s">
        <v>90</v>
      </c>
      <c r="F90" s="23">
        <v>1.4936430551572499</v>
      </c>
      <c r="G90" s="38">
        <v>1.4040244718478199E-2</v>
      </c>
      <c r="H90" s="38">
        <v>1.0455501386100799E-3</v>
      </c>
      <c r="I90" s="20">
        <v>1.7320847E-5</v>
      </c>
      <c r="J90" s="27">
        <v>0.25055205047318602</v>
      </c>
      <c r="K90" s="27">
        <v>1.2094539383455E-11</v>
      </c>
      <c r="L90" s="27">
        <v>8.6012034003245198E-4</v>
      </c>
      <c r="M90" s="143">
        <f>'Parameters, country spec'!I15</f>
        <v>9.5526549752842554E-2</v>
      </c>
      <c r="O90" s="251">
        <f>K90*M90/K101*100</f>
        <v>5.1092176235587363</v>
      </c>
    </row>
    <row r="91" spans="1:15" x14ac:dyDescent="0.35">
      <c r="A91" s="21" t="s">
        <v>367</v>
      </c>
      <c r="B91" s="16" t="s">
        <v>170</v>
      </c>
      <c r="C91" s="16" t="s">
        <v>366</v>
      </c>
      <c r="D91" s="22" t="s">
        <v>32</v>
      </c>
      <c r="E91" s="22" t="s">
        <v>90</v>
      </c>
      <c r="F91" s="20">
        <v>1.0864605288889899</v>
      </c>
      <c r="G91" s="38">
        <v>1.4340953536274501E-2</v>
      </c>
      <c r="H91" s="38">
        <v>4.0198127336526996E-3</v>
      </c>
      <c r="I91" s="20">
        <v>9.5547103112000008E-3</v>
      </c>
      <c r="J91" s="27">
        <v>9.1052780252493401E-2</v>
      </c>
      <c r="K91" s="27">
        <v>8.7974430101265295E-12</v>
      </c>
      <c r="L91" s="27">
        <v>8.7854208237383503E-4</v>
      </c>
      <c r="M91" s="143">
        <f>'Parameters, country spec'!I16</f>
        <v>0.28688514594124209</v>
      </c>
      <c r="O91" s="251">
        <f>K91*M91/K101*100</f>
        <v>11.16106149247744</v>
      </c>
    </row>
    <row r="92" spans="1:15" x14ac:dyDescent="0.35">
      <c r="A92" s="21" t="s">
        <v>368</v>
      </c>
      <c r="B92" s="16" t="s">
        <v>171</v>
      </c>
      <c r="C92" s="16" t="s">
        <v>366</v>
      </c>
      <c r="D92" s="22" t="s">
        <v>32</v>
      </c>
      <c r="E92" s="22" t="s">
        <v>90</v>
      </c>
      <c r="F92" s="20">
        <v>2.0790885275895001</v>
      </c>
      <c r="G92" s="38">
        <v>1.4759875014174599E-2</v>
      </c>
      <c r="H92" s="38">
        <v>3.1182834536988601E-3</v>
      </c>
      <c r="I92" s="20">
        <v>7.4432880493999999E-3</v>
      </c>
      <c r="J92" s="27">
        <v>0.110431202960622</v>
      </c>
      <c r="K92" s="27">
        <v>1.6835091886108901E-11</v>
      </c>
      <c r="L92" s="27">
        <v>9.04205658133603E-4</v>
      </c>
      <c r="M92" s="143">
        <f>'Parameters, country spec'!I17</f>
        <v>3.1378297013894309E-3</v>
      </c>
      <c r="O92" s="251">
        <f>K92*M92/K101*100</f>
        <v>0.23360699185071168</v>
      </c>
    </row>
    <row r="93" spans="1:15" x14ac:dyDescent="0.35">
      <c r="A93" s="21" t="s">
        <v>369</v>
      </c>
      <c r="B93" s="16" t="s">
        <v>172</v>
      </c>
      <c r="C93" s="16" t="s">
        <v>366</v>
      </c>
      <c r="D93" s="22" t="s">
        <v>32</v>
      </c>
      <c r="E93" s="22" t="s">
        <v>90</v>
      </c>
      <c r="F93" s="20">
        <v>2.7925940406043201</v>
      </c>
      <c r="G93" s="38">
        <v>2.65307106191323E-2</v>
      </c>
      <c r="H93" s="38">
        <v>1.9548944666729099E-3</v>
      </c>
      <c r="I93" s="20">
        <v>0</v>
      </c>
      <c r="J93" s="27">
        <v>0.243377642492111</v>
      </c>
      <c r="K93" s="27">
        <v>2.2612590397332099E-11</v>
      </c>
      <c r="L93" s="27">
        <v>1.6252995796432401E-3</v>
      </c>
      <c r="M93" s="143">
        <f>'Parameters, country spec'!I18</f>
        <v>1.180760891727785E-2</v>
      </c>
      <c r="O93" s="251">
        <f>K93*M93/K101*100</f>
        <v>1.18073721781137</v>
      </c>
    </row>
    <row r="94" spans="1:15" x14ac:dyDescent="0.35">
      <c r="A94" s="21" t="s">
        <v>370</v>
      </c>
      <c r="B94" s="16" t="s">
        <v>173</v>
      </c>
      <c r="C94" s="16" t="s">
        <v>366</v>
      </c>
      <c r="D94" s="22" t="s">
        <v>32</v>
      </c>
      <c r="E94" s="22" t="s">
        <v>90</v>
      </c>
      <c r="F94" s="20">
        <v>1.2075807086566599</v>
      </c>
      <c r="G94" s="38">
        <v>1.8475984842446901E-2</v>
      </c>
      <c r="H94" s="38">
        <v>1.69061299211933E-3</v>
      </c>
      <c r="I94" s="20">
        <v>0</v>
      </c>
      <c r="J94" s="27">
        <v>0.195361440981908</v>
      </c>
      <c r="K94" s="27">
        <v>9.7781945888074892E-12</v>
      </c>
      <c r="L94" s="27">
        <v>1.13185850273715E-3</v>
      </c>
      <c r="M94" s="143">
        <f>'Parameters, country spec'!I19</f>
        <v>0.32323260195937931</v>
      </c>
      <c r="O94" s="251">
        <f>K94*M94/K101*100</f>
        <v>13.977027196449715</v>
      </c>
    </row>
    <row r="95" spans="1:15" x14ac:dyDescent="0.35">
      <c r="A95" s="21" t="s">
        <v>371</v>
      </c>
      <c r="B95" s="16" t="s">
        <v>174</v>
      </c>
      <c r="C95" s="16" t="s">
        <v>372</v>
      </c>
      <c r="D95" s="22" t="s">
        <v>32</v>
      </c>
      <c r="E95" s="22" t="s">
        <v>90</v>
      </c>
      <c r="F95" s="20">
        <v>3.39685451272122</v>
      </c>
      <c r="G95" s="38">
        <v>3.44E-2</v>
      </c>
      <c r="H95" s="38">
        <v>1.69862221424959E-3</v>
      </c>
      <c r="I95" s="20">
        <v>5.8912594268000003E-2</v>
      </c>
      <c r="J95" s="27">
        <v>1.1407877305615</v>
      </c>
      <c r="K95" s="27">
        <v>4.0835084592305499E-11</v>
      </c>
      <c r="L95" s="27">
        <v>0</v>
      </c>
      <c r="M95" s="143">
        <f>'Parameters, country spec'!I20</f>
        <v>0</v>
      </c>
      <c r="O95" s="251">
        <f>K95*M95/K101*100</f>
        <v>0</v>
      </c>
    </row>
    <row r="96" spans="1:15" x14ac:dyDescent="0.35">
      <c r="A96" s="21" t="s">
        <v>373</v>
      </c>
      <c r="B96" s="16" t="s">
        <v>175</v>
      </c>
      <c r="C96" s="16" t="s">
        <v>372</v>
      </c>
      <c r="D96" s="22" t="s">
        <v>32</v>
      </c>
      <c r="E96" s="22" t="s">
        <v>90</v>
      </c>
      <c r="F96" s="20">
        <v>2.8424972285651999</v>
      </c>
      <c r="G96" s="38">
        <v>4.0568499445713002E-2</v>
      </c>
      <c r="H96" s="38">
        <v>1.13699889142608E-3</v>
      </c>
      <c r="I96" s="20">
        <v>6.5111000000000006E-8</v>
      </c>
      <c r="J96" s="27">
        <v>0.33938279910177099</v>
      </c>
      <c r="K96" s="27">
        <v>2.3016673601862799E-11</v>
      </c>
      <c r="L96" s="27">
        <v>3.48268813229035E-5</v>
      </c>
      <c r="M96" s="143">
        <f>'Parameters, country spec'!I21</f>
        <v>0</v>
      </c>
      <c r="O96" s="251">
        <f>K96*M96/K101*100</f>
        <v>0</v>
      </c>
    </row>
    <row r="97" spans="1:15" x14ac:dyDescent="0.35">
      <c r="B97" s="17" t="s">
        <v>177</v>
      </c>
      <c r="C97" s="16" t="s">
        <v>374</v>
      </c>
      <c r="D97" s="22" t="s">
        <v>450</v>
      </c>
      <c r="E97" s="22"/>
      <c r="F97" s="18">
        <f>'Off-farm feed'!$F$88</f>
        <v>1.5397450382845068</v>
      </c>
      <c r="G97" s="19">
        <f>'Off-farm feed'!$G$88</f>
        <v>2.276724967641296E-2</v>
      </c>
      <c r="H97" s="19">
        <f>'Off-farm feed'!$H$88</f>
        <v>2.4780679919905292E-3</v>
      </c>
      <c r="I97" s="19">
        <f>'Off-farm feed'!$I$88</f>
        <v>8.1100925319702543E-4</v>
      </c>
      <c r="J97" s="18">
        <f>'Off-farm feed'!$J$88</f>
        <v>0.29368572248181479</v>
      </c>
      <c r="K97" s="28">
        <f>'Off-farm feed'!$K$88</f>
        <v>1.2571008272056975E-11</v>
      </c>
      <c r="L97" s="28">
        <f>'Off-farm feed'!$L$88</f>
        <v>1.3841258986185109E-3</v>
      </c>
      <c r="M97" s="143">
        <f>'Parameters, country spec'!I22</f>
        <v>5.2461984284283551E-2</v>
      </c>
      <c r="O97" s="251">
        <f>K97*M97/K101*100</f>
        <v>2.916458504010639</v>
      </c>
    </row>
    <row r="98" spans="1:15" x14ac:dyDescent="0.35">
      <c r="B98" s="17" t="s">
        <v>375</v>
      </c>
      <c r="C98" s="16" t="s">
        <v>374</v>
      </c>
      <c r="D98" s="22" t="s">
        <v>426</v>
      </c>
      <c r="E98" s="22"/>
      <c r="F98" s="18">
        <f>'Off-farm feed'!$F$36</f>
        <v>2.5509164954964105</v>
      </c>
      <c r="G98" s="19">
        <f>'Off-farm feed'!$G$36</f>
        <v>4.2620923125915401E-2</v>
      </c>
      <c r="H98" s="19">
        <f>'Off-farm feed'!$H$36</f>
        <v>3.2959349471355006E-3</v>
      </c>
      <c r="I98" s="19">
        <f>'Off-farm feed'!$I$36</f>
        <v>2.435286335413451E-3</v>
      </c>
      <c r="J98" s="18">
        <f>'Off-farm feed'!$J$36</f>
        <v>0.25920846302270906</v>
      </c>
      <c r="K98" s="28">
        <f>'Off-farm feed'!$K$36</f>
        <v>1.4553836091881654E-10</v>
      </c>
      <c r="L98" s="28">
        <f>'Off-farm feed'!$L$36</f>
        <v>1.0450321677831977E-4</v>
      </c>
      <c r="M98" s="143">
        <f>'Parameters, country spec'!I23</f>
        <v>6.7752088819631406E-2</v>
      </c>
      <c r="O98" s="251">
        <f>K98*M98/K101*100</f>
        <v>43.605487392757681</v>
      </c>
    </row>
    <row r="99" spans="1:15" x14ac:dyDescent="0.35">
      <c r="B99" s="16" t="s">
        <v>181</v>
      </c>
      <c r="C99" s="16" t="s">
        <v>376</v>
      </c>
      <c r="D99" s="22" t="s">
        <v>32</v>
      </c>
      <c r="E99" s="22" t="s">
        <v>90</v>
      </c>
      <c r="F99" s="20">
        <v>0.10868226377909999</v>
      </c>
      <c r="G99" s="20">
        <v>1.6628386358202201E-3</v>
      </c>
      <c r="H99" s="20">
        <v>1.5215516929073999E-4</v>
      </c>
      <c r="I99" s="27">
        <v>0</v>
      </c>
      <c r="J99" s="27">
        <v>1.7582529688371699E-2</v>
      </c>
      <c r="K99" s="27">
        <v>8.8003751299267404E-13</v>
      </c>
      <c r="L99" s="27">
        <v>1.0186726524634401E-4</v>
      </c>
      <c r="M99" s="143">
        <f>'Parameters, country spec'!I24</f>
        <v>7.382094479672017E-3</v>
      </c>
      <c r="N99" t="s">
        <v>475</v>
      </c>
      <c r="O99" s="251">
        <f>K99*M99/K101*100</f>
        <v>2.8729082776709929E-2</v>
      </c>
    </row>
    <row r="100" spans="1:15" x14ac:dyDescent="0.35">
      <c r="A100" s="80"/>
      <c r="B100" s="16" t="s">
        <v>377</v>
      </c>
      <c r="C100" s="81" t="s">
        <v>378</v>
      </c>
      <c r="D100" s="22" t="s">
        <v>32</v>
      </c>
      <c r="E100" s="22" t="s">
        <v>90</v>
      </c>
      <c r="F100" s="103">
        <f t="shared" ref="F100:L100" si="7">AVERAGE(F90:F98)</f>
        <v>2.1099311262182283</v>
      </c>
      <c r="G100" s="103">
        <f t="shared" si="7"/>
        <v>2.5389382330949763E-2</v>
      </c>
      <c r="H100" s="103">
        <f t="shared" si="7"/>
        <v>2.2709753143950648E-3</v>
      </c>
      <c r="I100" s="103">
        <f t="shared" si="7"/>
        <v>8.7971415750233862E-3</v>
      </c>
      <c r="J100" s="161">
        <f t="shared" si="7"/>
        <v>0.32487109248090174</v>
      </c>
      <c r="K100" s="161">
        <f t="shared" si="7"/>
        <v>3.2453220738985755E-11</v>
      </c>
      <c r="L100" s="161">
        <f t="shared" si="7"/>
        <v>7.6927579551555722E-4</v>
      </c>
      <c r="M100" s="143">
        <f>'Parameters, country spec'!I25</f>
        <v>0.15181409614428171</v>
      </c>
      <c r="O100" s="251">
        <f>K100*M100/K101*100</f>
        <v>21.787674498307002</v>
      </c>
    </row>
    <row r="101" spans="1:15" x14ac:dyDescent="0.35">
      <c r="A101" s="142"/>
      <c r="B101" s="24" t="s">
        <v>379</v>
      </c>
      <c r="C101" s="25"/>
      <c r="D101" s="99"/>
      <c r="E101" s="99"/>
      <c r="F101" s="29">
        <f>SUMPRODUCT(F90:F100,M90:M100)</f>
        <v>1.4589266841437016</v>
      </c>
      <c r="G101" s="29">
        <f>SUMPRODUCT(G90:G100,M90:M100)</f>
        <v>1.9735854593785945E-2</v>
      </c>
      <c r="H101" s="29">
        <f>SUMPRODUCT(H90:H100,M90:M100)</f>
        <v>2.5316309980992816E-3</v>
      </c>
      <c r="I101" s="29">
        <f>SUMPRODUCT(I90:I100,M90:M100)</f>
        <v>4.3091878207842695E-3</v>
      </c>
      <c r="J101" s="29">
        <f>SUMPRODUCT(J90:J100,M90:M100)</f>
        <v>0.19884253001839647</v>
      </c>
      <c r="K101" s="29">
        <f>SUMPRODUCT(K90:K100,M90:M100)</f>
        <v>2.2613043782358777E-11</v>
      </c>
      <c r="L101" s="29">
        <f>SUMPRODUCT(L90:L100,M90:M100)</f>
        <v>9.1931992176675595E-4</v>
      </c>
      <c r="M101" s="144"/>
    </row>
    <row r="102" spans="1:15" x14ac:dyDescent="0.35">
      <c r="A102" s="21" t="s">
        <v>365</v>
      </c>
      <c r="B102" s="16" t="s">
        <v>168</v>
      </c>
      <c r="C102" s="16" t="s">
        <v>366</v>
      </c>
      <c r="D102" s="22" t="s">
        <v>30</v>
      </c>
      <c r="E102" s="22" t="s">
        <v>91</v>
      </c>
      <c r="F102" s="23">
        <v>2.3279201430274101</v>
      </c>
      <c r="G102" s="38">
        <v>2.18824493444577E-2</v>
      </c>
      <c r="H102" s="38">
        <v>1.62954410011919E-3</v>
      </c>
      <c r="I102" s="20">
        <v>1.192E-8</v>
      </c>
      <c r="J102" s="27">
        <v>0.258116293578665</v>
      </c>
      <c r="K102" s="27">
        <v>9.2729681289311007E-12</v>
      </c>
      <c r="L102" s="27">
        <v>1.5890878647883001E-3</v>
      </c>
      <c r="M102" s="143">
        <f>'Parameters, country spec'!J15</f>
        <v>0.2173795631525704</v>
      </c>
      <c r="O102" s="251">
        <f>K102*M102/K113*100</f>
        <v>18.553441162592176</v>
      </c>
    </row>
    <row r="103" spans="1:15" x14ac:dyDescent="0.35">
      <c r="A103" s="21" t="s">
        <v>367</v>
      </c>
      <c r="B103" s="16" t="s">
        <v>170</v>
      </c>
      <c r="C103" s="16" t="s">
        <v>366</v>
      </c>
      <c r="D103" s="22" t="s">
        <v>30</v>
      </c>
      <c r="E103" s="22" t="s">
        <v>91</v>
      </c>
      <c r="F103" s="20">
        <v>1.3980539089587301</v>
      </c>
      <c r="G103" s="38">
        <v>1.84538928166002E-2</v>
      </c>
      <c r="H103" s="38">
        <v>5.17268207738035E-3</v>
      </c>
      <c r="I103" s="20">
        <v>9.9475264539999994E-4</v>
      </c>
      <c r="J103" s="27">
        <v>5.35872665249972E-2</v>
      </c>
      <c r="K103" s="27">
        <v>5.5689665210947796E-12</v>
      </c>
      <c r="L103" s="27">
        <v>1.3401085349886001E-3</v>
      </c>
      <c r="M103" s="143">
        <f>'Parameters, country spec'!J16</f>
        <v>0.29778613267856158</v>
      </c>
      <c r="O103" s="251">
        <f>K103*M103/K113*100</f>
        <v>15.26391958038367</v>
      </c>
    </row>
    <row r="104" spans="1:15" x14ac:dyDescent="0.35">
      <c r="A104" s="21" t="s">
        <v>368</v>
      </c>
      <c r="B104" s="16" t="s">
        <v>171</v>
      </c>
      <c r="C104" s="16" t="s">
        <v>366</v>
      </c>
      <c r="D104" s="22" t="s">
        <v>30</v>
      </c>
      <c r="E104" s="22" t="s">
        <v>91</v>
      </c>
      <c r="F104" s="20">
        <v>3.1869868951098899</v>
      </c>
      <c r="G104" s="38">
        <v>2.2625072294623301E-2</v>
      </c>
      <c r="H104" s="38">
        <v>4.7799448509767504E-3</v>
      </c>
      <c r="I104" s="20">
        <v>5.1951799999999997E-8</v>
      </c>
      <c r="J104" s="27">
        <v>0.110703176788537</v>
      </c>
      <c r="K104" s="27">
        <v>1.2694949177784999E-11</v>
      </c>
      <c r="L104" s="27">
        <v>1.6430166137891701E-3</v>
      </c>
      <c r="M104" s="143">
        <f>'Parameters, country spec'!J17</f>
        <v>6.5103880953803588E-3</v>
      </c>
      <c r="O104" s="251">
        <f>K104*M104/K113*100</f>
        <v>0.7607200054638642</v>
      </c>
    </row>
    <row r="105" spans="1:15" x14ac:dyDescent="0.35">
      <c r="A105" s="21" t="s">
        <v>369</v>
      </c>
      <c r="B105" s="16" t="s">
        <v>172</v>
      </c>
      <c r="C105" s="16" t="s">
        <v>366</v>
      </c>
      <c r="D105" s="22" t="s">
        <v>30</v>
      </c>
      <c r="E105" s="22" t="s">
        <v>91</v>
      </c>
      <c r="F105" s="20">
        <v>2.90576037937607</v>
      </c>
      <c r="G105" s="38">
        <v>2.7605834085746399E-2</v>
      </c>
      <c r="H105" s="38">
        <v>2.0341140905286801E-3</v>
      </c>
      <c r="I105" s="20">
        <v>3.8705400000000002E-9</v>
      </c>
      <c r="J105" s="27">
        <v>8.1354607373657503E-2</v>
      </c>
      <c r="K105" s="27">
        <v>1.15747198068503E-11</v>
      </c>
      <c r="L105" s="27">
        <v>2.0047159827713502E-3</v>
      </c>
      <c r="M105" s="143">
        <f>'Parameters, country spec'!J18</f>
        <v>8.5001790646556635E-2</v>
      </c>
      <c r="O105" s="251">
        <f>K105*M105/K113*100</f>
        <v>9.0557735490773421</v>
      </c>
    </row>
    <row r="106" spans="1:15" x14ac:dyDescent="0.35">
      <c r="A106" s="21" t="s">
        <v>370</v>
      </c>
      <c r="B106" s="16" t="s">
        <v>173</v>
      </c>
      <c r="C106" s="16" t="s">
        <v>366</v>
      </c>
      <c r="D106" s="22" t="s">
        <v>30</v>
      </c>
      <c r="E106" s="22" t="s">
        <v>91</v>
      </c>
      <c r="F106" s="20">
        <v>1.9352915903839201</v>
      </c>
      <c r="G106" s="38">
        <v>2.9609961332874E-2</v>
      </c>
      <c r="H106" s="38">
        <v>2.7094082265374901E-3</v>
      </c>
      <c r="I106" s="20">
        <v>2.38226E-9</v>
      </c>
      <c r="J106" s="27">
        <v>0.28518824581299701</v>
      </c>
      <c r="K106" s="27">
        <v>7.7089831846552192E-12</v>
      </c>
      <c r="L106" s="27">
        <v>2.15025427411024E-3</v>
      </c>
      <c r="M106" s="143">
        <f>'Parameters, country spec'!J19</f>
        <v>0.34177560689413961</v>
      </c>
      <c r="O106" s="251">
        <f>K106*M106/K113*100</f>
        <v>24.25074885780991</v>
      </c>
    </row>
    <row r="107" spans="1:15" x14ac:dyDescent="0.35">
      <c r="A107" s="21" t="s">
        <v>371</v>
      </c>
      <c r="B107" s="16" t="s">
        <v>174</v>
      </c>
      <c r="C107" s="16" t="s">
        <v>372</v>
      </c>
      <c r="D107" s="22" t="s">
        <v>30</v>
      </c>
      <c r="E107" s="22" t="s">
        <v>91</v>
      </c>
      <c r="F107" s="20">
        <v>4.7463547995139699</v>
      </c>
      <c r="G107" s="38">
        <v>3.44E-2</v>
      </c>
      <c r="H107" s="38">
        <v>2.3734498103970699E-3</v>
      </c>
      <c r="I107" s="20">
        <v>3.0575379999999997E-5</v>
      </c>
      <c r="J107" s="27">
        <v>0.51339516251518802</v>
      </c>
      <c r="K107" s="27">
        <v>1.8906489089120799E-11</v>
      </c>
      <c r="L107" s="27">
        <v>0</v>
      </c>
      <c r="M107" s="143">
        <f>'Parameters, country spec'!J20</f>
        <v>8.3086315099621146E-4</v>
      </c>
      <c r="O107" s="251">
        <f>K107*M107/K113*100</f>
        <v>0.14458637827292345</v>
      </c>
    </row>
    <row r="108" spans="1:15" x14ac:dyDescent="0.35">
      <c r="A108" s="21" t="s">
        <v>373</v>
      </c>
      <c r="B108" s="16" t="s">
        <v>175</v>
      </c>
      <c r="C108" s="16" t="s">
        <v>372</v>
      </c>
      <c r="D108" s="22" t="s">
        <v>30</v>
      </c>
      <c r="E108" s="22" t="s">
        <v>91</v>
      </c>
      <c r="F108" s="20">
        <v>3.67806621990422</v>
      </c>
      <c r="G108" s="38">
        <v>4.0735613243980798E-2</v>
      </c>
      <c r="H108" s="38">
        <v>1.4712264879616899E-3</v>
      </c>
      <c r="I108" s="20">
        <v>2.1217464799999999E-5</v>
      </c>
      <c r="J108" s="27">
        <v>0.43914639439168501</v>
      </c>
      <c r="K108" s="27">
        <v>1.4651100011066101E-11</v>
      </c>
      <c r="L108" s="27">
        <v>5.3419709137066198E-5</v>
      </c>
      <c r="M108" s="143">
        <f>'Parameters, country spec'!J21</f>
        <v>8.1618141653563262E-4</v>
      </c>
      <c r="O108" s="251">
        <f>K108*M108/K113*100</f>
        <v>0.1100636542101244</v>
      </c>
    </row>
    <row r="109" spans="1:15" x14ac:dyDescent="0.35">
      <c r="B109" s="17" t="s">
        <v>177</v>
      </c>
      <c r="C109" s="16" t="s">
        <v>374</v>
      </c>
      <c r="D109" s="22" t="s">
        <v>450</v>
      </c>
      <c r="E109" s="22"/>
      <c r="F109" s="18">
        <f>'Off-farm feed'!$F$88</f>
        <v>1.5397450382845068</v>
      </c>
      <c r="G109" s="19">
        <f>'Off-farm feed'!$G$88</f>
        <v>2.276724967641296E-2</v>
      </c>
      <c r="H109" s="19">
        <f>'Off-farm feed'!$H$88</f>
        <v>2.4780679919905292E-3</v>
      </c>
      <c r="I109" s="19">
        <f>'Off-farm feed'!$I$88</f>
        <v>8.1100925319702543E-4</v>
      </c>
      <c r="J109" s="18">
        <f>'Off-farm feed'!$J$88</f>
        <v>0.29368572248181479</v>
      </c>
      <c r="K109" s="28">
        <f>'Off-farm feed'!$K$88</f>
        <v>1.2571008272056975E-11</v>
      </c>
      <c r="L109" s="28">
        <f>'Off-farm feed'!$L$88</f>
        <v>1.3841258986185109E-3</v>
      </c>
      <c r="M109" s="143">
        <f>'Parameters, country spec'!J22</f>
        <v>5.988480966048656E-3</v>
      </c>
      <c r="O109" s="251">
        <f>K109*M109/K113*100</f>
        <v>0.69290513246117236</v>
      </c>
    </row>
    <row r="110" spans="1:15" x14ac:dyDescent="0.35">
      <c r="B110" s="17" t="s">
        <v>375</v>
      </c>
      <c r="C110" s="16" t="s">
        <v>374</v>
      </c>
      <c r="D110" s="22" t="s">
        <v>426</v>
      </c>
      <c r="E110" s="22"/>
      <c r="F110" s="18">
        <f>'Off-farm feed'!$F$36</f>
        <v>2.5509164954964105</v>
      </c>
      <c r="G110" s="19">
        <f>'Off-farm feed'!$G$36</f>
        <v>4.2620923125915401E-2</v>
      </c>
      <c r="H110" s="19">
        <f>'Off-farm feed'!$H$36</f>
        <v>3.2959349471355006E-3</v>
      </c>
      <c r="I110" s="19">
        <f>'Off-farm feed'!$I$36</f>
        <v>2.435286335413451E-3</v>
      </c>
      <c r="J110" s="18">
        <f>'Off-farm feed'!$J$36</f>
        <v>0.25920846302270906</v>
      </c>
      <c r="K110" s="28">
        <f>'Off-farm feed'!$K$36</f>
        <v>1.4553836091881654E-10</v>
      </c>
      <c r="L110" s="28">
        <f>'Off-farm feed'!$L$36</f>
        <v>1.0450321677831977E-4</v>
      </c>
      <c r="M110" s="143">
        <f>'Parameters, country spec'!J23</f>
        <v>2.088761505982905E-2</v>
      </c>
      <c r="O110" s="251">
        <f>K110*M110/K113*100</f>
        <v>27.980361893038651</v>
      </c>
    </row>
    <row r="111" spans="1:15" x14ac:dyDescent="0.35">
      <c r="B111" s="16" t="s">
        <v>181</v>
      </c>
      <c r="C111" s="16" t="s">
        <v>376</v>
      </c>
      <c r="D111" s="22" t="s">
        <v>30</v>
      </c>
      <c r="E111" s="22" t="s">
        <v>91</v>
      </c>
      <c r="F111" s="20">
        <v>0.17417624313455299</v>
      </c>
      <c r="G111" s="20">
        <v>2.6648965199586598E-3</v>
      </c>
      <c r="H111" s="20">
        <v>2.4384674038837399E-4</v>
      </c>
      <c r="I111" s="27">
        <v>2.144034E-10</v>
      </c>
      <c r="J111" s="27">
        <v>2.5666942123169698E-2</v>
      </c>
      <c r="K111" s="27">
        <v>6.9380848661897004E-13</v>
      </c>
      <c r="L111" s="27">
        <v>1.9352288466992099E-4</v>
      </c>
      <c r="M111" s="143">
        <f>'Parameters, country spec'!J24</f>
        <v>1.0222176972034411E-2</v>
      </c>
      <c r="O111" s="251">
        <f>K111*M111/K113*100</f>
        <v>6.5278474348553772E-2</v>
      </c>
    </row>
    <row r="112" spans="1:15" x14ac:dyDescent="0.35">
      <c r="A112" s="80"/>
      <c r="B112" s="16" t="s">
        <v>377</v>
      </c>
      <c r="C112" s="81" t="s">
        <v>378</v>
      </c>
      <c r="D112" s="22" t="s">
        <v>30</v>
      </c>
      <c r="E112" s="22" t="s">
        <v>91</v>
      </c>
      <c r="F112" s="103">
        <f t="shared" ref="F112:L112" si="8">AVERAGE(F102:F110)</f>
        <v>2.6965661633394591</v>
      </c>
      <c r="G112" s="103">
        <f t="shared" si="8"/>
        <v>2.8966777324512312E-2</v>
      </c>
      <c r="H112" s="103">
        <f t="shared" si="8"/>
        <v>2.8827080647808052E-3</v>
      </c>
      <c r="I112" s="103">
        <f t="shared" si="8"/>
        <v>4.7699013371227508E-4</v>
      </c>
      <c r="J112" s="161">
        <f t="shared" si="8"/>
        <v>0.25493170361002782</v>
      </c>
      <c r="K112" s="161">
        <f t="shared" si="8"/>
        <v>2.6498616123375201E-11</v>
      </c>
      <c r="L112" s="161">
        <f t="shared" si="8"/>
        <v>1.1410257883312841E-3</v>
      </c>
      <c r="M112" s="143">
        <f>'Parameters, country spec'!J25</f>
        <v>1.2801200967347369E-2</v>
      </c>
      <c r="O112" s="251">
        <f>K112*M112/K113*100</f>
        <v>3.122201312341609</v>
      </c>
    </row>
    <row r="113" spans="1:15" x14ac:dyDescent="0.35">
      <c r="A113" s="142"/>
      <c r="B113" s="24" t="s">
        <v>379</v>
      </c>
      <c r="C113" s="25"/>
      <c r="D113" s="99"/>
      <c r="E113" s="99"/>
      <c r="F113" s="29">
        <f>SUMPRODUCT(F102:F112,M102:M112)</f>
        <v>1.9572907273940412</v>
      </c>
      <c r="G113" s="29">
        <f>SUMPRODUCT(G102:G112,M102:M112)</f>
        <v>2.4352387091232781E-2</v>
      </c>
      <c r="H113" s="29">
        <f>SUMPRODUCT(H102:H112,M102:M112)</f>
        <v>3.1508665060476461E-3</v>
      </c>
      <c r="I113" s="29">
        <f>SUMPRODUCT(I102:I112,M102:M112)</f>
        <v>3.581004228578409E-4</v>
      </c>
      <c r="J113" s="29">
        <f>SUMPRODUCT(J102:J112,M102:M112)</f>
        <v>0.1886569119393903</v>
      </c>
      <c r="K113" s="29">
        <f>SUMPRODUCT(K102:K112,M102:M112)</f>
        <v>1.0864581633831652E-11</v>
      </c>
      <c r="L113" s="29">
        <f>SUMPRODUCT(L102:L112,M102:M112)</f>
        <v>1.6876065077870608E-3</v>
      </c>
      <c r="M113" s="144"/>
    </row>
    <row r="114" spans="1:15" x14ac:dyDescent="0.35">
      <c r="A114" s="21" t="s">
        <v>365</v>
      </c>
      <c r="B114" s="16" t="s">
        <v>168</v>
      </c>
      <c r="C114" s="16" t="s">
        <v>366</v>
      </c>
      <c r="D114" s="22" t="s">
        <v>38</v>
      </c>
      <c r="E114" s="22" t="s">
        <v>92</v>
      </c>
      <c r="F114" s="23">
        <v>3.1884501581471301</v>
      </c>
      <c r="G114" s="38">
        <v>2.9971431486582999E-2</v>
      </c>
      <c r="H114" s="38">
        <v>2.2319151107029899E-3</v>
      </c>
      <c r="I114" s="20">
        <v>1.1917753388E-2</v>
      </c>
      <c r="J114" s="27">
        <v>0.20501989592898701</v>
      </c>
      <c r="K114" s="27">
        <v>2.17858377659486E-10</v>
      </c>
      <c r="L114" s="27">
        <v>3.36256317678949E-3</v>
      </c>
      <c r="M114" s="143">
        <f>'Parameters, country spec'!K15</f>
        <v>0.25867404183720522</v>
      </c>
      <c r="O114" s="251">
        <f>K114*M114/K125*100</f>
        <v>35.969556374441986</v>
      </c>
    </row>
    <row r="115" spans="1:15" x14ac:dyDescent="0.35">
      <c r="A115" s="21" t="s">
        <v>367</v>
      </c>
      <c r="B115" s="16" t="s">
        <v>170</v>
      </c>
      <c r="C115" s="16" t="s">
        <v>366</v>
      </c>
      <c r="D115" s="22" t="s">
        <v>38</v>
      </c>
      <c r="E115" s="22" t="s">
        <v>92</v>
      </c>
      <c r="F115" s="20">
        <v>0.82715175256913298</v>
      </c>
      <c r="G115" s="38">
        <v>1.09181553637961E-2</v>
      </c>
      <c r="H115" s="38">
        <v>3.0603920337913199E-3</v>
      </c>
      <c r="I115" s="20">
        <v>0.29242761274000001</v>
      </c>
      <c r="J115" s="27">
        <v>9.7673304835198302E-2</v>
      </c>
      <c r="K115" s="27">
        <v>5.6517094498861898E-11</v>
      </c>
      <c r="L115" s="27">
        <v>1.22493272305669E-3</v>
      </c>
      <c r="M115" s="143">
        <f>'Parameters, country spec'!K16</f>
        <v>0.34116788941693649</v>
      </c>
      <c r="O115" s="251">
        <f>K115*M115/K125*100</f>
        <v>12.307106053522885</v>
      </c>
    </row>
    <row r="116" spans="1:15" x14ac:dyDescent="0.35">
      <c r="A116" s="21" t="s">
        <v>368</v>
      </c>
      <c r="B116" s="16" t="s">
        <v>171</v>
      </c>
      <c r="C116" s="16" t="s">
        <v>366</v>
      </c>
      <c r="D116" s="22" t="s">
        <v>38</v>
      </c>
      <c r="E116" s="22" t="s">
        <v>92</v>
      </c>
      <c r="F116" s="20">
        <v>4.8838140634309797</v>
      </c>
      <c r="G116" s="38">
        <v>3.4671195676445998E-2</v>
      </c>
      <c r="H116" s="38">
        <v>7.3249004950237803E-3</v>
      </c>
      <c r="I116" s="20">
        <v>1.7329606698600002E-2</v>
      </c>
      <c r="J116" s="27">
        <v>0.22104630832494901</v>
      </c>
      <c r="K116" s="27">
        <v>3.33698115346409E-10</v>
      </c>
      <c r="L116" s="27">
        <v>3.8898404278444299E-3</v>
      </c>
      <c r="M116" s="143">
        <f>'Parameters, country spec'!K17</f>
        <v>4.0331815431012892E-2</v>
      </c>
      <c r="O116" s="251">
        <f>K116*M116/K125*100</f>
        <v>8.5903229678750641</v>
      </c>
    </row>
    <row r="117" spans="1:15" x14ac:dyDescent="0.35">
      <c r="A117" s="21" t="s">
        <v>369</v>
      </c>
      <c r="B117" s="16" t="s">
        <v>172</v>
      </c>
      <c r="C117" s="16" t="s">
        <v>366</v>
      </c>
      <c r="D117" s="22" t="s">
        <v>38</v>
      </c>
      <c r="E117" s="22" t="s">
        <v>92</v>
      </c>
      <c r="F117" s="20">
        <v>4.4326634101366098</v>
      </c>
      <c r="G117" s="38">
        <v>4.2111996407792202E-2</v>
      </c>
      <c r="H117" s="38">
        <v>3.10298920899521E-3</v>
      </c>
      <c r="I117" s="20">
        <v>2.2735821861999999E-2</v>
      </c>
      <c r="J117" s="27">
        <v>7.1556485429835398E-3</v>
      </c>
      <c r="K117" s="27">
        <v>3.0287218283007899E-10</v>
      </c>
      <c r="L117" s="27">
        <v>4.7246408128795497E-3</v>
      </c>
      <c r="M117" s="143">
        <f>'Parameters, country spec'!K18</f>
        <v>1.0645865256161581E-2</v>
      </c>
      <c r="O117" s="251">
        <f>K117*M117/K125*100</f>
        <v>2.0580139765581729</v>
      </c>
    </row>
    <row r="118" spans="1:15" x14ac:dyDescent="0.35">
      <c r="A118" s="21" t="s">
        <v>370</v>
      </c>
      <c r="B118" s="16" t="s">
        <v>173</v>
      </c>
      <c r="C118" s="16" t="s">
        <v>366</v>
      </c>
      <c r="D118" s="22" t="s">
        <v>38</v>
      </c>
      <c r="E118" s="22" t="s">
        <v>92</v>
      </c>
      <c r="F118" s="20">
        <v>2.9420417769932299</v>
      </c>
      <c r="G118" s="38">
        <v>4.5013239187996497E-2</v>
      </c>
      <c r="H118" s="38">
        <v>4.1188584877905297E-3</v>
      </c>
      <c r="I118" s="20">
        <v>1.4509374354E-2</v>
      </c>
      <c r="J118" s="27">
        <v>0.210731979994116</v>
      </c>
      <c r="K118" s="27">
        <v>2.0102194381318101E-10</v>
      </c>
      <c r="L118" s="27">
        <v>5.0501378497497598E-3</v>
      </c>
      <c r="M118" s="143">
        <f>'Parameters, country spec'!K19</f>
        <v>0.21912340485214171</v>
      </c>
      <c r="O118" s="251">
        <f>K118*M118/K125*100</f>
        <v>28.115136928426011</v>
      </c>
    </row>
    <row r="119" spans="1:15" x14ac:dyDescent="0.35">
      <c r="A119" s="21" t="s">
        <v>371</v>
      </c>
      <c r="B119" s="16" t="s">
        <v>174</v>
      </c>
      <c r="C119" s="16" t="s">
        <v>372</v>
      </c>
      <c r="D119" s="22" t="s">
        <v>38</v>
      </c>
      <c r="E119" s="22" t="s">
        <v>92</v>
      </c>
      <c r="F119" s="20">
        <v>7.5382945362441198</v>
      </c>
      <c r="G119" s="38">
        <v>3.44E-2</v>
      </c>
      <c r="H119" s="38">
        <v>3.7695799183824099E-3</v>
      </c>
      <c r="I119" s="20">
        <v>0.13979039228000001</v>
      </c>
      <c r="J119" s="27">
        <v>0.12759392714992199</v>
      </c>
      <c r="K119" s="27">
        <v>5.1507175478003295E-10</v>
      </c>
      <c r="L119" s="27">
        <v>0</v>
      </c>
      <c r="M119" s="143">
        <f>'Parameters, country spec'!K20</f>
        <v>3.4365153377819389E-3</v>
      </c>
      <c r="O119" s="251">
        <f>K119*M119/K125*100</f>
        <v>1.1297802768330338</v>
      </c>
    </row>
    <row r="120" spans="1:15" x14ac:dyDescent="0.35">
      <c r="A120" s="21" t="s">
        <v>373</v>
      </c>
      <c r="B120" s="16" t="s">
        <v>175</v>
      </c>
      <c r="C120" s="16" t="s">
        <v>372</v>
      </c>
      <c r="D120" s="22" t="s">
        <v>38</v>
      </c>
      <c r="E120" s="22" t="s">
        <v>92</v>
      </c>
      <c r="F120" s="20">
        <v>8.0637357675063708</v>
      </c>
      <c r="G120" s="38">
        <v>4.16127471535013E-2</v>
      </c>
      <c r="H120" s="38">
        <v>3.2254943070025499E-3</v>
      </c>
      <c r="I120" s="20">
        <v>0.15035854579999999</v>
      </c>
      <c r="J120" s="27">
        <v>0.13648759797439</v>
      </c>
      <c r="K120" s="27">
        <v>5.50973766265362E-10</v>
      </c>
      <c r="L120" s="27">
        <v>1.8093777717167401E-4</v>
      </c>
      <c r="M120" s="143">
        <f>'Parameters, country spec'!K21</f>
        <v>3.3757905268185459E-3</v>
      </c>
      <c r="O120" s="251">
        <f>K120*M120/K125*100</f>
        <v>1.1871740049505026</v>
      </c>
    </row>
    <row r="121" spans="1:15" x14ac:dyDescent="0.35">
      <c r="B121" s="17" t="s">
        <v>177</v>
      </c>
      <c r="C121" s="16" t="s">
        <v>374</v>
      </c>
      <c r="D121" s="22" t="s">
        <v>450</v>
      </c>
      <c r="E121" s="22"/>
      <c r="F121" s="18">
        <f>'Off-farm feed'!$F$88</f>
        <v>1.5397450382845068</v>
      </c>
      <c r="G121" s="19">
        <f>'Off-farm feed'!$G$88</f>
        <v>2.276724967641296E-2</v>
      </c>
      <c r="H121" s="19">
        <f>'Off-farm feed'!$H$88</f>
        <v>2.4780679919905292E-3</v>
      </c>
      <c r="I121" s="19">
        <f>'Off-farm feed'!$I$88</f>
        <v>8.1100925319702543E-4</v>
      </c>
      <c r="J121" s="18">
        <f>'Off-farm feed'!$J$88</f>
        <v>0.29368572248181479</v>
      </c>
      <c r="K121" s="28">
        <f>'Off-farm feed'!$K$88</f>
        <v>1.2571008272056975E-11</v>
      </c>
      <c r="L121" s="28">
        <f>'Off-farm feed'!$L$88</f>
        <v>1.3841258986185109E-3</v>
      </c>
      <c r="M121" s="143">
        <f>'Parameters, country spec'!K22</f>
        <v>9.9524742143764257E-3</v>
      </c>
      <c r="O121" s="251">
        <f>K121*M121/K125*100</f>
        <v>7.9856291983996561E-2</v>
      </c>
    </row>
    <row r="122" spans="1:15" x14ac:dyDescent="0.35">
      <c r="B122" s="17" t="s">
        <v>375</v>
      </c>
      <c r="C122" s="16" t="s">
        <v>374</v>
      </c>
      <c r="D122" s="22" t="s">
        <v>426</v>
      </c>
      <c r="E122" s="22"/>
      <c r="F122" s="18">
        <f>'Off-farm feed'!$F$36</f>
        <v>2.5509164954964105</v>
      </c>
      <c r="G122" s="19">
        <f>'Off-farm feed'!$G$36</f>
        <v>4.2620923125915401E-2</v>
      </c>
      <c r="H122" s="19">
        <f>'Off-farm feed'!$H$36</f>
        <v>3.2959349471355006E-3</v>
      </c>
      <c r="I122" s="19">
        <f>'Off-farm feed'!$I$36</f>
        <v>2.435286335413451E-3</v>
      </c>
      <c r="J122" s="18">
        <f>'Off-farm feed'!$J$36</f>
        <v>0.25920846302270906</v>
      </c>
      <c r="K122" s="28">
        <f>'Off-farm feed'!$K$36</f>
        <v>1.4553836091881654E-10</v>
      </c>
      <c r="L122" s="28">
        <f>'Off-farm feed'!$L$36</f>
        <v>1.0450321677831977E-4</v>
      </c>
      <c r="M122" s="143">
        <f>'Parameters, country spec'!K23</f>
        <v>8.507721741542934E-2</v>
      </c>
      <c r="O122" s="251">
        <f>K122*M122/K125*100</f>
        <v>7.9031226870945703</v>
      </c>
    </row>
    <row r="123" spans="1:15" x14ac:dyDescent="0.35">
      <c r="B123" s="16" t="s">
        <v>181</v>
      </c>
      <c r="C123" s="16" t="s">
        <v>376</v>
      </c>
      <c r="D123" s="22" t="s">
        <v>38</v>
      </c>
      <c r="E123" s="22" t="s">
        <v>92</v>
      </c>
      <c r="F123" s="20">
        <v>0.26478375992939102</v>
      </c>
      <c r="G123" s="20">
        <v>4.0511915269196798E-3</v>
      </c>
      <c r="H123" s="20">
        <v>3.7069726390114699E-4</v>
      </c>
      <c r="I123" s="27">
        <v>1.30584369186E-3</v>
      </c>
      <c r="J123" s="27">
        <v>1.8965878199470401E-2</v>
      </c>
      <c r="K123" s="27">
        <v>1.80919749431862E-11</v>
      </c>
      <c r="L123" s="27">
        <v>4.5451240647747799E-4</v>
      </c>
      <c r="M123" s="143">
        <f>'Parameters, country spec'!K24</f>
        <v>1.307108167649881E-2</v>
      </c>
      <c r="O123" s="251">
        <f>K123*M123/K125*100</f>
        <v>0.15094039189781669</v>
      </c>
    </row>
    <row r="124" spans="1:15" x14ac:dyDescent="0.35">
      <c r="A124" s="80"/>
      <c r="B124" s="16" t="s">
        <v>377</v>
      </c>
      <c r="C124" s="81" t="s">
        <v>378</v>
      </c>
      <c r="D124" s="22" t="s">
        <v>38</v>
      </c>
      <c r="E124" s="22" t="s">
        <v>92</v>
      </c>
      <c r="F124" s="103">
        <f t="shared" ref="F124:L124" si="9">AVERAGE(F114:F122)</f>
        <v>3.9963125554231649</v>
      </c>
      <c r="G124" s="103">
        <f t="shared" si="9"/>
        <v>3.3787437564271494E-2</v>
      </c>
      <c r="H124" s="103">
        <f t="shared" si="9"/>
        <v>3.6231258334238686E-3</v>
      </c>
      <c r="I124" s="103">
        <f t="shared" si="9"/>
        <v>7.24794891901345E-2</v>
      </c>
      <c r="J124" s="161">
        <f t="shared" si="9"/>
        <v>0.1731780942505633</v>
      </c>
      <c r="K124" s="161">
        <f t="shared" si="9"/>
        <v>2.5956917826492061E-10</v>
      </c>
      <c r="L124" s="161">
        <f t="shared" si="9"/>
        <v>2.2135202092098249E-3</v>
      </c>
      <c r="M124" s="143">
        <f>'Parameters, country spec'!K25</f>
        <v>1.5143904035636979E-2</v>
      </c>
      <c r="O124" s="251">
        <f>K124*M124/K125*100</f>
        <v>2.5089900464159545</v>
      </c>
    </row>
    <row r="125" spans="1:15" x14ac:dyDescent="0.35">
      <c r="A125" s="142"/>
      <c r="B125" s="24" t="s">
        <v>379</v>
      </c>
      <c r="C125" s="25"/>
      <c r="D125" s="99"/>
      <c r="E125" s="99"/>
      <c r="F125" s="29">
        <f>SUMPRODUCT(F114:F124,M114:M124)</f>
        <v>2.3452566251276599</v>
      </c>
      <c r="G125" s="29">
        <f>SUMPRODUCT(G114:G124,M114:M124)</f>
        <v>2.7863859703832605E-2</v>
      </c>
      <c r="H125" s="29">
        <f>SUMPRODUCT(H114:H124,M114:M124)</f>
        <v>3.2410732078078245E-3</v>
      </c>
      <c r="I125" s="29">
        <f>SUMPRODUCT(I114:I124,M114:M124)</f>
        <v>0.10928796632363573</v>
      </c>
      <c r="J125" s="29">
        <f>SUMPRODUCT(J114:J124,M114:M124)</f>
        <v>0.1702693697027963</v>
      </c>
      <c r="K125" s="29">
        <f>SUMPRODUCT(K114:K124,M114:M124)</f>
        <v>1.5667223279216713E-10</v>
      </c>
      <c r="L125" s="29">
        <f>SUMPRODUCT(L114:L124,M114:M124)</f>
        <v>2.6642405706168121E-3</v>
      </c>
      <c r="M125" s="144"/>
    </row>
    <row r="126" spans="1:15" x14ac:dyDescent="0.35">
      <c r="A126" s="21" t="s">
        <v>365</v>
      </c>
      <c r="B126" s="16" t="s">
        <v>168</v>
      </c>
      <c r="C126" s="16" t="s">
        <v>366</v>
      </c>
      <c r="D126" s="22" t="s">
        <v>34</v>
      </c>
      <c r="E126" s="22" t="s">
        <v>93</v>
      </c>
      <c r="F126" s="23">
        <v>2.2396215935355599</v>
      </c>
      <c r="G126" s="38">
        <v>2.1052442979234198E-2</v>
      </c>
      <c r="H126" s="38">
        <v>1.5677351154748901E-3</v>
      </c>
      <c r="I126" s="20">
        <v>1.23636744E-5</v>
      </c>
      <c r="J126" s="27">
        <v>0.139657427481053</v>
      </c>
      <c r="K126" s="27">
        <v>4.5825527358037798E-12</v>
      </c>
      <c r="L126" s="27">
        <v>1.0871349935439401E-3</v>
      </c>
      <c r="M126" s="143">
        <f>'Parameters, country spec'!L15</f>
        <v>0.1343058366954886</v>
      </c>
      <c r="O126" s="251">
        <f>K126*M126/K137*100</f>
        <v>6.5720342082918135</v>
      </c>
    </row>
    <row r="127" spans="1:15" x14ac:dyDescent="0.35">
      <c r="A127" s="21" t="s">
        <v>367</v>
      </c>
      <c r="B127" s="16" t="s">
        <v>170</v>
      </c>
      <c r="C127" s="16" t="s">
        <v>366</v>
      </c>
      <c r="D127" s="22" t="s">
        <v>34</v>
      </c>
      <c r="E127" s="22" t="s">
        <v>93</v>
      </c>
      <c r="F127" s="20">
        <v>1.3531506760340799</v>
      </c>
      <c r="G127" s="38">
        <v>1.7861183592585001E-2</v>
      </c>
      <c r="H127" s="38">
        <v>5.0065438858003302E-3</v>
      </c>
      <c r="I127" s="20">
        <v>0</v>
      </c>
      <c r="J127" s="27">
        <v>1.4884657436374901E-2</v>
      </c>
      <c r="K127" s="27">
        <v>2.7687196579604899E-12</v>
      </c>
      <c r="L127" s="27">
        <v>9.2234035398006695E-4</v>
      </c>
      <c r="M127" s="143">
        <f>'Parameters, country spec'!L16</f>
        <v>5.9748696560920867E-3</v>
      </c>
      <c r="O127" s="251">
        <f>K127*M127/K137*100</f>
        <v>0.17664643483793074</v>
      </c>
    </row>
    <row r="128" spans="1:15" x14ac:dyDescent="0.35">
      <c r="A128" s="21" t="s">
        <v>368</v>
      </c>
      <c r="B128" s="16" t="s">
        <v>171</v>
      </c>
      <c r="C128" s="16" t="s">
        <v>366</v>
      </c>
      <c r="D128" s="22" t="s">
        <v>34</v>
      </c>
      <c r="E128" s="22" t="s">
        <v>93</v>
      </c>
      <c r="F128" s="20">
        <v>2.5610555646615301</v>
      </c>
      <c r="G128" s="38">
        <v>1.81814576614431E-2</v>
      </c>
      <c r="H128" s="38">
        <v>3.8411530270654401E-3</v>
      </c>
      <c r="I128" s="20">
        <v>1.4835820200000001E-5</v>
      </c>
      <c r="J128" s="27">
        <v>0.115247500409769</v>
      </c>
      <c r="K128" s="27">
        <v>5.2402478250167298E-12</v>
      </c>
      <c r="L128" s="27">
        <v>9.3887910666182401E-4</v>
      </c>
      <c r="M128" s="143">
        <f>'Parameters, country spec'!L17</f>
        <v>0.146104563813133</v>
      </c>
      <c r="O128" s="251">
        <f>K128*M128/K137*100</f>
        <v>8.175476330259702</v>
      </c>
    </row>
    <row r="129" spans="1:15" x14ac:dyDescent="0.35">
      <c r="A129" s="21" t="s">
        <v>369</v>
      </c>
      <c r="B129" s="16" t="s">
        <v>172</v>
      </c>
      <c r="C129" s="16" t="s">
        <v>366</v>
      </c>
      <c r="D129" s="22" t="s">
        <v>34</v>
      </c>
      <c r="E129" s="22" t="s">
        <v>93</v>
      </c>
      <c r="F129" s="20">
        <v>1.7238644904601299</v>
      </c>
      <c r="G129" s="38">
        <v>1.6377371461087399E-2</v>
      </c>
      <c r="H129" s="38">
        <v>1.20675368660644E-3</v>
      </c>
      <c r="I129" s="20">
        <v>0</v>
      </c>
      <c r="J129" s="27">
        <v>0.11937313391668899</v>
      </c>
      <c r="K129" s="27">
        <v>3.5272476206314401E-12</v>
      </c>
      <c r="L129" s="27">
        <v>8.45717223182979E-4</v>
      </c>
      <c r="M129" s="143">
        <f>'Parameters, country spec'!L18</f>
        <v>9.236749949865944E-5</v>
      </c>
      <c r="O129" s="251">
        <f>K129*M129/K137*100</f>
        <v>3.4789852955910685E-3</v>
      </c>
    </row>
    <row r="130" spans="1:15" x14ac:dyDescent="0.35">
      <c r="A130" s="21" t="s">
        <v>370</v>
      </c>
      <c r="B130" s="16" t="s">
        <v>173</v>
      </c>
      <c r="C130" s="16" t="s">
        <v>366</v>
      </c>
      <c r="D130" s="22" t="s">
        <v>34</v>
      </c>
      <c r="E130" s="22" t="s">
        <v>93</v>
      </c>
      <c r="F130" s="20">
        <v>1.55791389098342</v>
      </c>
      <c r="G130" s="38">
        <v>2.3836082532046301E-2</v>
      </c>
      <c r="H130" s="38">
        <v>2.18107944737678E-3</v>
      </c>
      <c r="I130" s="20">
        <v>0</v>
      </c>
      <c r="J130" s="27">
        <v>6.6227542671261505E-2</v>
      </c>
      <c r="K130" s="27">
        <v>3.18769143139155E-12</v>
      </c>
      <c r="L130" s="27">
        <v>1.2308803997307699E-3</v>
      </c>
      <c r="M130" s="143">
        <f>'Parameters, country spec'!L19</f>
        <v>0.58258426025934973</v>
      </c>
      <c r="O130" s="251">
        <f>K130*M130/K137*100</f>
        <v>19.830445876475629</v>
      </c>
    </row>
    <row r="131" spans="1:15" x14ac:dyDescent="0.35">
      <c r="A131" s="21" t="s">
        <v>371</v>
      </c>
      <c r="B131" s="16" t="s">
        <v>174</v>
      </c>
      <c r="C131" s="16" t="s">
        <v>372</v>
      </c>
      <c r="D131" s="22" t="s">
        <v>34</v>
      </c>
      <c r="E131" s="22" t="s">
        <v>93</v>
      </c>
      <c r="F131" s="20">
        <v>3.5103977982785</v>
      </c>
      <c r="G131" s="38">
        <v>3.44E-2</v>
      </c>
      <c r="H131" s="38">
        <v>1.75540037369216E-3</v>
      </c>
      <c r="I131" s="20">
        <v>4.3822514109200003E-2</v>
      </c>
      <c r="J131" s="27">
        <v>0.20360307230015301</v>
      </c>
      <c r="K131" s="27">
        <v>7.18272367112955E-12</v>
      </c>
      <c r="L131" s="27">
        <v>0</v>
      </c>
      <c r="M131" s="143">
        <f>'Parameters, country spec'!L20</f>
        <v>4.9593085693149293E-3</v>
      </c>
      <c r="O131" s="251">
        <f>K131*M131/K137*100</f>
        <v>0.38037130535952712</v>
      </c>
    </row>
    <row r="132" spans="1:15" x14ac:dyDescent="0.35">
      <c r="A132" s="21" t="s">
        <v>373</v>
      </c>
      <c r="B132" s="16" t="s">
        <v>175</v>
      </c>
      <c r="C132" s="16" t="s">
        <v>372</v>
      </c>
      <c r="D132" s="22" t="s">
        <v>34</v>
      </c>
      <c r="E132" s="22" t="s">
        <v>93</v>
      </c>
      <c r="F132" s="20">
        <v>3.4790111258775802</v>
      </c>
      <c r="G132" s="38">
        <v>4.0695802225175499E-2</v>
      </c>
      <c r="H132" s="38">
        <v>1.39160445035103E-3</v>
      </c>
      <c r="I132" s="20">
        <v>2.3048109550000001E-2</v>
      </c>
      <c r="J132" s="27">
        <v>0.212219678678532</v>
      </c>
      <c r="K132" s="27">
        <v>7.1185025179250203E-12</v>
      </c>
      <c r="L132" s="27">
        <v>3.59307918952768E-5</v>
      </c>
      <c r="M132" s="143">
        <f>'Parameters, country spec'!L21</f>
        <v>4.8716753013175436E-3</v>
      </c>
      <c r="O132" s="251">
        <f>K132*M132/K137*100</f>
        <v>0.37030914282642713</v>
      </c>
    </row>
    <row r="133" spans="1:15" x14ac:dyDescent="0.35">
      <c r="B133" s="17" t="s">
        <v>177</v>
      </c>
      <c r="C133" s="16" t="s">
        <v>374</v>
      </c>
      <c r="D133" s="22" t="s">
        <v>450</v>
      </c>
      <c r="E133" s="22"/>
      <c r="F133" s="18">
        <f>'Off-farm feed'!$F$88</f>
        <v>1.5397450382845068</v>
      </c>
      <c r="G133" s="19">
        <f>'Off-farm feed'!$G$88</f>
        <v>2.276724967641296E-2</v>
      </c>
      <c r="H133" s="19">
        <f>'Off-farm feed'!$H$88</f>
        <v>2.4780679919905292E-3</v>
      </c>
      <c r="I133" s="19">
        <f>'Off-farm feed'!$I$88</f>
        <v>8.1100925319702543E-4</v>
      </c>
      <c r="J133" s="18">
        <f>'Off-farm feed'!$J$88</f>
        <v>0.29368572248181479</v>
      </c>
      <c r="K133" s="28">
        <f>'Off-farm feed'!$K$88</f>
        <v>1.2571008272056975E-11</v>
      </c>
      <c r="L133" s="28">
        <f>'Off-farm feed'!$L$88</f>
        <v>1.3841258986185109E-3</v>
      </c>
      <c r="M133" s="143">
        <f>'Parameters, country spec'!L22</f>
        <v>2.1892083763360489E-2</v>
      </c>
      <c r="O133" s="251">
        <f>K133*M133/K137*100</f>
        <v>2.9386960580411814</v>
      </c>
    </row>
    <row r="134" spans="1:15" x14ac:dyDescent="0.35">
      <c r="B134" s="17" t="s">
        <v>375</v>
      </c>
      <c r="C134" s="16" t="s">
        <v>374</v>
      </c>
      <c r="D134" s="22" t="s">
        <v>426</v>
      </c>
      <c r="E134" s="22"/>
      <c r="F134" s="18">
        <f>'Off-farm feed'!$F$36</f>
        <v>2.5509164954964105</v>
      </c>
      <c r="G134" s="19">
        <f>'Off-farm feed'!$G$36</f>
        <v>4.2620923125915401E-2</v>
      </c>
      <c r="H134" s="19">
        <f>'Off-farm feed'!$H$36</f>
        <v>3.2959349471355006E-3</v>
      </c>
      <c r="I134" s="19">
        <f>'Off-farm feed'!$I$36</f>
        <v>2.435286335413451E-3</v>
      </c>
      <c r="J134" s="18">
        <f>'Off-farm feed'!$J$36</f>
        <v>0.25920846302270906</v>
      </c>
      <c r="K134" s="28">
        <f>'Off-farm feed'!$K$36</f>
        <v>1.4553836091881654E-10</v>
      </c>
      <c r="L134" s="28">
        <f>'Off-farm feed'!$L$36</f>
        <v>1.0450321677831977E-4</v>
      </c>
      <c r="M134" s="143">
        <f>'Parameters, country spec'!L23</f>
        <v>3.411102350419503E-2</v>
      </c>
      <c r="O134" s="251">
        <f>K134*M134/K137*100</f>
        <v>53.011450458677054</v>
      </c>
    </row>
    <row r="135" spans="1:15" x14ac:dyDescent="0.35">
      <c r="B135" s="16" t="s">
        <v>181</v>
      </c>
      <c r="C135" s="16" t="s">
        <v>376</v>
      </c>
      <c r="D135" s="22" t="s">
        <v>34</v>
      </c>
      <c r="E135" s="22" t="s">
        <v>93</v>
      </c>
      <c r="F135" s="20">
        <v>0.140212250188508</v>
      </c>
      <c r="G135" s="20">
        <v>2.1452474278841698E-3</v>
      </c>
      <c r="H135" s="20">
        <v>1.96297150263911E-4</v>
      </c>
      <c r="I135" s="27">
        <v>0</v>
      </c>
      <c r="J135" s="27">
        <v>5.9604788404135304E-3</v>
      </c>
      <c r="K135" s="27">
        <v>2.8689222882523901E-13</v>
      </c>
      <c r="L135" s="27">
        <v>1.10779235975769E-4</v>
      </c>
      <c r="M135" s="143">
        <f>'Parameters, country spec'!L24</f>
        <v>2.7931248345105159E-2</v>
      </c>
      <c r="O135" s="251">
        <f>K135*M135/K137*100</f>
        <v>8.5567055569109929E-2</v>
      </c>
    </row>
    <row r="136" spans="1:15" x14ac:dyDescent="0.35">
      <c r="A136" s="80"/>
      <c r="B136" s="16" t="s">
        <v>377</v>
      </c>
      <c r="C136" s="81" t="s">
        <v>378</v>
      </c>
      <c r="D136" s="22" t="s">
        <v>34</v>
      </c>
      <c r="E136" s="22" t="s">
        <v>93</v>
      </c>
      <c r="F136" s="103">
        <f t="shared" ref="F136:L136" si="10">AVERAGE(F126:F134)</f>
        <v>2.2795196304013015</v>
      </c>
      <c r="G136" s="103">
        <f t="shared" si="10"/>
        <v>2.6421390361544429E-2</v>
      </c>
      <c r="H136" s="103">
        <f t="shared" si="10"/>
        <v>2.5249192139436775E-3</v>
      </c>
      <c r="I136" s="103">
        <f t="shared" si="10"/>
        <v>7.7937909713789409E-3</v>
      </c>
      <c r="J136" s="161">
        <f t="shared" si="10"/>
        <v>0.15823413315537291</v>
      </c>
      <c r="K136" s="161">
        <f t="shared" si="10"/>
        <v>2.1301894961192455E-11</v>
      </c>
      <c r="L136" s="161">
        <f t="shared" si="10"/>
        <v>7.2772355382129861E-4</v>
      </c>
      <c r="M136" s="143">
        <f>'Parameters, country spec'!L25</f>
        <v>3.7172762593144858E-2</v>
      </c>
      <c r="O136" s="251">
        <f>K136*M136/K137*100</f>
        <v>8.4555241443660236</v>
      </c>
    </row>
    <row r="137" spans="1:15" x14ac:dyDescent="0.35">
      <c r="A137" s="142"/>
      <c r="B137" s="24" t="s">
        <v>379</v>
      </c>
      <c r="C137" s="25"/>
      <c r="D137" s="99"/>
      <c r="E137" s="99"/>
      <c r="F137" s="29">
        <f>SUMPRODUCT(F126:F136,M126:M136)</f>
        <v>1.8345691014437779</v>
      </c>
      <c r="G137" s="29">
        <f>SUMPRODUCT(G126:G136,M126:M136)</f>
        <v>2.284181570686317E-2</v>
      </c>
      <c r="H137" s="29">
        <f>SUMPRODUCT(H126:H136,M126:M136)</f>
        <v>2.3539572829502828E-3</v>
      </c>
      <c r="I137" s="29">
        <f>SUMPRODUCT(I126:I136,M126:M136)</f>
        <v>7.2398190387177783E-4</v>
      </c>
      <c r="J137" s="29">
        <f>SUMPRODUCT(J126:J136,M126:M136)</f>
        <v>9.7641415188643693E-2</v>
      </c>
      <c r="K137" s="29">
        <f>SUMPRODUCT(K126:K136,M126:M136)</f>
        <v>9.3648870331016832E-12</v>
      </c>
      <c r="L137" s="29">
        <f>SUMPRODUCT(L126:L136,M126:M136)</f>
        <v>1.070050476782584E-3</v>
      </c>
      <c r="M137" s="144"/>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87B39-0549-4541-AC91-5E472B798751}">
  <sheetPr>
    <tabColor theme="4" tint="0.79998168889431442"/>
  </sheetPr>
  <dimension ref="A2:F33"/>
  <sheetViews>
    <sheetView topLeftCell="A2" zoomScale="80" zoomScaleNormal="80" workbookViewId="0">
      <selection activeCell="E18" sqref="E18"/>
    </sheetView>
  </sheetViews>
  <sheetFormatPr defaultColWidth="8.90625" defaultRowHeight="14.5" x14ac:dyDescent="0.35"/>
  <cols>
    <col min="1" max="1" width="34.453125" customWidth="1"/>
    <col min="2" max="2" width="14.54296875" customWidth="1"/>
    <col min="3" max="3" width="14.453125" customWidth="1"/>
    <col min="4" max="4" width="14.54296875" customWidth="1"/>
    <col min="5" max="5" width="14.453125" customWidth="1"/>
  </cols>
  <sheetData>
    <row r="2" spans="1:6" ht="21" x14ac:dyDescent="0.5">
      <c r="A2" s="2" t="s">
        <v>387</v>
      </c>
    </row>
    <row r="4" spans="1:6" x14ac:dyDescent="0.35">
      <c r="A4" s="110" t="s">
        <v>388</v>
      </c>
      <c r="B4" s="155" t="s">
        <v>389</v>
      </c>
      <c r="C4" s="155" t="s">
        <v>390</v>
      </c>
      <c r="D4" s="155" t="s">
        <v>391</v>
      </c>
      <c r="E4" s="110"/>
      <c r="F4" s="110" t="s">
        <v>188</v>
      </c>
    </row>
    <row r="5" spans="1:6" x14ac:dyDescent="0.35">
      <c r="A5" s="3" t="s">
        <v>392</v>
      </c>
      <c r="B5" s="4">
        <v>0.29001600000000005</v>
      </c>
      <c r="C5" s="33">
        <v>1.1016000000000002E-4</v>
      </c>
      <c r="D5" s="33">
        <v>1.0269360000000001E-5</v>
      </c>
      <c r="E5" s="93"/>
      <c r="F5" s="93" t="s">
        <v>393</v>
      </c>
    </row>
    <row r="6" spans="1:6" x14ac:dyDescent="0.35">
      <c r="A6" s="3" t="s">
        <v>492</v>
      </c>
      <c r="B6" s="104">
        <f>0.062*3.6</f>
        <v>0.22320000000000001</v>
      </c>
      <c r="C6" s="47">
        <f>0.00028*3.6</f>
        <v>1.008E-3</v>
      </c>
      <c r="D6" s="47">
        <f>0.000002*3.6</f>
        <v>7.1999999999999997E-6</v>
      </c>
      <c r="F6" s="93" t="s">
        <v>393</v>
      </c>
    </row>
    <row r="7" spans="1:6" x14ac:dyDescent="0.35">
      <c r="A7" s="3" t="s">
        <v>394</v>
      </c>
      <c r="B7" s="4">
        <v>9.6299999999999997E-3</v>
      </c>
      <c r="C7" s="33">
        <v>3.6659999999999876E-5</v>
      </c>
      <c r="D7" s="33">
        <v>1.5257999999999987E-5</v>
      </c>
      <c r="E7" s="93"/>
      <c r="F7" s="93" t="s">
        <v>395</v>
      </c>
    </row>
    <row r="9" spans="1:6" x14ac:dyDescent="0.35">
      <c r="A9" s="110" t="s">
        <v>388</v>
      </c>
      <c r="B9" s="155" t="s">
        <v>396</v>
      </c>
      <c r="C9" s="155" t="s">
        <v>397</v>
      </c>
      <c r="D9" s="155" t="s">
        <v>398</v>
      </c>
      <c r="E9" s="110"/>
      <c r="F9" s="110" t="s">
        <v>188</v>
      </c>
    </row>
    <row r="10" spans="1:6" x14ac:dyDescent="0.35">
      <c r="A10" s="3" t="s">
        <v>399</v>
      </c>
      <c r="B10" s="111">
        <v>2.2999999999999998</v>
      </c>
      <c r="C10" s="112">
        <v>0</v>
      </c>
      <c r="D10" s="112">
        <v>4.3624161073825508E-3</v>
      </c>
      <c r="F10" s="117" t="s">
        <v>400</v>
      </c>
    </row>
    <row r="11" spans="1:6" x14ac:dyDescent="0.35">
      <c r="A11" s="3" t="s">
        <v>401</v>
      </c>
      <c r="B11" s="113">
        <v>4.3928213588059704</v>
      </c>
      <c r="C11" s="112">
        <v>9.8666566537313431E-3</v>
      </c>
      <c r="D11" s="112">
        <v>9.948031617910448E-3</v>
      </c>
      <c r="F11" s="118" t="s">
        <v>402</v>
      </c>
    </row>
    <row r="13" spans="1:6" x14ac:dyDescent="0.35">
      <c r="A13" s="110" t="s">
        <v>403</v>
      </c>
      <c r="B13" s="110"/>
    </row>
    <row r="14" spans="1:6" x14ac:dyDescent="0.35">
      <c r="A14" s="88" t="s">
        <v>130</v>
      </c>
      <c r="B14" s="114">
        <v>1</v>
      </c>
      <c r="C14" s="114"/>
    </row>
    <row r="15" spans="1:6" x14ac:dyDescent="0.35">
      <c r="A15" s="3" t="s">
        <v>131</v>
      </c>
      <c r="B15" s="115">
        <v>29.8</v>
      </c>
      <c r="C15" s="115"/>
    </row>
    <row r="16" spans="1:6" x14ac:dyDescent="0.35">
      <c r="A16" s="3" t="s">
        <v>132</v>
      </c>
      <c r="B16" s="5">
        <v>27</v>
      </c>
      <c r="C16" s="114"/>
    </row>
    <row r="17" spans="1:3" x14ac:dyDescent="0.35">
      <c r="A17" s="3" t="s">
        <v>133</v>
      </c>
      <c r="B17" s="114">
        <v>273</v>
      </c>
      <c r="C17" s="116"/>
    </row>
    <row r="19" spans="1:3" x14ac:dyDescent="0.35">
      <c r="A19" s="110" t="s">
        <v>58</v>
      </c>
      <c r="B19" s="110"/>
    </row>
    <row r="20" spans="1:3" x14ac:dyDescent="0.35">
      <c r="A20" s="3" t="s">
        <v>404</v>
      </c>
      <c r="B20" s="104">
        <v>0.12197</v>
      </c>
    </row>
    <row r="21" spans="1:3" x14ac:dyDescent="0.35">
      <c r="A21" s="3" t="s">
        <v>405</v>
      </c>
      <c r="B21">
        <v>1</v>
      </c>
    </row>
    <row r="23" spans="1:3" x14ac:dyDescent="0.35">
      <c r="A23" s="3" t="s">
        <v>406</v>
      </c>
      <c r="B23">
        <v>0.25</v>
      </c>
    </row>
    <row r="24" spans="1:3" x14ac:dyDescent="0.35">
      <c r="A24" s="3" t="s">
        <v>407</v>
      </c>
      <c r="B24">
        <v>1</v>
      </c>
    </row>
    <row r="25" spans="1:3" x14ac:dyDescent="0.35">
      <c r="A25" s="3" t="s">
        <v>408</v>
      </c>
      <c r="B25">
        <v>2</v>
      </c>
    </row>
    <row r="26" spans="1:3" x14ac:dyDescent="0.35">
      <c r="A26" s="3" t="s">
        <v>409</v>
      </c>
      <c r="B26">
        <v>2</v>
      </c>
    </row>
    <row r="27" spans="1:3" x14ac:dyDescent="0.35">
      <c r="A27" s="3" t="s">
        <v>410</v>
      </c>
      <c r="B27">
        <v>1</v>
      </c>
    </row>
    <row r="28" spans="1:3" x14ac:dyDescent="0.35">
      <c r="A28" s="3" t="s">
        <v>411</v>
      </c>
      <c r="B28">
        <v>1</v>
      </c>
    </row>
    <row r="30" spans="1:3" x14ac:dyDescent="0.35">
      <c r="A30" s="110" t="s">
        <v>412</v>
      </c>
      <c r="B30" s="110"/>
      <c r="C30" s="110" t="s">
        <v>188</v>
      </c>
    </row>
    <row r="31" spans="1:3" x14ac:dyDescent="0.35">
      <c r="A31" s="3" t="s">
        <v>202</v>
      </c>
      <c r="B31" s="19">
        <v>0.2692782509153</v>
      </c>
      <c r="C31" s="117" t="s">
        <v>413</v>
      </c>
    </row>
    <row r="32" spans="1:3" x14ac:dyDescent="0.35">
      <c r="A32" s="3" t="s">
        <v>414</v>
      </c>
      <c r="B32" s="19">
        <v>9.8059260756689997E-4</v>
      </c>
    </row>
    <row r="33" spans="1:2" x14ac:dyDescent="0.35">
      <c r="A33" s="3" t="s">
        <v>205</v>
      </c>
      <c r="B33" s="19">
        <v>3.4931896850000001E-5</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931B1-8DF9-4496-9496-0437475FC5FF}">
  <sheetPr>
    <tabColor theme="4" tint="0.79998168889431442"/>
  </sheetPr>
  <dimension ref="A2:S106"/>
  <sheetViews>
    <sheetView topLeftCell="A80" zoomScale="67" workbookViewId="0">
      <selection activeCell="N84" sqref="N84:N85"/>
    </sheetView>
  </sheetViews>
  <sheetFormatPr defaultColWidth="8.90625" defaultRowHeight="14.5" x14ac:dyDescent="0.35"/>
  <cols>
    <col min="1" max="1" width="10.90625" customWidth="1"/>
    <col min="2" max="2" width="18.453125" customWidth="1"/>
    <col min="3" max="3" width="11.54296875" customWidth="1"/>
    <col min="4" max="4" width="16.54296875" customWidth="1"/>
    <col min="6" max="6" width="14.54296875" customWidth="1"/>
    <col min="7" max="7" width="14.90625" customWidth="1"/>
    <col min="8" max="8" width="11.08984375" customWidth="1"/>
    <col min="9" max="9" width="12.08984375" customWidth="1"/>
    <col min="10" max="10" width="14.453125" customWidth="1"/>
    <col min="11" max="11" width="12" customWidth="1"/>
    <col min="12" max="12" width="14.54296875" customWidth="1"/>
    <col min="13" max="13" width="14.453125" customWidth="1"/>
    <col min="14" max="14" width="15" customWidth="1"/>
    <col min="15" max="15" width="15.453125" customWidth="1"/>
    <col min="16" max="16" width="15" customWidth="1"/>
    <col min="17" max="17" width="17.54296875" customWidth="1"/>
    <col min="18" max="18" width="24.90625" customWidth="1"/>
  </cols>
  <sheetData>
    <row r="2" spans="1:19" ht="21" x14ac:dyDescent="0.5">
      <c r="A2" s="2" t="s">
        <v>415</v>
      </c>
    </row>
    <row r="4" spans="1:19" ht="18.5" x14ac:dyDescent="0.45">
      <c r="A4" s="213" t="s">
        <v>375</v>
      </c>
      <c r="B4" s="110"/>
      <c r="C4" s="110"/>
      <c r="D4" s="110"/>
      <c r="E4" s="110"/>
      <c r="F4" s="110"/>
      <c r="G4" s="110"/>
      <c r="H4" s="110"/>
      <c r="I4" s="110"/>
      <c r="J4" s="110"/>
      <c r="K4" s="110"/>
      <c r="L4" s="110"/>
      <c r="M4" s="110"/>
      <c r="N4" s="110"/>
      <c r="O4" s="110"/>
      <c r="P4" s="110"/>
    </row>
    <row r="6" spans="1:19" ht="18.5" x14ac:dyDescent="0.45">
      <c r="A6" s="1" t="s">
        <v>416</v>
      </c>
    </row>
    <row r="8" spans="1:19" x14ac:dyDescent="0.35">
      <c r="A8" s="214" t="s">
        <v>358</v>
      </c>
      <c r="B8" s="215"/>
      <c r="C8" s="215"/>
      <c r="D8" s="215"/>
      <c r="E8" s="216" t="s">
        <v>102</v>
      </c>
      <c r="F8" s="216" t="s">
        <v>103</v>
      </c>
      <c r="G8" s="217"/>
      <c r="H8" s="216" t="s">
        <v>104</v>
      </c>
      <c r="I8" s="218"/>
      <c r="J8" s="219" t="s">
        <v>105</v>
      </c>
      <c r="K8" s="218"/>
      <c r="L8" s="218"/>
      <c r="M8" s="218"/>
      <c r="N8" s="219" t="s">
        <v>106</v>
      </c>
      <c r="O8" s="219" t="s">
        <v>107</v>
      </c>
      <c r="P8" s="219" t="s">
        <v>108</v>
      </c>
    </row>
    <row r="9" spans="1:19" ht="43.5" x14ac:dyDescent="0.35">
      <c r="A9" s="220" t="s">
        <v>60</v>
      </c>
      <c r="B9" s="220" t="s">
        <v>358</v>
      </c>
      <c r="C9" s="220" t="s">
        <v>112</v>
      </c>
      <c r="D9" s="221" t="s">
        <v>417</v>
      </c>
      <c r="E9" s="222"/>
      <c r="F9" s="51" t="s">
        <v>16</v>
      </c>
      <c r="G9" s="51" t="s">
        <v>17</v>
      </c>
      <c r="H9" s="51" t="s">
        <v>361</v>
      </c>
      <c r="I9" s="51" t="s">
        <v>362</v>
      </c>
      <c r="J9" s="51" t="s">
        <v>117</v>
      </c>
      <c r="K9" s="51" t="s">
        <v>118</v>
      </c>
      <c r="L9" s="51" t="s">
        <v>119</v>
      </c>
      <c r="M9" s="51" t="s">
        <v>120</v>
      </c>
      <c r="N9" s="51" t="s">
        <v>121</v>
      </c>
      <c r="O9" s="51"/>
      <c r="P9" s="51"/>
      <c r="R9" s="223" t="s">
        <v>418</v>
      </c>
    </row>
    <row r="10" spans="1:19" ht="18" customHeight="1" x14ac:dyDescent="0.35">
      <c r="A10" t="s">
        <v>419</v>
      </c>
      <c r="B10" t="s">
        <v>420</v>
      </c>
      <c r="C10" t="s">
        <v>134</v>
      </c>
      <c r="D10" t="s">
        <v>421</v>
      </c>
      <c r="E10" s="4">
        <v>0.9762625042220614</v>
      </c>
      <c r="F10" s="4">
        <v>6.3780206352419501E-3</v>
      </c>
      <c r="G10" s="4">
        <v>3.01313E-2</v>
      </c>
      <c r="H10" s="4">
        <v>4.3198581779485427E-2</v>
      </c>
      <c r="I10" s="4">
        <v>4.3198581779485433E-3</v>
      </c>
      <c r="J10" s="4">
        <v>5.168680555007258E-2</v>
      </c>
      <c r="K10" s="4">
        <v>0</v>
      </c>
      <c r="L10" s="4">
        <v>8.3348896151578009E-5</v>
      </c>
      <c r="M10" s="4">
        <v>3.9645293683161227E-2</v>
      </c>
      <c r="N10" s="4">
        <v>0.80081929549999997</v>
      </c>
      <c r="O10" s="4">
        <v>0</v>
      </c>
      <c r="P10" s="4">
        <v>0</v>
      </c>
      <c r="R10" s="122" t="s">
        <v>422</v>
      </c>
      <c r="S10" s="7"/>
    </row>
    <row r="11" spans="1:19" x14ac:dyDescent="0.35">
      <c r="A11" t="s">
        <v>419</v>
      </c>
      <c r="B11" t="s">
        <v>420</v>
      </c>
      <c r="C11" t="s">
        <v>130</v>
      </c>
      <c r="D11" t="s">
        <v>421</v>
      </c>
      <c r="E11" s="4">
        <f t="shared" ref="E11:E20" si="0">SUM(F11:P11)</f>
        <v>0.92073417828065618</v>
      </c>
      <c r="F11" s="4">
        <v>3.8012291590112874E-3</v>
      </c>
      <c r="G11" s="4">
        <v>2.7E-2</v>
      </c>
      <c r="H11" s="4">
        <v>0</v>
      </c>
      <c r="I11" s="4"/>
      <c r="J11" s="4">
        <v>5.0646723842195554E-2</v>
      </c>
      <c r="K11" s="4"/>
      <c r="L11" s="4">
        <v>7.5028151531290012E-5</v>
      </c>
      <c r="M11" s="4">
        <v>3.8391901627918008E-2</v>
      </c>
      <c r="N11" s="11">
        <v>0.80081929549999997</v>
      </c>
      <c r="O11" s="4"/>
      <c r="P11" s="4"/>
    </row>
    <row r="12" spans="1:19" x14ac:dyDescent="0.35">
      <c r="A12" t="s">
        <v>419</v>
      </c>
      <c r="B12" t="s">
        <v>420</v>
      </c>
      <c r="C12" t="s">
        <v>131</v>
      </c>
      <c r="D12" t="s">
        <v>421</v>
      </c>
      <c r="E12" s="4">
        <f t="shared" si="0"/>
        <v>1.549735128053641E-4</v>
      </c>
      <c r="F12" s="4">
        <v>8.1660966199362198E-6</v>
      </c>
      <c r="G12" s="4">
        <v>9.5000000000000005E-5</v>
      </c>
      <c r="H12" s="4"/>
      <c r="I12" s="4"/>
      <c r="J12" s="4">
        <v>2.2434790869507859E-5</v>
      </c>
      <c r="K12" s="4"/>
      <c r="L12" s="4">
        <v>2.5092881999999999E-7</v>
      </c>
      <c r="M12" s="4">
        <v>2.9121696495920008E-5</v>
      </c>
      <c r="N12" s="4"/>
      <c r="O12" s="4"/>
      <c r="P12" s="4"/>
    </row>
    <row r="13" spans="1:19" x14ac:dyDescent="0.35">
      <c r="A13" t="s">
        <v>419</v>
      </c>
      <c r="B13" t="s">
        <v>420</v>
      </c>
      <c r="C13" t="s">
        <v>423</v>
      </c>
      <c r="D13" t="s">
        <v>421</v>
      </c>
      <c r="E13" s="4">
        <f t="shared" si="0"/>
        <v>0</v>
      </c>
      <c r="F13" s="4"/>
      <c r="G13" s="4"/>
      <c r="H13" s="4"/>
      <c r="I13" s="4"/>
      <c r="J13" s="4"/>
      <c r="K13" s="4"/>
      <c r="L13" s="4"/>
      <c r="M13" s="4"/>
      <c r="N13" s="4"/>
      <c r="O13" s="4"/>
      <c r="P13" s="4"/>
    </row>
    <row r="14" spans="1:19" x14ac:dyDescent="0.35">
      <c r="A14" t="s">
        <v>419</v>
      </c>
      <c r="B14" t="s">
        <v>420</v>
      </c>
      <c r="C14" t="s">
        <v>133</v>
      </c>
      <c r="D14" t="s">
        <v>421</v>
      </c>
      <c r="E14" s="4">
        <f t="shared" si="0"/>
        <v>1.8648393868060559E-4</v>
      </c>
      <c r="F14" s="4">
        <v>8.5474058496577423E-6</v>
      </c>
      <c r="G14" s="4">
        <v>1.1000000000000001E-6</v>
      </c>
      <c r="H14" s="4">
        <v>1.5823656329481842E-4</v>
      </c>
      <c r="I14" s="4">
        <v>1.5823656329481842E-5</v>
      </c>
      <c r="J14" s="4">
        <v>1.360897215991556E-6</v>
      </c>
      <c r="K14" s="4"/>
      <c r="L14" s="4">
        <v>3.0881530559999997E-9</v>
      </c>
      <c r="M14" s="4">
        <v>1.4123278376000001E-6</v>
      </c>
      <c r="N14" s="4"/>
      <c r="O14" s="4"/>
      <c r="P14" s="4"/>
    </row>
    <row r="15" spans="1:19" x14ac:dyDescent="0.35">
      <c r="E15" s="4"/>
      <c r="F15" s="4"/>
      <c r="G15" s="4"/>
      <c r="H15" s="4"/>
      <c r="I15" s="4"/>
      <c r="J15" s="4"/>
      <c r="K15" s="4"/>
      <c r="L15" s="4"/>
      <c r="M15" s="4"/>
      <c r="N15" s="4"/>
      <c r="O15" s="4"/>
      <c r="P15" s="4"/>
    </row>
    <row r="16" spans="1:19" x14ac:dyDescent="0.35">
      <c r="A16" t="s">
        <v>419</v>
      </c>
      <c r="B16" t="s">
        <v>420</v>
      </c>
      <c r="C16" t="s">
        <v>134</v>
      </c>
      <c r="D16" t="s">
        <v>424</v>
      </c>
      <c r="E16" s="4">
        <v>0.20785730445628486</v>
      </c>
      <c r="F16" s="4">
        <v>2.4370510521528055E-2</v>
      </c>
      <c r="G16" s="4">
        <v>3.01313E-2</v>
      </c>
      <c r="H16" s="4">
        <v>4.8642220755341865E-2</v>
      </c>
      <c r="I16" s="4">
        <v>4.8642220755341862E-3</v>
      </c>
      <c r="J16" s="4">
        <v>5.9248812939961648E-2</v>
      </c>
      <c r="K16" s="4">
        <v>0</v>
      </c>
      <c r="L16" s="4">
        <v>4.1674448075789007E-4</v>
      </c>
      <c r="M16" s="4">
        <v>3.9645293683161227E-2</v>
      </c>
      <c r="N16" s="4">
        <v>5.3819999999999996E-4</v>
      </c>
      <c r="O16" s="4">
        <v>0</v>
      </c>
      <c r="P16" s="4">
        <v>0</v>
      </c>
      <c r="R16" s="122" t="s">
        <v>422</v>
      </c>
      <c r="S16" s="7"/>
    </row>
    <row r="17" spans="1:18" x14ac:dyDescent="0.35">
      <c r="A17" t="s">
        <v>419</v>
      </c>
      <c r="B17" t="s">
        <v>420</v>
      </c>
      <c r="C17" t="s">
        <v>130</v>
      </c>
      <c r="D17" t="s">
        <v>424</v>
      </c>
      <c r="E17" s="4">
        <f t="shared" si="0"/>
        <v>0.13888635752648032</v>
      </c>
      <c r="F17" s="4">
        <v>1.4524552445401365E-2</v>
      </c>
      <c r="G17" s="4">
        <v>2.7E-2</v>
      </c>
      <c r="H17" s="4">
        <v>0</v>
      </c>
      <c r="I17" s="4"/>
      <c r="J17" s="4">
        <v>5.8056562695504521E-2</v>
      </c>
      <c r="K17" s="4"/>
      <c r="L17" s="4">
        <v>3.7514075765645005E-4</v>
      </c>
      <c r="M17" s="4">
        <v>3.8391901627918008E-2</v>
      </c>
      <c r="N17" s="204">
        <v>5.3819999999999996E-4</v>
      </c>
      <c r="O17" s="4"/>
      <c r="P17" s="4"/>
    </row>
    <row r="18" spans="1:18" x14ac:dyDescent="0.35">
      <c r="A18" t="s">
        <v>419</v>
      </c>
      <c r="B18" t="s">
        <v>420</v>
      </c>
      <c r="C18" t="s">
        <v>131</v>
      </c>
      <c r="D18" t="s">
        <v>424</v>
      </c>
      <c r="E18" s="4">
        <f t="shared" si="0"/>
        <v>1.8229621534045906E-4</v>
      </c>
      <c r="F18" s="4">
        <v>3.1202775120595208E-5</v>
      </c>
      <c r="G18" s="4">
        <v>9.5000000000000005E-5</v>
      </c>
      <c r="H18" s="4"/>
      <c r="I18" s="4"/>
      <c r="J18" s="4">
        <v>2.5717099623943848E-5</v>
      </c>
      <c r="K18" s="4"/>
      <c r="L18" s="4">
        <v>1.2546440999999999E-6</v>
      </c>
      <c r="M18" s="4">
        <v>2.9121696495920008E-5</v>
      </c>
      <c r="N18" s="4"/>
      <c r="O18" s="4"/>
      <c r="P18" s="4"/>
    </row>
    <row r="19" spans="1:18" x14ac:dyDescent="0.35">
      <c r="A19" t="s">
        <v>419</v>
      </c>
      <c r="B19" t="s">
        <v>420</v>
      </c>
      <c r="C19" t="s">
        <v>423</v>
      </c>
      <c r="D19" t="s">
        <v>424</v>
      </c>
      <c r="E19" s="4">
        <f t="shared" si="0"/>
        <v>0</v>
      </c>
      <c r="F19" s="4"/>
      <c r="G19" s="4"/>
      <c r="H19" s="4"/>
      <c r="I19" s="4"/>
      <c r="J19" s="4"/>
      <c r="K19" s="4"/>
      <c r="L19" s="4"/>
      <c r="M19" s="4"/>
      <c r="N19" s="4"/>
      <c r="O19" s="4"/>
      <c r="P19" s="4"/>
    </row>
    <row r="20" spans="1:18" x14ac:dyDescent="0.35">
      <c r="A20" t="s">
        <v>419</v>
      </c>
      <c r="B20" t="s">
        <v>420</v>
      </c>
      <c r="C20" t="s">
        <v>133</v>
      </c>
      <c r="D20" t="s">
        <v>424</v>
      </c>
      <c r="E20" s="4">
        <f t="shared" si="0"/>
        <v>2.3274183044929981E-4</v>
      </c>
      <c r="F20" s="4">
        <v>3.2659763287666505E-5</v>
      </c>
      <c r="G20" s="4">
        <v>1.1000000000000001E-6</v>
      </c>
      <c r="H20" s="4">
        <v>1.7817663280345004E-4</v>
      </c>
      <c r="I20" s="4">
        <v>1.7817663280345004E-5</v>
      </c>
      <c r="J20" s="4">
        <v>1.5600024749582352E-6</v>
      </c>
      <c r="K20" s="4"/>
      <c r="L20" s="4">
        <v>1.5440765279999996E-8</v>
      </c>
      <c r="M20" s="4">
        <v>1.4123278376000001E-6</v>
      </c>
      <c r="N20" s="4"/>
      <c r="O20" s="4"/>
      <c r="P20" s="4"/>
    </row>
    <row r="21" spans="1:18" x14ac:dyDescent="0.35">
      <c r="E21" s="4"/>
      <c r="F21" s="4"/>
      <c r="G21" s="4"/>
      <c r="H21" s="4"/>
      <c r="I21" s="4"/>
      <c r="J21" s="4"/>
      <c r="K21" s="4"/>
      <c r="L21" s="4"/>
      <c r="M21" s="4"/>
      <c r="N21" s="4"/>
      <c r="O21" s="4"/>
      <c r="P21" s="4"/>
    </row>
    <row r="22" spans="1:18" x14ac:dyDescent="0.35">
      <c r="A22" t="s">
        <v>425</v>
      </c>
      <c r="B22" t="s">
        <v>375</v>
      </c>
      <c r="C22" t="s">
        <v>134</v>
      </c>
      <c r="D22" t="s">
        <v>426</v>
      </c>
      <c r="E22" s="4">
        <v>0.77170772994138725</v>
      </c>
      <c r="F22" s="4">
        <v>1.2186917836524699E-2</v>
      </c>
      <c r="G22" s="4">
        <v>2.3884567073170736E-2</v>
      </c>
      <c r="H22" s="4">
        <v>3.6400318077827891E-2</v>
      </c>
      <c r="I22" s="4">
        <v>3.6400318077827896E-3</v>
      </c>
      <c r="J22" s="4">
        <v>4.3968385377147715E-2</v>
      </c>
      <c r="K22" s="4">
        <v>0</v>
      </c>
      <c r="L22" s="4">
        <v>1.9820774084826478E-4</v>
      </c>
      <c r="M22" s="4">
        <v>3.1426147431774146E-2</v>
      </c>
      <c r="N22" s="4">
        <v>0.31761120248475611</v>
      </c>
      <c r="O22" s="4">
        <v>4.265297238182502E-2</v>
      </c>
      <c r="P22" s="4">
        <v>0.2597389797297297</v>
      </c>
    </row>
    <row r="23" spans="1:18" x14ac:dyDescent="0.35">
      <c r="A23" s="279" t="s">
        <v>425</v>
      </c>
      <c r="B23" s="266" t="s">
        <v>375</v>
      </c>
      <c r="C23" s="266" t="s">
        <v>130</v>
      </c>
      <c r="D23" s="266" t="s">
        <v>426</v>
      </c>
      <c r="E23" s="265">
        <f>SUM(F23:P23)</f>
        <v>0.7061171705997602</v>
      </c>
      <c r="F23" s="265">
        <f>$C$40*(AVERAGE(F11,F17))/$C$39</f>
        <v>7.2632670993098931E-3</v>
      </c>
      <c r="G23" s="265">
        <f t="shared" ref="G23:M23" si="1">$C$40*(AVERAGE(G11,G17))/$C$39</f>
        <v>2.1402439024390246E-2</v>
      </c>
      <c r="H23" s="265">
        <f t="shared" si="1"/>
        <v>0</v>
      </c>
      <c r="I23" s="265"/>
      <c r="J23" s="265">
        <f t="shared" si="1"/>
        <v>4.308361966433235E-2</v>
      </c>
      <c r="K23" s="265"/>
      <c r="L23" s="265">
        <f t="shared" si="1"/>
        <v>1.7842060425123844E-4</v>
      </c>
      <c r="M23" s="265">
        <f t="shared" si="1"/>
        <v>3.0432604948959403E-2</v>
      </c>
      <c r="N23" s="265">
        <f>$C$40*(AVERAGE(N11,N17))/$C$39</f>
        <v>0.31761120248475611</v>
      </c>
      <c r="O23" s="265" cm="1">
        <f t="array" ref="O23">C40*(C43*EF_el_CO2_BR+C44*EF_biofuels_CO2)</f>
        <v>3.5145616773760872E-2</v>
      </c>
      <c r="P23" s="280">
        <v>0.251</v>
      </c>
      <c r="R23" t="s">
        <v>427</v>
      </c>
    </row>
    <row r="24" spans="1:18" x14ac:dyDescent="0.35">
      <c r="A24" s="224" t="s">
        <v>425</v>
      </c>
      <c r="B24" t="s">
        <v>375</v>
      </c>
      <c r="C24" t="s">
        <v>131</v>
      </c>
      <c r="D24" t="s">
        <v>426</v>
      </c>
      <c r="E24" s="4">
        <f>SUM(F24:P24)</f>
        <v>4.7266553697523981E-4</v>
      </c>
      <c r="F24" s="4">
        <f t="shared" ref="F24:M24" si="2">$C$40*(AVERAGE(F12,F18))/$C$39</f>
        <v>1.5603516238625262E-5</v>
      </c>
      <c r="G24" s="4">
        <f t="shared" si="2"/>
        <v>7.5304878048780503E-5</v>
      </c>
      <c r="H24" s="4"/>
      <c r="I24" s="4"/>
      <c r="J24" s="4">
        <f t="shared" si="2"/>
        <v>1.908459074435586E-5</v>
      </c>
      <c r="K24" s="4"/>
      <c r="L24" s="4">
        <f t="shared" si="2"/>
        <v>5.9672097439024396E-7</v>
      </c>
      <c r="M24" s="4">
        <f t="shared" si="2"/>
        <v>2.3084271612619523E-5</v>
      </c>
      <c r="N24" s="4"/>
      <c r="O24" s="4">
        <f>C40*(C43*EF_el_CH4_BR+C44*EF_biofuel_CH4)</f>
        <v>1.2899155935646844E-4</v>
      </c>
      <c r="P24" s="225">
        <f>4.83/1000/23</f>
        <v>2.1000000000000001E-4</v>
      </c>
      <c r="R24" t="s">
        <v>428</v>
      </c>
    </row>
    <row r="25" spans="1:18" x14ac:dyDescent="0.35">
      <c r="A25" s="224" t="s">
        <v>425</v>
      </c>
      <c r="B25" t="s">
        <v>375</v>
      </c>
      <c r="C25" t="s">
        <v>423</v>
      </c>
      <c r="D25" t="s">
        <v>426</v>
      </c>
      <c r="E25" s="4">
        <f>SUM(F25:P25)</f>
        <v>0</v>
      </c>
      <c r="F25" s="4"/>
      <c r="G25" s="4"/>
      <c r="H25" s="4"/>
      <c r="I25" s="4"/>
      <c r="J25" s="4"/>
      <c r="K25" s="4"/>
      <c r="L25" s="4"/>
      <c r="M25" s="4"/>
      <c r="N25" s="4"/>
      <c r="O25" s="4"/>
      <c r="P25" s="225"/>
    </row>
    <row r="26" spans="1:18" x14ac:dyDescent="0.35">
      <c r="A26" s="226" t="s">
        <v>425</v>
      </c>
      <c r="B26" s="227" t="s">
        <v>375</v>
      </c>
      <c r="C26" s="227" t="s">
        <v>133</v>
      </c>
      <c r="D26" s="227" t="s">
        <v>426</v>
      </c>
      <c r="E26" s="228">
        <f>SUM(F26:P26)</f>
        <v>1.8866346644602505E-4</v>
      </c>
      <c r="F26" s="228">
        <f t="shared" ref="F26:M26" si="3">$C$40*(AVERAGE(F14,F20))/$C$39</f>
        <v>1.6332109719061441E-5</v>
      </c>
      <c r="G26" s="228">
        <f t="shared" si="3"/>
        <v>8.7195121951219526E-7</v>
      </c>
      <c r="H26" s="229">
        <f t="shared" si="3"/>
        <v>1.3333449845358202E-4</v>
      </c>
      <c r="I26" s="228">
        <f t="shared" si="3"/>
        <v>1.3333449845358203E-5</v>
      </c>
      <c r="J26" s="228">
        <f t="shared" si="3"/>
        <v>1.1576736579983931E-6</v>
      </c>
      <c r="K26" s="228"/>
      <c r="L26" s="228">
        <f t="shared" si="3"/>
        <v>7.3437786087804866E-9</v>
      </c>
      <c r="M26" s="228">
        <f t="shared" si="3"/>
        <v>1.1195281639512197E-6</v>
      </c>
      <c r="N26" s="228"/>
      <c r="O26" s="228">
        <f>C40*(C43*EF_el_N2O_BR+C44*EF_biofuel_N2O)</f>
        <v>1.3419073770114991E-5</v>
      </c>
      <c r="P26" s="230">
        <f>2.69/1000/296</f>
        <v>9.087837837837838E-6</v>
      </c>
      <c r="R26" t="s">
        <v>428</v>
      </c>
    </row>
    <row r="29" spans="1:18" ht="18.5" x14ac:dyDescent="0.45">
      <c r="A29" s="1" t="s">
        <v>429</v>
      </c>
    </row>
    <row r="31" spans="1:18" x14ac:dyDescent="0.35">
      <c r="A31" s="149" t="s">
        <v>358</v>
      </c>
      <c r="B31" s="150"/>
      <c r="C31" s="150"/>
      <c r="D31" s="150"/>
      <c r="E31" s="150"/>
      <c r="F31" s="151" t="s">
        <v>50</v>
      </c>
      <c r="G31" s="151" t="s">
        <v>384</v>
      </c>
      <c r="H31" s="151" t="s">
        <v>52</v>
      </c>
      <c r="I31" s="151" t="s">
        <v>53</v>
      </c>
      <c r="J31" s="152" t="s">
        <v>54</v>
      </c>
      <c r="K31" s="152" t="s">
        <v>55</v>
      </c>
      <c r="L31" s="152" t="s">
        <v>56</v>
      </c>
      <c r="M31" s="231"/>
      <c r="N31" s="232"/>
      <c r="O31" s="232"/>
      <c r="P31" s="233"/>
    </row>
    <row r="32" spans="1:18" ht="43.5" x14ac:dyDescent="0.35">
      <c r="A32" s="154" t="s">
        <v>60</v>
      </c>
      <c r="B32" s="154" t="s">
        <v>358</v>
      </c>
      <c r="C32" s="154" t="s">
        <v>360</v>
      </c>
      <c r="D32" s="154" t="s">
        <v>63</v>
      </c>
      <c r="E32" s="140" t="s">
        <v>64</v>
      </c>
      <c r="F32" s="162" t="s">
        <v>71</v>
      </c>
      <c r="G32" s="162" t="s">
        <v>385</v>
      </c>
      <c r="H32" s="162" t="s">
        <v>386</v>
      </c>
      <c r="I32" s="163" t="s">
        <v>74</v>
      </c>
      <c r="J32" s="164" t="s">
        <v>75</v>
      </c>
      <c r="K32" s="165" t="s">
        <v>76</v>
      </c>
      <c r="L32" s="165" t="s">
        <v>77</v>
      </c>
      <c r="M32" s="232"/>
    </row>
    <row r="33" spans="1:18" x14ac:dyDescent="0.35">
      <c r="A33" s="76" t="s">
        <v>419</v>
      </c>
      <c r="B33" s="16" t="s">
        <v>420</v>
      </c>
      <c r="C33" s="16" t="s">
        <v>430</v>
      </c>
      <c r="D33" t="s">
        <v>421</v>
      </c>
      <c r="E33" t="s">
        <v>431</v>
      </c>
      <c r="F33">
        <v>2.9987165493168901</v>
      </c>
      <c r="G33">
        <v>7.5567657042785605E-2</v>
      </c>
      <c r="H33">
        <v>6.5971764084971603E-3</v>
      </c>
      <c r="I33">
        <v>8.3191495512068404E-4</v>
      </c>
      <c r="J33">
        <v>0.33775822794753002</v>
      </c>
      <c r="K33" s="47">
        <v>3.3104588739787198E-10</v>
      </c>
      <c r="L33" s="47">
        <v>5.4691734366476702E-5</v>
      </c>
      <c r="N33" t="s">
        <v>473</v>
      </c>
    </row>
    <row r="34" spans="1:18" x14ac:dyDescent="0.35">
      <c r="A34" s="76" t="s">
        <v>419</v>
      </c>
      <c r="B34" s="16" t="s">
        <v>420</v>
      </c>
      <c r="C34" s="16" t="s">
        <v>430</v>
      </c>
      <c r="D34" t="s">
        <v>424</v>
      </c>
      <c r="E34" t="s">
        <v>432</v>
      </c>
      <c r="F34">
        <v>3.43744199316636</v>
      </c>
      <c r="G34">
        <v>3.1968210536447099E-2</v>
      </c>
      <c r="H34">
        <v>1.7187209965831801E-3</v>
      </c>
      <c r="I34">
        <v>5.3124997988455601E-3</v>
      </c>
      <c r="J34">
        <v>0.31624466337130502</v>
      </c>
      <c r="K34" s="47">
        <v>3.6158592458834303E-11</v>
      </c>
      <c r="L34" s="47">
        <v>2.0897792027420699E-4</v>
      </c>
      <c r="N34" t="s">
        <v>474</v>
      </c>
    </row>
    <row r="36" spans="1:18" x14ac:dyDescent="0.35">
      <c r="A36" s="281" t="s">
        <v>425</v>
      </c>
      <c r="B36" s="282" t="s">
        <v>375</v>
      </c>
      <c r="C36" s="282" t="s">
        <v>433</v>
      </c>
      <c r="D36" s="282" t="s">
        <v>426</v>
      </c>
      <c r="E36" s="282"/>
      <c r="F36" s="283">
        <f>$C$40*AVERAGE(F33:F34)/$C$39</f>
        <v>2.5509164954964105</v>
      </c>
      <c r="G36" s="283">
        <f t="shared" ref="G36:L36" si="4">$C$40*AVERAGE(G33:G34)/$C$39</f>
        <v>4.2620923125915401E-2</v>
      </c>
      <c r="H36" s="284">
        <f t="shared" si="4"/>
        <v>3.2959349471355006E-3</v>
      </c>
      <c r="I36" s="284">
        <f t="shared" si="4"/>
        <v>2.435286335413451E-3</v>
      </c>
      <c r="J36" s="283">
        <f t="shared" si="4"/>
        <v>0.25920846302270906</v>
      </c>
      <c r="K36" s="285">
        <f t="shared" si="4"/>
        <v>1.4553836091881654E-10</v>
      </c>
      <c r="L36" s="285">
        <f t="shared" si="4"/>
        <v>1.0450321677831977E-4</v>
      </c>
    </row>
    <row r="38" spans="1:18" x14ac:dyDescent="0.35">
      <c r="A38" s="110" t="s">
        <v>434</v>
      </c>
      <c r="B38" s="110"/>
      <c r="C38" s="110"/>
      <c r="D38" s="110"/>
      <c r="E38" s="110"/>
      <c r="F38" s="110"/>
      <c r="G38" s="110"/>
      <c r="H38" s="110"/>
      <c r="I38" s="110"/>
      <c r="J38" s="110"/>
      <c r="K38" s="110"/>
      <c r="L38" s="110"/>
      <c r="M38" s="110"/>
      <c r="N38" s="110"/>
      <c r="O38" s="110"/>
      <c r="P38" s="110"/>
    </row>
    <row r="39" spans="1:18" x14ac:dyDescent="0.35">
      <c r="A39" t="s">
        <v>435</v>
      </c>
      <c r="C39">
        <v>0.82</v>
      </c>
      <c r="R39" t="s">
        <v>436</v>
      </c>
    </row>
    <row r="40" spans="1:18" x14ac:dyDescent="0.35">
      <c r="A40" t="s">
        <v>437</v>
      </c>
      <c r="C40">
        <v>0.65</v>
      </c>
      <c r="R40" t="s">
        <v>436</v>
      </c>
    </row>
    <row r="42" spans="1:18" x14ac:dyDescent="0.35">
      <c r="A42" t="s">
        <v>438</v>
      </c>
    </row>
    <row r="43" spans="1:18" x14ac:dyDescent="0.35">
      <c r="A43" t="s">
        <v>439</v>
      </c>
      <c r="C43">
        <v>0.16600000000000001</v>
      </c>
      <c r="D43" t="s">
        <v>440</v>
      </c>
      <c r="G43" t="s">
        <v>441</v>
      </c>
      <c r="I43" s="11">
        <f>C43/(C43+C44)</f>
        <v>0.14574187884108869</v>
      </c>
      <c r="R43" t="s">
        <v>442</v>
      </c>
    </row>
    <row r="44" spans="1:18" x14ac:dyDescent="0.35">
      <c r="A44" t="s">
        <v>443</v>
      </c>
      <c r="C44">
        <v>0.97299999999999998</v>
      </c>
      <c r="D44" t="s">
        <v>440</v>
      </c>
      <c r="R44" t="s">
        <v>442</v>
      </c>
    </row>
    <row r="46" spans="1:18" x14ac:dyDescent="0.35">
      <c r="A46" t="s">
        <v>444</v>
      </c>
      <c r="R46" t="s">
        <v>445</v>
      </c>
    </row>
    <row r="49" spans="1:18" ht="18.5" x14ac:dyDescent="0.45">
      <c r="A49" s="213" t="s">
        <v>446</v>
      </c>
      <c r="B49" s="110"/>
      <c r="C49" s="110"/>
      <c r="D49" s="110"/>
      <c r="E49" s="110"/>
      <c r="F49" s="110"/>
      <c r="G49" s="110"/>
      <c r="H49" s="110"/>
      <c r="I49" s="110"/>
      <c r="J49" s="110"/>
      <c r="K49" s="110"/>
      <c r="L49" s="110"/>
      <c r="M49" s="110"/>
      <c r="N49" s="110"/>
      <c r="O49" s="110"/>
      <c r="P49" s="110"/>
    </row>
    <row r="51" spans="1:18" ht="18.5" x14ac:dyDescent="0.45">
      <c r="A51" s="1" t="s">
        <v>416</v>
      </c>
    </row>
    <row r="53" spans="1:18" x14ac:dyDescent="0.35">
      <c r="A53" s="214" t="s">
        <v>358</v>
      </c>
      <c r="B53" s="215"/>
      <c r="C53" s="215"/>
      <c r="D53" s="215"/>
      <c r="E53" s="216" t="s">
        <v>102</v>
      </c>
      <c r="F53" s="216" t="s">
        <v>103</v>
      </c>
      <c r="G53" s="217"/>
      <c r="H53" s="216" t="s">
        <v>104</v>
      </c>
      <c r="I53" s="218"/>
      <c r="J53" s="219" t="s">
        <v>105</v>
      </c>
      <c r="K53" s="218"/>
      <c r="L53" s="218"/>
      <c r="M53" s="218"/>
      <c r="N53" s="219" t="s">
        <v>106</v>
      </c>
      <c r="O53" s="219" t="s">
        <v>107</v>
      </c>
      <c r="P53" s="219" t="s">
        <v>108</v>
      </c>
    </row>
    <row r="54" spans="1:18" ht="43.5" x14ac:dyDescent="0.35">
      <c r="A54" s="220" t="s">
        <v>60</v>
      </c>
      <c r="B54" s="220" t="s">
        <v>358</v>
      </c>
      <c r="C54" s="220" t="s">
        <v>112</v>
      </c>
      <c r="D54" s="221" t="s">
        <v>417</v>
      </c>
      <c r="E54" s="222"/>
      <c r="F54" s="51" t="s">
        <v>16</v>
      </c>
      <c r="G54" s="51" t="s">
        <v>17</v>
      </c>
      <c r="H54" s="51" t="s">
        <v>361</v>
      </c>
      <c r="I54" s="51" t="s">
        <v>362</v>
      </c>
      <c r="J54" s="51" t="s">
        <v>117</v>
      </c>
      <c r="K54" s="51" t="s">
        <v>118</v>
      </c>
      <c r="L54" s="51" t="s">
        <v>119</v>
      </c>
      <c r="M54" s="51" t="s">
        <v>120</v>
      </c>
      <c r="N54" s="51" t="s">
        <v>121</v>
      </c>
      <c r="O54" s="51"/>
      <c r="P54" s="51"/>
      <c r="R54" s="223"/>
    </row>
    <row r="55" spans="1:18" x14ac:dyDescent="0.35">
      <c r="A55" t="s">
        <v>447</v>
      </c>
      <c r="B55" t="s">
        <v>448</v>
      </c>
      <c r="C55" t="s">
        <v>134</v>
      </c>
      <c r="D55" t="s">
        <v>36</v>
      </c>
      <c r="E55" s="4">
        <v>0.86652859022920592</v>
      </c>
      <c r="F55" s="4">
        <v>0.45006858113490861</v>
      </c>
      <c r="G55" s="4">
        <v>3.01313E-2</v>
      </c>
      <c r="H55" s="4">
        <v>0.24176008201732435</v>
      </c>
      <c r="I55" s="4">
        <v>2.4176008201732439E-2</v>
      </c>
      <c r="J55" s="4">
        <v>4.9915761667236082E-2</v>
      </c>
      <c r="K55" s="4">
        <v>0</v>
      </c>
      <c r="L55" s="4">
        <v>1.0835356499705141E-3</v>
      </c>
      <c r="M55" s="4">
        <v>6.9393321558033794E-2</v>
      </c>
      <c r="N55" s="4">
        <v>0</v>
      </c>
      <c r="O55" s="4">
        <v>0</v>
      </c>
      <c r="P55" s="4">
        <v>0</v>
      </c>
      <c r="R55" s="122"/>
    </row>
    <row r="56" spans="1:18" x14ac:dyDescent="0.35">
      <c r="A56" t="s">
        <v>447</v>
      </c>
      <c r="B56" t="s">
        <v>448</v>
      </c>
      <c r="C56" t="s">
        <v>130</v>
      </c>
      <c r="D56" t="s">
        <v>36</v>
      </c>
      <c r="E56" s="4">
        <f t="shared" ref="E56:E59" si="5">SUM(F56:P56)</f>
        <v>0.47425566700327737</v>
      </c>
      <c r="F56" s="4">
        <v>0.32956752885768148</v>
      </c>
      <c r="G56" s="4">
        <v>2.7E-2</v>
      </c>
      <c r="H56" s="4">
        <v>0</v>
      </c>
      <c r="I56" s="4"/>
      <c r="J56" s="4">
        <v>4.891131826833911E-2</v>
      </c>
      <c r="K56" s="4"/>
      <c r="L56" s="4">
        <v>9.7536596990677009E-4</v>
      </c>
      <c r="M56" s="4">
        <v>6.7801453907350012E-2</v>
      </c>
      <c r="N56" s="5"/>
      <c r="O56" s="4"/>
      <c r="P56" s="4"/>
    </row>
    <row r="57" spans="1:18" x14ac:dyDescent="0.35">
      <c r="A57" t="s">
        <v>447</v>
      </c>
      <c r="B57" t="s">
        <v>448</v>
      </c>
      <c r="C57" t="s">
        <v>131</v>
      </c>
      <c r="D57" t="s">
        <v>36</v>
      </c>
      <c r="E57" s="4">
        <f t="shared" si="5"/>
        <v>4.9941072237528225E-4</v>
      </c>
      <c r="F57" s="33">
        <v>3.4898905873400086E-4</v>
      </c>
      <c r="G57" s="33">
        <v>9.5000000000000005E-5</v>
      </c>
      <c r="H57" s="33"/>
      <c r="I57" s="33"/>
      <c r="J57" s="33">
        <v>2.1666064717653378E-5</v>
      </c>
      <c r="K57" s="33"/>
      <c r="L57" s="33">
        <v>3.2620746600000001E-6</v>
      </c>
      <c r="M57" s="33">
        <v>3.0493524263628008E-5</v>
      </c>
      <c r="N57" s="33"/>
      <c r="O57" s="33"/>
      <c r="P57" s="33"/>
    </row>
    <row r="58" spans="1:18" x14ac:dyDescent="0.35">
      <c r="A58" t="s">
        <v>447</v>
      </c>
      <c r="B58" t="s">
        <v>448</v>
      </c>
      <c r="C58" t="s">
        <v>423</v>
      </c>
      <c r="D58" t="s">
        <v>36</v>
      </c>
      <c r="E58" s="4">
        <f t="shared" si="5"/>
        <v>0</v>
      </c>
      <c r="F58" s="33"/>
      <c r="G58" s="33"/>
      <c r="H58" s="33"/>
      <c r="I58" s="33"/>
      <c r="J58" s="33"/>
      <c r="K58" s="33"/>
      <c r="L58" s="33"/>
      <c r="M58" s="33"/>
      <c r="N58" s="33"/>
      <c r="O58" s="33"/>
      <c r="P58" s="33"/>
    </row>
    <row r="59" spans="1:18" x14ac:dyDescent="0.35">
      <c r="A59" t="s">
        <v>447</v>
      </c>
      <c r="B59" t="s">
        <v>448</v>
      </c>
      <c r="C59" t="s">
        <v>133</v>
      </c>
      <c r="D59" t="s">
        <v>36</v>
      </c>
      <c r="E59" s="4">
        <f t="shared" si="5"/>
        <v>1.3823827241726927E-3</v>
      </c>
      <c r="F59" s="33">
        <v>4.0330101951265181E-4</v>
      </c>
      <c r="G59" s="33">
        <v>1.1000000000000001E-6</v>
      </c>
      <c r="H59" s="33">
        <v>8.8556806599752514E-4</v>
      </c>
      <c r="I59" s="33">
        <v>8.8556806599752522E-5</v>
      </c>
      <c r="J59" s="33">
        <v>1.314266191615013E-6</v>
      </c>
      <c r="K59" s="33"/>
      <c r="L59" s="33">
        <v>4.014598972799999E-8</v>
      </c>
      <c r="M59" s="33">
        <v>2.50241988142E-6</v>
      </c>
      <c r="N59" s="33"/>
      <c r="O59" s="33"/>
      <c r="P59" s="33"/>
    </row>
    <row r="60" spans="1:18" x14ac:dyDescent="0.35">
      <c r="E60" s="4"/>
      <c r="F60" s="4"/>
      <c r="G60" s="4"/>
      <c r="H60" s="4"/>
      <c r="I60" s="4"/>
      <c r="J60" s="4"/>
      <c r="K60" s="4"/>
      <c r="L60" s="4"/>
      <c r="M60" s="4"/>
      <c r="N60" s="4"/>
      <c r="O60" s="4"/>
      <c r="P60" s="4"/>
    </row>
    <row r="61" spans="1:18" x14ac:dyDescent="0.35">
      <c r="A61" t="s">
        <v>447</v>
      </c>
      <c r="B61" t="s">
        <v>448</v>
      </c>
      <c r="C61" t="s">
        <v>134</v>
      </c>
      <c r="D61" t="s">
        <v>33</v>
      </c>
      <c r="E61" s="4">
        <v>0.72542566300783895</v>
      </c>
      <c r="F61" s="4">
        <v>0.30299497425616784</v>
      </c>
      <c r="G61" s="4">
        <v>3.01313E-2</v>
      </c>
      <c r="H61" s="4">
        <v>0.24176008201732435</v>
      </c>
      <c r="I61" s="4">
        <v>2.4176008201732439E-2</v>
      </c>
      <c r="J61" s="4">
        <v>4.8839231914042686E-2</v>
      </c>
      <c r="K61" s="4">
        <v>0</v>
      </c>
      <c r="L61" s="4">
        <v>1.6669779230315599E-4</v>
      </c>
      <c r="M61" s="4">
        <v>7.735736882626848E-2</v>
      </c>
      <c r="N61" s="4">
        <v>0</v>
      </c>
      <c r="O61" s="4">
        <v>0</v>
      </c>
      <c r="P61" s="4">
        <v>0</v>
      </c>
      <c r="R61" s="122"/>
    </row>
    <row r="62" spans="1:18" x14ac:dyDescent="0.35">
      <c r="A62" t="s">
        <v>447</v>
      </c>
      <c r="B62" t="s">
        <v>448</v>
      </c>
      <c r="C62" t="s">
        <v>130</v>
      </c>
      <c r="D62" t="s">
        <v>33</v>
      </c>
      <c r="E62" s="4">
        <f t="shared" ref="E62:E65" si="6">SUM(F62:P62)</f>
        <v>0.33282969749060426</v>
      </c>
      <c r="F62" s="4">
        <v>0.18249392197894071</v>
      </c>
      <c r="G62" s="4">
        <v>2.7E-2</v>
      </c>
      <c r="H62" s="4">
        <v>0</v>
      </c>
      <c r="I62" s="4"/>
      <c r="J62" s="4">
        <v>4.7856451275928968E-2</v>
      </c>
      <c r="K62" s="4"/>
      <c r="L62" s="4">
        <v>1.5005630306258E-4</v>
      </c>
      <c r="M62" s="4">
        <v>7.5329267932672014E-2</v>
      </c>
      <c r="N62" s="5"/>
      <c r="O62" s="4"/>
      <c r="P62" s="4"/>
    </row>
    <row r="63" spans="1:18" x14ac:dyDescent="0.35">
      <c r="A63" t="s">
        <v>447</v>
      </c>
      <c r="B63" t="s">
        <v>448</v>
      </c>
      <c r="C63" t="s">
        <v>131</v>
      </c>
      <c r="D63" t="s">
        <v>33</v>
      </c>
      <c r="E63" s="4">
        <f t="shared" si="6"/>
        <v>5.0851433192470826E-4</v>
      </c>
      <c r="F63" s="33">
        <v>3.4898905873400086E-4</v>
      </c>
      <c r="G63" s="33">
        <v>9.5000000000000005E-5</v>
      </c>
      <c r="H63" s="33"/>
      <c r="I63" s="33"/>
      <c r="J63" s="33">
        <v>2.1198794209819431E-5</v>
      </c>
      <c r="K63" s="33"/>
      <c r="L63" s="33">
        <v>5.0185763999999998E-7</v>
      </c>
      <c r="M63" s="33">
        <v>4.2824621340888011E-5</v>
      </c>
      <c r="N63" s="234"/>
      <c r="O63" s="234"/>
      <c r="P63" s="234"/>
    </row>
    <row r="64" spans="1:18" x14ac:dyDescent="0.35">
      <c r="A64" t="s">
        <v>447</v>
      </c>
      <c r="B64" t="s">
        <v>448</v>
      </c>
      <c r="C64" t="s">
        <v>423</v>
      </c>
      <c r="D64" t="s">
        <v>33</v>
      </c>
      <c r="E64" s="4">
        <f t="shared" si="6"/>
        <v>0</v>
      </c>
      <c r="F64" s="234"/>
      <c r="G64" s="234"/>
      <c r="H64" s="234"/>
      <c r="I64" s="234"/>
      <c r="J64" s="234"/>
      <c r="K64" s="234"/>
      <c r="L64" s="234"/>
      <c r="M64" s="234"/>
      <c r="N64" s="234"/>
      <c r="O64" s="234"/>
      <c r="P64" s="234"/>
    </row>
    <row r="65" spans="1:18" x14ac:dyDescent="0.35">
      <c r="A65" t="s">
        <v>447</v>
      </c>
      <c r="B65" t="s">
        <v>448</v>
      </c>
      <c r="C65" t="s">
        <v>133</v>
      </c>
      <c r="D65" t="s">
        <v>33</v>
      </c>
      <c r="E65" s="4">
        <f t="shared" si="6"/>
        <v>1.3825723019262944E-3</v>
      </c>
      <c r="F65" s="33">
        <v>4.0330101951265175E-4</v>
      </c>
      <c r="G65" s="33">
        <v>1.1000000000000001E-6</v>
      </c>
      <c r="H65" s="33">
        <v>8.8556806599752514E-4</v>
      </c>
      <c r="I65" s="33">
        <v>8.8556806599752522E-5</v>
      </c>
      <c r="J65" s="33">
        <v>1.2859215042530965E-6</v>
      </c>
      <c r="K65" s="33"/>
      <c r="L65" s="33">
        <v>6.1763061119999986E-9</v>
      </c>
      <c r="M65" s="33">
        <v>2.7543120060000002E-6</v>
      </c>
      <c r="N65" s="234"/>
      <c r="O65" s="234"/>
      <c r="P65" s="234"/>
    </row>
    <row r="66" spans="1:18" x14ac:dyDescent="0.35">
      <c r="E66" s="4"/>
      <c r="F66" s="4"/>
      <c r="G66" s="4"/>
      <c r="H66" s="4"/>
      <c r="I66" s="4"/>
      <c r="J66" s="4"/>
      <c r="K66" s="4"/>
      <c r="L66" s="4"/>
      <c r="M66" s="4"/>
      <c r="N66" s="4"/>
      <c r="O66" s="4"/>
      <c r="P66" s="4"/>
    </row>
    <row r="67" spans="1:18" x14ac:dyDescent="0.35">
      <c r="A67" t="s">
        <v>447</v>
      </c>
      <c r="B67" t="s">
        <v>448</v>
      </c>
      <c r="C67" t="s">
        <v>134</v>
      </c>
      <c r="D67" t="s">
        <v>30</v>
      </c>
      <c r="E67" s="4">
        <v>0.74513506580091904</v>
      </c>
      <c r="F67" s="4">
        <v>0.30299497425616784</v>
      </c>
      <c r="G67" s="4">
        <v>3.01313E-2</v>
      </c>
      <c r="H67" s="4">
        <v>0.24176008201732432</v>
      </c>
      <c r="I67" s="4">
        <v>2.4176008201732435E-2</v>
      </c>
      <c r="J67" s="4">
        <v>5.7818585001554686E-2</v>
      </c>
      <c r="K67" s="4">
        <v>0</v>
      </c>
      <c r="L67" s="4">
        <v>8.3348896151578009E-5</v>
      </c>
      <c r="M67" s="4">
        <v>8.8170767427988142E-2</v>
      </c>
      <c r="N67" s="4"/>
      <c r="O67" s="4">
        <v>0</v>
      </c>
      <c r="P67" s="4">
        <v>0</v>
      </c>
      <c r="R67" s="122"/>
    </row>
    <row r="68" spans="1:18" x14ac:dyDescent="0.35">
      <c r="A68" t="s">
        <v>447</v>
      </c>
      <c r="B68" t="s">
        <v>448</v>
      </c>
      <c r="C68" t="s">
        <v>130</v>
      </c>
      <c r="D68" t="s">
        <v>30</v>
      </c>
      <c r="E68" s="4">
        <f t="shared" ref="E68:E71" si="7">SUM(F68:P68)</f>
        <v>0.35179228624786635</v>
      </c>
      <c r="F68" s="4">
        <v>0.18249392197894071</v>
      </c>
      <c r="G68" s="4">
        <v>2.7E-2</v>
      </c>
      <c r="H68" s="4">
        <v>0</v>
      </c>
      <c r="I68" s="4"/>
      <c r="J68" s="4">
        <v>5.6655114905164373E-2</v>
      </c>
      <c r="K68" s="4"/>
      <c r="L68" s="4">
        <v>7.5028151531290012E-5</v>
      </c>
      <c r="M68" s="4">
        <v>8.5568221212230011E-2</v>
      </c>
      <c r="N68" s="5"/>
      <c r="O68" s="4"/>
      <c r="P68" s="4"/>
    </row>
    <row r="69" spans="1:18" x14ac:dyDescent="0.35">
      <c r="A69" t="s">
        <v>447</v>
      </c>
      <c r="B69" t="s">
        <v>448</v>
      </c>
      <c r="C69" t="s">
        <v>131</v>
      </c>
      <c r="D69" t="s">
        <v>30</v>
      </c>
      <c r="E69" s="4">
        <f t="shared" si="7"/>
        <v>5.3201630943650285E-4</v>
      </c>
      <c r="F69" s="4">
        <v>3.4898905873400081E-4</v>
      </c>
      <c r="G69" s="4">
        <v>9.5000000000000005E-5</v>
      </c>
      <c r="H69" s="4"/>
      <c r="I69" s="4"/>
      <c r="J69" s="4">
        <v>2.5096305509229163E-5</v>
      </c>
      <c r="K69" s="4"/>
      <c r="L69" s="4">
        <v>2.5092882000000005E-7</v>
      </c>
      <c r="M69" s="4">
        <v>6.2680016373272817E-5</v>
      </c>
      <c r="N69" s="4"/>
      <c r="O69" s="4"/>
      <c r="P69" s="4"/>
    </row>
    <row r="70" spans="1:18" x14ac:dyDescent="0.35">
      <c r="A70" t="s">
        <v>447</v>
      </c>
      <c r="B70" t="s">
        <v>448</v>
      </c>
      <c r="C70" t="s">
        <v>423</v>
      </c>
      <c r="D70" t="s">
        <v>30</v>
      </c>
      <c r="E70" s="4">
        <f t="shared" si="7"/>
        <v>0</v>
      </c>
      <c r="F70" s="4"/>
      <c r="G70" s="4"/>
      <c r="H70" s="4"/>
      <c r="I70" s="4"/>
      <c r="J70" s="4"/>
      <c r="K70" s="4"/>
      <c r="L70" s="4"/>
      <c r="M70" s="4"/>
      <c r="N70" s="4"/>
      <c r="O70" s="4"/>
      <c r="P70" s="4"/>
    </row>
    <row r="71" spans="1:18" x14ac:dyDescent="0.35">
      <c r="A71" t="s">
        <v>447</v>
      </c>
      <c r="B71" t="s">
        <v>448</v>
      </c>
      <c r="C71" t="s">
        <v>133</v>
      </c>
      <c r="D71" t="s">
        <v>30</v>
      </c>
      <c r="E71" s="4">
        <f t="shared" si="7"/>
        <v>1.382742467149615E-3</v>
      </c>
      <c r="F71" s="4">
        <v>4.033010195126517E-4</v>
      </c>
      <c r="G71" s="4">
        <v>1.1000000000000001E-6</v>
      </c>
      <c r="H71" s="234">
        <v>8.8556806599752503E-4</v>
      </c>
      <c r="I71" s="4">
        <v>8.8556806599752509E-5</v>
      </c>
      <c r="J71" s="4">
        <v>1.5223450264296012E-6</v>
      </c>
      <c r="K71" s="4"/>
      <c r="L71" s="4">
        <v>3.0881530559999997E-9</v>
      </c>
      <c r="M71" s="4">
        <v>2.6911418602000003E-6</v>
      </c>
      <c r="N71" s="4"/>
      <c r="O71" s="4"/>
      <c r="P71" s="4"/>
    </row>
    <row r="72" spans="1:18" x14ac:dyDescent="0.35">
      <c r="E72" s="4"/>
      <c r="F72" s="4"/>
      <c r="G72" s="4"/>
      <c r="H72" s="4"/>
      <c r="I72" s="4"/>
      <c r="J72" s="4"/>
      <c r="K72" s="4"/>
      <c r="L72" s="4"/>
      <c r="M72" s="4"/>
      <c r="N72" s="4"/>
      <c r="O72" s="4"/>
      <c r="P72" s="4"/>
    </row>
    <row r="73" spans="1:18" x14ac:dyDescent="0.35">
      <c r="A73" t="s">
        <v>449</v>
      </c>
      <c r="B73" t="s">
        <v>446</v>
      </c>
      <c r="C73" t="s">
        <v>134</v>
      </c>
      <c r="D73" t="s">
        <v>450</v>
      </c>
      <c r="E73" s="4">
        <v>0.46603913502229222</v>
      </c>
      <c r="F73" s="4">
        <v>0.16994045304668304</v>
      </c>
      <c r="G73" s="4">
        <v>1.454614482758621E-2</v>
      </c>
      <c r="H73" s="4">
        <v>0.11671176373250142</v>
      </c>
      <c r="I73" s="4">
        <v>1.1671176373250144E-2</v>
      </c>
      <c r="J73" s="4">
        <v>2.5195748277697338E-2</v>
      </c>
      <c r="K73" s="4"/>
      <c r="L73" s="4">
        <v>2.1459945675808594E-4</v>
      </c>
      <c r="M73" s="4">
        <v>3.7803452981288115E-2</v>
      </c>
      <c r="N73" s="4"/>
      <c r="O73" s="4">
        <v>2.3613703053907385E-2</v>
      </c>
      <c r="P73" s="4">
        <v>6.6342093272620445E-2</v>
      </c>
      <c r="R73" s="167" t="s">
        <v>451</v>
      </c>
    </row>
    <row r="74" spans="1:18" x14ac:dyDescent="0.35">
      <c r="A74" s="279" t="s">
        <v>449</v>
      </c>
      <c r="B74" s="266" t="s">
        <v>446</v>
      </c>
      <c r="C74" s="266" t="s">
        <v>130</v>
      </c>
      <c r="D74" s="266" t="s">
        <v>450</v>
      </c>
      <c r="E74" s="265">
        <f>SUM(F74:P74)</f>
        <v>0.27085685084992916</v>
      </c>
      <c r="F74" s="265">
        <f>$C$92*(AVERAGE(F56,F62,F68))/$C$91</f>
        <v>0.11176753125767681</v>
      </c>
      <c r="G74" s="265">
        <f>$C$92*(AVERAGE(G56,G62,G68))/$C$91</f>
        <v>1.3034482758620692E-2</v>
      </c>
      <c r="H74" s="265">
        <f>$C$92*(AVERAGE(H56,H62,H68))/$C$91</f>
        <v>0</v>
      </c>
      <c r="I74" s="265"/>
      <c r="J74" s="265">
        <f>$C$92*(AVERAGE(J56,J62,J68))/$C$91</f>
        <v>2.4688740026345454E-2</v>
      </c>
      <c r="K74" s="265"/>
      <c r="L74" s="265">
        <f>$C$92*(AVERAGE(L56,L62,L68))/$C$91</f>
        <v>1.931759303794134E-4</v>
      </c>
      <c r="M74" s="265">
        <f>$C$92*(AVERAGE(M56,M62,M68))/$C$91</f>
        <v>3.6802128767029069E-2</v>
      </c>
      <c r="N74" s="265"/>
      <c r="O74" s="265">
        <f>C92*(C95*AVERAGE(EF_el_CO2_FR,EF_el_CO2_DE,EF_el_CO2_PL)+C96*EF_biofuels_CO2)</f>
        <v>2.1170792109877701E-2</v>
      </c>
      <c r="P74" s="280">
        <f>63.2/1000</f>
        <v>6.3200000000000006E-2</v>
      </c>
      <c r="R74" t="s">
        <v>452</v>
      </c>
    </row>
    <row r="75" spans="1:18" x14ac:dyDescent="0.35">
      <c r="A75" s="224" t="s">
        <v>449</v>
      </c>
      <c r="B75" t="s">
        <v>446</v>
      </c>
      <c r="C75" t="s">
        <v>131</v>
      </c>
      <c r="D75" t="s">
        <v>450</v>
      </c>
      <c r="E75" s="4">
        <f>SUM(F75:P75)</f>
        <v>3.8246443678729497E-4</v>
      </c>
      <c r="F75" s="4">
        <f>$C$92*(AVERAGE(F57,F63,F69))/$C$91</f>
        <v>1.684774766302073E-4</v>
      </c>
      <c r="G75" s="4">
        <f>$C$92*(AVERAGE(G57,G63,G69))/$C$91</f>
        <v>4.5862068965517246E-5</v>
      </c>
      <c r="H75" s="4"/>
      <c r="I75" s="4"/>
      <c r="J75" s="4">
        <f>$C$92*(AVERAGE(J57,J63,J69))/$C$91</f>
        <v>1.0936279334641699E-5</v>
      </c>
      <c r="K75" s="4"/>
      <c r="L75" s="4">
        <f>$C$92*(AVERAGE(L57,L63,L69))/$C$91</f>
        <v>6.4606960551724142E-7</v>
      </c>
      <c r="M75" s="4">
        <f>$C$92*(AVERAGE(M57,M63,M69))/$C$91</f>
        <v>2.1884761697575221E-5</v>
      </c>
      <c r="N75" s="4"/>
      <c r="O75" s="4">
        <f>C92*(C95*AVERAGE(EF_el_CH4_FR,EF_el_CH4_DE,EF_el_CH4_PL)+C96*EF_biofuel_CH4)</f>
        <v>4.5962128379923281E-5</v>
      </c>
      <c r="P75" s="225">
        <f>2.04/1000/23</f>
        <v>8.8695652173913049E-5</v>
      </c>
      <c r="R75" t="s">
        <v>453</v>
      </c>
    </row>
    <row r="76" spans="1:18" x14ac:dyDescent="0.35">
      <c r="A76" s="224" t="s">
        <v>449</v>
      </c>
      <c r="B76" t="s">
        <v>446</v>
      </c>
      <c r="C76" t="s">
        <v>423</v>
      </c>
      <c r="D76" t="s">
        <v>450</v>
      </c>
      <c r="E76" s="4">
        <f>SUM(F76:P76)</f>
        <v>0</v>
      </c>
      <c r="F76" s="4"/>
      <c r="G76" s="4"/>
      <c r="H76" s="4"/>
      <c r="I76" s="4"/>
      <c r="J76" s="4"/>
      <c r="K76" s="4"/>
      <c r="L76" s="4"/>
      <c r="M76" s="4"/>
      <c r="N76" s="4"/>
      <c r="O76" s="4"/>
      <c r="P76" s="225"/>
    </row>
    <row r="77" spans="1:18" x14ac:dyDescent="0.35">
      <c r="A77" s="226" t="s">
        <v>449</v>
      </c>
      <c r="B77" s="227" t="s">
        <v>446</v>
      </c>
      <c r="C77" s="227" t="s">
        <v>133</v>
      </c>
      <c r="D77" s="227" t="s">
        <v>450</v>
      </c>
      <c r="E77" s="228">
        <f>SUM(F77:P77)</f>
        <v>6.732045566157569E-4</v>
      </c>
      <c r="F77" s="228">
        <f>$C$92*(AVERAGE(F59,F65,F71))/$C$91</f>
        <v>1.946970439026595E-4</v>
      </c>
      <c r="G77" s="228">
        <f>$C$92*(AVERAGE(G59,G65,G71))/$C$91</f>
        <v>5.3103448275862083E-7</v>
      </c>
      <c r="H77" s="235">
        <f>$C$92*(AVERAGE(H59,H65,H71))/$C$91</f>
        <v>4.2751561806777074E-4</v>
      </c>
      <c r="I77" s="229">
        <f>$C$92*(AVERAGE(I59,I65,I71))/$C$91</f>
        <v>4.2751561806777089E-5</v>
      </c>
      <c r="J77" s="228">
        <f>$C$92*(AVERAGE(J59,J65,J71))/$C$91</f>
        <v>6.6339607025480414E-7</v>
      </c>
      <c r="K77" s="228"/>
      <c r="L77" s="228">
        <f>$C$92*(AVERAGE(L59,L65,L71))/$C$91</f>
        <v>7.9511067188965511E-9</v>
      </c>
      <c r="M77" s="228">
        <f>$C$92*(AVERAGE(M59,M65,M71))/$C$91</f>
        <v>1.2789681892721844E-6</v>
      </c>
      <c r="N77" s="228"/>
      <c r="O77" s="228">
        <f>C92*(C95*AVERAGE(EF_el_N2O_FR,EF_el_N2O_DE,EF_el_N2O_PL)+C96*EF_biofuel_N2O)</f>
        <v>3.9312802868423825E-6</v>
      </c>
      <c r="P77" s="230">
        <f>0.541/1000/296</f>
        <v>1.8277027027027027E-6</v>
      </c>
      <c r="R77" t="s">
        <v>453</v>
      </c>
    </row>
    <row r="80" spans="1:18" ht="18.5" x14ac:dyDescent="0.45">
      <c r="A80" s="1" t="s">
        <v>429</v>
      </c>
    </row>
    <row r="82" spans="1:18" x14ac:dyDescent="0.35">
      <c r="A82" s="149" t="s">
        <v>358</v>
      </c>
      <c r="B82" s="150"/>
      <c r="C82" s="150"/>
      <c r="D82" s="150"/>
      <c r="E82" s="150"/>
      <c r="F82" s="151" t="s">
        <v>50</v>
      </c>
      <c r="G82" s="151" t="s">
        <v>384</v>
      </c>
      <c r="H82" s="151" t="s">
        <v>52</v>
      </c>
      <c r="I82" s="151" t="s">
        <v>53</v>
      </c>
      <c r="J82" s="152" t="s">
        <v>54</v>
      </c>
      <c r="K82" s="152" t="s">
        <v>55</v>
      </c>
      <c r="L82" s="152" t="s">
        <v>56</v>
      </c>
      <c r="M82" s="231"/>
      <c r="N82" s="232"/>
      <c r="O82" s="232"/>
      <c r="P82" s="233"/>
    </row>
    <row r="83" spans="1:18" ht="43.5" x14ac:dyDescent="0.35">
      <c r="A83" s="154" t="s">
        <v>60</v>
      </c>
      <c r="B83" s="154" t="s">
        <v>358</v>
      </c>
      <c r="C83" s="154" t="s">
        <v>360</v>
      </c>
      <c r="D83" s="154" t="s">
        <v>63</v>
      </c>
      <c r="E83" s="140" t="s">
        <v>64</v>
      </c>
      <c r="F83" s="162" t="s">
        <v>71</v>
      </c>
      <c r="G83" s="162" t="s">
        <v>385</v>
      </c>
      <c r="H83" s="162" t="s">
        <v>386</v>
      </c>
      <c r="I83" s="163" t="s">
        <v>74</v>
      </c>
      <c r="J83" s="164" t="s">
        <v>75</v>
      </c>
      <c r="K83" s="165" t="s">
        <v>76</v>
      </c>
      <c r="L83" s="165" t="s">
        <v>77</v>
      </c>
      <c r="M83" s="232"/>
    </row>
    <row r="84" spans="1:18" x14ac:dyDescent="0.35">
      <c r="A84" s="224" t="s">
        <v>449</v>
      </c>
      <c r="B84" t="s">
        <v>448</v>
      </c>
      <c r="C84" s="16" t="s">
        <v>433</v>
      </c>
      <c r="D84" t="s">
        <v>36</v>
      </c>
      <c r="E84" t="s">
        <v>84</v>
      </c>
      <c r="F84">
        <v>3.05041729708624</v>
      </c>
      <c r="G84">
        <v>4.7160731472569703E-2</v>
      </c>
      <c r="H84">
        <v>5.13314084055181E-3</v>
      </c>
      <c r="I84">
        <v>5.0398432162958003E-3</v>
      </c>
      <c r="J84">
        <v>0.66988842289432105</v>
      </c>
      <c r="K84" s="47">
        <v>3.6670410199158097E-11</v>
      </c>
      <c r="L84">
        <v>2.86711793285263E-3</v>
      </c>
      <c r="N84" t="s">
        <v>473</v>
      </c>
    </row>
    <row r="85" spans="1:18" x14ac:dyDescent="0.35">
      <c r="A85" s="224" t="s">
        <v>449</v>
      </c>
      <c r="B85" t="s">
        <v>448</v>
      </c>
      <c r="C85" s="16" t="s">
        <v>433</v>
      </c>
      <c r="D85" t="s">
        <v>33</v>
      </c>
      <c r="E85" t="s">
        <v>85</v>
      </c>
      <c r="F85">
        <v>2.9846291598268899</v>
      </c>
      <c r="G85">
        <v>4.7160731472569703E-2</v>
      </c>
      <c r="H85">
        <v>5.13314084055181E-3</v>
      </c>
      <c r="I85">
        <v>0</v>
      </c>
      <c r="J85">
        <v>0.49457909998667898</v>
      </c>
      <c r="K85" s="47">
        <v>2.7374708977573999E-11</v>
      </c>
      <c r="L85">
        <v>2.86711793285263E-3</v>
      </c>
      <c r="N85" t="s">
        <v>474</v>
      </c>
    </row>
    <row r="86" spans="1:18" x14ac:dyDescent="0.35">
      <c r="A86" s="224" t="s">
        <v>449</v>
      </c>
      <c r="B86" t="s">
        <v>448</v>
      </c>
      <c r="C86" s="16" t="s">
        <v>433</v>
      </c>
      <c r="D86" t="s">
        <v>30</v>
      </c>
      <c r="E86" t="s">
        <v>91</v>
      </c>
      <c r="F86">
        <v>3.5333691381405901</v>
      </c>
      <c r="G86">
        <v>4.7160731472569703E-2</v>
      </c>
      <c r="H86">
        <v>5.13314084055181E-3</v>
      </c>
      <c r="I86">
        <v>0</v>
      </c>
      <c r="J86">
        <v>0.66057946682741997</v>
      </c>
      <c r="K86" s="47">
        <v>1.40747179424791E-11</v>
      </c>
      <c r="L86">
        <v>2.86711793285263E-3</v>
      </c>
    </row>
    <row r="88" spans="1:18" x14ac:dyDescent="0.35">
      <c r="A88" s="286" t="s">
        <v>449</v>
      </c>
      <c r="B88" s="282" t="s">
        <v>446</v>
      </c>
      <c r="C88" s="282" t="s">
        <v>433</v>
      </c>
      <c r="D88" s="282" t="s">
        <v>450</v>
      </c>
      <c r="E88" s="282"/>
      <c r="F88" s="283">
        <f>$C$92*AVERAGE(F84:F86)/$C$91</f>
        <v>1.5397450382845068</v>
      </c>
      <c r="G88" s="283">
        <f t="shared" ref="G88:L88" si="8">$C$92*AVERAGE(G84:G86)/$C$91</f>
        <v>2.276724967641296E-2</v>
      </c>
      <c r="H88" s="284">
        <f t="shared" si="8"/>
        <v>2.4780679919905292E-3</v>
      </c>
      <c r="I88" s="284">
        <f t="shared" si="8"/>
        <v>8.1100925319702543E-4</v>
      </c>
      <c r="J88" s="283">
        <f t="shared" si="8"/>
        <v>0.29368572248181479</v>
      </c>
      <c r="K88" s="285">
        <f t="shared" si="8"/>
        <v>1.2571008272056975E-11</v>
      </c>
      <c r="L88" s="285">
        <f t="shared" si="8"/>
        <v>1.3841258986185109E-3</v>
      </c>
    </row>
    <row r="90" spans="1:18" x14ac:dyDescent="0.35">
      <c r="A90" s="110" t="s">
        <v>454</v>
      </c>
      <c r="B90" s="110"/>
      <c r="C90" s="110"/>
      <c r="D90" s="110"/>
      <c r="E90" s="110"/>
      <c r="F90" s="110"/>
      <c r="G90" s="110"/>
      <c r="H90" s="110"/>
      <c r="I90" s="110"/>
      <c r="J90" s="110"/>
      <c r="K90" s="110"/>
      <c r="L90" s="110"/>
      <c r="M90" s="110"/>
      <c r="N90" s="110"/>
      <c r="O90" s="110"/>
      <c r="P90" s="110"/>
    </row>
    <row r="91" spans="1:18" x14ac:dyDescent="0.35">
      <c r="A91" t="s">
        <v>455</v>
      </c>
      <c r="C91">
        <v>0.57999999999999996</v>
      </c>
      <c r="R91" t="s">
        <v>442</v>
      </c>
    </row>
    <row r="92" spans="1:18" x14ac:dyDescent="0.35">
      <c r="A92" t="s">
        <v>437</v>
      </c>
      <c r="C92">
        <v>0.28000000000000003</v>
      </c>
      <c r="R92" t="s">
        <v>442</v>
      </c>
    </row>
    <row r="94" spans="1:18" x14ac:dyDescent="0.35">
      <c r="A94" t="s">
        <v>438</v>
      </c>
    </row>
    <row r="95" spans="1:18" x14ac:dyDescent="0.35">
      <c r="A95" t="s">
        <v>439</v>
      </c>
      <c r="C95" s="11">
        <f>0.918*I43</f>
        <v>0.13379104477611942</v>
      </c>
      <c r="D95" t="s">
        <v>456</v>
      </c>
      <c r="R95" t="s">
        <v>457</v>
      </c>
    </row>
    <row r="96" spans="1:18" x14ac:dyDescent="0.35">
      <c r="A96" t="s">
        <v>443</v>
      </c>
      <c r="C96" s="11">
        <f>0.918*(1-I43)</f>
        <v>0.78420895522388057</v>
      </c>
      <c r="D96" t="s">
        <v>456</v>
      </c>
    </row>
    <row r="98" spans="1:18" x14ac:dyDescent="0.35">
      <c r="A98" t="s">
        <v>458</v>
      </c>
      <c r="R98" t="s">
        <v>459</v>
      </c>
    </row>
    <row r="100" spans="1:18" x14ac:dyDescent="0.35">
      <c r="A100" s="110" t="s">
        <v>460</v>
      </c>
      <c r="B100" s="110"/>
      <c r="C100" s="110"/>
      <c r="D100" s="110"/>
      <c r="E100" s="110"/>
      <c r="F100" s="110"/>
      <c r="G100" s="110"/>
      <c r="H100" s="110"/>
      <c r="I100" s="110"/>
      <c r="J100" s="110"/>
      <c r="K100" s="110"/>
      <c r="L100" s="110"/>
      <c r="M100" s="110"/>
      <c r="N100" s="110"/>
      <c r="O100" s="110"/>
      <c r="P100" s="110"/>
    </row>
    <row r="102" spans="1:18" x14ac:dyDescent="0.35">
      <c r="B102" t="s">
        <v>461</v>
      </c>
      <c r="C102" t="s">
        <v>442</v>
      </c>
    </row>
    <row r="103" spans="1:18" x14ac:dyDescent="0.35">
      <c r="A103" t="s">
        <v>462</v>
      </c>
      <c r="B103" s="4">
        <f>SUM(F73:M73)</f>
        <v>0.37608333869576438</v>
      </c>
      <c r="C103" s="4">
        <f>(0.511+2.7+265+117)/1000</f>
        <v>0.38521100000000003</v>
      </c>
      <c r="D103" t="s">
        <v>463</v>
      </c>
    </row>
    <row r="104" spans="1:18" x14ac:dyDescent="0.35">
      <c r="A104" t="s">
        <v>464</v>
      </c>
      <c r="B104" s="4">
        <f>O73</f>
        <v>2.3613703053907385E-2</v>
      </c>
      <c r="C104" s="4">
        <f>(0.401+0.181+0.289+8)/1000</f>
        <v>8.8710000000000004E-3</v>
      </c>
      <c r="D104" t="s">
        <v>465</v>
      </c>
    </row>
    <row r="105" spans="1:18" x14ac:dyDescent="0.35">
      <c r="A105" t="s">
        <v>466</v>
      </c>
      <c r="B105" s="4">
        <f>P73</f>
        <v>6.6342093272620445E-2</v>
      </c>
      <c r="C105" s="4">
        <f>(1.15+2.04+0.541+63.2)/1000</f>
        <v>6.6930999999999991E-2</v>
      </c>
      <c r="D105" t="s">
        <v>467</v>
      </c>
    </row>
    <row r="106" spans="1:18" x14ac:dyDescent="0.35">
      <c r="A106" s="167" t="s">
        <v>225</v>
      </c>
      <c r="B106" s="236">
        <f>SUM(B103:B105)</f>
        <v>0.46603913502229222</v>
      </c>
      <c r="C106" s="236">
        <f>SUM(C103:C105)</f>
        <v>0.46101300000000001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AB488-BA40-4867-B62B-8C1FC22AF370}">
  <sheetPr>
    <tabColor theme="9"/>
  </sheetPr>
  <dimension ref="A2:A7"/>
  <sheetViews>
    <sheetView workbookViewId="0">
      <selection activeCell="A4" sqref="A4"/>
    </sheetView>
  </sheetViews>
  <sheetFormatPr defaultColWidth="8.90625" defaultRowHeight="14.5" x14ac:dyDescent="0.35"/>
  <sheetData>
    <row r="2" spans="1:1" ht="21" x14ac:dyDescent="0.5">
      <c r="A2" s="2" t="s">
        <v>468</v>
      </c>
    </row>
    <row r="4" spans="1:1" x14ac:dyDescent="0.35">
      <c r="A4" t="s">
        <v>469</v>
      </c>
    </row>
    <row r="5" spans="1:1" x14ac:dyDescent="0.35">
      <c r="A5" t="s">
        <v>470</v>
      </c>
    </row>
    <row r="6" spans="1:1" x14ac:dyDescent="0.35">
      <c r="A6" t="s">
        <v>471</v>
      </c>
    </row>
    <row r="7" spans="1:1" x14ac:dyDescent="0.35">
      <c r="A7" t="s">
        <v>472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C14542-2642-452A-849B-1DD08CED073B}">
  <ds:schemaRefs>
    <ds:schemaRef ds:uri="http://schemas.microsoft.com/office/2006/metadata/properties"/>
    <ds:schemaRef ds:uri="http://schemas.microsoft.com/office/infopath/2007/PartnerControls"/>
    <ds:schemaRef ds:uri="20b5f8f8-e964-4ea5-9bc5-5fa83731a92f"/>
  </ds:schemaRefs>
</ds:datastoreItem>
</file>

<file path=customXml/itemProps2.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AA8BD2-4DFD-46C4-AB5A-9922D802D0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Kalkylblad</vt:lpstr>
      </vt:variant>
      <vt:variant>
        <vt:i4>15</vt:i4>
      </vt:variant>
      <vt:variant>
        <vt:lpstr>Namngivna områden</vt:lpstr>
      </vt:variant>
      <vt:variant>
        <vt:i4>284</vt:i4>
      </vt:variant>
    </vt:vector>
  </HeadingPairs>
  <TitlesOfParts>
    <vt:vector size="299" baseType="lpstr">
      <vt:lpstr>README</vt:lpstr>
      <vt:lpstr>Figures</vt:lpstr>
      <vt:lpstr>Footprints, per kg egg</vt:lpstr>
      <vt:lpstr>GHG det, per kg egg</vt:lpstr>
      <vt:lpstr>Production</vt:lpstr>
      <vt:lpstr>Parameters, country spec</vt:lpstr>
      <vt:lpstr>Egg yield</vt:lpstr>
      <vt:lpstr>Manure</vt:lpstr>
      <vt:lpstr>CO2 per kg feed</vt:lpstr>
      <vt:lpstr>CH4 per kg feed</vt:lpstr>
      <vt:lpstr>N2O per kg feed</vt:lpstr>
      <vt:lpstr>EFP per kg feed</vt:lpstr>
      <vt:lpstr>Parameters, general</vt:lpstr>
      <vt:lpstr>Off-farm feed</vt:lpstr>
      <vt:lpstr>References</vt:lpstr>
      <vt:lpstr>Ability_to_perceive_handling</vt:lpstr>
      <vt:lpstr>Bonefree_outof_CW_DE</vt:lpstr>
      <vt:lpstr>Bonefree_outof_CW_DK</vt:lpstr>
      <vt:lpstr>Bonefree_outof_CW_ES</vt:lpstr>
      <vt:lpstr>Bonefree_outof_CW_FR</vt:lpstr>
      <vt:lpstr>Bonefree_outof_CW_GR</vt:lpstr>
      <vt:lpstr>Bonefree_outof_CW_HU</vt:lpstr>
      <vt:lpstr>Bonefree_outof_CW_IE</vt:lpstr>
      <vt:lpstr>Bonefree_outof_CW_IT</vt:lpstr>
      <vt:lpstr>Bonefree_outof_CW_NL</vt:lpstr>
      <vt:lpstr>Bonefree_outof_CW_PL</vt:lpstr>
      <vt:lpstr>Bonefree_outof_CW_SE</vt:lpstr>
      <vt:lpstr>CF_GWP_CH4_fossil</vt:lpstr>
      <vt:lpstr>CF_GWP_N2O</vt:lpstr>
      <vt:lpstr>EF_biofuel_CH4</vt:lpstr>
      <vt:lpstr>EF_biofuel_N2O</vt:lpstr>
      <vt:lpstr>EF_biofuels_CO2</vt:lpstr>
      <vt:lpstr>EF_el_CH4_BR</vt:lpstr>
      <vt:lpstr>EF_el_CH4_DE</vt:lpstr>
      <vt:lpstr>EF_el_CH4_DK</vt:lpstr>
      <vt:lpstr>EF_el_CH4_ES</vt:lpstr>
      <vt:lpstr>EF_el_CH4_FR</vt:lpstr>
      <vt:lpstr>EF_el_CH4_GR</vt:lpstr>
      <vt:lpstr>EF_el_CH4_HU</vt:lpstr>
      <vt:lpstr>EF_el_CH4_IE</vt:lpstr>
      <vt:lpstr>EF_el_CH4_IT</vt:lpstr>
      <vt:lpstr>EF_el_CH4_NL</vt:lpstr>
      <vt:lpstr>EF_el_CH4_PL</vt:lpstr>
      <vt:lpstr>EF_el_CH4_SE</vt:lpstr>
      <vt:lpstr>EF_el_CO2_BR</vt:lpstr>
      <vt:lpstr>EF_el_CO2_DE</vt:lpstr>
      <vt:lpstr>EF_el_CO2_DK</vt:lpstr>
      <vt:lpstr>EF_el_CO2_ES</vt:lpstr>
      <vt:lpstr>EF_el_CO2_FR</vt:lpstr>
      <vt:lpstr>EF_el_CO2_GR</vt:lpstr>
      <vt:lpstr>EF_el_CO2_HU</vt:lpstr>
      <vt:lpstr>EF_el_CO2_IE</vt:lpstr>
      <vt:lpstr>EF_el_CO2_IT</vt:lpstr>
      <vt:lpstr>EF_el_CO2_NL</vt:lpstr>
      <vt:lpstr>EF_el_CO2_PL</vt:lpstr>
      <vt:lpstr>EF_el_CO2_SE</vt:lpstr>
      <vt:lpstr>EF_el_N2O_BR</vt:lpstr>
      <vt:lpstr>EF_el_N2O_DE</vt:lpstr>
      <vt:lpstr>EF_el_N2O_DK</vt:lpstr>
      <vt:lpstr>EF_el_N2O_ES</vt:lpstr>
      <vt:lpstr>EF_el_N2O_FR</vt:lpstr>
      <vt:lpstr>EF_el_N2O_GR</vt:lpstr>
      <vt:lpstr>EF_el_N2O_HU</vt:lpstr>
      <vt:lpstr>EF_el_N2O_IE</vt:lpstr>
      <vt:lpstr>EF_el_N2O_IT</vt:lpstr>
      <vt:lpstr>EF_el_N2O_NL</vt:lpstr>
      <vt:lpstr>EF_el_N2O_PL</vt:lpstr>
      <vt:lpstr>EF_el_N2O_SE</vt:lpstr>
      <vt:lpstr>EF_electricity</vt:lpstr>
      <vt:lpstr>EF_gas_CH4</vt:lpstr>
      <vt:lpstr>EF_gas_CO2</vt:lpstr>
      <vt:lpstr>EF_gas_N2O</vt:lpstr>
      <vt:lpstr>EF_indirect_N2O_DE</vt:lpstr>
      <vt:lpstr>EF_indirect_N2O_DK</vt:lpstr>
      <vt:lpstr>EF_indirect_N2O_ES</vt:lpstr>
      <vt:lpstr>EF_indirect_N2O_FR</vt:lpstr>
      <vt:lpstr>EF_indirect_N2O_GR</vt:lpstr>
      <vt:lpstr>EF_indirect_N2O_HU</vt:lpstr>
      <vt:lpstr>EF_indirect_N2O_IE</vt:lpstr>
      <vt:lpstr>EF_indirect_N2O_IT</vt:lpstr>
      <vt:lpstr>EF_indirect_N2O_NL</vt:lpstr>
      <vt:lpstr>EF_indirect_N2O_PL</vt:lpstr>
      <vt:lpstr>EF_indirect_N2O_SE</vt:lpstr>
      <vt:lpstr>EF_min_fert_AN_CH4</vt:lpstr>
      <vt:lpstr>EF_min_fert_AN_CO2</vt:lpstr>
      <vt:lpstr>EF_min_fert_AN_N2O</vt:lpstr>
      <vt:lpstr>EF_min_fert_BAT_CH4</vt:lpstr>
      <vt:lpstr>EF_min_fert_BAT_CO2</vt:lpstr>
      <vt:lpstr>EF_min_fert_BAT_N2O</vt:lpstr>
      <vt:lpstr>EF_min_fert_CH4_DE</vt:lpstr>
      <vt:lpstr>EF_min_fert_CH4_DK</vt:lpstr>
      <vt:lpstr>EF_min_fert_CH4_ES</vt:lpstr>
      <vt:lpstr>EF_min_fert_CH4_FR</vt:lpstr>
      <vt:lpstr>EF_min_fert_CH4_GR</vt:lpstr>
      <vt:lpstr>EF_min_fert_CH4_HU</vt:lpstr>
      <vt:lpstr>EF_min_fert_CH4_IE</vt:lpstr>
      <vt:lpstr>EF_min_fert_CH4_IT</vt:lpstr>
      <vt:lpstr>EF_min_fert_CH4_NL</vt:lpstr>
      <vt:lpstr>EF_min_fert_CH4_PL</vt:lpstr>
      <vt:lpstr>EF_min_fert_CH4_SE</vt:lpstr>
      <vt:lpstr>EF_min_fert_CO2_DE</vt:lpstr>
      <vt:lpstr>EF_min_fert_CO2_DK</vt:lpstr>
      <vt:lpstr>EF_min_fert_CO2_ES</vt:lpstr>
      <vt:lpstr>EF_min_fert_CO2_FR</vt:lpstr>
      <vt:lpstr>EF_min_fert_CO2_GR</vt:lpstr>
      <vt:lpstr>EF_min_fert_CO2_HU</vt:lpstr>
      <vt:lpstr>EF_min_fert_CO2_IE</vt:lpstr>
      <vt:lpstr>EF_min_fert_CO2_IT</vt:lpstr>
      <vt:lpstr>EF_min_fert_CO2_NL</vt:lpstr>
      <vt:lpstr>EF_min_fert_CO2_PL</vt:lpstr>
      <vt:lpstr>EF_min_fert_CO2_SE</vt:lpstr>
      <vt:lpstr>EF_min_fert_N2O_DE</vt:lpstr>
      <vt:lpstr>EF_min_fert_N2O_DK</vt:lpstr>
      <vt:lpstr>EF_min_fert_N2O_ES</vt:lpstr>
      <vt:lpstr>EF_min_fert_N2O_FR</vt:lpstr>
      <vt:lpstr>EF_min_fert_N2O_GR</vt:lpstr>
      <vt:lpstr>EF_min_fert_N2O_HU</vt:lpstr>
      <vt:lpstr>EF_min_fert_N2O_IE</vt:lpstr>
      <vt:lpstr>EF_min_fert_N2O_IT</vt:lpstr>
      <vt:lpstr>EF_min_fert_N2O_NL</vt:lpstr>
      <vt:lpstr>EF_min_fert_N2O_PL</vt:lpstr>
      <vt:lpstr>EF_min_fert_N2O_SE</vt:lpstr>
      <vt:lpstr>EF_N2O_diff_DE</vt:lpstr>
      <vt:lpstr>EF_N2O_diff_DK</vt:lpstr>
      <vt:lpstr>EF_N2O_diff_ES</vt:lpstr>
      <vt:lpstr>EF_N2O_diff_FR</vt:lpstr>
      <vt:lpstr>EF_N2O_diff_GR</vt:lpstr>
      <vt:lpstr>EF_N2O_diff_HU</vt:lpstr>
      <vt:lpstr>EF_N2O_diff_IE</vt:lpstr>
      <vt:lpstr>EF_N2O_diff_IT</vt:lpstr>
      <vt:lpstr>EF_N2O_diff_NL</vt:lpstr>
      <vt:lpstr>EF_N2O_diff_PL</vt:lpstr>
      <vt:lpstr>EF_N2O_diff_SE</vt:lpstr>
      <vt:lpstr>EF_oil_CH4</vt:lpstr>
      <vt:lpstr>EF_oil_CO2</vt:lpstr>
      <vt:lpstr>EF_oil_N2O</vt:lpstr>
      <vt:lpstr>Energy_slaughter_el_DE</vt:lpstr>
      <vt:lpstr>Energy_slaughter_el_DK</vt:lpstr>
      <vt:lpstr>Energy_slaughter_el_ES</vt:lpstr>
      <vt:lpstr>Energy_slaughter_el_FR</vt:lpstr>
      <vt:lpstr>Energy_slaughter_el_GR</vt:lpstr>
      <vt:lpstr>Energy_slaughter_el_HU</vt:lpstr>
      <vt:lpstr>Energy_slaughter_el_IE</vt:lpstr>
      <vt:lpstr>Energy_slaughter_el_IT</vt:lpstr>
      <vt:lpstr>Energy_slaughter_el_NL</vt:lpstr>
      <vt:lpstr>Energy_slaughter_el_PL</vt:lpstr>
      <vt:lpstr>Energy_slaughter_el_SE</vt:lpstr>
      <vt:lpstr>Energy_slaughter_heat_DE</vt:lpstr>
      <vt:lpstr>Energy_slaughter_heat_DK</vt:lpstr>
      <vt:lpstr>Energy_slaughter_heat_ES</vt:lpstr>
      <vt:lpstr>Energy_slaughter_heat_FR</vt:lpstr>
      <vt:lpstr>Energy_slaughter_heat_GR</vt:lpstr>
      <vt:lpstr>Energy_slaughter_heat_HU</vt:lpstr>
      <vt:lpstr>Energy_slaughter_heat_IE</vt:lpstr>
      <vt:lpstr>Energy_slaughter_heat_IT</vt:lpstr>
      <vt:lpstr>Energy_slaughter_heat_NL</vt:lpstr>
      <vt:lpstr>Energy_slaughter_heat_PL</vt:lpstr>
      <vt:lpstr>Energy_slaughter_heat_SE</vt:lpstr>
      <vt:lpstr>Energy_stables_DE</vt:lpstr>
      <vt:lpstr>Energy_stables_DK</vt:lpstr>
      <vt:lpstr>Energy_stables_ES</vt:lpstr>
      <vt:lpstr>Energy_stables_FR</vt:lpstr>
      <vt:lpstr>Energy_stables_GR</vt:lpstr>
      <vt:lpstr>Energy_stables_HU</vt:lpstr>
      <vt:lpstr>Energy_stables_IE</vt:lpstr>
      <vt:lpstr>Energy_stables_IT</vt:lpstr>
      <vt:lpstr>Energy_stables_NL</vt:lpstr>
      <vt:lpstr>Energy_stables_PL</vt:lpstr>
      <vt:lpstr>Energy_stables_SE</vt:lpstr>
      <vt:lpstr>Excreted_N_after_losses_DE</vt:lpstr>
      <vt:lpstr>Excreted_N_after_losses_DK</vt:lpstr>
      <vt:lpstr>Excreted_N_after_losses_ES</vt:lpstr>
      <vt:lpstr>Excreted_N_after_losses_FR</vt:lpstr>
      <vt:lpstr>Excreted_N_after_losses_GR</vt:lpstr>
      <vt:lpstr>Excreted_N_after_losses_HU</vt:lpstr>
      <vt:lpstr>Excreted_N_after_losses_IE</vt:lpstr>
      <vt:lpstr>Excreted_N_after_losses_IT</vt:lpstr>
      <vt:lpstr>Excreted_N_after_losses_NL</vt:lpstr>
      <vt:lpstr>Excreted_N_after_losses_PL</vt:lpstr>
      <vt:lpstr>Excreted_N_after_losses_SE</vt:lpstr>
      <vt:lpstr>FCR_bonefree_incl_parents_DE</vt:lpstr>
      <vt:lpstr>FCR_bonefree_incl_parents_DK</vt:lpstr>
      <vt:lpstr>FCR_bonefree_incl_parents_ES</vt:lpstr>
      <vt:lpstr>FCR_bonefree_incl_parents_FR</vt:lpstr>
      <vt:lpstr>FCR_bonefree_incl_parents_GR</vt:lpstr>
      <vt:lpstr>FCR_bonefree_incl_parents_HU</vt:lpstr>
      <vt:lpstr>FCR_bonefree_incl_parents_IE</vt:lpstr>
      <vt:lpstr>FCR_bonefree_incl_parents_IT</vt:lpstr>
      <vt:lpstr>FCR_bonefree_incl_parents_NL</vt:lpstr>
      <vt:lpstr>FCR_bonefree_incl_parents_PL</vt:lpstr>
      <vt:lpstr>FCR_bonefree_incl_parents_SE</vt:lpstr>
      <vt:lpstr>GRAT</vt:lpstr>
      <vt:lpstr>L_DE</vt:lpstr>
      <vt:lpstr>Manure_repl_factor_DE</vt:lpstr>
      <vt:lpstr>Manure_repl_factor_DK</vt:lpstr>
      <vt:lpstr>Manure_repl_factor_ES</vt:lpstr>
      <vt:lpstr>Manure_repl_factor_FR</vt:lpstr>
      <vt:lpstr>Manure_repl_factor_GR</vt:lpstr>
      <vt:lpstr>Manure_repl_factor_HU</vt:lpstr>
      <vt:lpstr>Manure_repl_factor_IE</vt:lpstr>
      <vt:lpstr>Manure_repl_factor_IT</vt:lpstr>
      <vt:lpstr>Manure_repl_factor_NL</vt:lpstr>
      <vt:lpstr>Manure_repl_factor_PL</vt:lpstr>
      <vt:lpstr>Manure_repl_factor_SE</vt:lpstr>
      <vt:lpstr>NH3_per_kg_DE</vt:lpstr>
      <vt:lpstr>NH3_per_kg_DK</vt:lpstr>
      <vt:lpstr>NH3_per_kg_ES</vt:lpstr>
      <vt:lpstr>NH3_per_kg_FR</vt:lpstr>
      <vt:lpstr>NH3_per_kg_GR</vt:lpstr>
      <vt:lpstr>NH3_per_kg_HU</vt:lpstr>
      <vt:lpstr>NH3_per_kg_IE</vt:lpstr>
      <vt:lpstr>NH3_per_kg_IT</vt:lpstr>
      <vt:lpstr>NH3_per_kg_NL</vt:lpstr>
      <vt:lpstr>NH3_per_kg_PL</vt:lpstr>
      <vt:lpstr>NH3_per_kg_SE</vt:lpstr>
      <vt:lpstr>No_laying_hens_DE</vt:lpstr>
      <vt:lpstr>No_laying_hens_DK</vt:lpstr>
      <vt:lpstr>No_laying_hens_ES</vt:lpstr>
      <vt:lpstr>No_laying_hens_FR</vt:lpstr>
      <vt:lpstr>No_laying_hens_GR</vt:lpstr>
      <vt:lpstr>No_laying_hens_HU</vt:lpstr>
      <vt:lpstr>No_laying_hens_IE</vt:lpstr>
      <vt:lpstr>No_laying_hens_IT</vt:lpstr>
      <vt:lpstr>No_laying_hens_NL</vt:lpstr>
      <vt:lpstr>No_laying_hens_PL</vt:lpstr>
      <vt:lpstr>No_laying_hens_SE</vt:lpstr>
      <vt:lpstr>Share_biofuels_DE</vt:lpstr>
      <vt:lpstr>Share_biofuels_DK</vt:lpstr>
      <vt:lpstr>Share_biofuels_ES</vt:lpstr>
      <vt:lpstr>Share_biofuels_FR</vt:lpstr>
      <vt:lpstr>Share_biofuels_GR</vt:lpstr>
      <vt:lpstr>Share_biofuels_HU</vt:lpstr>
      <vt:lpstr>Share_biofuels_IE</vt:lpstr>
      <vt:lpstr>Share_biofuels_IT</vt:lpstr>
      <vt:lpstr>Share_biofuels_NL</vt:lpstr>
      <vt:lpstr>Share_biofuels_PL</vt:lpstr>
      <vt:lpstr>Share_biofuels_SE</vt:lpstr>
      <vt:lpstr>Share_heating_DE</vt:lpstr>
      <vt:lpstr>Share_heating_DK</vt:lpstr>
      <vt:lpstr>Share_heating_ES</vt:lpstr>
      <vt:lpstr>Share_heating_FR</vt:lpstr>
      <vt:lpstr>Share_heating_GR</vt:lpstr>
      <vt:lpstr>Share_heating_HU</vt:lpstr>
      <vt:lpstr>Share_heating_IE</vt:lpstr>
      <vt:lpstr>Share_heating_IT</vt:lpstr>
      <vt:lpstr>Share_heating_NL</vt:lpstr>
      <vt:lpstr>Share_heating_PL</vt:lpstr>
      <vt:lpstr>Share_heating_SE</vt:lpstr>
      <vt:lpstr>Slaughter_duration_class</vt:lpstr>
      <vt:lpstr>Water_drinking_hens_DE</vt:lpstr>
      <vt:lpstr>Water_drinking_hens_DK</vt:lpstr>
      <vt:lpstr>Water_drinking_hens_ES</vt:lpstr>
      <vt:lpstr>Water_drinking_hens_FR</vt:lpstr>
      <vt:lpstr>Water_drinking_hens_GR</vt:lpstr>
      <vt:lpstr>Water_drinking_hens_HU</vt:lpstr>
      <vt:lpstr>Water_drinking_hens_IE</vt:lpstr>
      <vt:lpstr>Water_drinking_hens_IT</vt:lpstr>
      <vt:lpstr>Water_drinking_hens_NL</vt:lpstr>
      <vt:lpstr>Water_drinking_hens_PL</vt:lpstr>
      <vt:lpstr>Water_drinking_hens_SE</vt:lpstr>
      <vt:lpstr>Water_drinking_recruit_DE</vt:lpstr>
      <vt:lpstr>Water_drinking_recruit_DK</vt:lpstr>
      <vt:lpstr>Water_drinking_recruit_ES</vt:lpstr>
      <vt:lpstr>Water_drinking_recruit_FR</vt:lpstr>
      <vt:lpstr>Water_drinking_recruit_GR</vt:lpstr>
      <vt:lpstr>Water_drinking_recruit_HU</vt:lpstr>
      <vt:lpstr>Water_drinking_recruit_IE</vt:lpstr>
      <vt:lpstr>Water_drinking_recruit_IT</vt:lpstr>
      <vt:lpstr>Water_drinking_recruit_NL</vt:lpstr>
      <vt:lpstr>Water_drinking_recruit_PL</vt:lpstr>
      <vt:lpstr>Water_drinking_recruit_SE</vt:lpstr>
      <vt:lpstr>Water_service_hens_DE</vt:lpstr>
      <vt:lpstr>Water_service_hens_DK</vt:lpstr>
      <vt:lpstr>Water_service_hens_ES</vt:lpstr>
      <vt:lpstr>Water_service_hens_FR</vt:lpstr>
      <vt:lpstr>Water_service_hens_GR</vt:lpstr>
      <vt:lpstr>Water_service_hens_HU</vt:lpstr>
      <vt:lpstr>Water_service_hens_IE</vt:lpstr>
      <vt:lpstr>Water_service_hens_IT</vt:lpstr>
      <vt:lpstr>Water_service_hens_NL</vt:lpstr>
      <vt:lpstr>Water_service_hens_PL</vt:lpstr>
      <vt:lpstr>Water_service_hens_SE</vt:lpstr>
      <vt:lpstr>Water_service_recruit_DE</vt:lpstr>
      <vt:lpstr>Water_service_recruit_DK</vt:lpstr>
      <vt:lpstr>Water_service_recruit_ES</vt:lpstr>
      <vt:lpstr>Water_service_recruit_FR</vt:lpstr>
      <vt:lpstr>Water_service_recruit_GR</vt:lpstr>
      <vt:lpstr>Water_service_recruit_HU</vt:lpstr>
      <vt:lpstr>Water_service_recruit_IE</vt:lpstr>
      <vt:lpstr>Water_service_recruit_IT</vt:lpstr>
      <vt:lpstr>Water_service_recruit_NL</vt:lpstr>
      <vt:lpstr>Water_service_recruit_PL</vt:lpstr>
      <vt:lpstr>Water_service_recruit_SE</vt:lpstr>
      <vt:lpstr>Weight_ability_to_perceive_handling</vt:lpstr>
      <vt:lpstr>Weight_diseases</vt:lpstr>
      <vt:lpstr>Weight_mortality</vt:lpstr>
      <vt:lpstr>Weight_no_of_animal</vt:lpstr>
      <vt:lpstr>Weight_slaughter_duration_class</vt:lpstr>
      <vt:lpstr>Weight_space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Elin Röös</cp:lastModifiedBy>
  <cp:revision/>
  <dcterms:created xsi:type="dcterms:W3CDTF">2015-06-05T18:19:34Z</dcterms:created>
  <dcterms:modified xsi:type="dcterms:W3CDTF">2026-08-26T05:44:27Z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