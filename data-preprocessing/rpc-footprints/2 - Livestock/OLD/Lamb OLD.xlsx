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Env ass/Livestock/"/>
    </mc:Choice>
  </mc:AlternateContent>
  <xr:revisionPtr revIDLastSave="686" documentId="11_09BA258EDEF97A4B11A9FA457F2544DE673A65BC" xr6:coauthVersionLast="47" xr6:coauthVersionMax="47" xr10:uidLastSave="{CA4AE0F3-BCA8-434C-B75D-BBB53FF5A8FF}"/>
  <bookViews>
    <workbookView xWindow="-108" yWindow="-108" windowWidth="23256" windowHeight="12576" activeTab="2" xr2:uid="{00000000-000D-0000-FFFF-FFFF00000000}"/>
  </bookViews>
  <sheets>
    <sheet name="README" sheetId="18" r:id="rId1"/>
    <sheet name="Footprints, results per kg" sheetId="17" r:id="rId2"/>
    <sheet name="GHG detailed, results per kg" sheetId="13" r:id="rId3"/>
    <sheet name="Production" sheetId="23" r:id="rId4"/>
    <sheet name="Parameters, country spec" sheetId="4" r:id="rId5"/>
    <sheet name="Manure" sheetId="25" r:id="rId6"/>
    <sheet name="CO2 per kg feed" sheetId="2" r:id="rId7"/>
    <sheet name="CH4 per kg feed" sheetId="15" r:id="rId8"/>
    <sheet name="N2O per kg feed" sheetId="14" r:id="rId9"/>
    <sheet name="EFP per kg feed" sheetId="16" r:id="rId10"/>
    <sheet name="Parameters, general" sheetId="20" r:id="rId11"/>
    <sheet name="Processed feed" sheetId="19" r:id="rId12"/>
    <sheet name="Verification" sheetId="22" r:id="rId13"/>
    <sheet name="References" sheetId="21" r:id="rId14"/>
  </sheets>
  <definedNames>
    <definedName name="_xlnm._FilterDatabase" localSheetId="1" hidden="1">'Footprints, results per kg'!$D$6:$U$6</definedName>
    <definedName name="Ability_to_perceive_handling">'Parameters, general'!$B$19</definedName>
    <definedName name="BGBE">'Parameters, country spec'!#REF!</definedName>
    <definedName name="Boars_per_sow">'Parameters, country spec'!$L$17</definedName>
    <definedName name="Bonefree_outof_CW_AT">'Parameters, country spec'!#REF!</definedName>
    <definedName name="Bonefree_outof_CW_BE">'Parameters, country spec'!#REF!</definedName>
    <definedName name="Bonefree_outof_CW_BG">'Parameters, country spec'!#REF!</definedName>
    <definedName name="Bonefree_outof_CW_BR">'Parameters, country spec'!#REF!</definedName>
    <definedName name="Bonefree_outof_CW_CY">'Parameters, country spec'!#REF!</definedName>
    <definedName name="Bonefree_outof_CW_CZ">'Parameters, country spec'!#REF!</definedName>
    <definedName name="Bonefree_outof_CW_DE">'Parameters, country spec'!$D$8</definedName>
    <definedName name="Bonefree_outof_CW_DK">'Parameters, country spec'!$B$8</definedName>
    <definedName name="Bonefree_outof_CW_EE">'Parameters, country spec'!#REF!</definedName>
    <definedName name="Bonefree_outof_CW_ES">'Parameters, country spec'!$K$8</definedName>
    <definedName name="Bonefree_outof_CW_FI">'Parameters, country spec'!#REF!</definedName>
    <definedName name="Bonefree_outof_CW_FR">'Parameters, country spec'!$C$8</definedName>
    <definedName name="Bonefree_outof_CW_GB">'Parameters, country spec'!#REF!</definedName>
    <definedName name="Bonefree_outof_CW_GR">'Parameters, country spec'!$E$8</definedName>
    <definedName name="Bonefree_outof_CW_HR">'Parameters, country spec'!#REF!</definedName>
    <definedName name="Bonefree_outof_CW_HU">'Parameters, country spec'!$F$8</definedName>
    <definedName name="Bonefree_outof_CW_IE">'Parameters, country spec'!$G$8</definedName>
    <definedName name="Bonefree_outof_CW_IT">'Parameters, country spec'!$H$8</definedName>
    <definedName name="Bonefree_outof_CW_LT">'Parameters, country spec'!#REF!</definedName>
    <definedName name="Bonefree_outof_CW_LV">'Parameters, country spec'!#REF!</definedName>
    <definedName name="Bonefree_outof_CW_MT">'Parameters, country spec'!#REF!</definedName>
    <definedName name="Bonefree_outof_CW_NL">'Parameters, country spec'!$I$8</definedName>
    <definedName name="Bonefree_outof_CW_PL">'Parameters, country spec'!$J$8</definedName>
    <definedName name="Bonefree_outof_CW_PT">'Parameters, country spec'!#REF!</definedName>
    <definedName name="Bonefree_outof_CW_RO">'Parameters, country spec'!#REF!</definedName>
    <definedName name="Bonefree_outof_CW_SE">'Parameters, country spec'!$L$8</definedName>
    <definedName name="Bonefree_outof_CW_SI">'Parameters, country spec'!#REF!</definedName>
    <definedName name="Bonefree_outof_CW_SK">'Parameters, country spec'!#REF!</definedName>
    <definedName name="Bonefree_outof_CW_TH">'Parameters, country spec'!#REF!</definedName>
    <definedName name="Bonefree_outof_CW_US">'Parameters, country spec'!#REF!</definedName>
    <definedName name="CF_GWP_CH4_fossil">'Parameters, general'!$B$14</definedName>
    <definedName name="CF_GWP_N2O">'Parameters, general'!$B$15</definedName>
    <definedName name="CY">'Parameters, country spec'!#REF!</definedName>
    <definedName name="EF_ammonia_AT" localSheetId="5">Manure!#REF!</definedName>
    <definedName name="EF_ammonia_AT">#REF!</definedName>
    <definedName name="EF_ammonia_BE" localSheetId="5">Manure!#REF!</definedName>
    <definedName name="EF_ammonia_BE">#REF!</definedName>
    <definedName name="EF_ammonia_BG" localSheetId="5">Manure!#REF!</definedName>
    <definedName name="EF_ammonia_BG">#REF!</definedName>
    <definedName name="EF_ammonia_BR" localSheetId="5">Manure!#REF!</definedName>
    <definedName name="EF_ammonia_BR">#REF!</definedName>
    <definedName name="EF_ammonia_CY" localSheetId="5">Manure!#REF!</definedName>
    <definedName name="EF_ammonia_CY">#REF!</definedName>
    <definedName name="EF_ammonia_CZ" localSheetId="5">Manure!#REF!</definedName>
    <definedName name="EF_ammonia_CZ">#REF!</definedName>
    <definedName name="EF_ammonia_DE" localSheetId="5">Manure!#REF!</definedName>
    <definedName name="EF_ammonia_DE">#REF!</definedName>
    <definedName name="EF_ammonia_DK" localSheetId="5">Manure!#REF!</definedName>
    <definedName name="EF_ammonia_DK">#REF!</definedName>
    <definedName name="EF_ammonia_EE" localSheetId="5">Manure!#REF!</definedName>
    <definedName name="EF_ammonia_EE">#REF!</definedName>
    <definedName name="EF_ammonia_ES" localSheetId="5">Manure!#REF!</definedName>
    <definedName name="EF_ammonia_ES">#REF!</definedName>
    <definedName name="EF_ammonia_FI" localSheetId="5">Manure!#REF!</definedName>
    <definedName name="EF_ammonia_FI">#REF!</definedName>
    <definedName name="EF_ammonia_FR" localSheetId="5">Manure!#REF!</definedName>
    <definedName name="EF_ammonia_FR">#REF!</definedName>
    <definedName name="EF_ammonia_GB" localSheetId="5">Manure!#REF!</definedName>
    <definedName name="EF_ammonia_GB">#REF!</definedName>
    <definedName name="EF_ammonia_GR" localSheetId="5">Manure!#REF!</definedName>
    <definedName name="EF_ammonia_GR">#REF!</definedName>
    <definedName name="EF_ammonia_HR" localSheetId="5">Manure!#REF!</definedName>
    <definedName name="EF_ammonia_HR">#REF!</definedName>
    <definedName name="EF_ammonia_HU" localSheetId="5">Manure!#REF!</definedName>
    <definedName name="EF_ammonia_HU">#REF!</definedName>
    <definedName name="EF_ammonia_IE" localSheetId="5">Manure!#REF!</definedName>
    <definedName name="EF_ammonia_IE">#REF!</definedName>
    <definedName name="EF_ammonia_IT" localSheetId="5">Manure!#REF!</definedName>
    <definedName name="EF_ammonia_IT">#REF!</definedName>
    <definedName name="EF_ammonia_LT" localSheetId="5">Manure!#REF!</definedName>
    <definedName name="EF_ammonia_LT">#REF!</definedName>
    <definedName name="EF_ammonia_LV" localSheetId="5">Manure!#REF!</definedName>
    <definedName name="EF_ammonia_LV">#REF!</definedName>
    <definedName name="EF_ammonia_MT" localSheetId="5">Manure!#REF!</definedName>
    <definedName name="EF_ammonia_MT">#REF!</definedName>
    <definedName name="EF_ammonia_NL" localSheetId="5">Manure!#REF!</definedName>
    <definedName name="EF_ammonia_NL">#REF!</definedName>
    <definedName name="EF_ammonia_PL" localSheetId="5">Manure!#REF!</definedName>
    <definedName name="EF_ammonia_PL">#REF!</definedName>
    <definedName name="EF_ammonia_PT" localSheetId="5">Manure!#REF!</definedName>
    <definedName name="EF_ammonia_PT">#REF!</definedName>
    <definedName name="EF_ammonia_RO" localSheetId="5">Manure!#REF!</definedName>
    <definedName name="EF_ammonia_RO">#REF!</definedName>
    <definedName name="EF_ammonia_SE" localSheetId="5">Manure!#REF!</definedName>
    <definedName name="EF_ammonia_SE">#REF!</definedName>
    <definedName name="EF_ammonia_SI" localSheetId="5">Manure!#REF!</definedName>
    <definedName name="EF_ammonia_SI">#REF!</definedName>
    <definedName name="EF_ammonia_SK" localSheetId="5">Manure!#REF!</definedName>
    <definedName name="EF_ammonia_SK">#REF!</definedName>
    <definedName name="EF_ammonia_TH" localSheetId="5">Manure!#REF!</definedName>
    <definedName name="EF_ammonia_TH">#REF!</definedName>
    <definedName name="EF_ammonia_US" localSheetId="5">Manure!#REF!</definedName>
    <definedName name="EF_ammonia_US">#REF!</definedName>
    <definedName name="EF_biofuel_CH4">'Parameters, general'!$C$6</definedName>
    <definedName name="EF_biofuel_N2O">'Parameters, general'!$D$6</definedName>
    <definedName name="EF_biofuels_CO2">'Parameters, general'!$B$6</definedName>
    <definedName name="EF_CH4_manure_AT" localSheetId="5">Manure!#REF!</definedName>
    <definedName name="EF_CH4_manure_AT">#REF!</definedName>
    <definedName name="EF_CH4_manure_BE" localSheetId="5">Manure!#REF!</definedName>
    <definedName name="EF_CH4_manure_BE">#REF!</definedName>
    <definedName name="EF_CH4_manure_BG" localSheetId="5">Manure!#REF!</definedName>
    <definedName name="EF_CH4_manure_BG">#REF!</definedName>
    <definedName name="EF_CH4_manure_BR" localSheetId="5">Manure!#REF!</definedName>
    <definedName name="EF_CH4_manure_BR">#REF!</definedName>
    <definedName name="EF_CH4_manure_CY" localSheetId="5">Manure!#REF!</definedName>
    <definedName name="EF_CH4_manure_CY">#REF!</definedName>
    <definedName name="EF_CH4_manure_CZ" localSheetId="5">Manure!#REF!</definedName>
    <definedName name="EF_CH4_manure_CZ">#REF!</definedName>
    <definedName name="EF_CH4_manure_DE" localSheetId="5">Manure!#REF!</definedName>
    <definedName name="EF_CH4_manure_DE">#REF!</definedName>
    <definedName name="EF_CH4_manure_DK" localSheetId="5">Manure!#REF!</definedName>
    <definedName name="EF_CH4_manure_DK">#REF!</definedName>
    <definedName name="EF_CH4_manure_EE" localSheetId="5">Manure!#REF!</definedName>
    <definedName name="EF_CH4_manure_EE">#REF!</definedName>
    <definedName name="EF_CH4_manure_ES" localSheetId="5">Manure!#REF!</definedName>
    <definedName name="EF_CH4_manure_ES">#REF!</definedName>
    <definedName name="EF_CH4_manure_FI" localSheetId="5">Manure!#REF!</definedName>
    <definedName name="EF_CH4_manure_FI">#REF!</definedName>
    <definedName name="EF_CH4_manure_FR" localSheetId="5">Manure!#REF!</definedName>
    <definedName name="EF_CH4_manure_FR">#REF!</definedName>
    <definedName name="EF_CH4_manure_GB" localSheetId="5">Manure!#REF!</definedName>
    <definedName name="EF_CH4_manure_GB">#REF!</definedName>
    <definedName name="EF_CH4_manure_GR" localSheetId="5">Manure!#REF!</definedName>
    <definedName name="EF_CH4_manure_GR">#REF!</definedName>
    <definedName name="EF_CH4_manure_HR" localSheetId="5">Manure!#REF!</definedName>
    <definedName name="EF_CH4_manure_HR">#REF!</definedName>
    <definedName name="EF_CH4_manure_HU" localSheetId="5">Manure!#REF!</definedName>
    <definedName name="EF_CH4_manure_HU">#REF!</definedName>
    <definedName name="EF_CH4_manure_IE" localSheetId="5">Manure!#REF!</definedName>
    <definedName name="EF_CH4_manure_IE">#REF!</definedName>
    <definedName name="EF_CH4_manure_IT" localSheetId="5">Manure!#REF!</definedName>
    <definedName name="EF_CH4_manure_IT">#REF!</definedName>
    <definedName name="EF_CH4_manure_LT" localSheetId="5">Manure!#REF!</definedName>
    <definedName name="EF_CH4_manure_LT">#REF!</definedName>
    <definedName name="EF_CH4_manure_LV" localSheetId="5">Manure!#REF!</definedName>
    <definedName name="EF_CH4_manure_LV">#REF!</definedName>
    <definedName name="EF_CH4_manure_MT" localSheetId="5">Manure!#REF!</definedName>
    <definedName name="EF_CH4_manure_MT">#REF!</definedName>
    <definedName name="EF_CH4_manure_NL" localSheetId="5">Manure!#REF!</definedName>
    <definedName name="EF_CH4_manure_NL">#REF!</definedName>
    <definedName name="EF_CH4_manure_PL" localSheetId="5">Manure!#REF!</definedName>
    <definedName name="EF_CH4_manure_PL">#REF!</definedName>
    <definedName name="EF_CH4_manure_PT" localSheetId="5">Manure!#REF!</definedName>
    <definedName name="EF_CH4_manure_PT">#REF!</definedName>
    <definedName name="EF_CH4_manure_RO" localSheetId="5">Manure!#REF!</definedName>
    <definedName name="EF_CH4_manure_RO">#REF!</definedName>
    <definedName name="EF_CH4_manure_SE" localSheetId="5">Manure!#REF!</definedName>
    <definedName name="EF_CH4_manure_SE">#REF!</definedName>
    <definedName name="EF_CH4_manure_SI" localSheetId="5">Manure!#REF!</definedName>
    <definedName name="EF_CH4_manure_SI">#REF!</definedName>
    <definedName name="EF_CH4_manure_SK" localSheetId="5">Manure!#REF!</definedName>
    <definedName name="EF_CH4_manure_SK">#REF!</definedName>
    <definedName name="EF_CH4_manure_TH" localSheetId="5">Manure!#REF!</definedName>
    <definedName name="EF_CH4_manure_TH">#REF!</definedName>
    <definedName name="EF_CH4_manure_US" localSheetId="5">Manure!#REF!</definedName>
    <definedName name="EF_CH4_manure_US">#REF!</definedName>
    <definedName name="EF_el_CH4_AT">'Parameters, country spec'!#REF!</definedName>
    <definedName name="EF_el_CH4_BE">'Parameters, country spec'!#REF!</definedName>
    <definedName name="EF_el_CH4_BG">'Parameters, country spec'!#REF!</definedName>
    <definedName name="EF_el_CH4_BR">'Parameters, country spec'!#REF!</definedName>
    <definedName name="EF_el_CH4_CY">'Parameters, country spec'!#REF!</definedName>
    <definedName name="EF_el_CH4_CZ">'Parameters, country spec'!#REF!</definedName>
    <definedName name="EF_el_CH4_DE">'Parameters, country spec'!$D$60</definedName>
    <definedName name="EF_el_CH4_DK">'Parameters, country spec'!$B$60</definedName>
    <definedName name="EF_el_CH4_EE">'Parameters, country spec'!#REF!</definedName>
    <definedName name="EF_el_CH4_ES">'Parameters, country spec'!$K$60</definedName>
    <definedName name="EF_el_CH4_FI">'Parameters, country spec'!#REF!</definedName>
    <definedName name="EF_el_CH4_FR">'Parameters, country spec'!$C$60</definedName>
    <definedName name="EF_el_CH4_GB">'Parameters, country spec'!#REF!</definedName>
    <definedName name="EF_el_CH4_GR">'Parameters, country spec'!$E$60</definedName>
    <definedName name="EF_el_CH4_HR">'Parameters, country spec'!#REF!</definedName>
    <definedName name="EF_el_CH4_HU">'Parameters, country spec'!$F$60</definedName>
    <definedName name="EF_el_CH4_IE">'Parameters, country spec'!$G$60</definedName>
    <definedName name="EF_el_CH4_IT">'Parameters, country spec'!$H$60</definedName>
    <definedName name="EF_el_CH4_LT">'Parameters, country spec'!#REF!</definedName>
    <definedName name="EF_el_CH4_LV">'Parameters, country spec'!#REF!</definedName>
    <definedName name="EF_el_CH4_MT">'Parameters, country spec'!#REF!</definedName>
    <definedName name="EF_el_CH4_NL">'Parameters, country spec'!$I$60</definedName>
    <definedName name="EF_el_CH4_PL">'Parameters, country spec'!$J$60</definedName>
    <definedName name="EF_el_CH4_PT">'Parameters, country spec'!#REF!</definedName>
    <definedName name="EF_el_CH4_RO">'Parameters, country spec'!#REF!</definedName>
    <definedName name="EF_el_CH4_SE">'Parameters, country spec'!$L$60</definedName>
    <definedName name="EF_el_CH4_SI">'Parameters, country spec'!#REF!</definedName>
    <definedName name="EF_el_CH4_SK">'Parameters, country spec'!#REF!</definedName>
    <definedName name="EF_el_CH4_TH">'Parameters, country spec'!#REF!</definedName>
    <definedName name="EF_el_CH4_US">'Parameters, country spec'!#REF!</definedName>
    <definedName name="EF_el_CO2_AT">'Parameters, country spec'!#REF!</definedName>
    <definedName name="EF_el_CO2_BE">'Parameters, country spec'!#REF!</definedName>
    <definedName name="EF_el_CO2_BG">'Parameters, country spec'!#REF!</definedName>
    <definedName name="EF_el_CO2_BR">'Parameters, country spec'!#REF!</definedName>
    <definedName name="EF_el_CO2_CY">'Parameters, country spec'!#REF!</definedName>
    <definedName name="EF_el_CO2_CZ">'Parameters, country spec'!#REF!</definedName>
    <definedName name="EF_el_CO2_DE">'Parameters, country spec'!$D$59</definedName>
    <definedName name="EF_el_CO2_DK">'Parameters, country spec'!$B$59</definedName>
    <definedName name="EF_el_CO2_EE">'Parameters, country spec'!#REF!</definedName>
    <definedName name="EF_el_CO2_ES">'Parameters, country spec'!$K$59</definedName>
    <definedName name="EF_el_CO2_FI">'Parameters, country spec'!#REF!</definedName>
    <definedName name="EF_el_CO2_FR">'Parameters, country spec'!$C$59</definedName>
    <definedName name="EF_el_CO2_GB">'Parameters, country spec'!#REF!</definedName>
    <definedName name="EF_el_CO2_GR">'Parameters, country spec'!$E$59</definedName>
    <definedName name="EF_el_CO2_HR">'Parameters, country spec'!#REF!</definedName>
    <definedName name="EF_el_CO2_HU">'Parameters, country spec'!$F$59</definedName>
    <definedName name="EF_el_CO2_IE">'Parameters, country spec'!$G$59</definedName>
    <definedName name="EF_el_CO2_IT">'Parameters, country spec'!$H$59</definedName>
    <definedName name="EF_el_CO2_LT">'Parameters, country spec'!#REF!</definedName>
    <definedName name="EF_el_CO2_LV">'Parameters, country spec'!#REF!</definedName>
    <definedName name="EF_el_CO2_MT">'Parameters, country spec'!#REF!</definedName>
    <definedName name="EF_el_CO2_NL">'Parameters, country spec'!$I$59</definedName>
    <definedName name="EF_el_CO2_PL">'Parameters, country spec'!$J$59</definedName>
    <definedName name="EF_el_CO2_PT">'Parameters, country spec'!#REF!</definedName>
    <definedName name="EF_el_CO2_RO">'Parameters, country spec'!#REF!</definedName>
    <definedName name="EF_el_CO2_SE">'Parameters, country spec'!$L$59</definedName>
    <definedName name="EF_el_CO2_SI">'Parameters, country spec'!#REF!</definedName>
    <definedName name="EF_el_CO2_SK">'Parameters, country spec'!#REF!</definedName>
    <definedName name="EF_el_CO2_TH">'Parameters, country spec'!#REF!</definedName>
    <definedName name="EF_el_CO2_US">'Parameters, country spec'!#REF!</definedName>
    <definedName name="EF_el_N2O_AT">'Parameters, country spec'!#REF!</definedName>
    <definedName name="EF_el_N2O_BE">'Parameters, country spec'!#REF!</definedName>
    <definedName name="EF_el_N2O_BG">'Parameters, country spec'!#REF!</definedName>
    <definedName name="EF_el_N2O_BR">'Parameters, country spec'!#REF!</definedName>
    <definedName name="EF_el_N2O_CY">'Parameters, country spec'!#REF!</definedName>
    <definedName name="EF_el_N2O_CZ">'Parameters, country spec'!#REF!</definedName>
    <definedName name="EF_el_N2O_DE">'Parameters, country spec'!$D$61</definedName>
    <definedName name="EF_el_N2O_DK">'Parameters, country spec'!$B$61</definedName>
    <definedName name="EF_el_N2O_EE">'Parameters, country spec'!#REF!</definedName>
    <definedName name="EF_el_N2O_ES">'Parameters, country spec'!$K$61</definedName>
    <definedName name="EF_el_N2O_FI">'Parameters, country spec'!#REF!</definedName>
    <definedName name="EF_el_N2O_FR">'Parameters, country spec'!$C$61</definedName>
    <definedName name="EF_el_N2O_GB">'Parameters, country spec'!#REF!</definedName>
    <definedName name="EF_el_N2O_GR">'Parameters, country spec'!$E$61</definedName>
    <definedName name="EF_el_N2O_HR">'Parameters, country spec'!#REF!</definedName>
    <definedName name="EF_el_N2O_HU">'Parameters, country spec'!$F$61</definedName>
    <definedName name="EF_el_N2O_IE">'Parameters, country spec'!$G$61</definedName>
    <definedName name="EF_el_N2O_IT">'Parameters, country spec'!$H$61</definedName>
    <definedName name="EF_el_N2O_LT">'Parameters, country spec'!#REF!</definedName>
    <definedName name="EF_el_N2O_LV">'Parameters, country spec'!#REF!</definedName>
    <definedName name="EF_el_N2O_MT">'Parameters, country spec'!#REF!</definedName>
    <definedName name="EF_el_N2O_NL">'Parameters, country spec'!$I$61</definedName>
    <definedName name="EF_el_N2O_PL">'Parameters, country spec'!$J$61</definedName>
    <definedName name="EF_el_N2O_PT">'Parameters, country spec'!#REF!</definedName>
    <definedName name="EF_el_N2O_RO">'Parameters, country spec'!#REF!</definedName>
    <definedName name="EF_el_N2O_SE">'Parameters, country spec'!$L$61</definedName>
    <definedName name="EF_el_N2O_SI">'Parameters, country spec'!#REF!</definedName>
    <definedName name="EF_el_N2O_SK">'Parameters, country spec'!#REF!</definedName>
    <definedName name="EF_el_N2O_TH">'Parameters, country spec'!#REF!</definedName>
    <definedName name="EF_el_N2O_US">'Parameters, country spec'!#REF!</definedName>
    <definedName name="EF_electricity">'Parameters, country spec'!$L$58</definedName>
    <definedName name="EF_ent_ferm_AT">'Parameters, country spec'!#REF!</definedName>
    <definedName name="EF_ent_ferm_BE">'Parameters, country spec'!#REF!</definedName>
    <definedName name="EF_ent_ferm_BG">'Parameters, country spec'!#REF!</definedName>
    <definedName name="EF_ent_ferm_BR">'Parameters, country spec'!#REF!</definedName>
    <definedName name="EF_ent_ferm_CY">'Parameters, country spec'!#REF!</definedName>
    <definedName name="EF_ent_ferm_CZ">'Parameters, country spec'!#REF!</definedName>
    <definedName name="EF_ent_ferm_DE">'Parameters, country spec'!$D$44</definedName>
    <definedName name="EF_ent_ferm_DK">'Parameters, country spec'!$B$44</definedName>
    <definedName name="EF_ent_ferm_EE">'Parameters, country spec'!#REF!</definedName>
    <definedName name="EF_ent_ferm_ES">'Parameters, country spec'!$K$44</definedName>
    <definedName name="EF_ent_ferm_FI">'Parameters, country spec'!#REF!</definedName>
    <definedName name="EF_ent_ferm_FR">'Parameters, country spec'!$C$44</definedName>
    <definedName name="EF_ent_ferm_GB">'Parameters, country spec'!#REF!</definedName>
    <definedName name="EF_ent_ferm_GR">'Parameters, country spec'!$E$44</definedName>
    <definedName name="EF_ent_ferm_HR">'Parameters, country spec'!#REF!</definedName>
    <definedName name="EF_ent_ferm_HU">'Parameters, country spec'!$F$44</definedName>
    <definedName name="EF_ent_ferm_IE">'Parameters, country spec'!$G$44</definedName>
    <definedName name="EF_ent_ferm_IT">'Parameters, country spec'!$H$44</definedName>
    <definedName name="EF_ent_ferm_LT">'Parameters, country spec'!#REF!</definedName>
    <definedName name="EF_ent_ferm_LV">'Parameters, country spec'!#REF!</definedName>
    <definedName name="EF_ent_ferm_MT">'Parameters, country spec'!#REF!</definedName>
    <definedName name="EF_ent_ferm_NL">'Parameters, country spec'!$I$44</definedName>
    <definedName name="EF_ent_ferm_PL">'Parameters, country spec'!$J$44</definedName>
    <definedName name="EF_ent_ferm_PT">'Parameters, country spec'!#REF!</definedName>
    <definedName name="EF_ent_ferm_RO">'Parameters, country spec'!#REF!</definedName>
    <definedName name="EF_ent_ferm_SE">'Parameters, country spec'!$L$44</definedName>
    <definedName name="EF_ent_ferm_SI">'Parameters, country spec'!#REF!</definedName>
    <definedName name="EF_ent_ferm_SK">'Parameters, country spec'!#REF!</definedName>
    <definedName name="EF_ent_ferm_TH">'Parameters, country spec'!#REF!</definedName>
    <definedName name="EF_ent_ferm_US">'Parameters, country spec'!#REF!</definedName>
    <definedName name="EF_GWP_CH4_biog">'Parameters, general'!$B$16</definedName>
    <definedName name="EF_indirect_N2O_AT">'Parameters, country spec'!#REF!</definedName>
    <definedName name="EF_indirect_N2O_BE">'Parameters, country spec'!#REF!</definedName>
    <definedName name="EF_indirect_N2O_BG">'Parameters, country spec'!#REF!</definedName>
    <definedName name="EF_indirect_N2O_BR">'Parameters, country spec'!#REF!</definedName>
    <definedName name="EF_indirect_N2O_CY">'Parameters, country spec'!#REF!</definedName>
    <definedName name="EF_indirect_N2O_CZ">'Parameters, country spec'!#REF!</definedName>
    <definedName name="EF_indirect_N2O_DE">'Parameters, country spec'!$D$74</definedName>
    <definedName name="EF_indirect_N2O_DK">'Parameters, country spec'!$B$74</definedName>
    <definedName name="EF_indirect_N2O_EE">'Parameters, country spec'!#REF!</definedName>
    <definedName name="EF_indirect_N2O_ES">'Parameters, country spec'!$K$74</definedName>
    <definedName name="EF_indirect_N2O_FI">'Parameters, country spec'!#REF!</definedName>
    <definedName name="EF_indirect_N2O_FR">'Parameters, country spec'!$C$74</definedName>
    <definedName name="EF_indirect_N2O_GB">'Parameters, country spec'!#REF!</definedName>
    <definedName name="EF_indirect_N2O_GR">'Parameters, country spec'!$E$74</definedName>
    <definedName name="EF_indirect_N2O_HR">'Parameters, country spec'!#REF!</definedName>
    <definedName name="EF_indirect_N2O_HU">'Parameters, country spec'!$F$74</definedName>
    <definedName name="EF_indirect_N2O_IE">'Parameters, country spec'!$G$74</definedName>
    <definedName name="EF_indirect_N2O_IT">'Parameters, country spec'!$H$74</definedName>
    <definedName name="EF_indirect_N2O_LT">'Parameters, country spec'!#REF!</definedName>
    <definedName name="EF_indirect_N2O_LV">'Parameters, country spec'!#REF!</definedName>
    <definedName name="EF_indirect_N2O_MT">'Parameters, country spec'!#REF!</definedName>
    <definedName name="EF_indirect_N2O_NL">'Parameters, country spec'!$I$74</definedName>
    <definedName name="EF_indirect_N2O_PL">'Parameters, country spec'!$J$74</definedName>
    <definedName name="EF_indirect_N2O_PT">'Parameters, country spec'!#REF!</definedName>
    <definedName name="EF_indirect_N2O_RO">'Parameters, country spec'!#REF!</definedName>
    <definedName name="EF_indirect_N2O_SE">'Parameters, country spec'!$L$74</definedName>
    <definedName name="EF_indirect_N2O_SI">'Parameters, country spec'!#REF!</definedName>
    <definedName name="EF_indirect_N2O_SK">'Parameters, country spec'!#REF!</definedName>
    <definedName name="EF_indirect_N2O_TH">'Parameters, country spec'!#REF!</definedName>
    <definedName name="EF_indirect_N2O_US">'Parameters, country spec'!#REF!</definedName>
    <definedName name="EF_min_fert_AN_CH4">'Parameters, general'!$C$10</definedName>
    <definedName name="EF_min_fert_AN_CO2">'Parameters, general'!$B$10</definedName>
    <definedName name="EF_min_fert_AN_N2O">'Parameters, general'!$D$10</definedName>
    <definedName name="EF_min_fert_BAT_CH4">'Parameters, general'!$C$9</definedName>
    <definedName name="EF_min_fert_BAT_CO2">'Parameters, general'!$B$9</definedName>
    <definedName name="EF_min_fert_BAT_N2O">'Parameters, general'!$D$9</definedName>
    <definedName name="EF_N2O_diff_AT">'Parameters, country spec'!#REF!</definedName>
    <definedName name="EF_N2O_diff_BE">'Parameters, country spec'!#REF!</definedName>
    <definedName name="EF_N2O_diff_BG">'Parameters, country spec'!#REF!</definedName>
    <definedName name="EF_N2O_diff_BR">'Parameters, country spec'!#REF!</definedName>
    <definedName name="EF_N2O_diff_CY">'Parameters, country spec'!#REF!</definedName>
    <definedName name="EF_N2O_diff_CZ">'Parameters, country spec'!#REF!</definedName>
    <definedName name="EF_N2O_diff_DE">'Parameters, country spec'!$D$73</definedName>
    <definedName name="EF_N2O_diff_DK">'Parameters, country spec'!$B$73</definedName>
    <definedName name="EF_N2O_diff_EE">'Parameters, country spec'!#REF!</definedName>
    <definedName name="EF_N2O_diff_ES">'Parameters, country spec'!$K$73</definedName>
    <definedName name="EF_N2O_diff_FI">'Parameters, country spec'!#REF!</definedName>
    <definedName name="EF_N2O_diff_FR">'Parameters, country spec'!$C$73</definedName>
    <definedName name="EF_N2O_diff_GB">'Parameters, country spec'!#REF!</definedName>
    <definedName name="EF_N2O_diff_GR">'Parameters, country spec'!$E$73</definedName>
    <definedName name="EF_N2O_diff_HR">'Parameters, country spec'!#REF!</definedName>
    <definedName name="EF_N2O_diff_HU">'Parameters, country spec'!$F$73</definedName>
    <definedName name="EF_N2O_diff_IE">'Parameters, country spec'!$G$73</definedName>
    <definedName name="EF_N2O_diff_IT">'Parameters, country spec'!$H$73</definedName>
    <definedName name="EF_N2O_diff_LT">'Parameters, country spec'!#REF!</definedName>
    <definedName name="EF_N2O_diff_LV">'Parameters, country spec'!#REF!</definedName>
    <definedName name="EF_N2O_diff_MT">'Parameters, country spec'!#REF!</definedName>
    <definedName name="EF_N2O_diff_NL">'Parameters, country spec'!$I$73</definedName>
    <definedName name="EF_N2O_diff_PL">'Parameters, country spec'!$J$73</definedName>
    <definedName name="EF_N2O_diff_PT">'Parameters, country spec'!#REF!</definedName>
    <definedName name="EF_N2O_diff_RO">'Parameters, country spec'!#REF!</definedName>
    <definedName name="EF_N2O_diff_SE">'Parameters, country spec'!$L$73</definedName>
    <definedName name="EF_N2O_diff_SI">'Parameters, country spec'!#REF!</definedName>
    <definedName name="EF_N2O_diff_SK">'Parameters, country spec'!#REF!</definedName>
    <definedName name="EF_N2O_diff_TH">'Parameters, country spec'!#REF!</definedName>
    <definedName name="EF_N2O_diff_US">'Parameters, country spec'!#REF!</definedName>
    <definedName name="EF_N2O_manure_direct_AT" localSheetId="5">Manure!#REF!</definedName>
    <definedName name="EF_N2O_manure_direct_AT">#REF!</definedName>
    <definedName name="EF_N2O_manure_direct_BE" localSheetId="5">Manure!#REF!</definedName>
    <definedName name="EF_N2O_manure_direct_BE">#REF!</definedName>
    <definedName name="EF_N2O_manure_direct_BG" localSheetId="5">Manure!#REF!</definedName>
    <definedName name="EF_N2O_manure_direct_BG">#REF!</definedName>
    <definedName name="EF_N2O_manure_direct_BR" localSheetId="5">Manure!#REF!</definedName>
    <definedName name="EF_N2O_manure_direct_BR">#REF!</definedName>
    <definedName name="EF_N2O_manure_direct_CY" localSheetId="5">Manure!#REF!</definedName>
    <definedName name="EF_N2O_manure_direct_CY">#REF!</definedName>
    <definedName name="EF_N2O_manure_direct_CZ" localSheetId="5">Manure!#REF!</definedName>
    <definedName name="EF_N2O_manure_direct_CZ">#REF!</definedName>
    <definedName name="EF_N2O_manure_direct_DE" localSheetId="5">Manure!#REF!</definedName>
    <definedName name="EF_N2O_manure_direct_DE">#REF!</definedName>
    <definedName name="EF_N2O_manure_direct_DK" localSheetId="5">Manure!#REF!</definedName>
    <definedName name="EF_N2O_manure_direct_DK">#REF!</definedName>
    <definedName name="EF_N2O_manure_direct_EE" localSheetId="5">Manure!#REF!</definedName>
    <definedName name="EF_N2O_manure_direct_EE">#REF!</definedName>
    <definedName name="EF_N2O_manure_direct_ES" localSheetId="5">Manure!#REF!</definedName>
    <definedName name="EF_N2O_manure_direct_ES">#REF!</definedName>
    <definedName name="EF_N2O_manure_direct_FI" localSheetId="5">Manure!#REF!</definedName>
    <definedName name="EF_N2O_manure_direct_FI">#REF!</definedName>
    <definedName name="EF_N2O_manure_direct_FR" localSheetId="5">Manure!#REF!</definedName>
    <definedName name="EF_N2O_manure_direct_FR">#REF!</definedName>
    <definedName name="EF_N2O_manure_direct_GB" localSheetId="5">Manure!#REF!</definedName>
    <definedName name="EF_N2O_manure_direct_GB">#REF!</definedName>
    <definedName name="EF_N2O_manure_direct_GR" localSheetId="5">Manure!#REF!</definedName>
    <definedName name="EF_N2O_manure_direct_GR">#REF!</definedName>
    <definedName name="EF_N2O_manure_direct_HR" localSheetId="5">Manure!#REF!</definedName>
    <definedName name="EF_N2O_manure_direct_HR">#REF!</definedName>
    <definedName name="EF_N2O_manure_direct_HU" localSheetId="5">Manure!#REF!</definedName>
    <definedName name="EF_N2O_manure_direct_HU">#REF!</definedName>
    <definedName name="EF_N2O_manure_direct_IE" localSheetId="5">Manure!#REF!</definedName>
    <definedName name="EF_N2O_manure_direct_IE">#REF!</definedName>
    <definedName name="EF_N2O_manure_direct_IT" localSheetId="5">Manure!#REF!</definedName>
    <definedName name="EF_N2O_manure_direct_IT">#REF!</definedName>
    <definedName name="EF_N2O_manure_direct_LT" localSheetId="5">Manure!#REF!</definedName>
    <definedName name="EF_N2O_manure_direct_LT">#REF!</definedName>
    <definedName name="EF_N2O_manure_direct_LV" localSheetId="5">Manure!#REF!</definedName>
    <definedName name="EF_N2O_manure_direct_LV">#REF!</definedName>
    <definedName name="EF_N2O_manure_direct_MT" localSheetId="5">Manure!#REF!</definedName>
    <definedName name="EF_N2O_manure_direct_MT">#REF!</definedName>
    <definedName name="EF_N2O_manure_direct_NL" localSheetId="5">Manure!#REF!</definedName>
    <definedName name="EF_N2O_manure_direct_NL">#REF!</definedName>
    <definedName name="EF_N2O_manure_direct_PL" localSheetId="5">Manure!#REF!</definedName>
    <definedName name="EF_N2O_manure_direct_PL">#REF!</definedName>
    <definedName name="EF_N2O_manure_direct_PT" localSheetId="5">Manure!#REF!</definedName>
    <definedName name="EF_N2O_manure_direct_PT">#REF!</definedName>
    <definedName name="EF_N2O_manure_direct_RO" localSheetId="5">Manure!#REF!</definedName>
    <definedName name="EF_N2O_manure_direct_RO">#REF!</definedName>
    <definedName name="EF_N2O_manure_direct_SE" localSheetId="5">Manure!#REF!</definedName>
    <definedName name="EF_N2O_manure_direct_SE">#REF!</definedName>
    <definedName name="EF_N2O_manure_direct_SI" localSheetId="5">Manure!#REF!</definedName>
    <definedName name="EF_N2O_manure_direct_SI">#REF!</definedName>
    <definedName name="EF_N2O_manure_direct_SK" localSheetId="5">Manure!#REF!</definedName>
    <definedName name="EF_N2O_manure_direct_SK">#REF!</definedName>
    <definedName name="EF_N2O_manure_direct_TH" localSheetId="5">Manure!#REF!</definedName>
    <definedName name="EF_N2O_manure_direct_TH">#REF!</definedName>
    <definedName name="EF_N2O_manure_direct_US" localSheetId="5">Manure!#REF!</definedName>
    <definedName name="EF_N2O_manure_direct_US">#REF!</definedName>
    <definedName name="EF_oil_CH4">'Parameters, general'!$C$5</definedName>
    <definedName name="EF_oil_CO2">'Parameters, general'!$B$5</definedName>
    <definedName name="EF_oil_N2O">'Parameters, general'!$D$5</definedName>
    <definedName name="Energy_slaughter_el_AT">'Parameters, country spec'!#REF!</definedName>
    <definedName name="Energy_slaughter_el_BE">'Parameters, country spec'!#REF!</definedName>
    <definedName name="Energy_slaughter_el_BG">'Parameters, country spec'!#REF!</definedName>
    <definedName name="Energy_slaughter_el_BR">'Parameters, country spec'!#REF!</definedName>
    <definedName name="Energy_slaughter_el_CY">'Parameters, country spec'!#REF!</definedName>
    <definedName name="Energy_slaughter_el_CZ">'Parameters, country spec'!#REF!</definedName>
    <definedName name="Energy_slaughter_el_DE">'Parameters, country spec'!$D$54</definedName>
    <definedName name="Energy_slaughter_el_DK">'Parameters, country spec'!$B$54</definedName>
    <definedName name="Energy_slaughter_el_EE">'Parameters, country spec'!#REF!</definedName>
    <definedName name="Energy_slaughter_el_ES">'Parameters, country spec'!$K$54</definedName>
    <definedName name="Energy_slaughter_el_FI">'Parameters, country spec'!#REF!</definedName>
    <definedName name="Energy_slaughter_el_FR">'Parameters, country spec'!$C$54</definedName>
    <definedName name="Energy_slaughter_el_GB">'Parameters, country spec'!#REF!</definedName>
    <definedName name="Energy_slaughter_el_GR">'Parameters, country spec'!$E$54</definedName>
    <definedName name="Energy_slaughter_el_HR">'Parameters, country spec'!#REF!</definedName>
    <definedName name="Energy_slaughter_el_HU">'Parameters, country spec'!$F$54</definedName>
    <definedName name="Energy_slaughter_el_IE">'Parameters, country spec'!$G$54</definedName>
    <definedName name="Energy_slaughter_el_IT">'Parameters, country spec'!$H$54</definedName>
    <definedName name="Energy_slaughter_el_LT">'Parameters, country spec'!#REF!</definedName>
    <definedName name="Energy_slaughter_el_LV">'Parameters, country spec'!#REF!</definedName>
    <definedName name="Energy_slaughter_el_MT">'Parameters, country spec'!#REF!</definedName>
    <definedName name="Energy_slaughter_el_NL">'Parameters, country spec'!$I$54</definedName>
    <definedName name="Energy_slaughter_el_PL">'Parameters, country spec'!$J$54</definedName>
    <definedName name="Energy_slaughter_el_PT">'Parameters, country spec'!#REF!</definedName>
    <definedName name="Energy_slaughter_el_RO">'Parameters, country spec'!#REF!</definedName>
    <definedName name="Energy_slaughter_el_SE">'Parameters, country spec'!$L$54</definedName>
    <definedName name="Energy_slaughter_el_SI">'Parameters, country spec'!#REF!</definedName>
    <definedName name="Energy_slaughter_el_SK">'Parameters, country spec'!#REF!</definedName>
    <definedName name="Energy_slaughter_el_TH">'Parameters, country spec'!#REF!</definedName>
    <definedName name="Energy_slaughter_el_US">'Parameters, country spec'!#REF!</definedName>
    <definedName name="Energy_slaughter_oil_AT">'Parameters, country spec'!#REF!</definedName>
    <definedName name="Energy_slaughter_oil_BE">'Parameters, country spec'!#REF!</definedName>
    <definedName name="Energy_slaughter_oil_BG">'Parameters, country spec'!#REF!</definedName>
    <definedName name="Energy_slaughter_oil_BR">'Parameters, country spec'!#REF!</definedName>
    <definedName name="Energy_slaughter_oil_CY">'Parameters, country spec'!#REF!</definedName>
    <definedName name="Energy_slaughter_oil_CZ">'Parameters, country spec'!#REF!</definedName>
    <definedName name="Energy_slaughter_oil_DE">'Parameters, country spec'!$D$55</definedName>
    <definedName name="Energy_slaughter_oil_DK">'Parameters, country spec'!$B$55</definedName>
    <definedName name="Energy_slaughter_oil_EE">'Parameters, country spec'!#REF!</definedName>
    <definedName name="Energy_slaughter_oil_ES">'Parameters, country spec'!$K$55</definedName>
    <definedName name="Energy_slaughter_oil_FI">'Parameters, country spec'!#REF!</definedName>
    <definedName name="Energy_slaughter_oil_FR">'Parameters, country spec'!$C$55</definedName>
    <definedName name="Energy_slaughter_oil_GB">'Parameters, country spec'!#REF!</definedName>
    <definedName name="Energy_slaughter_oil_GR">'Parameters, country spec'!$E$55</definedName>
    <definedName name="Energy_slaughter_oil_HR">'Parameters, country spec'!#REF!</definedName>
    <definedName name="Energy_slaughter_oil_HU">'Parameters, country spec'!$F$55</definedName>
    <definedName name="Energy_slaughter_oil_IE">'Parameters, country spec'!$G$55</definedName>
    <definedName name="Energy_slaughter_oil_IT">'Parameters, country spec'!$H$55</definedName>
    <definedName name="Energy_slaughter_oil_LT">'Parameters, country spec'!#REF!</definedName>
    <definedName name="Energy_slaughter_oil_LV">'Parameters, country spec'!#REF!</definedName>
    <definedName name="Energy_slaughter_oil_MT">'Parameters, country spec'!#REF!</definedName>
    <definedName name="Energy_slaughter_oil_NL">'Parameters, country spec'!$I$55</definedName>
    <definedName name="Energy_slaughter_oil_PL">'Parameters, country spec'!$J$55</definedName>
    <definedName name="Energy_slaughter_oil_PT">'Parameters, country spec'!#REF!</definedName>
    <definedName name="Energy_slaughter_oil_RO">'Parameters, country spec'!#REF!</definedName>
    <definedName name="Energy_slaughter_oil_SE">'Parameters, country spec'!$L$55</definedName>
    <definedName name="Energy_slaughter_oil_SI">'Parameters, country spec'!#REF!</definedName>
    <definedName name="Energy_slaughter_oil_SK">'Parameters, country spec'!#REF!</definedName>
    <definedName name="Energy_slaughter_oil_TH">'Parameters, country spec'!#REF!</definedName>
    <definedName name="Energy_slaughter_oil_US">'Parameters, country spec'!#REF!</definedName>
    <definedName name="Energy_stables_AT">'Parameters, country spec'!#REF!</definedName>
    <definedName name="Energy_stables_BE">'Parameters, country spec'!#REF!</definedName>
    <definedName name="Energy_stables_BG">'Parameters, country spec'!#REF!</definedName>
    <definedName name="Energy_stables_BR">'Parameters, country spec'!#REF!</definedName>
    <definedName name="Energy_stables_CY">'Parameters, country spec'!#REF!</definedName>
    <definedName name="Energy_stables_CZ">'Parameters, country spec'!#REF!</definedName>
    <definedName name="Energy_stables_DE">'Parameters, country spec'!$D$49</definedName>
    <definedName name="Energy_stables_DK">'Parameters, country spec'!$B$49</definedName>
    <definedName name="Energy_stables_EE">'Parameters, country spec'!#REF!</definedName>
    <definedName name="Energy_stables_ES">'Parameters, country spec'!$K$49</definedName>
    <definedName name="Energy_stables_FI">'Parameters, country spec'!#REF!</definedName>
    <definedName name="Energy_stables_FR">'Parameters, country spec'!$C$49</definedName>
    <definedName name="Energy_stables_GB">'Parameters, country spec'!#REF!</definedName>
    <definedName name="Energy_stables_GR">'Parameters, country spec'!$E$49</definedName>
    <definedName name="Energy_stables_HR">'Parameters, country spec'!#REF!</definedName>
    <definedName name="Energy_stables_HU">'Parameters, country spec'!$F$49</definedName>
    <definedName name="Energy_stables_IE">'Parameters, country spec'!$G$49</definedName>
    <definedName name="Energy_stables_IT">'Parameters, country spec'!$H$49</definedName>
    <definedName name="Energy_stables_LT">'Parameters, country spec'!#REF!</definedName>
    <definedName name="Energy_stables_LV">'Parameters, country spec'!#REF!</definedName>
    <definedName name="Energy_stables_MT">'Parameters, country spec'!#REF!</definedName>
    <definedName name="Energy_stables_NL">'Parameters, country spec'!$I$49</definedName>
    <definedName name="Energy_stables_PL">'Parameters, country spec'!$J$49</definedName>
    <definedName name="Energy_stables_PT">'Parameters, country spec'!#REF!</definedName>
    <definedName name="Energy_stables_RO">'Parameters, country spec'!#REF!</definedName>
    <definedName name="Energy_stables_SE">'Parameters, country spec'!$L$49</definedName>
    <definedName name="Energy_stables_SI">'Parameters, country spec'!#REF!</definedName>
    <definedName name="Energy_stables_SK">'Parameters, country spec'!#REF!</definedName>
    <definedName name="Energy_stables_TH">'Parameters, country spec'!#REF!</definedName>
    <definedName name="Energy_stables_US">'Parameters, country spec'!#REF!</definedName>
    <definedName name="Excreted_N_after_losses_DE">Manure!$J$139</definedName>
    <definedName name="Excreted_N_after_losses_DK">Manure!$B$139</definedName>
    <definedName name="Excreted_N_after_losses_ES">Manure!$AL$139</definedName>
    <definedName name="Excreted_N_after_losses_FR">Manure!$F$139</definedName>
    <definedName name="Excreted_N_after_losses_GR">Manure!$N$139</definedName>
    <definedName name="Excreted_N_after_losses_HU">Manure!$R$139</definedName>
    <definedName name="Excreted_N_after_losses_IE">Manure!$V$139</definedName>
    <definedName name="Excreted_N_after_losses_IT">Manure!$Z$139</definedName>
    <definedName name="Excreted_N_after_losses_NL">Manure!$AD$139</definedName>
    <definedName name="Excreted_N_after_losses_PL">Manure!$AH$139</definedName>
    <definedName name="Excreted_N_after_losses_SE">Manure!$AP$139</definedName>
    <definedName name="FCR_bonefree_incl_parents_AT">'Parameters, country spec'!#REF!</definedName>
    <definedName name="FCR_bonefree_incl_parents_BE">'Parameters, country spec'!#REF!</definedName>
    <definedName name="FCR_bonefree_incl_parents_BG">'Parameters, country spec'!#REF!</definedName>
    <definedName name="FCR_bonefree_incl_parents_BR">'Parameters, country spec'!#REF!</definedName>
    <definedName name="FCR_bonefree_incl_parents_CY">'Parameters, country spec'!#REF!</definedName>
    <definedName name="FCR_bonefree_incl_parents_CZ">'Parameters, country spec'!#REF!</definedName>
    <definedName name="FCR_bonefree_incl_parents_DE">'Parameters, country spec'!$D$41</definedName>
    <definedName name="FCR_bonefree_incl_parents_DK">'Parameters, country spec'!$B$41</definedName>
    <definedName name="FCR_bonefree_incl_parents_EE">'Parameters, country spec'!#REF!</definedName>
    <definedName name="FCR_bonefree_incl_parents_ES">'Parameters, country spec'!$K$41</definedName>
    <definedName name="FCR_bonefree_incl_parents_FI">'Parameters, country spec'!#REF!</definedName>
    <definedName name="FCR_bonefree_incl_parents_FR">'Parameters, country spec'!$C$41</definedName>
    <definedName name="FCR_bonefree_incl_parents_GB">'Parameters, country spec'!#REF!</definedName>
    <definedName name="FCR_bonefree_incl_parents_GR">'Parameters, country spec'!$E$41</definedName>
    <definedName name="FCR_bonefree_incl_parents_HR">'Parameters, country spec'!#REF!</definedName>
    <definedName name="FCR_bonefree_incl_parents_HU">'Parameters, country spec'!$F$41</definedName>
    <definedName name="FCR_bonefree_incl_parents_IE">'Parameters, country spec'!$G$41</definedName>
    <definedName name="FCR_bonefree_incl_parents_IT">'Parameters, country spec'!$H$41</definedName>
    <definedName name="FCR_bonefree_incl_parents_LT">'Parameters, country spec'!#REF!</definedName>
    <definedName name="FCR_bonefree_incl_parents_LV">'Parameters, country spec'!#REF!</definedName>
    <definedName name="FCR_bonefree_incl_parents_MT">'Parameters, country spec'!#REF!</definedName>
    <definedName name="FCR_bonefree_incl_parents_NL">'Parameters, country spec'!$I$41</definedName>
    <definedName name="FCR_bonefree_incl_parents_PL">'Parameters, country spec'!$J$41</definedName>
    <definedName name="FCR_bonefree_incl_parents_PT">'Parameters, country spec'!#REF!</definedName>
    <definedName name="FCR_bonefree_incl_parents_RO">'Parameters, country spec'!#REF!</definedName>
    <definedName name="FCR_bonefree_incl_parents_SE">'Parameters, country spec'!$L$41</definedName>
    <definedName name="FCR_bonefree_incl_parents_SI">'Parameters, country spec'!#REF!</definedName>
    <definedName name="FCR_bonefree_incl_parents_SK">'Parameters, country spec'!#REF!</definedName>
    <definedName name="FCR_bonefree_incl_parents_TH">'Parameters, country spec'!#REF!</definedName>
    <definedName name="FCR_bonefree_incl_parents_US">'Parameters, country spec'!#REF!</definedName>
    <definedName name="Frac_AN_AT">'Parameters, country spec'!#REF!</definedName>
    <definedName name="Frac_AN_BE">'Parameters, country spec'!#REF!</definedName>
    <definedName name="Frac_AN_BG">'Parameters, country spec'!#REF!</definedName>
    <definedName name="Frac_AN_BR">'Parameters, country spec'!#REF!</definedName>
    <definedName name="Frac_AN_CY">'Parameters, country spec'!#REF!</definedName>
    <definedName name="Frac_AN_CZ">'Parameters, country spec'!#REF!</definedName>
    <definedName name="Frac_AN_DE">'Parameters, country spec'!$D$68</definedName>
    <definedName name="Frac_AN_DK">'Parameters, country spec'!$B$68</definedName>
    <definedName name="Frac_AN_EE">'Parameters, country spec'!#REF!</definedName>
    <definedName name="Frac_AN_ES">'Parameters, country spec'!$K$68</definedName>
    <definedName name="Frac_AN_FI">'Parameters, country spec'!#REF!</definedName>
    <definedName name="Frac_AN_FR">'Parameters, country spec'!$C$68</definedName>
    <definedName name="Frac_AN_GB">'Parameters, country spec'!#REF!</definedName>
    <definedName name="Frac_AN_GR">'Parameters, country spec'!$E$68</definedName>
    <definedName name="Frac_AN_HR">'Parameters, country spec'!#REF!</definedName>
    <definedName name="Frac_AN_HU">'Parameters, country spec'!$F$68</definedName>
    <definedName name="Frac_AN_IE">'Parameters, country spec'!$G$68</definedName>
    <definedName name="Frac_AN_IT">'Parameters, country spec'!$H$68</definedName>
    <definedName name="Frac_AN_LT">'Parameters, country spec'!#REF!</definedName>
    <definedName name="Frac_AN_LV">'Parameters, country spec'!#REF!</definedName>
    <definedName name="Frac_AN_MT">'Parameters, country spec'!#REF!</definedName>
    <definedName name="Frac_AN_NL">'Parameters, country spec'!$I$68</definedName>
    <definedName name="Frac_AN_PL">'Parameters, country spec'!$J$68</definedName>
    <definedName name="Frac_AN_PT">'Parameters, country spec'!#REF!</definedName>
    <definedName name="Frac_AN_RO">'Parameters, country spec'!#REF!</definedName>
    <definedName name="Frac_AN_SE">'Parameters, country spec'!$L$68</definedName>
    <definedName name="Frac_AN_SI">'Parameters, country spec'!#REF!</definedName>
    <definedName name="Frac_AN_SK">'Parameters, country spec'!#REF!</definedName>
    <definedName name="Frac_AN_TH">'Parameters, country spec'!#REF!</definedName>
    <definedName name="Frac_AN_US">'Parameters, country spec'!#REF!</definedName>
    <definedName name="Frac_BAT_AT">'Parameters, country spec'!#REF!</definedName>
    <definedName name="Frac_BAT_BE">'Parameters, country spec'!#REF!</definedName>
    <definedName name="Frac_BAT_BG">'Parameters, country spec'!#REF!</definedName>
    <definedName name="Frac_BAT_BR">'Parameters, country spec'!#REF!</definedName>
    <definedName name="Frac_BAT_CY">'Parameters, country spec'!#REF!</definedName>
    <definedName name="Frac_BAT_CZ">'Parameters, country spec'!#REF!</definedName>
    <definedName name="Frac_BAT_DE">'Parameters, country spec'!$D$67</definedName>
    <definedName name="Frac_BAT_DK">'Parameters, country spec'!$B$67</definedName>
    <definedName name="Frac_BAT_EE">'Parameters, country spec'!#REF!</definedName>
    <definedName name="Frac_BAT_ES">'Parameters, country spec'!$K$67</definedName>
    <definedName name="Frac_BAT_FI">'Parameters, country spec'!#REF!</definedName>
    <definedName name="Frac_BAT_FR">'Parameters, country spec'!$C$67</definedName>
    <definedName name="Frac_BAT_GB">'Parameters, country spec'!#REF!</definedName>
    <definedName name="Frac_BAT_GR">'Parameters, country spec'!$E$67</definedName>
    <definedName name="Frac_BAT_HR">'Parameters, country spec'!#REF!</definedName>
    <definedName name="Frac_BAT_HU">'Parameters, country spec'!$F$67</definedName>
    <definedName name="Frac_BAT_IE">'Parameters, country spec'!$G$67</definedName>
    <definedName name="Frac_BAT_IT">'Parameters, country spec'!$H$67</definedName>
    <definedName name="Frac_BAT_LT">'Parameters, country spec'!#REF!</definedName>
    <definedName name="Frac_BAT_LV">'Parameters, country spec'!#REF!</definedName>
    <definedName name="Frac_BAT_MT">'Parameters, country spec'!#REF!</definedName>
    <definedName name="Frac_BAT_NL">'Parameters, country spec'!$I$67</definedName>
    <definedName name="Frac_BAT_PL">'Parameters, country spec'!$J$67</definedName>
    <definedName name="Frac_BAT_PT">'Parameters, country spec'!#REF!</definedName>
    <definedName name="Frac_BAT_RO">'Parameters, country spec'!#REF!</definedName>
    <definedName name="Frac_BAT_SE">'Parameters, country spec'!$L$67</definedName>
    <definedName name="Frac_BAT_SI">'Parameters, country spec'!#REF!</definedName>
    <definedName name="Frac_BAT_SK">'Parameters, country spec'!#REF!</definedName>
    <definedName name="Frac_BAT_TH">'Parameters, country spec'!#REF!</definedName>
    <definedName name="Frac_BAT_US">'Parameters, country spec'!#REF!</definedName>
    <definedName name="GBughter_el_AT">'Parameters, country spec'!#REF!</definedName>
    <definedName name="GRAT">'Parameters, country spec'!$E$61</definedName>
    <definedName name="Manure_repl_factor_AT">'Parameters, country spec'!#REF!</definedName>
    <definedName name="Manure_repl_factor_BE">'Parameters, country spec'!#REF!</definedName>
    <definedName name="Manure_repl_factor_BG">'Parameters, country spec'!#REF!</definedName>
    <definedName name="Manure_repl_factor_BR">'Parameters, country spec'!#REF!</definedName>
    <definedName name="Manure_repl_factor_CY">'Parameters, country spec'!#REF!</definedName>
    <definedName name="Manure_repl_factor_CZ">'Parameters, country spec'!#REF!</definedName>
    <definedName name="Manure_repl_factor_DE">'Parameters, country spec'!$D$77</definedName>
    <definedName name="Manure_repl_factor_DK">'Parameters, country spec'!$B$77</definedName>
    <definedName name="Manure_repl_factor_EE">'Parameters, country spec'!#REF!</definedName>
    <definedName name="Manure_repl_factor_ES">'Parameters, country spec'!$K$77</definedName>
    <definedName name="Manure_repl_factor_FI">'Parameters, country spec'!#REF!</definedName>
    <definedName name="Manure_repl_factor_FR">'Parameters, country spec'!$C$77</definedName>
    <definedName name="Manure_repl_factor_GB">'Parameters, country spec'!#REF!</definedName>
    <definedName name="Manure_repl_factor_GR">'Parameters, country spec'!$E$77</definedName>
    <definedName name="Manure_repl_factor_HR">'Parameters, country spec'!#REF!</definedName>
    <definedName name="Manure_repl_factor_HU">'Parameters, country spec'!$F$77</definedName>
    <definedName name="Manure_repl_factor_IE">'Parameters, country spec'!$G$77</definedName>
    <definedName name="Manure_repl_factor_IT">'Parameters, country spec'!$H$77</definedName>
    <definedName name="Manure_repl_factor_LT">'Parameters, country spec'!#REF!</definedName>
    <definedName name="Manure_repl_factor_LV">'Parameters, country spec'!#REF!</definedName>
    <definedName name="Manure_repl_factor_MT">'Parameters, country spec'!#REF!</definedName>
    <definedName name="Manure_repl_factor_NL">'Parameters, country spec'!$I$77</definedName>
    <definedName name="Manure_repl_factor_PL">'Parameters, country spec'!$J$77</definedName>
    <definedName name="Manure_repl_factor_PT">'Parameters, country spec'!#REF!</definedName>
    <definedName name="Manure_repl_factor_RO">'Parameters, country spec'!#REF!</definedName>
    <definedName name="Manure_repl_factor_SE">'Parameters, country spec'!$L$77</definedName>
    <definedName name="Manure_repl_factor_SI">'Parameters, country spec'!#REF!</definedName>
    <definedName name="Manure_repl_factor_SK">'Parameters, country spec'!#REF!</definedName>
    <definedName name="Manure_repl_factor_TH">'Parameters, country spec'!#REF!</definedName>
    <definedName name="Manure_repl_factor_US">'Parameters, country spec'!#REF!</definedName>
    <definedName name="NH3_per_kg_DE">Manure!$M$142</definedName>
    <definedName name="NH3_per_kg_DK">Manure!$E$142</definedName>
    <definedName name="NH3_per_kg_ES">Manure!$AO$142</definedName>
    <definedName name="NH3_per_kg_FR">Manure!$I$142</definedName>
    <definedName name="NH3_per_kg_GR">Manure!$Q$142</definedName>
    <definedName name="NH3_per_kg_HU">Manure!$U$142</definedName>
    <definedName name="NH3_per_kg_IE">Manure!$Y$142</definedName>
    <definedName name="NH3_per_kg_IT">Manure!$AC$142</definedName>
    <definedName name="NH3_per_kg_NL">Manure!$AG$142</definedName>
    <definedName name="NH3_per_kg_PL">Manure!$AK$142</definedName>
    <definedName name="NH3_per_kg_SE">Manure!$AS$142</definedName>
    <definedName name="No_boars_DE">Production!$D$7</definedName>
    <definedName name="No_boars_DK">Production!$B$7</definedName>
    <definedName name="No_boars_ES">Production!$K$7</definedName>
    <definedName name="No_boars_FR">Production!$C$7</definedName>
    <definedName name="No_boars_GR">Production!$E$7</definedName>
    <definedName name="No_boars_HU">Production!$F$7</definedName>
    <definedName name="No_boars_IE">Production!$G$7</definedName>
    <definedName name="No_boars_IT">Production!$H$7</definedName>
    <definedName name="No_boars_NL">Production!$I$7</definedName>
    <definedName name="No_boars_PL">Production!$J$7</definedName>
    <definedName name="No_boars_SE">Production!$L$7</definedName>
    <definedName name="No_fattening_pigs_DE">Production!$D$8</definedName>
    <definedName name="No_fattening_pigs_DK">Production!$B$8</definedName>
    <definedName name="No_fattening_pigs_ES">Production!$K$8</definedName>
    <definedName name="No_fattening_pigs_FR">Production!$C$8</definedName>
    <definedName name="No_fattening_pigs_GR">Production!$E$8</definedName>
    <definedName name="No_fattening_pigs_HU">Production!$F$8</definedName>
    <definedName name="No_fattening_pigs_IE">Production!$G$8</definedName>
    <definedName name="No_fattening_pigs_IT">Production!$H$8</definedName>
    <definedName name="No_fattening_pigs_NL">Production!$I$8</definedName>
    <definedName name="No_fattening_pigs_PL">Production!$J$8</definedName>
    <definedName name="No_fattening_pigs_SE">Production!$L$8</definedName>
    <definedName name="No_piglets_DE">Production!$D$9</definedName>
    <definedName name="No_piglets_DK">Production!$B$9</definedName>
    <definedName name="No_piglets_ES">Production!$K$9</definedName>
    <definedName name="No_piglets_FR">Production!$C$9</definedName>
    <definedName name="No_piglets_GR">Production!$E$9</definedName>
    <definedName name="No_piglets_HU">Production!$F$9</definedName>
    <definedName name="No_piglets_IE">Production!$G$9</definedName>
    <definedName name="No_piglets_IT">Production!$H$9</definedName>
    <definedName name="No_piglets_NL">Production!$I$9</definedName>
    <definedName name="No_piglets_PL">Production!$J$9</definedName>
    <definedName name="No_piglets_SE">Production!$L$9</definedName>
    <definedName name="No_recruit_sows_DE">Production!$D$6</definedName>
    <definedName name="No_recruit_sows_DK">Production!$B$6</definedName>
    <definedName name="No_recruit_sows_ES">Production!$K$6</definedName>
    <definedName name="No_recruit_sows_FR">Production!$C$6</definedName>
    <definedName name="No_recruit_sows_GR">Production!$E$6</definedName>
    <definedName name="No_recruit_sows_HU">Production!$F$6</definedName>
    <definedName name="No_recruit_sows_IE">Production!$G$6</definedName>
    <definedName name="No_recruit_sows_IT">Production!$H$6</definedName>
    <definedName name="No_recruit_sows_NL">Production!$I$6</definedName>
    <definedName name="No_recruit_sows_PL">Production!$J$6</definedName>
    <definedName name="No_recruit_sows_SE">Production!$L$6</definedName>
    <definedName name="No_sows_DE">Production!$D$5</definedName>
    <definedName name="No_sows_DK">Production!$B$5</definedName>
    <definedName name="No_sows_ES">Production!$K$5</definedName>
    <definedName name="No_sows_FR">Production!$C$5</definedName>
    <definedName name="No_sows_GR">Production!$E$5</definedName>
    <definedName name="No_sows_HU">Production!$F$5</definedName>
    <definedName name="No_sows_IE">Production!$G$5</definedName>
    <definedName name="No_sows_IT">Production!$H$5</definedName>
    <definedName name="No_sows_NL">Production!$I$5</definedName>
    <definedName name="No_sows_PL">Production!$J$5</definedName>
    <definedName name="No_sows_SE">Production!$L$5</definedName>
    <definedName name="Share_biofuels_AT">'Parameters, country spec'!#REF!</definedName>
    <definedName name="Share_biofuels_BE">'Parameters, country spec'!#REF!</definedName>
    <definedName name="Share_biofuels_BG">'Parameters, country spec'!#REF!</definedName>
    <definedName name="Share_biofuels_BR">'Parameters, country spec'!#REF!</definedName>
    <definedName name="Share_biofuels_CY">'Parameters, country spec'!#REF!</definedName>
    <definedName name="Share_biofuels_CZ">'Parameters, country spec'!#REF!</definedName>
    <definedName name="Share_biofuels_DE">'Parameters, country spec'!$D$51</definedName>
    <definedName name="Share_biofuels_DK">'Parameters, country spec'!$B$51</definedName>
    <definedName name="Share_biofuels_EE">'Parameters, country spec'!#REF!</definedName>
    <definedName name="Share_biofuels_ES">'Parameters, country spec'!$K$51</definedName>
    <definedName name="Share_biofuels_FI">'Parameters, country spec'!#REF!</definedName>
    <definedName name="Share_biofuels_FR">'Parameters, country spec'!$C$51</definedName>
    <definedName name="Share_biofuels_GB">'Parameters, country spec'!#REF!</definedName>
    <definedName name="Share_biofuels_GR">'Parameters, country spec'!$E$51</definedName>
    <definedName name="Share_biofuels_HR">'Parameters, country spec'!#REF!</definedName>
    <definedName name="Share_biofuels_HU">'Parameters, country spec'!$F$51</definedName>
    <definedName name="Share_biofuels_IE">'Parameters, country spec'!$G$51</definedName>
    <definedName name="Share_biofuels_IT">'Parameters, country spec'!$H$51</definedName>
    <definedName name="Share_biofuels_LT">'Parameters, country spec'!#REF!</definedName>
    <definedName name="Share_biofuels_LV">'Parameters, country spec'!#REF!</definedName>
    <definedName name="Share_biofuels_MT">'Parameters, country spec'!#REF!</definedName>
    <definedName name="Share_biofuels_NL">'Parameters, country spec'!$I$51</definedName>
    <definedName name="Share_biofuels_PL">'Parameters, country spec'!$J$51</definedName>
    <definedName name="Share_biofuels_PT">'Parameters, country spec'!#REF!</definedName>
    <definedName name="Share_biofuels_RO">'Parameters, country spec'!#REF!</definedName>
    <definedName name="Share_biofuels_SE">'Parameters, country spec'!$L$51</definedName>
    <definedName name="Share_biofuels_SI">'Parameters, country spec'!#REF!</definedName>
    <definedName name="Share_biofuels_SK">'Parameters, country spec'!#REF!</definedName>
    <definedName name="Share_biofuels_TH">'Parameters, country spec'!#REF!</definedName>
    <definedName name="Share_biofuels_US">'Parameters, country spec'!#REF!</definedName>
    <definedName name="Share_heating_AT">'Parameters, country spec'!#REF!</definedName>
    <definedName name="Share_heating_BE">'Parameters, country spec'!#REF!</definedName>
    <definedName name="Share_heating_BG">'Parameters, country spec'!#REF!</definedName>
    <definedName name="Share_heating_BR">'Parameters, country spec'!#REF!</definedName>
    <definedName name="Share_heating_CY">'Parameters, country spec'!#REF!</definedName>
    <definedName name="Share_heating_CZ">'Parameters, country spec'!#REF!</definedName>
    <definedName name="Share_heating_DE">'Parameters, country spec'!$D$50</definedName>
    <definedName name="Share_heating_DK">'Parameters, country spec'!$B$50</definedName>
    <definedName name="Share_heating_EE">'Parameters, country spec'!#REF!</definedName>
    <definedName name="Share_heating_ES">'Parameters, country spec'!$K$50</definedName>
    <definedName name="Share_heating_FI">'Parameters, country spec'!#REF!</definedName>
    <definedName name="Share_heating_FR">'Parameters, country spec'!$C$50</definedName>
    <definedName name="Share_heating_GB">'Parameters, country spec'!#REF!</definedName>
    <definedName name="Share_heating_GR">'Parameters, country spec'!$E$50</definedName>
    <definedName name="Share_heating_HR">'Parameters, country spec'!#REF!</definedName>
    <definedName name="Share_heating_HU">'Parameters, country spec'!$F$50</definedName>
    <definedName name="Share_heating_IE">'Parameters, country spec'!$G$50</definedName>
    <definedName name="Share_heating_IT">'Parameters, country spec'!$H$50</definedName>
    <definedName name="Share_heating_LT">'Parameters, country spec'!#REF!</definedName>
    <definedName name="Share_heating_LV">'Parameters, country spec'!#REF!</definedName>
    <definedName name="Share_heating_MT">'Parameters, country spec'!#REF!</definedName>
    <definedName name="Share_heating_NL">'Parameters, country spec'!$I$50</definedName>
    <definedName name="Share_heating_PL">'Parameters, country spec'!$J$50</definedName>
    <definedName name="Share_heating_PT">'Parameters, country spec'!#REF!</definedName>
    <definedName name="Share_heating_RO">'Parameters, country spec'!#REF!</definedName>
    <definedName name="Share_heating_SE">'Parameters, country spec'!$L$50</definedName>
    <definedName name="Share_heating_SI">'Parameters, country spec'!#REF!</definedName>
    <definedName name="Share_heating_SK">'Parameters, country spec'!#REF!</definedName>
    <definedName name="Share_heating_TH">'Parameters, country spec'!#REF!</definedName>
    <definedName name="Share_heating_US">'Parameters, country spec'!#REF!</definedName>
    <definedName name="Slaughter_age_AT">'Parameters, country spec'!#REF!</definedName>
    <definedName name="Slaughter_age_BE">'Parameters, country spec'!#REF!</definedName>
    <definedName name="Slaughter_age_BG">'Parameters, country spec'!#REF!</definedName>
    <definedName name="Slaughter_age_BR">'Parameters, country spec'!#REF!</definedName>
    <definedName name="Slaughter_age_CY">'Parameters, country spec'!#REF!</definedName>
    <definedName name="Slaughter_age_CZ">'Parameters, country spec'!#REF!</definedName>
    <definedName name="Slaughter_age_DE">'Parameters, country spec'!#REF!</definedName>
    <definedName name="Slaughter_age_DK">'Parameters, country spec'!#REF!</definedName>
    <definedName name="Slaughter_age_EE">'Parameters, country spec'!#REF!</definedName>
    <definedName name="Slaughter_age_ES">'Parameters, country spec'!#REF!</definedName>
    <definedName name="Slaughter_age_FI">'Parameters, country spec'!#REF!</definedName>
    <definedName name="Slaughter_age_FR">'Parameters, country spec'!#REF!</definedName>
    <definedName name="Slaughter_age_GB">'Parameters, country spec'!#REF!</definedName>
    <definedName name="Slaughter_age_GR">'Parameters, country spec'!#REF!</definedName>
    <definedName name="Slaughter_age_HR">'Parameters, country spec'!#REF!</definedName>
    <definedName name="Slaughter_age_HU">'Parameters, country spec'!#REF!</definedName>
    <definedName name="Slaughter_age_IE">'Parameters, country spec'!#REF!</definedName>
    <definedName name="Slaughter_age_IT">'Parameters, country spec'!#REF!</definedName>
    <definedName name="Slaughter_age_LT">'Parameters, country spec'!#REF!</definedName>
    <definedName name="Slaughter_age_LV">'Parameters, country spec'!#REF!</definedName>
    <definedName name="Slaughter_age_MT">'Parameters, country spec'!#REF!</definedName>
    <definedName name="Slaughter_age_NL">'Parameters, country spec'!#REF!</definedName>
    <definedName name="Slaughter_age_PL">'Parameters, country spec'!#REF!</definedName>
    <definedName name="Slaughter_age_PT">'Parameters, country spec'!#REF!</definedName>
    <definedName name="Slaughter_age_RO">'Parameters, country spec'!#REF!</definedName>
    <definedName name="Slaughter_age_SE">'Parameters, country spec'!#REF!</definedName>
    <definedName name="Slaughter_age_SI">'Parameters, country spec'!#REF!</definedName>
    <definedName name="Slaughter_age_SK">'Parameters, country spec'!#REF!</definedName>
    <definedName name="Slaughter_age_TH">'Parameters, country spec'!#REF!</definedName>
    <definedName name="Slaughter_age_US">'Parameters, country spec'!#REF!</definedName>
    <definedName name="Slaughter_duration_class">'Parameters, general'!$B$20</definedName>
    <definedName name="Time_fattening_days_DE">'Parameters, country spec'!$D$5</definedName>
    <definedName name="Time_fattening_days_DK">'Parameters, country spec'!$B$5</definedName>
    <definedName name="Time_fattening_days_ES">'Parameters, country spec'!$K$5</definedName>
    <definedName name="Time_fattening_days_FR">'Parameters, country spec'!$C$5</definedName>
    <definedName name="Time_fattening_days_GR">'Parameters, country spec'!$E$5</definedName>
    <definedName name="Time_fattening_days_HU">'Parameters, country spec'!$F$5</definedName>
    <definedName name="Time_fattening_days_IE">'Parameters, country spec'!$G$5</definedName>
    <definedName name="Time_fattening_days_IT">'Parameters, country spec'!$H$5</definedName>
    <definedName name="Time_fattening_days_NL">'Parameters, country spec'!$I$5</definedName>
    <definedName name="Time_fattening_days_PL">'Parameters, country spec'!$J$5</definedName>
    <definedName name="Time_fattening_days_SE">'Parameters, country spec'!$L$5</definedName>
    <definedName name="Time_to_weaning_SE">'Parameters, country spec'!$L$14</definedName>
    <definedName name="Water_stables_AT">'Parameters, country spec'!#REF!</definedName>
    <definedName name="Water_stables_BE">'Parameters, country spec'!#REF!</definedName>
    <definedName name="Water_stables_BG">'Parameters, country spec'!#REF!</definedName>
    <definedName name="Water_stables_BR">'Parameters, country spec'!#REF!</definedName>
    <definedName name="Water_stables_CY">'Parameters, country spec'!#REF!</definedName>
    <definedName name="Water_stables_CZ">'Parameters, country spec'!#REF!</definedName>
    <definedName name="Water_stables_DE">'Parameters, country spec'!$D$80</definedName>
    <definedName name="Water_stables_DK">'Parameters, country spec'!$B$80</definedName>
    <definedName name="Water_stables_EE">'Parameters, country spec'!#REF!</definedName>
    <definedName name="Water_stables_ES">'Parameters, country spec'!$K$80</definedName>
    <definedName name="Water_stables_FI">'Parameters, country spec'!#REF!</definedName>
    <definedName name="Water_stables_FR">'Parameters, country spec'!$C$80</definedName>
    <definedName name="Water_stables_GB">'Parameters, country spec'!#REF!</definedName>
    <definedName name="Water_stables_GR">'Parameters, country spec'!$E$80</definedName>
    <definedName name="Water_stables_HR">'Parameters, country spec'!#REF!</definedName>
    <definedName name="Water_stables_HU">'Parameters, country spec'!$F$80</definedName>
    <definedName name="Water_stables_IE">'Parameters, country spec'!$G$80</definedName>
    <definedName name="Water_stables_IT">'Parameters, country spec'!$H$80</definedName>
    <definedName name="Water_stables_LT">'Parameters, country spec'!#REF!</definedName>
    <definedName name="Water_stables_LV">'Parameters, country spec'!#REF!</definedName>
    <definedName name="Water_stables_MT">'Parameters, country spec'!#REF!</definedName>
    <definedName name="Water_stables_NL">'Parameters, country spec'!$I$80</definedName>
    <definedName name="Water_stables_PL">'Parameters, country spec'!$J$80</definedName>
    <definedName name="Water_stables_PT">'Parameters, country spec'!#REF!</definedName>
    <definedName name="Water_stables_RO">'Parameters, country spec'!#REF!</definedName>
    <definedName name="Water_stables_SE">'Parameters, country spec'!$L$80</definedName>
    <definedName name="Water_stables_SI">'Parameters, country spec'!#REF!</definedName>
    <definedName name="Water_stables_SK">'Parameters, country spec'!#REF!</definedName>
    <definedName name="Water_stables_TH">'Parameters, country spec'!#REF!</definedName>
    <definedName name="Water_stables_US">'Parameters, country spec'!#REF!</definedName>
    <definedName name="Weight_ability_to_perceive_handling">'Parameters, general'!$B$23</definedName>
    <definedName name="Weight_diseases">'Parameters, general'!$B$25</definedName>
    <definedName name="Weight_mortality">'Parameters, general'!$B$24</definedName>
    <definedName name="Weight_no_of_animal">'Parameters, general'!$B$22</definedName>
    <definedName name="Weight_slaughter_duration_class">'Parameters, general'!$B$27</definedName>
    <definedName name="Weight_space">'Parameters, general'!$B$26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7" l="1"/>
  <c r="Q16" i="17"/>
  <c r="Q15" i="17"/>
  <c r="Q14" i="17"/>
  <c r="Q13" i="17"/>
  <c r="Q12" i="17"/>
  <c r="Q11" i="17"/>
  <c r="Q10" i="17"/>
  <c r="Q9" i="17"/>
  <c r="Q8" i="17"/>
  <c r="Q7" i="17"/>
  <c r="L7" i="17"/>
  <c r="M7" i="17"/>
  <c r="N7" i="17"/>
  <c r="P7" i="17"/>
  <c r="R7" i="17"/>
  <c r="L8" i="17"/>
  <c r="M8" i="17"/>
  <c r="N8" i="17"/>
  <c r="P8" i="17"/>
  <c r="R8" i="17"/>
  <c r="L9" i="17"/>
  <c r="M9" i="17"/>
  <c r="N9" i="17"/>
  <c r="P9" i="17"/>
  <c r="R9" i="17"/>
  <c r="L10" i="17"/>
  <c r="M10" i="17"/>
  <c r="N10" i="17"/>
  <c r="P10" i="17"/>
  <c r="R10" i="17"/>
  <c r="L11" i="17"/>
  <c r="M11" i="17"/>
  <c r="N11" i="17"/>
  <c r="P11" i="17"/>
  <c r="R11" i="17"/>
  <c r="L12" i="17"/>
  <c r="M12" i="17"/>
  <c r="N12" i="17"/>
  <c r="P12" i="17"/>
  <c r="R12" i="17"/>
  <c r="L13" i="17"/>
  <c r="M13" i="17"/>
  <c r="N13" i="17"/>
  <c r="P13" i="17"/>
  <c r="R13" i="17"/>
  <c r="L14" i="17"/>
  <c r="M14" i="17"/>
  <c r="N14" i="17"/>
  <c r="P14" i="17"/>
  <c r="R14" i="17"/>
  <c r="L15" i="17"/>
  <c r="M15" i="17"/>
  <c r="N15" i="17"/>
  <c r="P15" i="17"/>
  <c r="R15" i="17"/>
  <c r="L16" i="17"/>
  <c r="M16" i="17"/>
  <c r="N16" i="17"/>
  <c r="P16" i="17"/>
  <c r="R16" i="17"/>
  <c r="L17" i="17"/>
  <c r="M17" i="17"/>
  <c r="N17" i="17"/>
  <c r="P17" i="17"/>
  <c r="R17" i="17"/>
  <c r="M12" i="23"/>
  <c r="M17" i="23" s="1"/>
  <c r="M22" i="23" s="1"/>
  <c r="M6" i="23"/>
  <c r="M90" i="4"/>
  <c r="M73" i="4"/>
  <c r="M58" i="4"/>
  <c r="M33" i="4"/>
  <c r="M18" i="4"/>
  <c r="M91" i="4" s="1"/>
  <c r="M17" i="4"/>
  <c r="M16" i="4"/>
  <c r="M9" i="23" s="1"/>
  <c r="M11" i="4"/>
  <c r="M27" i="23" l="1"/>
  <c r="M32" i="23"/>
  <c r="M8" i="23"/>
  <c r="M92" i="4"/>
  <c r="M14" i="23" l="1"/>
  <c r="M29" i="23" l="1"/>
  <c r="M19" i="23"/>
  <c r="M24" i="23" l="1"/>
  <c r="M34" i="23" l="1"/>
  <c r="L17" i="4" l="1"/>
  <c r="M7" i="23" s="1"/>
  <c r="M13" i="23" l="1"/>
  <c r="M10" i="23"/>
  <c r="M91" i="16"/>
  <c r="M92" i="16"/>
  <c r="M93" i="16"/>
  <c r="M94" i="16"/>
  <c r="M95" i="16"/>
  <c r="M96" i="16"/>
  <c r="M97" i="16"/>
  <c r="M98" i="16"/>
  <c r="M99" i="16"/>
  <c r="M100" i="16"/>
  <c r="M90" i="16"/>
  <c r="M78" i="16"/>
  <c r="Q91" i="14"/>
  <c r="Q92" i="14"/>
  <c r="Q93" i="14"/>
  <c r="Q94" i="14"/>
  <c r="Q95" i="14"/>
  <c r="Q96" i="14"/>
  <c r="Q97" i="14"/>
  <c r="Q98" i="14"/>
  <c r="Q99" i="14"/>
  <c r="Q100" i="14"/>
  <c r="Q90" i="14"/>
  <c r="Q78" i="14"/>
  <c r="Q91" i="15"/>
  <c r="Q92" i="15"/>
  <c r="Q93" i="15"/>
  <c r="Q94" i="15"/>
  <c r="Q95" i="15"/>
  <c r="Q96" i="15"/>
  <c r="Q97" i="15"/>
  <c r="Q98" i="15"/>
  <c r="Q99" i="15"/>
  <c r="Q100" i="15"/>
  <c r="Q90" i="15"/>
  <c r="Q78" i="15"/>
  <c r="Q91" i="2"/>
  <c r="Q92" i="2"/>
  <c r="Q93" i="2"/>
  <c r="Q94" i="2"/>
  <c r="Q95" i="2"/>
  <c r="Q96" i="2"/>
  <c r="Q97" i="2"/>
  <c r="Q98" i="2"/>
  <c r="Q99" i="2"/>
  <c r="Q100" i="2"/>
  <c r="Q90" i="2"/>
  <c r="Q78" i="2"/>
  <c r="W33" i="13"/>
  <c r="W32" i="13"/>
  <c r="W31" i="13"/>
  <c r="I58" i="4"/>
  <c r="M28" i="23" l="1"/>
  <c r="M30" i="23" s="1"/>
  <c r="M18" i="23"/>
  <c r="M15" i="23"/>
  <c r="I90" i="4"/>
  <c r="L90" i="4"/>
  <c r="M23" i="23" l="1"/>
  <c r="M20" i="23"/>
  <c r="I73" i="4"/>
  <c r="AO8" i="25"/>
  <c r="AM8" i="25"/>
  <c r="AL8" i="25"/>
  <c r="AK8" i="25"/>
  <c r="AI8" i="25"/>
  <c r="AH8" i="25"/>
  <c r="AG8" i="25"/>
  <c r="AE8" i="25"/>
  <c r="AD8" i="25"/>
  <c r="AC8" i="25"/>
  <c r="AA8" i="25"/>
  <c r="Z8" i="25"/>
  <c r="Y8" i="25"/>
  <c r="W8" i="25"/>
  <c r="V8" i="25"/>
  <c r="U8" i="25"/>
  <c r="S8" i="25"/>
  <c r="R8" i="25"/>
  <c r="Q8" i="25"/>
  <c r="O8" i="25"/>
  <c r="N8" i="25"/>
  <c r="M8" i="25"/>
  <c r="K8" i="25"/>
  <c r="J8" i="25"/>
  <c r="I8" i="25"/>
  <c r="G8" i="25"/>
  <c r="F8" i="25"/>
  <c r="C11" i="4"/>
  <c r="D11" i="4"/>
  <c r="E11" i="4"/>
  <c r="F11" i="4"/>
  <c r="G11" i="4"/>
  <c r="H11" i="4"/>
  <c r="I11" i="4"/>
  <c r="J11" i="4"/>
  <c r="K11" i="4"/>
  <c r="C16" i="4"/>
  <c r="C9" i="23" s="1"/>
  <c r="D16" i="4"/>
  <c r="E16" i="4"/>
  <c r="F16" i="4"/>
  <c r="G16" i="4"/>
  <c r="H16" i="4"/>
  <c r="I16" i="4"/>
  <c r="J16" i="4"/>
  <c r="K16" i="4"/>
  <c r="K9" i="23" s="1"/>
  <c r="C17" i="4"/>
  <c r="D17" i="4"/>
  <c r="E17" i="4"/>
  <c r="F17" i="4"/>
  <c r="G17" i="4"/>
  <c r="H17" i="4"/>
  <c r="I17" i="4"/>
  <c r="J17" i="4"/>
  <c r="K17" i="4"/>
  <c r="C18" i="4"/>
  <c r="D18" i="4"/>
  <c r="E18" i="4"/>
  <c r="E12" i="23" s="1"/>
  <c r="E27" i="23" s="1"/>
  <c r="F18" i="4"/>
  <c r="F12" i="23" s="1"/>
  <c r="F27" i="23" s="1"/>
  <c r="G18" i="4"/>
  <c r="G12" i="23" s="1"/>
  <c r="G27" i="23" s="1"/>
  <c r="H18" i="4"/>
  <c r="I18" i="4"/>
  <c r="I91" i="4" s="1"/>
  <c r="J18" i="4"/>
  <c r="J12" i="23" s="1"/>
  <c r="J17" i="23" s="1"/>
  <c r="J22" i="23" s="1"/>
  <c r="K18" i="4"/>
  <c r="B18" i="4"/>
  <c r="B17" i="4"/>
  <c r="B16" i="4"/>
  <c r="B11" i="4"/>
  <c r="E8" i="25"/>
  <c r="C8" i="25"/>
  <c r="B8" i="25"/>
  <c r="C6" i="23"/>
  <c r="D6" i="23"/>
  <c r="E6" i="23"/>
  <c r="F6" i="23"/>
  <c r="G6" i="23"/>
  <c r="H6" i="23"/>
  <c r="I6" i="23"/>
  <c r="J6" i="23"/>
  <c r="K6" i="23"/>
  <c r="C7" i="23"/>
  <c r="D7" i="23"/>
  <c r="D13" i="23" s="1"/>
  <c r="E7" i="23"/>
  <c r="F7" i="23"/>
  <c r="G7" i="23"/>
  <c r="H7" i="23"/>
  <c r="H13" i="23" s="1"/>
  <c r="H18" i="23" s="1"/>
  <c r="H23" i="23" s="1"/>
  <c r="I7" i="23"/>
  <c r="J7" i="23"/>
  <c r="J13" i="23" s="1"/>
  <c r="K7" i="23"/>
  <c r="D9" i="23"/>
  <c r="E9" i="23"/>
  <c r="F9" i="23"/>
  <c r="G9" i="23"/>
  <c r="H9" i="23"/>
  <c r="I9" i="23"/>
  <c r="J9" i="23"/>
  <c r="C12" i="23"/>
  <c r="C17" i="23" s="1"/>
  <c r="D12" i="23"/>
  <c r="D17" i="23" s="1"/>
  <c r="H12" i="23"/>
  <c r="I12" i="23"/>
  <c r="K12" i="23"/>
  <c r="K17" i="23" s="1"/>
  <c r="B12" i="23"/>
  <c r="B9" i="23"/>
  <c r="B7" i="23"/>
  <c r="B13" i="23" s="1"/>
  <c r="B28" i="23" s="1"/>
  <c r="B6" i="23"/>
  <c r="L6" i="23"/>
  <c r="B27" i="23" l="1"/>
  <c r="I13" i="23"/>
  <c r="M33" i="23"/>
  <c r="M35" i="23" s="1"/>
  <c r="M25" i="23"/>
  <c r="D8" i="23"/>
  <c r="D14" i="23" s="1"/>
  <c r="D15" i="23" s="1"/>
  <c r="AD42" i="25"/>
  <c r="AD47" i="25" s="1"/>
  <c r="AD52" i="25" s="1"/>
  <c r="AP23" i="25"/>
  <c r="AP28" i="25" s="1"/>
  <c r="K8" i="23"/>
  <c r="K83" i="4" s="1"/>
  <c r="J8" i="23"/>
  <c r="J83" i="4" s="1"/>
  <c r="C8" i="23"/>
  <c r="C14" i="23" s="1"/>
  <c r="C19" i="23" s="1"/>
  <c r="C24" i="23" s="1"/>
  <c r="E8" i="23"/>
  <c r="E10" i="23" s="1"/>
  <c r="K27" i="23"/>
  <c r="D83" i="4"/>
  <c r="F23" i="25"/>
  <c r="F28" i="25" s="1"/>
  <c r="F41" i="25"/>
  <c r="F46" i="25" s="1"/>
  <c r="B23" i="25"/>
  <c r="B28" i="25" s="1"/>
  <c r="AH40" i="25"/>
  <c r="AH45" i="25" s="1"/>
  <c r="F25" i="25"/>
  <c r="F30" i="25" s="1"/>
  <c r="B25" i="25"/>
  <c r="B30" i="25" s="1"/>
  <c r="F42" i="25"/>
  <c r="F47" i="25" s="1"/>
  <c r="R41" i="25"/>
  <c r="R46" i="25" s="1"/>
  <c r="R51" i="25" s="1"/>
  <c r="J24" i="25"/>
  <c r="J29" i="25" s="1"/>
  <c r="V25" i="25"/>
  <c r="V30" i="25" s="1"/>
  <c r="AD24" i="25"/>
  <c r="AD29" i="25" s="1"/>
  <c r="V40" i="25"/>
  <c r="V45" i="25" s="1"/>
  <c r="V50" i="25" s="1"/>
  <c r="V62" i="25" s="1"/>
  <c r="V67" i="25" s="1"/>
  <c r="Z40" i="25"/>
  <c r="Z45" i="25" s="1"/>
  <c r="Z42" i="25"/>
  <c r="Z47" i="25" s="1"/>
  <c r="Z52" i="25" s="1"/>
  <c r="Z64" i="25" s="1"/>
  <c r="Z69" i="25" s="1"/>
  <c r="AH23" i="25"/>
  <c r="AH28" i="25" s="1"/>
  <c r="AH25" i="25"/>
  <c r="AH30" i="25" s="1"/>
  <c r="AL23" i="25"/>
  <c r="AL28" i="25" s="1"/>
  <c r="AL25" i="25"/>
  <c r="AL30" i="25" s="1"/>
  <c r="AL41" i="25"/>
  <c r="AL46" i="25" s="1"/>
  <c r="J25" i="25"/>
  <c r="J30" i="25" s="1"/>
  <c r="J41" i="25"/>
  <c r="J46" i="25" s="1"/>
  <c r="J51" i="25" s="1"/>
  <c r="R24" i="25"/>
  <c r="R29" i="25" s="1"/>
  <c r="Z24" i="25"/>
  <c r="Z29" i="25" s="1"/>
  <c r="AD40" i="25"/>
  <c r="AD45" i="25" s="1"/>
  <c r="AD50" i="25" s="1"/>
  <c r="B41" i="25"/>
  <c r="B46" i="25" s="1"/>
  <c r="B51" i="25" s="1"/>
  <c r="N23" i="25"/>
  <c r="N28" i="25" s="1"/>
  <c r="N41" i="25"/>
  <c r="N46" i="25" s="1"/>
  <c r="N51" i="25" s="1"/>
  <c r="R25" i="25"/>
  <c r="R30" i="25" s="1"/>
  <c r="V24" i="25"/>
  <c r="V29" i="25" s="1"/>
  <c r="Z25" i="25"/>
  <c r="Z30" i="25" s="1"/>
  <c r="AH24" i="25"/>
  <c r="AH29" i="25" s="1"/>
  <c r="J40" i="25"/>
  <c r="J45" i="25" s="1"/>
  <c r="J50" i="25" s="1"/>
  <c r="J62" i="25" s="1"/>
  <c r="J67" i="25" s="1"/>
  <c r="J42" i="25"/>
  <c r="J47" i="25" s="1"/>
  <c r="J52" i="25" s="1"/>
  <c r="R23" i="25"/>
  <c r="R28" i="25" s="1"/>
  <c r="Z23" i="25"/>
  <c r="Z28" i="25" s="1"/>
  <c r="AD41" i="25"/>
  <c r="AD46" i="25" s="1"/>
  <c r="AD51" i="25" s="1"/>
  <c r="AH42" i="25"/>
  <c r="AH47" i="25" s="1"/>
  <c r="AL42" i="25"/>
  <c r="AL47" i="25" s="1"/>
  <c r="J23" i="25"/>
  <c r="J28" i="25" s="1"/>
  <c r="V41" i="25"/>
  <c r="V46" i="25" s="1"/>
  <c r="AD25" i="25"/>
  <c r="AD30" i="25" s="1"/>
  <c r="AL40" i="25"/>
  <c r="AL45" i="25" s="1"/>
  <c r="AL50" i="25" s="1"/>
  <c r="B40" i="25"/>
  <c r="B45" i="25" s="1"/>
  <c r="B42" i="25"/>
  <c r="B47" i="25" s="1"/>
  <c r="B52" i="25" s="1"/>
  <c r="B64" i="25" s="1"/>
  <c r="B69" i="25" s="1"/>
  <c r="N24" i="25"/>
  <c r="N29" i="25" s="1"/>
  <c r="N40" i="25"/>
  <c r="N45" i="25" s="1"/>
  <c r="N50" i="25" s="1"/>
  <c r="N62" i="25" s="1"/>
  <c r="N67" i="25" s="1"/>
  <c r="N42" i="25"/>
  <c r="N47" i="25" s="1"/>
  <c r="V23" i="25"/>
  <c r="V28" i="25" s="1"/>
  <c r="Z41" i="25"/>
  <c r="Z46" i="25" s="1"/>
  <c r="Z51" i="25" s="1"/>
  <c r="Z63" i="25" s="1"/>
  <c r="Z68" i="25" s="1"/>
  <c r="AL24" i="25"/>
  <c r="AL29" i="25" s="1"/>
  <c r="B24" i="25"/>
  <c r="B29" i="25" s="1"/>
  <c r="F24" i="25"/>
  <c r="F29" i="25" s="1"/>
  <c r="F40" i="25"/>
  <c r="F45" i="25" s="1"/>
  <c r="F50" i="25" s="1"/>
  <c r="N25" i="25"/>
  <c r="N30" i="25" s="1"/>
  <c r="R40" i="25"/>
  <c r="R45" i="25" s="1"/>
  <c r="R50" i="25" s="1"/>
  <c r="R42" i="25"/>
  <c r="R47" i="25" s="1"/>
  <c r="R52" i="25" s="1"/>
  <c r="R64" i="25" s="1"/>
  <c r="R69" i="25" s="1"/>
  <c r="AD23" i="25"/>
  <c r="AD28" i="25" s="1"/>
  <c r="AH41" i="25"/>
  <c r="AH46" i="25" s="1"/>
  <c r="AH51" i="25" s="1"/>
  <c r="AH63" i="25" s="1"/>
  <c r="AH68" i="25" s="1"/>
  <c r="AL51" i="25"/>
  <c r="AH50" i="25"/>
  <c r="AH62" i="25" s="1"/>
  <c r="AH67" i="25" s="1"/>
  <c r="V42" i="25"/>
  <c r="F51" i="25"/>
  <c r="I8" i="23"/>
  <c r="I83" i="4" s="1"/>
  <c r="F13" i="23"/>
  <c r="F18" i="23" s="1"/>
  <c r="G8" i="23"/>
  <c r="G10" i="23" s="1"/>
  <c r="E13" i="23"/>
  <c r="K14" i="23"/>
  <c r="K29" i="23" s="1"/>
  <c r="K10" i="23"/>
  <c r="J18" i="23"/>
  <c r="J23" i="23" s="1"/>
  <c r="J33" i="23" s="1"/>
  <c r="J28" i="23"/>
  <c r="J14" i="23"/>
  <c r="J29" i="23" s="1"/>
  <c r="J10" i="23"/>
  <c r="J27" i="23"/>
  <c r="J32" i="23" s="1"/>
  <c r="I10" i="23"/>
  <c r="G13" i="23"/>
  <c r="G18" i="23" s="1"/>
  <c r="G23" i="23" s="1"/>
  <c r="F17" i="23"/>
  <c r="F22" i="23" s="1"/>
  <c r="F32" i="23" s="1"/>
  <c r="E17" i="23"/>
  <c r="E22" i="23" s="1"/>
  <c r="D10" i="23"/>
  <c r="D27" i="23"/>
  <c r="C27" i="23"/>
  <c r="B50" i="25"/>
  <c r="B62" i="25" s="1"/>
  <c r="B67" i="25" s="1"/>
  <c r="B84" i="25" s="1"/>
  <c r="E18" i="23"/>
  <c r="E23" i="23" s="1"/>
  <c r="E28" i="23"/>
  <c r="E14" i="23"/>
  <c r="K19" i="23"/>
  <c r="K24" i="23" s="1"/>
  <c r="D29" i="23"/>
  <c r="F23" i="23"/>
  <c r="D18" i="23"/>
  <c r="D23" i="23" s="1"/>
  <c r="D28" i="23"/>
  <c r="I18" i="23"/>
  <c r="I23" i="23" s="1"/>
  <c r="I28" i="23"/>
  <c r="H28" i="23"/>
  <c r="H33" i="23" s="1"/>
  <c r="I27" i="23"/>
  <c r="I17" i="23"/>
  <c r="H8" i="23"/>
  <c r="H83" i="4" s="1"/>
  <c r="H27" i="23"/>
  <c r="D22" i="23"/>
  <c r="H17" i="23"/>
  <c r="K13" i="23"/>
  <c r="C13" i="23"/>
  <c r="K22" i="23"/>
  <c r="C22" i="23"/>
  <c r="G17" i="23"/>
  <c r="F8" i="23"/>
  <c r="F83" i="4" s="1"/>
  <c r="B17" i="23"/>
  <c r="B8" i="23"/>
  <c r="B10" i="23" s="1"/>
  <c r="B18" i="23"/>
  <c r="B23" i="23" s="1"/>
  <c r="B33" i="23" s="1"/>
  <c r="J15" i="23" l="1"/>
  <c r="AD63" i="25"/>
  <c r="AD68" i="25" s="1"/>
  <c r="G83" i="4"/>
  <c r="J19" i="23"/>
  <c r="I14" i="23"/>
  <c r="I15" i="23" s="1"/>
  <c r="M37" i="23"/>
  <c r="M40" i="23" s="1"/>
  <c r="M39" i="23"/>
  <c r="M38" i="23"/>
  <c r="C29" i="23"/>
  <c r="C10" i="23"/>
  <c r="G28" i="23"/>
  <c r="G14" i="23"/>
  <c r="G15" i="23" s="1"/>
  <c r="E83" i="4"/>
  <c r="C83" i="4"/>
  <c r="F28" i="23"/>
  <c r="F33" i="23" s="1"/>
  <c r="F10" i="23"/>
  <c r="D19" i="23"/>
  <c r="D24" i="23" s="1"/>
  <c r="D30" i="23"/>
  <c r="C15" i="23"/>
  <c r="B83" i="4"/>
  <c r="AL62" i="25"/>
  <c r="AL67" i="25" s="1"/>
  <c r="AL94" i="25" s="1"/>
  <c r="R63" i="25"/>
  <c r="R68" i="25" s="1"/>
  <c r="R95" i="25" s="1"/>
  <c r="J63" i="25"/>
  <c r="J68" i="25" s="1"/>
  <c r="J85" i="25" s="1"/>
  <c r="N52" i="25"/>
  <c r="N64" i="25" s="1"/>
  <c r="N69" i="25" s="1"/>
  <c r="N63" i="25"/>
  <c r="N68" i="25" s="1"/>
  <c r="N95" i="25" s="1"/>
  <c r="AL63" i="25"/>
  <c r="AL68" i="25" s="1"/>
  <c r="AL52" i="25"/>
  <c r="AL64" i="25" s="1"/>
  <c r="AL69" i="25" s="1"/>
  <c r="AH84" i="25"/>
  <c r="AH94" i="25"/>
  <c r="AH74" i="25"/>
  <c r="AH75" i="25"/>
  <c r="AH85" i="25"/>
  <c r="AH95" i="25"/>
  <c r="AH52" i="25"/>
  <c r="AD62" i="25"/>
  <c r="AD67" i="25" s="1"/>
  <c r="AD95" i="25"/>
  <c r="AD85" i="25"/>
  <c r="AD75" i="25"/>
  <c r="AD64" i="25"/>
  <c r="AD69" i="25" s="1"/>
  <c r="Z75" i="25"/>
  <c r="Z95" i="25"/>
  <c r="Z85" i="25"/>
  <c r="Z76" i="25"/>
  <c r="Z96" i="25"/>
  <c r="Z86" i="25"/>
  <c r="Z50" i="25"/>
  <c r="Z62" i="25" s="1"/>
  <c r="Z67" i="25" s="1"/>
  <c r="V47" i="25"/>
  <c r="V74" i="25"/>
  <c r="V84" i="25"/>
  <c r="V94" i="25"/>
  <c r="V51" i="25"/>
  <c r="V63" i="25" s="1"/>
  <c r="V68" i="25" s="1"/>
  <c r="R76" i="25"/>
  <c r="R86" i="25"/>
  <c r="R96" i="25"/>
  <c r="R62" i="25"/>
  <c r="R67" i="25" s="1"/>
  <c r="N74" i="25"/>
  <c r="N84" i="25"/>
  <c r="N94" i="25"/>
  <c r="J64" i="25"/>
  <c r="J69" i="25" s="1"/>
  <c r="J74" i="25"/>
  <c r="J84" i="25"/>
  <c r="J94" i="25"/>
  <c r="F62" i="25"/>
  <c r="F67" i="25" s="1"/>
  <c r="F63" i="25"/>
  <c r="F68" i="25" s="1"/>
  <c r="F52" i="25"/>
  <c r="F64" i="25" s="1"/>
  <c r="F69" i="25" s="1"/>
  <c r="E33" i="23"/>
  <c r="D34" i="23"/>
  <c r="K15" i="23"/>
  <c r="K34" i="23"/>
  <c r="C34" i="23"/>
  <c r="J30" i="23"/>
  <c r="I29" i="23"/>
  <c r="I30" i="23" s="1"/>
  <c r="I19" i="23"/>
  <c r="I24" i="23" s="1"/>
  <c r="B76" i="25"/>
  <c r="B86" i="25"/>
  <c r="B96" i="25"/>
  <c r="B74" i="25"/>
  <c r="B94" i="25"/>
  <c r="B63" i="25"/>
  <c r="B68" i="25" s="1"/>
  <c r="D33" i="23"/>
  <c r="J20" i="23"/>
  <c r="J24" i="23"/>
  <c r="H10" i="23"/>
  <c r="H14" i="23"/>
  <c r="G33" i="23"/>
  <c r="E19" i="23"/>
  <c r="E24" i="23" s="1"/>
  <c r="E29" i="23"/>
  <c r="E30" i="23" s="1"/>
  <c r="I22" i="23"/>
  <c r="H22" i="23"/>
  <c r="E32" i="23"/>
  <c r="I33" i="23"/>
  <c r="E15" i="23"/>
  <c r="K32" i="23"/>
  <c r="C18" i="23"/>
  <c r="C28" i="23"/>
  <c r="C30" i="23" s="1"/>
  <c r="K18" i="23"/>
  <c r="K28" i="23"/>
  <c r="K30" i="23" s="1"/>
  <c r="D20" i="23"/>
  <c r="F14" i="23"/>
  <c r="G22" i="23"/>
  <c r="D32" i="23"/>
  <c r="D25" i="23"/>
  <c r="D49" i="4" s="1"/>
  <c r="C32" i="23"/>
  <c r="B22" i="23"/>
  <c r="B14" i="23"/>
  <c r="I34" i="23" l="1"/>
  <c r="G29" i="23"/>
  <c r="G30" i="23" s="1"/>
  <c r="AL74" i="25"/>
  <c r="G19" i="23"/>
  <c r="G24" i="23" s="1"/>
  <c r="E34" i="23"/>
  <c r="E35" i="23" s="1"/>
  <c r="AL84" i="25"/>
  <c r="AL104" i="25" s="1"/>
  <c r="R75" i="25"/>
  <c r="R85" i="25"/>
  <c r="J95" i="25"/>
  <c r="J75" i="25"/>
  <c r="D35" i="23"/>
  <c r="S8" i="17" s="1"/>
  <c r="N76" i="25"/>
  <c r="N86" i="25"/>
  <c r="N96" i="25"/>
  <c r="N75" i="25"/>
  <c r="N85" i="25"/>
  <c r="AH105" i="25"/>
  <c r="AH110" i="25" s="1"/>
  <c r="AH126" i="25" s="1"/>
  <c r="Z106" i="25"/>
  <c r="Z111" i="25" s="1"/>
  <c r="Z127" i="25" s="1"/>
  <c r="B106" i="25"/>
  <c r="B111" i="25" s="1"/>
  <c r="B127" i="25" s="1"/>
  <c r="Z105" i="25"/>
  <c r="Z110" i="25" s="1"/>
  <c r="Z126" i="25" s="1"/>
  <c r="J104" i="25"/>
  <c r="J109" i="25" s="1"/>
  <c r="R106" i="25"/>
  <c r="R111" i="25" s="1"/>
  <c r="R127" i="25" s="1"/>
  <c r="AL75" i="25"/>
  <c r="AL85" i="25"/>
  <c r="AL95" i="25"/>
  <c r="AL96" i="25"/>
  <c r="AL86" i="25"/>
  <c r="AL76" i="25"/>
  <c r="AH64" i="25"/>
  <c r="AH69" i="25" s="1"/>
  <c r="AH104" i="25"/>
  <c r="AD74" i="25"/>
  <c r="AD84" i="25"/>
  <c r="AD94" i="25"/>
  <c r="AD105" i="25"/>
  <c r="AD76" i="25"/>
  <c r="AD86" i="25"/>
  <c r="AD96" i="25"/>
  <c r="Z74" i="25"/>
  <c r="Z94" i="25"/>
  <c r="Z84" i="25"/>
  <c r="V104" i="25"/>
  <c r="V52" i="25"/>
  <c r="V95" i="25"/>
  <c r="V75" i="25"/>
  <c r="V85" i="25"/>
  <c r="R74" i="25"/>
  <c r="R84" i="25"/>
  <c r="R94" i="25"/>
  <c r="N104" i="25"/>
  <c r="J76" i="25"/>
  <c r="J86" i="25"/>
  <c r="J96" i="25"/>
  <c r="F95" i="25"/>
  <c r="F75" i="25"/>
  <c r="F85" i="25"/>
  <c r="F74" i="25"/>
  <c r="F84" i="25"/>
  <c r="F94" i="25"/>
  <c r="F76" i="25"/>
  <c r="F86" i="25"/>
  <c r="F96" i="25"/>
  <c r="G20" i="23"/>
  <c r="I20" i="23"/>
  <c r="B104" i="25"/>
  <c r="B95" i="25"/>
  <c r="B75" i="25"/>
  <c r="B85" i="25"/>
  <c r="C23" i="23"/>
  <c r="C20" i="23"/>
  <c r="H32" i="23"/>
  <c r="E20" i="23"/>
  <c r="G25" i="23"/>
  <c r="G49" i="4" s="1"/>
  <c r="G32" i="23"/>
  <c r="F15" i="23"/>
  <c r="F19" i="23"/>
  <c r="F29" i="23"/>
  <c r="F30" i="23" s="1"/>
  <c r="I32" i="23"/>
  <c r="I35" i="23" s="1"/>
  <c r="S13" i="17" s="1"/>
  <c r="I25" i="23"/>
  <c r="I49" i="4" s="1"/>
  <c r="H19" i="23"/>
  <c r="H29" i="23"/>
  <c r="H30" i="23" s="1"/>
  <c r="H15" i="23"/>
  <c r="J34" i="23"/>
  <c r="J35" i="23" s="1"/>
  <c r="S14" i="17" s="1"/>
  <c r="J25" i="23"/>
  <c r="J49" i="4" s="1"/>
  <c r="K23" i="23"/>
  <c r="K20" i="23"/>
  <c r="D37" i="23"/>
  <c r="D38" i="23"/>
  <c r="D39" i="23"/>
  <c r="E25" i="23"/>
  <c r="E49" i="4" s="1"/>
  <c r="G34" i="23"/>
  <c r="B32" i="23"/>
  <c r="B29" i="23"/>
  <c r="B30" i="23" s="1"/>
  <c r="B19" i="23"/>
  <c r="B15" i="23"/>
  <c r="S9" i="17" l="1"/>
  <c r="E39" i="23"/>
  <c r="E38" i="23"/>
  <c r="R16" i="13"/>
  <c r="R105" i="25"/>
  <c r="R110" i="25" s="1"/>
  <c r="R121" i="25" s="1"/>
  <c r="N105" i="25"/>
  <c r="N110" i="25" s="1"/>
  <c r="N126" i="25" s="1"/>
  <c r="N129" i="25" s="1"/>
  <c r="J105" i="25"/>
  <c r="J110" i="25" s="1"/>
  <c r="J126" i="25" s="1"/>
  <c r="J129" i="25" s="1"/>
  <c r="N106" i="25"/>
  <c r="N111" i="25" s="1"/>
  <c r="N122" i="25" s="1"/>
  <c r="E37" i="23"/>
  <c r="J106" i="25"/>
  <c r="Z122" i="25"/>
  <c r="F106" i="25"/>
  <c r="F111" i="25" s="1"/>
  <c r="F127" i="25" s="1"/>
  <c r="B122" i="25"/>
  <c r="B105" i="25"/>
  <c r="B110" i="25" s="1"/>
  <c r="B126" i="25" s="1"/>
  <c r="R122" i="25"/>
  <c r="Z121" i="25"/>
  <c r="AH121" i="25"/>
  <c r="AL106" i="25"/>
  <c r="AL109" i="25"/>
  <c r="AL120" i="25" s="1"/>
  <c r="AL105" i="25"/>
  <c r="AH129" i="25"/>
  <c r="AH134" i="25"/>
  <c r="AH109" i="25"/>
  <c r="AH120" i="25" s="1"/>
  <c r="AH96" i="25"/>
  <c r="AH86" i="25"/>
  <c r="AH76" i="25"/>
  <c r="AD110" i="25"/>
  <c r="AD126" i="25" s="1"/>
  <c r="AD104" i="25"/>
  <c r="AD106" i="25"/>
  <c r="Z129" i="25"/>
  <c r="Z134" i="25"/>
  <c r="Z130" i="25"/>
  <c r="Z135" i="25"/>
  <c r="Z104" i="25"/>
  <c r="V109" i="25"/>
  <c r="V120" i="25" s="1"/>
  <c r="V105" i="25"/>
  <c r="V64" i="25"/>
  <c r="V69" i="25" s="1"/>
  <c r="R130" i="25"/>
  <c r="R135" i="25"/>
  <c r="R104" i="25"/>
  <c r="N109" i="25"/>
  <c r="J111" i="25"/>
  <c r="J122" i="25" s="1"/>
  <c r="J125" i="25"/>
  <c r="J120" i="25"/>
  <c r="F105" i="25"/>
  <c r="F104" i="25"/>
  <c r="D40" i="23"/>
  <c r="G35" i="23"/>
  <c r="S11" i="17" s="1"/>
  <c r="B130" i="25"/>
  <c r="B135" i="25"/>
  <c r="B109" i="25"/>
  <c r="B120" i="25" s="1"/>
  <c r="C33" i="23"/>
  <c r="C35" i="23" s="1"/>
  <c r="S7" i="17" s="1"/>
  <c r="C25" i="23"/>
  <c r="C49" i="4" s="1"/>
  <c r="H24" i="23"/>
  <c r="H20" i="23"/>
  <c r="K33" i="23"/>
  <c r="K35" i="23" s="1"/>
  <c r="S15" i="17" s="1"/>
  <c r="K25" i="23"/>
  <c r="K49" i="4" s="1"/>
  <c r="I38" i="23"/>
  <c r="I39" i="23"/>
  <c r="I37" i="23"/>
  <c r="J37" i="23"/>
  <c r="J38" i="23"/>
  <c r="J39" i="23"/>
  <c r="F24" i="23"/>
  <c r="F20" i="23"/>
  <c r="B24" i="23"/>
  <c r="B20" i="23"/>
  <c r="E40" i="23" l="1"/>
  <c r="I92" i="4"/>
  <c r="R126" i="25"/>
  <c r="R129" i="25" s="1"/>
  <c r="R40" i="13"/>
  <c r="I40" i="23"/>
  <c r="R36" i="13"/>
  <c r="N134" i="25"/>
  <c r="R20" i="13"/>
  <c r="R134" i="25"/>
  <c r="J134" i="25"/>
  <c r="N121" i="25"/>
  <c r="J121" i="25"/>
  <c r="N127" i="25"/>
  <c r="G38" i="23"/>
  <c r="G39" i="23"/>
  <c r="G37" i="23"/>
  <c r="B121" i="25"/>
  <c r="F122" i="25"/>
  <c r="AD121" i="25"/>
  <c r="J127" i="25"/>
  <c r="J130" i="25" s="1"/>
  <c r="AL110" i="25"/>
  <c r="AL126" i="25" s="1"/>
  <c r="AL111" i="25"/>
  <c r="AL127" i="25" s="1"/>
  <c r="AL125" i="25"/>
  <c r="AH125" i="25"/>
  <c r="AH106" i="25"/>
  <c r="AD129" i="25"/>
  <c r="AD134" i="25"/>
  <c r="AD111" i="25"/>
  <c r="AD127" i="25" s="1"/>
  <c r="AD109" i="25"/>
  <c r="AD120" i="25" s="1"/>
  <c r="Z109" i="25"/>
  <c r="Z120" i="25" s="1"/>
  <c r="V125" i="25"/>
  <c r="V76" i="25"/>
  <c r="V96" i="25"/>
  <c r="V86" i="25"/>
  <c r="V110" i="25"/>
  <c r="V126" i="25" s="1"/>
  <c r="R109" i="25"/>
  <c r="R120" i="25" s="1"/>
  <c r="N125" i="25"/>
  <c r="N120" i="25"/>
  <c r="J128" i="25"/>
  <c r="J133" i="25"/>
  <c r="F130" i="25"/>
  <c r="F135" i="25"/>
  <c r="F109" i="25"/>
  <c r="F110" i="25"/>
  <c r="F126" i="25" s="1"/>
  <c r="J40" i="23"/>
  <c r="B134" i="25"/>
  <c r="B129" i="25"/>
  <c r="B125" i="25"/>
  <c r="F34" i="23"/>
  <c r="F35" i="23" s="1"/>
  <c r="S10" i="17" s="1"/>
  <c r="F25" i="23"/>
  <c r="F49" i="4" s="1"/>
  <c r="K38" i="23"/>
  <c r="K39" i="23"/>
  <c r="K37" i="23"/>
  <c r="H34" i="23"/>
  <c r="H35" i="23" s="1"/>
  <c r="S12" i="17" s="1"/>
  <c r="H25" i="23"/>
  <c r="H49" i="4" s="1"/>
  <c r="C37" i="23"/>
  <c r="C39" i="23"/>
  <c r="C38" i="23"/>
  <c r="B34" i="23"/>
  <c r="B35" i="23" s="1"/>
  <c r="B25" i="23"/>
  <c r="B49" i="4" s="1"/>
  <c r="R12" i="13" l="1"/>
  <c r="G40" i="23"/>
  <c r="R28" i="13"/>
  <c r="R44" i="13"/>
  <c r="N135" i="25"/>
  <c r="N130" i="25"/>
  <c r="V31" i="13"/>
  <c r="V33" i="13"/>
  <c r="V32" i="13"/>
  <c r="K40" i="23"/>
  <c r="AD122" i="25"/>
  <c r="V106" i="25"/>
  <c r="V111" i="25" s="1"/>
  <c r="V122" i="25" s="1"/>
  <c r="AL121" i="25"/>
  <c r="J135" i="25"/>
  <c r="AL122" i="25"/>
  <c r="AL133" i="25"/>
  <c r="AL128" i="25"/>
  <c r="AL130" i="25"/>
  <c r="AL135" i="25"/>
  <c r="AL129" i="25"/>
  <c r="AL134" i="25"/>
  <c r="AH111" i="25"/>
  <c r="AH133" i="25"/>
  <c r="AH128" i="25"/>
  <c r="AD125" i="25"/>
  <c r="AD130" i="25"/>
  <c r="AD135" i="25"/>
  <c r="Z125" i="25"/>
  <c r="V121" i="25"/>
  <c r="V133" i="25"/>
  <c r="V128" i="25"/>
  <c r="V129" i="25"/>
  <c r="V134" i="25"/>
  <c r="R125" i="25"/>
  <c r="N128" i="25"/>
  <c r="N133" i="25"/>
  <c r="F125" i="25"/>
  <c r="F121" i="25"/>
  <c r="F134" i="25"/>
  <c r="F129" i="25"/>
  <c r="F120" i="25"/>
  <c r="C40" i="23"/>
  <c r="B128" i="25"/>
  <c r="B133" i="25"/>
  <c r="F38" i="23"/>
  <c r="F37" i="23"/>
  <c r="F39" i="23"/>
  <c r="H38" i="23"/>
  <c r="H37" i="23"/>
  <c r="R32" i="13" s="1"/>
  <c r="H39" i="23"/>
  <c r="B38" i="23"/>
  <c r="B37" i="23"/>
  <c r="B39" i="23"/>
  <c r="R24" i="13" l="1"/>
  <c r="B40" i="23"/>
  <c r="R8" i="13"/>
  <c r="H40" i="23"/>
  <c r="F40" i="23"/>
  <c r="V127" i="25"/>
  <c r="V130" i="25" s="1"/>
  <c r="AH127" i="25"/>
  <c r="AH122" i="25"/>
  <c r="AD128" i="25"/>
  <c r="AD133" i="25"/>
  <c r="Z128" i="25"/>
  <c r="Z133" i="25"/>
  <c r="R128" i="25"/>
  <c r="R133" i="25"/>
  <c r="F128" i="25"/>
  <c r="F133" i="25"/>
  <c r="V135" i="25" l="1"/>
  <c r="AH130" i="25"/>
  <c r="AH135" i="25"/>
  <c r="I33" i="4" l="1"/>
  <c r="L32" i="22" l="1"/>
  <c r="K16" i="22"/>
  <c r="M9" i="22"/>
  <c r="K10" i="22"/>
  <c r="K9" i="22"/>
  <c r="K8" i="22"/>
  <c r="K12" i="22" s="1"/>
  <c r="AQ8" i="25" l="1"/>
  <c r="AS8" i="25"/>
  <c r="AP8" i="25"/>
  <c r="L7" i="23"/>
  <c r="W23" i="25" l="1"/>
  <c r="W28" i="25" s="1"/>
  <c r="O42" i="25"/>
  <c r="O40" i="25"/>
  <c r="O24" i="25"/>
  <c r="O29" i="25" s="1"/>
  <c r="C40" i="25"/>
  <c r="AE41" i="25"/>
  <c r="AA23" i="25"/>
  <c r="AA28" i="25" s="1"/>
  <c r="S23" i="25"/>
  <c r="S28" i="25" s="1"/>
  <c r="K40" i="25"/>
  <c r="AI40" i="25"/>
  <c r="S41" i="25"/>
  <c r="G25" i="25"/>
  <c r="G30" i="25" s="1"/>
  <c r="C25" i="25"/>
  <c r="C30" i="25" s="1"/>
  <c r="L13" i="23"/>
  <c r="W24" i="25"/>
  <c r="W29" i="25" s="1"/>
  <c r="AM40" i="25"/>
  <c r="AM24" i="25"/>
  <c r="AM29" i="25" s="1"/>
  <c r="AI24" i="25"/>
  <c r="AI29" i="25" s="1"/>
  <c r="AA41" i="25"/>
  <c r="W41" i="25"/>
  <c r="K23" i="25"/>
  <c r="K28" i="25" s="1"/>
  <c r="AM42" i="25"/>
  <c r="AE24" i="25"/>
  <c r="AE29" i="25" s="1"/>
  <c r="G41" i="25"/>
  <c r="G23" i="25"/>
  <c r="G28" i="25" s="1"/>
  <c r="C23" i="25"/>
  <c r="C28" i="25" s="1"/>
  <c r="C41" i="25"/>
  <c r="C46" i="25" s="1"/>
  <c r="AE42" i="25"/>
  <c r="AE40" i="25"/>
  <c r="AA24" i="25"/>
  <c r="AA29" i="25" s="1"/>
  <c r="S24" i="25"/>
  <c r="S29" i="25" s="1"/>
  <c r="O25" i="25"/>
  <c r="O30" i="25" s="1"/>
  <c r="K41" i="25"/>
  <c r="G40" i="25"/>
  <c r="G24" i="25"/>
  <c r="G29" i="25" s="1"/>
  <c r="C24" i="25"/>
  <c r="C29" i="25" s="1"/>
  <c r="AM41" i="25"/>
  <c r="AM25" i="25"/>
  <c r="AM30" i="25" s="1"/>
  <c r="AM23" i="25"/>
  <c r="AM28" i="25" s="1"/>
  <c r="AI25" i="25"/>
  <c r="AI30" i="25" s="1"/>
  <c r="AI23" i="25"/>
  <c r="AI28" i="25" s="1"/>
  <c r="AA42" i="25"/>
  <c r="AA40" i="25"/>
  <c r="W40" i="25"/>
  <c r="K24" i="25"/>
  <c r="K29" i="25" s="1"/>
  <c r="AI41" i="25"/>
  <c r="AE23" i="25"/>
  <c r="AE28" i="25" s="1"/>
  <c r="W42" i="25"/>
  <c r="W47" i="25" s="1"/>
  <c r="S42" i="25"/>
  <c r="S40" i="25"/>
  <c r="O41" i="25"/>
  <c r="O23" i="25"/>
  <c r="O28" i="25" s="1"/>
  <c r="S25" i="25"/>
  <c r="S30" i="25" s="1"/>
  <c r="K42" i="25"/>
  <c r="C42" i="25"/>
  <c r="AI42" i="25"/>
  <c r="G42" i="25"/>
  <c r="AA25" i="25"/>
  <c r="AA30" i="25" s="1"/>
  <c r="AE25" i="25"/>
  <c r="AE30" i="25" s="1"/>
  <c r="W25" i="25"/>
  <c r="W30" i="25" s="1"/>
  <c r="K25" i="25"/>
  <c r="K30" i="25" s="1"/>
  <c r="AP40" i="25"/>
  <c r="AP45" i="25" s="1"/>
  <c r="AP41" i="25"/>
  <c r="AP46" i="25" s="1"/>
  <c r="AP42" i="25"/>
  <c r="AQ41" i="25"/>
  <c r="AQ25" i="25"/>
  <c r="AQ30" i="25" s="1"/>
  <c r="AP24" i="25"/>
  <c r="AP29" i="25" s="1"/>
  <c r="AQ23" i="25"/>
  <c r="AQ28" i="25" s="1"/>
  <c r="AQ24" i="25"/>
  <c r="AQ29" i="25" s="1"/>
  <c r="AQ42" i="25"/>
  <c r="AQ40" i="25"/>
  <c r="AP25" i="25"/>
  <c r="AP30" i="25" s="1"/>
  <c r="L18" i="4"/>
  <c r="L16" i="4"/>
  <c r="L9" i="23" s="1"/>
  <c r="L11" i="4"/>
  <c r="L91" i="4" l="1"/>
  <c r="L12" i="23"/>
  <c r="W52" i="25"/>
  <c r="W64" i="25" s="1"/>
  <c r="W69" i="25" s="1"/>
  <c r="C47" i="25"/>
  <c r="C52" i="25" s="1"/>
  <c r="C64" i="25" s="1"/>
  <c r="C69" i="25" s="1"/>
  <c r="K47" i="25"/>
  <c r="AI46" i="25"/>
  <c r="AM47" i="25"/>
  <c r="AE46" i="25"/>
  <c r="W45" i="25"/>
  <c r="W50" i="25" s="1"/>
  <c r="AE47" i="25"/>
  <c r="W46" i="25"/>
  <c r="O46" i="25"/>
  <c r="C51" i="25"/>
  <c r="C63" i="25" s="1"/>
  <c r="C68" i="25" s="1"/>
  <c r="AA46" i="25"/>
  <c r="S46" i="25"/>
  <c r="S51" i="25" s="1"/>
  <c r="S63" i="25" s="1"/>
  <c r="S68" i="25" s="1"/>
  <c r="O45" i="25"/>
  <c r="O50" i="25" s="1"/>
  <c r="G46" i="25"/>
  <c r="C45" i="25"/>
  <c r="AO40" i="25"/>
  <c r="AO24" i="25"/>
  <c r="AO29" i="25" s="1"/>
  <c r="AK24" i="25"/>
  <c r="AK29" i="25" s="1"/>
  <c r="AC41" i="25"/>
  <c r="Y41" i="25"/>
  <c r="Y25" i="25"/>
  <c r="Y30" i="25" s="1"/>
  <c r="M23" i="25"/>
  <c r="M28" i="25" s="1"/>
  <c r="AG42" i="25"/>
  <c r="U24" i="25"/>
  <c r="U29" i="25" s="1"/>
  <c r="AO42" i="25"/>
  <c r="AK40" i="25"/>
  <c r="AG24" i="25"/>
  <c r="AG29" i="25" s="1"/>
  <c r="AC25" i="25"/>
  <c r="AC30" i="25" s="1"/>
  <c r="U41" i="25"/>
  <c r="U25" i="25"/>
  <c r="U30" i="25" s="1"/>
  <c r="I41" i="25"/>
  <c r="I23" i="25"/>
  <c r="I28" i="25" s="1"/>
  <c r="E23" i="25"/>
  <c r="E28" i="25" s="1"/>
  <c r="AG40" i="25"/>
  <c r="Q25" i="25"/>
  <c r="Q30" i="25" s="1"/>
  <c r="AO25" i="25"/>
  <c r="AO30" i="25" s="1"/>
  <c r="AK23" i="25"/>
  <c r="AK28" i="25" s="1"/>
  <c r="AC40" i="25"/>
  <c r="Y24" i="25"/>
  <c r="Y29" i="25" s="1"/>
  <c r="Q41" i="25"/>
  <c r="Q23" i="25"/>
  <c r="Q28" i="25" s="1"/>
  <c r="E41" i="25"/>
  <c r="AK42" i="25"/>
  <c r="AC24" i="25"/>
  <c r="AC29" i="25" s="1"/>
  <c r="M41" i="25"/>
  <c r="AO41" i="25"/>
  <c r="AO23" i="25"/>
  <c r="AO28" i="25" s="1"/>
  <c r="AC42" i="25"/>
  <c r="AK41" i="25"/>
  <c r="AG23" i="25"/>
  <c r="AG28" i="25" s="1"/>
  <c r="U42" i="25"/>
  <c r="U40" i="25"/>
  <c r="I40" i="25"/>
  <c r="I45" i="25" s="1"/>
  <c r="I24" i="25"/>
  <c r="I29" i="25" s="1"/>
  <c r="E24" i="25"/>
  <c r="E29" i="25" s="1"/>
  <c r="I42" i="25"/>
  <c r="Y40" i="25"/>
  <c r="M24" i="25"/>
  <c r="M29" i="25" s="1"/>
  <c r="Y23" i="25"/>
  <c r="Y28" i="25" s="1"/>
  <c r="Q42" i="25"/>
  <c r="Q40" i="25"/>
  <c r="Q24" i="25"/>
  <c r="Q29" i="25" s="1"/>
  <c r="E40" i="25"/>
  <c r="AG41" i="25"/>
  <c r="AG25" i="25"/>
  <c r="AG30" i="25" s="1"/>
  <c r="AC23" i="25"/>
  <c r="AC28" i="25" s="1"/>
  <c r="U23" i="25"/>
  <c r="U28" i="25" s="1"/>
  <c r="M40" i="25"/>
  <c r="M42" i="25"/>
  <c r="E25" i="25"/>
  <c r="E30" i="25" s="1"/>
  <c r="Y42" i="25"/>
  <c r="M25" i="25"/>
  <c r="M30" i="25" s="1"/>
  <c r="E42" i="25"/>
  <c r="AK25" i="25"/>
  <c r="AK30" i="25" s="1"/>
  <c r="I25" i="25"/>
  <c r="I30" i="25" s="1"/>
  <c r="AA45" i="25"/>
  <c r="G47" i="25"/>
  <c r="G52" i="25" s="1"/>
  <c r="G64" i="25" s="1"/>
  <c r="G69" i="25" s="1"/>
  <c r="S45" i="25"/>
  <c r="AA47" i="25"/>
  <c r="AA52" i="25" s="1"/>
  <c r="AA64" i="25" s="1"/>
  <c r="AA69" i="25" s="1"/>
  <c r="G45" i="25"/>
  <c r="G50" i="25" s="1"/>
  <c r="AI45" i="25"/>
  <c r="AI50" i="25" s="1"/>
  <c r="O47" i="25"/>
  <c r="O52" i="25" s="1"/>
  <c r="O64" i="25" s="1"/>
  <c r="O69" i="25" s="1"/>
  <c r="AM45" i="25"/>
  <c r="AM46" i="25"/>
  <c r="AE45" i="25"/>
  <c r="AI47" i="25"/>
  <c r="AI52" i="25" s="1"/>
  <c r="AI64" i="25" s="1"/>
  <c r="AI69" i="25" s="1"/>
  <c r="S47" i="25"/>
  <c r="K46" i="25"/>
  <c r="K51" i="25" s="1"/>
  <c r="K63" i="25" s="1"/>
  <c r="K68" i="25" s="1"/>
  <c r="K45" i="25"/>
  <c r="K50" i="25" s="1"/>
  <c r="K62" i="25" s="1"/>
  <c r="K67" i="25" s="1"/>
  <c r="AP47" i="25"/>
  <c r="AP52" i="25" s="1"/>
  <c r="AP64" i="25" s="1"/>
  <c r="AP69" i="25" s="1"/>
  <c r="AP86" i="25" s="1"/>
  <c r="AS25" i="25"/>
  <c r="AS30" i="25" s="1"/>
  <c r="AS41" i="25"/>
  <c r="AQ47" i="25"/>
  <c r="AQ52" i="25" s="1"/>
  <c r="AP51" i="25"/>
  <c r="AP50" i="25"/>
  <c r="AS40" i="25"/>
  <c r="AS24" i="25"/>
  <c r="AS29" i="25" s="1"/>
  <c r="AS23" i="25"/>
  <c r="AS28" i="25" s="1"/>
  <c r="AS42" i="25"/>
  <c r="AQ45" i="25"/>
  <c r="AQ50" i="25" s="1"/>
  <c r="AQ46" i="25"/>
  <c r="AQ51" i="25" s="1"/>
  <c r="L8" i="23"/>
  <c r="M49" i="4" s="1"/>
  <c r="M83" i="4" l="1"/>
  <c r="C85" i="25"/>
  <c r="C95" i="25"/>
  <c r="C75" i="25"/>
  <c r="AK46" i="25"/>
  <c r="K84" i="25"/>
  <c r="K94" i="25"/>
  <c r="K74" i="25"/>
  <c r="AI96" i="25"/>
  <c r="AI76" i="25"/>
  <c r="AI86" i="25"/>
  <c r="O76" i="25"/>
  <c r="O96" i="25"/>
  <c r="O86" i="25"/>
  <c r="S50" i="25"/>
  <c r="S62" i="25" s="1"/>
  <c r="S67" i="25" s="1"/>
  <c r="AG46" i="25"/>
  <c r="I47" i="25"/>
  <c r="I52" i="25" s="1"/>
  <c r="I64" i="25" s="1"/>
  <c r="I69" i="25" s="1"/>
  <c r="AC47" i="25"/>
  <c r="AC52" i="25" s="1"/>
  <c r="AC64" i="25" s="1"/>
  <c r="AC69" i="25" s="1"/>
  <c r="Q46" i="25"/>
  <c r="Q51" i="25" s="1"/>
  <c r="Q63" i="25" s="1"/>
  <c r="Q68" i="25" s="1"/>
  <c r="AO45" i="25"/>
  <c r="AO50" i="25" s="1"/>
  <c r="AO62" i="25" s="1"/>
  <c r="AO67" i="25" s="1"/>
  <c r="S95" i="25"/>
  <c r="S85" i="25"/>
  <c r="S75" i="25"/>
  <c r="W51" i="25"/>
  <c r="W63" i="25" s="1"/>
  <c r="W68" i="25" s="1"/>
  <c r="AE51" i="25"/>
  <c r="AE63" i="25" s="1"/>
  <c r="AE68" i="25" s="1"/>
  <c r="C76" i="25"/>
  <c r="C86" i="25"/>
  <c r="C96" i="25"/>
  <c r="AA76" i="25"/>
  <c r="AA96" i="25"/>
  <c r="AA86" i="25"/>
  <c r="E46" i="25"/>
  <c r="E51" i="25" s="1"/>
  <c r="E63" i="25" s="1"/>
  <c r="E68" i="25" s="1"/>
  <c r="O62" i="25"/>
  <c r="O67" i="25" s="1"/>
  <c r="AO47" i="25"/>
  <c r="AO52" i="25" s="1"/>
  <c r="AO64" i="25" s="1"/>
  <c r="AO69" i="25" s="1"/>
  <c r="AF41" i="25"/>
  <c r="AF25" i="25"/>
  <c r="AF30" i="25" s="1"/>
  <c r="AB23" i="25"/>
  <c r="AB28" i="25" s="1"/>
  <c r="T23" i="25"/>
  <c r="T28" i="25" s="1"/>
  <c r="L40" i="25"/>
  <c r="L45" i="25" s="1"/>
  <c r="H42" i="25"/>
  <c r="H47" i="25" s="1"/>
  <c r="D42" i="25"/>
  <c r="D47" i="25" s="1"/>
  <c r="X24" i="25"/>
  <c r="X29" i="25" s="1"/>
  <c r="P23" i="25"/>
  <c r="P28" i="25" s="1"/>
  <c r="AN40" i="25"/>
  <c r="AN45" i="25" s="1"/>
  <c r="AN50" i="25" s="1"/>
  <c r="AN62" i="25" s="1"/>
  <c r="AN67" i="25" s="1"/>
  <c r="AN24" i="25"/>
  <c r="AN29" i="25" s="1"/>
  <c r="AJ24" i="25"/>
  <c r="AJ29" i="25" s="1"/>
  <c r="AB41" i="25"/>
  <c r="X41" i="25"/>
  <c r="X25" i="25"/>
  <c r="X30" i="25" s="1"/>
  <c r="L42" i="25"/>
  <c r="L47" i="25" s="1"/>
  <c r="L52" i="25" s="1"/>
  <c r="L64" i="25" s="1"/>
  <c r="L69" i="25" s="1"/>
  <c r="L23" i="25"/>
  <c r="L28" i="25" s="1"/>
  <c r="L25" i="25"/>
  <c r="L30" i="25" s="1"/>
  <c r="AJ42" i="25"/>
  <c r="AJ47" i="25" s="1"/>
  <c r="AJ52" i="25" s="1"/>
  <c r="AJ64" i="25" s="1"/>
  <c r="AJ69" i="25" s="1"/>
  <c r="AF42" i="25"/>
  <c r="AF47" i="25" s="1"/>
  <c r="AF40" i="25"/>
  <c r="AF45" i="25" s="1"/>
  <c r="AF50" i="25" s="1"/>
  <c r="AB24" i="25"/>
  <c r="AB29" i="25" s="1"/>
  <c r="AN42" i="25"/>
  <c r="AN47" i="25" s="1"/>
  <c r="AN52" i="25" s="1"/>
  <c r="AN64" i="25" s="1"/>
  <c r="AN69" i="25" s="1"/>
  <c r="AJ40" i="25"/>
  <c r="AJ45" i="25" s="1"/>
  <c r="AF24" i="25"/>
  <c r="AF29" i="25" s="1"/>
  <c r="AB25" i="25"/>
  <c r="AB30" i="25" s="1"/>
  <c r="T41" i="25"/>
  <c r="T25" i="25"/>
  <c r="T30" i="25" s="1"/>
  <c r="H41" i="25"/>
  <c r="H25" i="25"/>
  <c r="H30" i="25" s="1"/>
  <c r="H23" i="25"/>
  <c r="H28" i="25" s="1"/>
  <c r="D25" i="25"/>
  <c r="D30" i="25" s="1"/>
  <c r="D23" i="25"/>
  <c r="D28" i="25" s="1"/>
  <c r="P41" i="25"/>
  <c r="P46" i="25" s="1"/>
  <c r="P51" i="25" s="1"/>
  <c r="D41" i="25"/>
  <c r="AN41" i="25"/>
  <c r="AN25" i="25"/>
  <c r="AN30" i="25" s="1"/>
  <c r="AN23" i="25"/>
  <c r="AN28" i="25" s="1"/>
  <c r="AJ25" i="25"/>
  <c r="AJ30" i="25" s="1"/>
  <c r="AJ23" i="25"/>
  <c r="AJ28" i="25" s="1"/>
  <c r="AB42" i="25"/>
  <c r="AB47" i="25" s="1"/>
  <c r="AB52" i="25" s="1"/>
  <c r="AB64" i="25" s="1"/>
  <c r="AB69" i="25" s="1"/>
  <c r="AB40" i="25"/>
  <c r="AB45" i="25" s="1"/>
  <c r="X40" i="25"/>
  <c r="X45" i="25" s="1"/>
  <c r="X50" i="25" s="1"/>
  <c r="X62" i="25" s="1"/>
  <c r="X67" i="25" s="1"/>
  <c r="L24" i="25"/>
  <c r="L29" i="25" s="1"/>
  <c r="M31" i="25" s="1"/>
  <c r="M32" i="25" s="1"/>
  <c r="T16" i="13" s="1"/>
  <c r="D40" i="25"/>
  <c r="D45" i="25" s="1"/>
  <c r="P25" i="25"/>
  <c r="P30" i="25" s="1"/>
  <c r="L41" i="25"/>
  <c r="AJ41" i="25"/>
  <c r="AF23" i="25"/>
  <c r="AF28" i="25" s="1"/>
  <c r="X42" i="25"/>
  <c r="X47" i="25" s="1"/>
  <c r="X52" i="25" s="1"/>
  <c r="T42" i="25"/>
  <c r="T47" i="25" s="1"/>
  <c r="T52" i="25" s="1"/>
  <c r="T64" i="25" s="1"/>
  <c r="T69" i="25" s="1"/>
  <c r="T40" i="25"/>
  <c r="T45" i="25" s="1"/>
  <c r="H40" i="25"/>
  <c r="H45" i="25" s="1"/>
  <c r="H24" i="25"/>
  <c r="H29" i="25" s="1"/>
  <c r="D24" i="25"/>
  <c r="D29" i="25" s="1"/>
  <c r="X23" i="25"/>
  <c r="X28" i="25" s="1"/>
  <c r="Y31" i="25" s="1"/>
  <c r="Y32" i="25" s="1"/>
  <c r="T28" i="13" s="1"/>
  <c r="P42" i="25"/>
  <c r="P47" i="25" s="1"/>
  <c r="P40" i="25"/>
  <c r="P45" i="25" s="1"/>
  <c r="P24" i="25"/>
  <c r="P29" i="25" s="1"/>
  <c r="T24" i="25"/>
  <c r="T29" i="25" s="1"/>
  <c r="L83" i="4"/>
  <c r="AG47" i="25"/>
  <c r="AG52" i="25" s="1"/>
  <c r="AG64" i="25" s="1"/>
  <c r="AG69" i="25" s="1"/>
  <c r="G86" i="25"/>
  <c r="G96" i="25"/>
  <c r="G76" i="25"/>
  <c r="AO46" i="25"/>
  <c r="AO51" i="25" s="1"/>
  <c r="AO63" i="25" s="1"/>
  <c r="AO68" i="25" s="1"/>
  <c r="AC45" i="25"/>
  <c r="C50" i="25"/>
  <c r="C62" i="25" s="1"/>
  <c r="C67" i="25" s="1"/>
  <c r="AA51" i="25"/>
  <c r="AA63" i="25" s="1"/>
  <c r="AA68" i="25" s="1"/>
  <c r="AE52" i="25"/>
  <c r="AE64" i="25" s="1"/>
  <c r="AE69" i="25" s="1"/>
  <c r="AM52" i="25"/>
  <c r="AM64" i="25" s="1"/>
  <c r="AM69" i="25" s="1"/>
  <c r="AM50" i="25"/>
  <c r="AM62" i="25" s="1"/>
  <c r="AM67" i="25" s="1"/>
  <c r="Y45" i="25"/>
  <c r="Y47" i="25"/>
  <c r="AE50" i="25"/>
  <c r="AE62" i="25" s="1"/>
  <c r="AE67" i="25" s="1"/>
  <c r="K95" i="25"/>
  <c r="K75" i="25"/>
  <c r="K85" i="25"/>
  <c r="M47" i="25"/>
  <c r="M52" i="25" s="1"/>
  <c r="M64" i="25" s="1"/>
  <c r="M69" i="25" s="1"/>
  <c r="Q45" i="25"/>
  <c r="I50" i="25"/>
  <c r="I62" i="25" s="1"/>
  <c r="I67" i="25" s="1"/>
  <c r="M46" i="25"/>
  <c r="M51" i="25" s="1"/>
  <c r="M63" i="25" s="1"/>
  <c r="M68" i="25" s="1"/>
  <c r="U46" i="25"/>
  <c r="AG45" i="25"/>
  <c r="AG50" i="25" s="1"/>
  <c r="AG62" i="25" s="1"/>
  <c r="AG67" i="25" s="1"/>
  <c r="K52" i="25"/>
  <c r="K64" i="25" s="1"/>
  <c r="K69" i="25" s="1"/>
  <c r="E45" i="25"/>
  <c r="E50" i="25" s="1"/>
  <c r="E62" i="25" s="1"/>
  <c r="E67" i="25" s="1"/>
  <c r="I46" i="25"/>
  <c r="AM51" i="25"/>
  <c r="AM63" i="25" s="1"/>
  <c r="AM68" i="25" s="1"/>
  <c r="G62" i="25"/>
  <c r="G67" i="25" s="1"/>
  <c r="AA50" i="25"/>
  <c r="AA62" i="25" s="1"/>
  <c r="AA67" i="25" s="1"/>
  <c r="M45" i="25"/>
  <c r="M50" i="25" s="1"/>
  <c r="M62" i="25" s="1"/>
  <c r="M67" i="25" s="1"/>
  <c r="Q47" i="25"/>
  <c r="U45" i="25"/>
  <c r="U50" i="25" s="1"/>
  <c r="U62" i="25" s="1"/>
  <c r="U67" i="25" s="1"/>
  <c r="Y46" i="25"/>
  <c r="Y51" i="25" s="1"/>
  <c r="G51" i="25"/>
  <c r="G63" i="25" s="1"/>
  <c r="G68" i="25" s="1"/>
  <c r="W62" i="25"/>
  <c r="W67" i="25" s="1"/>
  <c r="AI51" i="25"/>
  <c r="AI63" i="25" s="1"/>
  <c r="AI68" i="25" s="1"/>
  <c r="W76" i="25"/>
  <c r="W86" i="25"/>
  <c r="W96" i="25"/>
  <c r="S52" i="25"/>
  <c r="S64" i="25" s="1"/>
  <c r="S69" i="25" s="1"/>
  <c r="AK45" i="25"/>
  <c r="AK50" i="25" s="1"/>
  <c r="AK62" i="25" s="1"/>
  <c r="AK67" i="25" s="1"/>
  <c r="O51" i="25"/>
  <c r="O63" i="25" s="1"/>
  <c r="O68" i="25" s="1"/>
  <c r="E47" i="25"/>
  <c r="E52" i="25" s="1"/>
  <c r="E64" i="25" s="1"/>
  <c r="E69" i="25" s="1"/>
  <c r="AI62" i="25"/>
  <c r="AI67" i="25" s="1"/>
  <c r="U47" i="25"/>
  <c r="U52" i="25" s="1"/>
  <c r="U64" i="25" s="1"/>
  <c r="U69" i="25" s="1"/>
  <c r="AK47" i="25"/>
  <c r="AK52" i="25" s="1"/>
  <c r="AK64" i="25" s="1"/>
  <c r="AK69" i="25" s="1"/>
  <c r="AC46" i="25"/>
  <c r="L27" i="23"/>
  <c r="L17" i="23"/>
  <c r="L22" i="23" s="1"/>
  <c r="AR41" i="25"/>
  <c r="AR24" i="25"/>
  <c r="AR29" i="25" s="1"/>
  <c r="L10" i="23"/>
  <c r="AP96" i="25"/>
  <c r="AP76" i="25"/>
  <c r="AQ63" i="25"/>
  <c r="AQ68" i="25" s="1"/>
  <c r="AQ85" i="25" s="1"/>
  <c r="AS45" i="25"/>
  <c r="AS46" i="25"/>
  <c r="AP62" i="25"/>
  <c r="AP67" i="25" s="1"/>
  <c r="AP84" i="25" s="1"/>
  <c r="AQ62" i="25"/>
  <c r="AQ67" i="25" s="1"/>
  <c r="AS47" i="25"/>
  <c r="AS52" i="25" s="1"/>
  <c r="AP63" i="25"/>
  <c r="AP68" i="25" s="1"/>
  <c r="AR25" i="25"/>
  <c r="AR30" i="25" s="1"/>
  <c r="AR23" i="25"/>
  <c r="AR28" i="25" s="1"/>
  <c r="AR40" i="25"/>
  <c r="AR42" i="25"/>
  <c r="AQ64" i="25"/>
  <c r="AQ69" i="25" s="1"/>
  <c r="L18" i="23"/>
  <c r="L23" i="23" s="1"/>
  <c r="L28" i="23"/>
  <c r="L14" i="23"/>
  <c r="L19" i="23" s="1"/>
  <c r="E31" i="25" l="1"/>
  <c r="E32" i="25" s="1"/>
  <c r="T8" i="13" s="1"/>
  <c r="AC31" i="25"/>
  <c r="AC32" i="25" s="1"/>
  <c r="T32" i="13" s="1"/>
  <c r="K105" i="25"/>
  <c r="K110" i="25" s="1"/>
  <c r="K126" i="25" s="1"/>
  <c r="W106" i="25"/>
  <c r="W111" i="25" s="1"/>
  <c r="W122" i="25" s="1"/>
  <c r="AA106" i="25"/>
  <c r="G106" i="25"/>
  <c r="G111" i="25" s="1"/>
  <c r="G127" i="25" s="1"/>
  <c r="S105" i="25"/>
  <c r="C106" i="25"/>
  <c r="O106" i="25"/>
  <c r="O111" i="25" s="1"/>
  <c r="O127" i="25" s="1"/>
  <c r="C105" i="25"/>
  <c r="C110" i="25" s="1"/>
  <c r="C121" i="25" s="1"/>
  <c r="AI106" i="25"/>
  <c r="AI111" i="25" s="1"/>
  <c r="AG31" i="25"/>
  <c r="AG32" i="25" s="1"/>
  <c r="T36" i="13" s="1"/>
  <c r="AO31" i="25"/>
  <c r="AO32" i="25" s="1"/>
  <c r="T44" i="13" s="1"/>
  <c r="AA111" i="25"/>
  <c r="AA127" i="25" s="1"/>
  <c r="S74" i="25"/>
  <c r="S94" i="25"/>
  <c r="S84" i="25"/>
  <c r="O75" i="25"/>
  <c r="O85" i="25"/>
  <c r="O95" i="25"/>
  <c r="S86" i="25"/>
  <c r="S76" i="25"/>
  <c r="S96" i="25"/>
  <c r="T50" i="25"/>
  <c r="T62" i="25" s="1"/>
  <c r="T67" i="25" s="1"/>
  <c r="AN46" i="25"/>
  <c r="AF52" i="25"/>
  <c r="Y63" i="25"/>
  <c r="Y68" i="25" s="1"/>
  <c r="E94" i="25"/>
  <c r="E74" i="25"/>
  <c r="E84" i="25"/>
  <c r="X94" i="25"/>
  <c r="X84" i="25"/>
  <c r="X74" i="25"/>
  <c r="AJ96" i="25"/>
  <c r="AJ76" i="25"/>
  <c r="AJ86" i="25"/>
  <c r="E75" i="25"/>
  <c r="E85" i="25"/>
  <c r="E95" i="25"/>
  <c r="U86" i="25"/>
  <c r="U96" i="25"/>
  <c r="U76" i="25"/>
  <c r="AK94" i="25"/>
  <c r="AK84" i="25"/>
  <c r="AK74" i="25"/>
  <c r="K76" i="25"/>
  <c r="K86" i="25"/>
  <c r="K96" i="25"/>
  <c r="I94" i="25"/>
  <c r="I84" i="25"/>
  <c r="I74" i="25"/>
  <c r="AM84" i="25"/>
  <c r="AM94" i="25"/>
  <c r="AM74" i="25"/>
  <c r="C74" i="25"/>
  <c r="C84" i="25"/>
  <c r="C94" i="25"/>
  <c r="P50" i="25"/>
  <c r="P62" i="25" s="1"/>
  <c r="P67" i="25" s="1"/>
  <c r="X64" i="25"/>
  <c r="X69" i="25" s="1"/>
  <c r="AB50" i="25"/>
  <c r="AB62" i="25" s="1"/>
  <c r="AB67" i="25" s="1"/>
  <c r="P63" i="25"/>
  <c r="P68" i="25" s="1"/>
  <c r="AN94" i="25"/>
  <c r="AN84" i="25"/>
  <c r="AN74" i="25"/>
  <c r="AE95" i="25"/>
  <c r="AE85" i="25"/>
  <c r="AE75" i="25"/>
  <c r="U31" i="25"/>
  <c r="U32" i="25" s="1"/>
  <c r="T24" i="13" s="1"/>
  <c r="AI85" i="25"/>
  <c r="AI75" i="25"/>
  <c r="AI95" i="25"/>
  <c r="M75" i="25"/>
  <c r="M85" i="25"/>
  <c r="M95" i="25"/>
  <c r="Y50" i="25"/>
  <c r="Y62" i="25" s="1"/>
  <c r="Y67" i="25" s="1"/>
  <c r="T76" i="25"/>
  <c r="T86" i="25"/>
  <c r="T96" i="25"/>
  <c r="D46" i="25"/>
  <c r="T46" i="25"/>
  <c r="T51" i="25" s="1"/>
  <c r="T63" i="25" s="1"/>
  <c r="T68" i="25" s="1"/>
  <c r="I96" i="25"/>
  <c r="I76" i="25"/>
  <c r="I86" i="25"/>
  <c r="U84" i="25"/>
  <c r="U74" i="25"/>
  <c r="U94" i="25"/>
  <c r="G74" i="25"/>
  <c r="G84" i="25"/>
  <c r="G94" i="25"/>
  <c r="P52" i="25"/>
  <c r="P64" i="25" s="1"/>
  <c r="P69" i="25" s="1"/>
  <c r="AB86" i="25"/>
  <c r="AB76" i="25"/>
  <c r="AB96" i="25"/>
  <c r="Q31" i="25"/>
  <c r="Q32" i="25" s="1"/>
  <c r="T20" i="13" s="1"/>
  <c r="AF46" i="25"/>
  <c r="AF51" i="25" s="1"/>
  <c r="AF63" i="25" s="1"/>
  <c r="AF68" i="25" s="1"/>
  <c r="AO94" i="25"/>
  <c r="AO74" i="25"/>
  <c r="AO84" i="25"/>
  <c r="AG51" i="25"/>
  <c r="AG63" i="25" s="1"/>
  <c r="AG68" i="25" s="1"/>
  <c r="AK96" i="25"/>
  <c r="AK86" i="25"/>
  <c r="AK76" i="25"/>
  <c r="AA84" i="25"/>
  <c r="AA94" i="25"/>
  <c r="AA74" i="25"/>
  <c r="AI84" i="25"/>
  <c r="AI94" i="25"/>
  <c r="AI74" i="25"/>
  <c r="W94" i="25"/>
  <c r="W84" i="25"/>
  <c r="W74" i="25"/>
  <c r="AM85" i="25"/>
  <c r="AM95" i="25"/>
  <c r="AM75" i="25"/>
  <c r="AE84" i="25"/>
  <c r="AE94" i="25"/>
  <c r="AE74" i="25"/>
  <c r="AM86" i="25"/>
  <c r="AM96" i="25"/>
  <c r="AM76" i="25"/>
  <c r="AJ46" i="25"/>
  <c r="AJ51" i="25" s="1"/>
  <c r="AJ63" i="25" s="1"/>
  <c r="AJ68" i="25" s="1"/>
  <c r="AK31" i="25"/>
  <c r="AK32" i="25" s="1"/>
  <c r="T40" i="13" s="1"/>
  <c r="AJ50" i="25"/>
  <c r="L76" i="25"/>
  <c r="L96" i="25"/>
  <c r="L86" i="25"/>
  <c r="W95" i="25"/>
  <c r="W85" i="25"/>
  <c r="W75" i="25"/>
  <c r="AK51" i="25"/>
  <c r="AK63" i="25" s="1"/>
  <c r="AK68" i="25" s="1"/>
  <c r="Q52" i="25"/>
  <c r="Q64" i="25"/>
  <c r="Q69" i="25" s="1"/>
  <c r="AG84" i="25"/>
  <c r="AG94" i="25"/>
  <c r="AG74" i="25"/>
  <c r="Q50" i="25"/>
  <c r="Q62" i="25" s="1"/>
  <c r="Q67" i="25" s="1"/>
  <c r="AC50" i="25"/>
  <c r="L46" i="25"/>
  <c r="L51" i="25" s="1"/>
  <c r="I31" i="25"/>
  <c r="I32" i="25" s="1"/>
  <c r="T12" i="13" s="1"/>
  <c r="AN96" i="25"/>
  <c r="AN76" i="25"/>
  <c r="AN86" i="25"/>
  <c r="D52" i="25"/>
  <c r="D64" i="25" s="1"/>
  <c r="D69" i="25" s="1"/>
  <c r="AO86" i="25"/>
  <c r="AO96" i="25"/>
  <c r="AO76" i="25"/>
  <c r="Q85" i="25"/>
  <c r="Q75" i="25"/>
  <c r="Q95" i="25"/>
  <c r="AC51" i="25"/>
  <c r="AC63" i="25" s="1"/>
  <c r="AC68" i="25" s="1"/>
  <c r="E86" i="25"/>
  <c r="E96" i="25"/>
  <c r="E76" i="25"/>
  <c r="G95" i="25"/>
  <c r="G75" i="25"/>
  <c r="G85" i="25"/>
  <c r="AE76" i="25"/>
  <c r="AE96" i="25"/>
  <c r="AE86" i="25"/>
  <c r="AG86" i="25"/>
  <c r="AG76" i="25"/>
  <c r="AG96" i="25"/>
  <c r="X46" i="25"/>
  <c r="H52" i="25"/>
  <c r="H64" i="25" s="1"/>
  <c r="H69" i="25" s="1"/>
  <c r="M84" i="25"/>
  <c r="M74" i="25"/>
  <c r="M94" i="25"/>
  <c r="I51" i="25"/>
  <c r="I63" i="25" s="1"/>
  <c r="I68" i="25" s="1"/>
  <c r="U51" i="25"/>
  <c r="U63" i="25" s="1"/>
  <c r="U68" i="25" s="1"/>
  <c r="M86" i="25"/>
  <c r="M96" i="25"/>
  <c r="M76" i="25"/>
  <c r="Y52" i="25"/>
  <c r="Y64" i="25" s="1"/>
  <c r="Y69" i="25" s="1"/>
  <c r="AO75" i="25"/>
  <c r="AO85" i="25"/>
  <c r="AO95" i="25"/>
  <c r="H50" i="25"/>
  <c r="H62" i="25" s="1"/>
  <c r="H67" i="25" s="1"/>
  <c r="D50" i="25"/>
  <c r="H46" i="25"/>
  <c r="H51" i="25" s="1"/>
  <c r="H63" i="25" s="1"/>
  <c r="H68" i="25" s="1"/>
  <c r="AF62" i="25"/>
  <c r="AF67" i="25" s="1"/>
  <c r="AB46" i="25"/>
  <c r="L50" i="25"/>
  <c r="L62" i="25" s="1"/>
  <c r="L67" i="25" s="1"/>
  <c r="O94" i="25"/>
  <c r="O74" i="25"/>
  <c r="O84" i="25"/>
  <c r="AC86" i="25"/>
  <c r="AC96" i="25"/>
  <c r="AC76" i="25"/>
  <c r="K104" i="25"/>
  <c r="AA85" i="25"/>
  <c r="AA75" i="25"/>
  <c r="AA95" i="25"/>
  <c r="L32" i="23"/>
  <c r="AP74" i="25"/>
  <c r="L15" i="23"/>
  <c r="AS31" i="25"/>
  <c r="L20" i="23"/>
  <c r="AP106" i="25"/>
  <c r="AP111" i="25" s="1"/>
  <c r="AP127" i="25" s="1"/>
  <c r="AP130" i="25" s="1"/>
  <c r="AQ76" i="25"/>
  <c r="AQ96" i="25"/>
  <c r="AQ86" i="25"/>
  <c r="AP85" i="25"/>
  <c r="AP75" i="25"/>
  <c r="AP95" i="25"/>
  <c r="AR45" i="25"/>
  <c r="AS51" i="25"/>
  <c r="AQ84" i="25"/>
  <c r="AQ74" i="25"/>
  <c r="AQ94" i="25"/>
  <c r="AR47" i="25"/>
  <c r="AR52" i="25" s="1"/>
  <c r="AR46" i="25"/>
  <c r="AS50" i="25"/>
  <c r="AS62" i="25" s="1"/>
  <c r="AS67" i="25" s="1"/>
  <c r="AP94" i="25"/>
  <c r="AS64" i="25"/>
  <c r="AS69" i="25" s="1"/>
  <c r="AQ75" i="25"/>
  <c r="AQ95" i="25"/>
  <c r="L33" i="23"/>
  <c r="L29" i="23"/>
  <c r="L30" i="23" s="1"/>
  <c r="W127" i="25" l="1"/>
  <c r="W104" i="25"/>
  <c r="I106" i="25"/>
  <c r="S110" i="25"/>
  <c r="S126" i="25" s="1"/>
  <c r="S129" i="25" s="1"/>
  <c r="C104" i="25"/>
  <c r="C109" i="25" s="1"/>
  <c r="AE105" i="25"/>
  <c r="AE110" i="25" s="1"/>
  <c r="AE126" i="25" s="1"/>
  <c r="AE104" i="25"/>
  <c r="G104" i="25"/>
  <c r="AO106" i="25"/>
  <c r="AO111" i="25" s="1"/>
  <c r="C126" i="25"/>
  <c r="C129" i="25" s="1"/>
  <c r="AK104" i="25"/>
  <c r="Q105" i="25"/>
  <c r="Q110" i="25" s="1"/>
  <c r="Q126" i="25" s="1"/>
  <c r="AK106" i="25"/>
  <c r="AK111" i="25" s="1"/>
  <c r="AK127" i="25" s="1"/>
  <c r="I104" i="25"/>
  <c r="I109" i="25" s="1"/>
  <c r="I125" i="25" s="1"/>
  <c r="M106" i="25"/>
  <c r="AN106" i="25"/>
  <c r="AN111" i="25" s="1"/>
  <c r="AN127" i="25" s="1"/>
  <c r="AN135" i="25" s="1"/>
  <c r="T106" i="25"/>
  <c r="T111" i="25" s="1"/>
  <c r="T127" i="25" s="1"/>
  <c r="T135" i="25" s="1"/>
  <c r="AG53" i="25"/>
  <c r="AG54" i="25" s="1"/>
  <c r="AA105" i="25"/>
  <c r="W105" i="25"/>
  <c r="W110" i="25" s="1"/>
  <c r="AM105" i="25"/>
  <c r="AM110" i="25" s="1"/>
  <c r="AM121" i="25" s="1"/>
  <c r="C111" i="25"/>
  <c r="C127" i="25" s="1"/>
  <c r="C130" i="25" s="1"/>
  <c r="AI105" i="25"/>
  <c r="AI110" i="25" s="1"/>
  <c r="AI121" i="25" s="1"/>
  <c r="AI127" i="25"/>
  <c r="AI130" i="25" s="1"/>
  <c r="AI122" i="25"/>
  <c r="AC106" i="25"/>
  <c r="AC111" i="25" s="1"/>
  <c r="AC127" i="25" s="1"/>
  <c r="AG104" i="25"/>
  <c r="AF64" i="25"/>
  <c r="AF69" i="25" s="1"/>
  <c r="AF86" i="25" s="1"/>
  <c r="AO104" i="25"/>
  <c r="AO109" i="25" s="1"/>
  <c r="AO125" i="25" s="1"/>
  <c r="AN104" i="25"/>
  <c r="AN109" i="25" s="1"/>
  <c r="AN125" i="25" s="1"/>
  <c r="AN133" i="25" s="1"/>
  <c r="U106" i="25"/>
  <c r="U111" i="25" s="1"/>
  <c r="U127" i="25" s="1"/>
  <c r="X104" i="25"/>
  <c r="X109" i="25" s="1"/>
  <c r="X125" i="25" s="1"/>
  <c r="X133" i="25" s="1"/>
  <c r="M104" i="25"/>
  <c r="M109" i="25" s="1"/>
  <c r="M125" i="25" s="1"/>
  <c r="AE106" i="25"/>
  <c r="L106" i="25"/>
  <c r="L111" i="25" s="1"/>
  <c r="L127" i="25" s="1"/>
  <c r="L135" i="25" s="1"/>
  <c r="AK53" i="25"/>
  <c r="AK54" i="25" s="1"/>
  <c r="S104" i="25"/>
  <c r="S109" i="25" s="1"/>
  <c r="S120" i="25" s="1"/>
  <c r="G105" i="25"/>
  <c r="G110" i="25" s="1"/>
  <c r="G126" i="25" s="1"/>
  <c r="E105" i="25"/>
  <c r="E110" i="25" s="1"/>
  <c r="E126" i="25" s="1"/>
  <c r="E104" i="25"/>
  <c r="E109" i="25" s="1"/>
  <c r="E125" i="25" s="1"/>
  <c r="O105" i="25"/>
  <c r="O110" i="25" s="1"/>
  <c r="O126" i="25" s="1"/>
  <c r="AO105" i="25"/>
  <c r="AO110" i="25" s="1"/>
  <c r="AO126" i="25" s="1"/>
  <c r="AG106" i="25"/>
  <c r="E106" i="25"/>
  <c r="E111" i="25" s="1"/>
  <c r="E127" i="25" s="1"/>
  <c r="AM106" i="25"/>
  <c r="AM111" i="25" s="1"/>
  <c r="AM127" i="25" s="1"/>
  <c r="AI104" i="25"/>
  <c r="AI109" i="25" s="1"/>
  <c r="AB106" i="25"/>
  <c r="AB111" i="25" s="1"/>
  <c r="AB127" i="25" s="1"/>
  <c r="AB135" i="25" s="1"/>
  <c r="U104" i="25"/>
  <c r="U109" i="25" s="1"/>
  <c r="U125" i="25" s="1"/>
  <c r="M105" i="25"/>
  <c r="M110" i="25" s="1"/>
  <c r="M126" i="25" s="1"/>
  <c r="AJ106" i="25"/>
  <c r="AJ111" i="25" s="1"/>
  <c r="AJ127" i="25" s="1"/>
  <c r="AJ135" i="25" s="1"/>
  <c r="AA122" i="25"/>
  <c r="AE111" i="25"/>
  <c r="AE127" i="25" s="1"/>
  <c r="H76" i="25"/>
  <c r="H86" i="25"/>
  <c r="H96" i="25"/>
  <c r="G109" i="25"/>
  <c r="G120" i="25" s="1"/>
  <c r="P94" i="25"/>
  <c r="P74" i="25"/>
  <c r="P84" i="25"/>
  <c r="AK109" i="25"/>
  <c r="AK125" i="25" s="1"/>
  <c r="AB84" i="25"/>
  <c r="AB74" i="25"/>
  <c r="AB94" i="25"/>
  <c r="L74" i="25"/>
  <c r="L84" i="25"/>
  <c r="L94" i="25"/>
  <c r="AG111" i="25"/>
  <c r="AG127" i="25" s="1"/>
  <c r="M111" i="25"/>
  <c r="M127" i="25" s="1"/>
  <c r="AA110" i="25"/>
  <c r="AA126" i="25" s="1"/>
  <c r="AG109" i="25"/>
  <c r="AG125" i="25" s="1"/>
  <c r="I75" i="25"/>
  <c r="I95" i="25"/>
  <c r="I85" i="25"/>
  <c r="W109" i="25"/>
  <c r="W120" i="25" s="1"/>
  <c r="I111" i="25"/>
  <c r="I127" i="25" s="1"/>
  <c r="L63" i="25"/>
  <c r="L68" i="25" s="1"/>
  <c r="T75" i="25"/>
  <c r="T85" i="25"/>
  <c r="T95" i="25"/>
  <c r="K106" i="25"/>
  <c r="K109" i="25"/>
  <c r="K120" i="25" s="1"/>
  <c r="H95" i="25"/>
  <c r="H85" i="25"/>
  <c r="H75" i="25"/>
  <c r="U75" i="25"/>
  <c r="U85" i="25"/>
  <c r="U95" i="25"/>
  <c r="U53" i="25"/>
  <c r="U54" i="25" s="1"/>
  <c r="AC62" i="25"/>
  <c r="AC67" i="25" s="1"/>
  <c r="M53" i="25"/>
  <c r="M54" i="25" s="1"/>
  <c r="X96" i="25"/>
  <c r="X86" i="25"/>
  <c r="X76" i="25"/>
  <c r="S134" i="25"/>
  <c r="AE109" i="25"/>
  <c r="D96" i="25"/>
  <c r="D86" i="25"/>
  <c r="D76" i="25"/>
  <c r="AK75" i="25"/>
  <c r="AK85" i="25"/>
  <c r="AK95" i="25"/>
  <c r="Y74" i="25"/>
  <c r="Y84" i="25"/>
  <c r="Y94" i="25"/>
  <c r="AM104" i="25"/>
  <c r="AF96" i="25"/>
  <c r="AF76" i="25"/>
  <c r="D62" i="25"/>
  <c r="D67" i="25" s="1"/>
  <c r="AJ62" i="25"/>
  <c r="AJ67" i="25" s="1"/>
  <c r="D51" i="25"/>
  <c r="D63" i="25" s="1"/>
  <c r="D68" i="25" s="1"/>
  <c r="S106" i="25"/>
  <c r="G122" i="25"/>
  <c r="AI126" i="25"/>
  <c r="AB51" i="25"/>
  <c r="AB63" i="25" s="1"/>
  <c r="AB68" i="25" s="1"/>
  <c r="I53" i="25"/>
  <c r="I54" i="25" s="1"/>
  <c r="X51" i="25"/>
  <c r="X63" i="25" s="1"/>
  <c r="X68" i="25" s="1"/>
  <c r="Q96" i="25"/>
  <c r="Q76" i="25"/>
  <c r="Q86" i="25"/>
  <c r="AA104" i="25"/>
  <c r="AG85" i="25"/>
  <c r="AG95" i="25"/>
  <c r="AG75" i="25"/>
  <c r="AF95" i="25"/>
  <c r="AF75" i="25"/>
  <c r="AF85" i="25"/>
  <c r="P95" i="25"/>
  <c r="P85" i="25"/>
  <c r="P75" i="25"/>
  <c r="Y76" i="25"/>
  <c r="Y86" i="25"/>
  <c r="Y96" i="25"/>
  <c r="P86" i="25"/>
  <c r="P96" i="25"/>
  <c r="P76" i="25"/>
  <c r="Q53" i="25"/>
  <c r="Q54" i="25" s="1"/>
  <c r="AN51" i="25"/>
  <c r="AO53" i="25" s="1"/>
  <c r="AO54" i="25" s="1"/>
  <c r="H74" i="25"/>
  <c r="H84" i="25"/>
  <c r="H94" i="25"/>
  <c r="W135" i="25"/>
  <c r="W130" i="25"/>
  <c r="T74" i="25"/>
  <c r="T94" i="25"/>
  <c r="T84" i="25"/>
  <c r="O104" i="25"/>
  <c r="AC85" i="25"/>
  <c r="AC75" i="25"/>
  <c r="AC95" i="25"/>
  <c r="Q74" i="25"/>
  <c r="Q94" i="25"/>
  <c r="Q84" i="25"/>
  <c r="AJ85" i="25"/>
  <c r="AJ75" i="25"/>
  <c r="AJ95" i="25"/>
  <c r="Y85" i="25"/>
  <c r="Y95" i="25"/>
  <c r="Y75" i="25"/>
  <c r="K121" i="25"/>
  <c r="O122" i="25"/>
  <c r="G130" i="25"/>
  <c r="G135" i="25"/>
  <c r="AF84" i="25"/>
  <c r="AF94" i="25"/>
  <c r="AF74" i="25"/>
  <c r="K129" i="25"/>
  <c r="K134" i="25"/>
  <c r="O130" i="25"/>
  <c r="O135" i="25"/>
  <c r="AA130" i="25"/>
  <c r="AA135" i="25"/>
  <c r="AP135" i="25"/>
  <c r="AP122" i="25"/>
  <c r="AP105" i="25"/>
  <c r="AQ105" i="25"/>
  <c r="AS63" i="25"/>
  <c r="AS68" i="25" s="1"/>
  <c r="AR51" i="25"/>
  <c r="AQ106" i="25"/>
  <c r="AS94" i="25"/>
  <c r="AS84" i="25"/>
  <c r="AS74" i="25"/>
  <c r="AS76" i="25"/>
  <c r="AS96" i="25"/>
  <c r="AS86" i="25"/>
  <c r="AR50" i="25"/>
  <c r="AQ104" i="25"/>
  <c r="AP104" i="25"/>
  <c r="AR64" i="25"/>
  <c r="AR69" i="25" s="1"/>
  <c r="L24" i="23"/>
  <c r="L25" i="23" s="1"/>
  <c r="L49" i="4" s="1"/>
  <c r="C135" i="25" l="1"/>
  <c r="AA121" i="25"/>
  <c r="AE122" i="25"/>
  <c r="S121" i="25"/>
  <c r="AO127" i="25"/>
  <c r="AO130" i="25" s="1"/>
  <c r="AO122" i="25"/>
  <c r="AM126" i="25"/>
  <c r="AG87" i="25"/>
  <c r="AG88" i="25" s="1"/>
  <c r="T37" i="13" s="1"/>
  <c r="AC122" i="25"/>
  <c r="C134" i="25"/>
  <c r="T104" i="25"/>
  <c r="T109" i="25" s="1"/>
  <c r="T125" i="25" s="1"/>
  <c r="T133" i="25" s="1"/>
  <c r="U120" i="25"/>
  <c r="Y106" i="25"/>
  <c r="Y111" i="25" s="1"/>
  <c r="Y127" i="25" s="1"/>
  <c r="E121" i="25"/>
  <c r="E122" i="25"/>
  <c r="Q121" i="25"/>
  <c r="AC105" i="25"/>
  <c r="I105" i="25"/>
  <c r="I110" i="25" s="1"/>
  <c r="I126" i="25" s="1"/>
  <c r="AO121" i="25"/>
  <c r="T105" i="25"/>
  <c r="T110" i="25" s="1"/>
  <c r="T126" i="25" s="1"/>
  <c r="U87" i="25"/>
  <c r="U88" i="25" s="1"/>
  <c r="T25" i="13" s="1"/>
  <c r="D106" i="25"/>
  <c r="D111" i="25" s="1"/>
  <c r="D122" i="25" s="1"/>
  <c r="X106" i="25"/>
  <c r="I87" i="25"/>
  <c r="I88" i="25" s="1"/>
  <c r="T13" i="13" s="1"/>
  <c r="Q77" i="25"/>
  <c r="Q78" i="25" s="1"/>
  <c r="AF104" i="25"/>
  <c r="AF109" i="25" s="1"/>
  <c r="AF120" i="25" s="1"/>
  <c r="W126" i="25"/>
  <c r="W129" i="25" s="1"/>
  <c r="W121" i="25"/>
  <c r="AI135" i="25"/>
  <c r="C122" i="25"/>
  <c r="Q106" i="25"/>
  <c r="Q111" i="25" s="1"/>
  <c r="Q127" i="25" s="1"/>
  <c r="I122" i="25"/>
  <c r="AJ122" i="25"/>
  <c r="AK122" i="25"/>
  <c r="AO120" i="25"/>
  <c r="AG77" i="25"/>
  <c r="AG78" i="25" s="1"/>
  <c r="I120" i="25"/>
  <c r="H104" i="25"/>
  <c r="H109" i="25" s="1"/>
  <c r="H125" i="25" s="1"/>
  <c r="H133" i="25" s="1"/>
  <c r="AF105" i="25"/>
  <c r="AF110" i="25" s="1"/>
  <c r="AF126" i="25" s="1"/>
  <c r="AK105" i="25"/>
  <c r="AK110" i="25" s="1"/>
  <c r="AK126" i="25" s="1"/>
  <c r="E53" i="25"/>
  <c r="E54" i="25" s="1"/>
  <c r="AF106" i="25"/>
  <c r="AF111" i="25" s="1"/>
  <c r="AF127" i="25" s="1"/>
  <c r="AF135" i="25" s="1"/>
  <c r="U77" i="25"/>
  <c r="U78" i="25" s="1"/>
  <c r="AJ105" i="25"/>
  <c r="AJ110" i="25" s="1"/>
  <c r="AJ126" i="25" s="1"/>
  <c r="P106" i="25"/>
  <c r="P111" i="25" s="1"/>
  <c r="P122" i="25" s="1"/>
  <c r="AG105" i="25"/>
  <c r="AG110" i="25" s="1"/>
  <c r="AG126" i="25" s="1"/>
  <c r="E120" i="25"/>
  <c r="X120" i="25"/>
  <c r="AI120" i="25"/>
  <c r="Q87" i="25"/>
  <c r="Q88" i="25" s="1"/>
  <c r="T21" i="13" s="1"/>
  <c r="AE121" i="25"/>
  <c r="H105" i="25"/>
  <c r="H110" i="25" s="1"/>
  <c r="AG120" i="25"/>
  <c r="L104" i="25"/>
  <c r="L109" i="25" s="1"/>
  <c r="L125" i="25" s="1"/>
  <c r="L133" i="25" s="1"/>
  <c r="AB104" i="25"/>
  <c r="AB109" i="25" s="1"/>
  <c r="AB125" i="25" s="1"/>
  <c r="AB133" i="25" s="1"/>
  <c r="H106" i="25"/>
  <c r="H111" i="25" s="1"/>
  <c r="H127" i="25" s="1"/>
  <c r="H135" i="25" s="1"/>
  <c r="D75" i="25"/>
  <c r="D95" i="25"/>
  <c r="D85" i="25"/>
  <c r="AB95" i="25"/>
  <c r="AB75" i="25"/>
  <c r="AB85" i="25"/>
  <c r="M130" i="25"/>
  <c r="M135" i="25"/>
  <c r="AG130" i="25"/>
  <c r="AG135" i="25"/>
  <c r="G129" i="25"/>
  <c r="G134" i="25"/>
  <c r="I133" i="25"/>
  <c r="I128" i="25"/>
  <c r="AI129" i="25"/>
  <c r="AI134" i="25"/>
  <c r="AC130" i="25"/>
  <c r="AC135" i="25"/>
  <c r="P105" i="25"/>
  <c r="P110" i="25" s="1"/>
  <c r="P121" i="25" s="1"/>
  <c r="AC84" i="25"/>
  <c r="AC94" i="25"/>
  <c r="AC74" i="25"/>
  <c r="AI125" i="25"/>
  <c r="AO129" i="25"/>
  <c r="AO134" i="25"/>
  <c r="E129" i="25"/>
  <c r="E134" i="25"/>
  <c r="AK130" i="25"/>
  <c r="AK135" i="25"/>
  <c r="G125" i="25"/>
  <c r="AE130" i="25"/>
  <c r="AE135" i="25"/>
  <c r="AO128" i="25"/>
  <c r="AO133" i="25"/>
  <c r="C125" i="25"/>
  <c r="D84" i="25"/>
  <c r="D74" i="25"/>
  <c r="D94" i="25"/>
  <c r="O129" i="25"/>
  <c r="O134" i="25"/>
  <c r="U130" i="25"/>
  <c r="U135" i="25"/>
  <c r="I77" i="25"/>
  <c r="I78" i="25" s="1"/>
  <c r="W125" i="25"/>
  <c r="AF125" i="25"/>
  <c r="AF133" i="25" s="1"/>
  <c r="Q104" i="25"/>
  <c r="O109" i="25"/>
  <c r="O120" i="25" s="1"/>
  <c r="AN63" i="25"/>
  <c r="AN68" i="25" s="1"/>
  <c r="AE129" i="25"/>
  <c r="AE134" i="25"/>
  <c r="S111" i="25"/>
  <c r="S127" i="25" s="1"/>
  <c r="AA129" i="25"/>
  <c r="AA134" i="25"/>
  <c r="M121" i="25"/>
  <c r="AM122" i="25"/>
  <c r="AK120" i="25"/>
  <c r="AN122" i="25"/>
  <c r="M120" i="25"/>
  <c r="AC53" i="25"/>
  <c r="AC54" i="25" s="1"/>
  <c r="AM130" i="25"/>
  <c r="AM135" i="25"/>
  <c r="AK128" i="25"/>
  <c r="AK133" i="25"/>
  <c r="M128" i="25"/>
  <c r="M133" i="25"/>
  <c r="AA109" i="25"/>
  <c r="AA120" i="25" s="1"/>
  <c r="Y53" i="25"/>
  <c r="Y54" i="25" s="1"/>
  <c r="AM109" i="25"/>
  <c r="AM120" i="25" s="1"/>
  <c r="AE125" i="25"/>
  <c r="L85" i="25"/>
  <c r="M87" i="25" s="1"/>
  <c r="M88" i="25" s="1"/>
  <c r="T17" i="13" s="1"/>
  <c r="L75" i="25"/>
  <c r="L95" i="25"/>
  <c r="E128" i="25"/>
  <c r="E133" i="25"/>
  <c r="P104" i="25"/>
  <c r="P109" i="25" s="1"/>
  <c r="P120" i="25" s="1"/>
  <c r="AM129" i="25"/>
  <c r="AM134" i="25"/>
  <c r="Y104" i="25"/>
  <c r="Y109" i="25" s="1"/>
  <c r="Y120" i="25" s="1"/>
  <c r="AE120" i="25"/>
  <c r="K125" i="25"/>
  <c r="U128" i="25"/>
  <c r="U133" i="25"/>
  <c r="E130" i="25"/>
  <c r="E135" i="25"/>
  <c r="Q129" i="25"/>
  <c r="Q134" i="25"/>
  <c r="X75" i="25"/>
  <c r="Y77" i="25" s="1"/>
  <c r="Y78" i="25" s="1"/>
  <c r="X85" i="25"/>
  <c r="Y87" i="25" s="1"/>
  <c r="Y88" i="25" s="1"/>
  <c r="T29" i="13" s="1"/>
  <c r="X95" i="25"/>
  <c r="X111" i="25"/>
  <c r="X127" i="25" s="1"/>
  <c r="X135" i="25" s="1"/>
  <c r="M129" i="25"/>
  <c r="M134" i="25"/>
  <c r="S125" i="25"/>
  <c r="U105" i="25"/>
  <c r="V49" i="13"/>
  <c r="V48" i="13"/>
  <c r="V47" i="13"/>
  <c r="C120" i="25"/>
  <c r="Y105" i="25"/>
  <c r="Y110" i="25" s="1"/>
  <c r="Y121" i="25" s="1"/>
  <c r="T122" i="25"/>
  <c r="AJ74" i="25"/>
  <c r="AK77" i="25" s="1"/>
  <c r="AK78" i="25" s="1"/>
  <c r="AJ94" i="25"/>
  <c r="AJ84" i="25"/>
  <c r="AK87" i="25" s="1"/>
  <c r="AK88" i="25" s="1"/>
  <c r="T41" i="13" s="1"/>
  <c r="K111" i="25"/>
  <c r="K127" i="25" s="1"/>
  <c r="I130" i="25"/>
  <c r="I135" i="25"/>
  <c r="AG128" i="25"/>
  <c r="AG133" i="25"/>
  <c r="M122" i="25"/>
  <c r="AB122" i="25"/>
  <c r="AG122" i="25"/>
  <c r="O121" i="25"/>
  <c r="G121" i="25"/>
  <c r="L122" i="25"/>
  <c r="AN120" i="25"/>
  <c r="U122" i="25"/>
  <c r="AR62" i="25"/>
  <c r="AR67" i="25" s="1"/>
  <c r="AR84" i="25" s="1"/>
  <c r="AS53" i="25"/>
  <c r="AS95" i="25"/>
  <c r="AS85" i="25"/>
  <c r="AS75" i="25"/>
  <c r="AQ109" i="25"/>
  <c r="AQ125" i="25" s="1"/>
  <c r="AQ110" i="25"/>
  <c r="AQ126" i="25" s="1"/>
  <c r="AR96" i="25"/>
  <c r="AR86" i="25"/>
  <c r="AR76" i="25"/>
  <c r="AP109" i="25"/>
  <c r="AQ111" i="25"/>
  <c r="AQ127" i="25" s="1"/>
  <c r="AS106" i="25"/>
  <c r="AS104" i="25"/>
  <c r="AR63" i="25"/>
  <c r="AR68" i="25" s="1"/>
  <c r="AP110" i="25"/>
  <c r="AP126" i="25" s="1"/>
  <c r="L34" i="23"/>
  <c r="AO135" i="25" l="1"/>
  <c r="AR75" i="25"/>
  <c r="AR85" i="25"/>
  <c r="D104" i="25"/>
  <c r="D127" i="25"/>
  <c r="D135" i="25" s="1"/>
  <c r="AS87" i="25"/>
  <c r="AC110" i="25"/>
  <c r="AC126" i="25" s="1"/>
  <c r="K122" i="25"/>
  <c r="E87" i="25"/>
  <c r="E88" i="25" s="1"/>
  <c r="T9" i="13" s="1"/>
  <c r="W134" i="25"/>
  <c r="H126" i="25"/>
  <c r="H134" i="25" s="1"/>
  <c r="H121" i="25"/>
  <c r="L105" i="25"/>
  <c r="L110" i="25" s="1"/>
  <c r="L121" i="25" s="1"/>
  <c r="M77" i="25"/>
  <c r="M78" i="25" s="1"/>
  <c r="AG112" i="25"/>
  <c r="AG113" i="25" s="1"/>
  <c r="AG142" i="25" s="1"/>
  <c r="U37" i="13" s="1"/>
  <c r="L120" i="25"/>
  <c r="T121" i="25"/>
  <c r="AB105" i="25"/>
  <c r="AB110" i="25" s="1"/>
  <c r="AB126" i="25" s="1"/>
  <c r="X105" i="25"/>
  <c r="X110" i="25" s="1"/>
  <c r="X121" i="25" s="1"/>
  <c r="AC77" i="25"/>
  <c r="AC78" i="25" s="1"/>
  <c r="AF122" i="25"/>
  <c r="AG121" i="25"/>
  <c r="H120" i="25"/>
  <c r="X122" i="25"/>
  <c r="AC87" i="25"/>
  <c r="AC88" i="25" s="1"/>
  <c r="T33" i="13" s="1"/>
  <c r="AF121" i="25"/>
  <c r="Y126" i="25"/>
  <c r="Y134" i="25" s="1"/>
  <c r="P127" i="25"/>
  <c r="P135" i="25" s="1"/>
  <c r="S122" i="25"/>
  <c r="Y125" i="25"/>
  <c r="Y133" i="25" s="1"/>
  <c r="AJ104" i="25"/>
  <c r="K128" i="25"/>
  <c r="K133" i="25"/>
  <c r="AM125" i="25"/>
  <c r="S130" i="25"/>
  <c r="S135" i="25"/>
  <c r="T129" i="25"/>
  <c r="T134" i="25"/>
  <c r="AC104" i="25"/>
  <c r="Q109" i="25"/>
  <c r="Q125" i="25" s="1"/>
  <c r="K130" i="25"/>
  <c r="K135" i="25"/>
  <c r="S128" i="25"/>
  <c r="S133" i="25"/>
  <c r="D109" i="25"/>
  <c r="D120" i="25" s="1"/>
  <c r="Y122" i="25"/>
  <c r="AN85" i="25"/>
  <c r="AO87" i="25" s="1"/>
  <c r="AO88" i="25" s="1"/>
  <c r="T45" i="13" s="1"/>
  <c r="AN95" i="25"/>
  <c r="AN75" i="25"/>
  <c r="AO77" i="25" s="1"/>
  <c r="AO78" i="25" s="1"/>
  <c r="E77" i="25"/>
  <c r="E78" i="25" s="1"/>
  <c r="I112" i="25"/>
  <c r="I113" i="25" s="1"/>
  <c r="I142" i="25" s="1"/>
  <c r="U13" i="13" s="1"/>
  <c r="P126" i="25"/>
  <c r="AJ121" i="25"/>
  <c r="H122" i="25"/>
  <c r="AK121" i="25"/>
  <c r="D105" i="25"/>
  <c r="Q130" i="25"/>
  <c r="Q135" i="25"/>
  <c r="AG129" i="25"/>
  <c r="AG134" i="25"/>
  <c r="AF129" i="25"/>
  <c r="AF134" i="25"/>
  <c r="Y130" i="25"/>
  <c r="Y135" i="25"/>
  <c r="AA125" i="25"/>
  <c r="G128" i="25"/>
  <c r="G133" i="25"/>
  <c r="AJ129" i="25"/>
  <c r="AJ134" i="25"/>
  <c r="AK129" i="25"/>
  <c r="AK134" i="25"/>
  <c r="C128" i="25"/>
  <c r="C133" i="25"/>
  <c r="AI128" i="25"/>
  <c r="AI133" i="25"/>
  <c r="I129" i="25"/>
  <c r="I134" i="25"/>
  <c r="W128" i="25"/>
  <c r="W133" i="25"/>
  <c r="U110" i="25"/>
  <c r="U126" i="25" s="1"/>
  <c r="P125" i="25"/>
  <c r="P133" i="25" s="1"/>
  <c r="T120" i="25"/>
  <c r="AE128" i="25"/>
  <c r="AE133" i="25"/>
  <c r="O125" i="25"/>
  <c r="Q122" i="25"/>
  <c r="AB120" i="25"/>
  <c r="I121" i="25"/>
  <c r="AC129" i="25"/>
  <c r="AC134" i="25"/>
  <c r="AR74" i="25"/>
  <c r="AS77" i="25" s="1"/>
  <c r="AP125" i="25"/>
  <c r="AP128" i="25" s="1"/>
  <c r="AR94" i="25"/>
  <c r="AP120" i="25"/>
  <c r="AQ121" i="25"/>
  <c r="AQ120" i="25"/>
  <c r="AS109" i="25"/>
  <c r="AS125" i="25" s="1"/>
  <c r="AQ128" i="25"/>
  <c r="AQ133" i="25"/>
  <c r="AP129" i="25"/>
  <c r="AP134" i="25"/>
  <c r="AR95" i="25"/>
  <c r="AQ129" i="25"/>
  <c r="AQ134" i="25"/>
  <c r="AQ130" i="25"/>
  <c r="AQ135" i="25"/>
  <c r="AS105" i="25"/>
  <c r="AQ122" i="25"/>
  <c r="AR106" i="25"/>
  <c r="AS111" i="25"/>
  <c r="AS127" i="25" s="1"/>
  <c r="AP121" i="25"/>
  <c r="L35" i="23"/>
  <c r="M41" i="4" s="1"/>
  <c r="AS88" i="25" l="1"/>
  <c r="S16" i="17"/>
  <c r="S17" i="17"/>
  <c r="Y128" i="25"/>
  <c r="M112" i="25"/>
  <c r="M113" i="25" s="1"/>
  <c r="M142" i="25" s="1"/>
  <c r="U17" i="13" s="1"/>
  <c r="L126" i="25"/>
  <c r="L129" i="25" s="1"/>
  <c r="H129" i="25"/>
  <c r="Y129" i="25"/>
  <c r="AC121" i="25"/>
  <c r="Y112" i="25"/>
  <c r="Y113" i="25" s="1"/>
  <c r="Y142" i="25" s="1"/>
  <c r="U29" i="13" s="1"/>
  <c r="X126" i="25"/>
  <c r="X134" i="25" s="1"/>
  <c r="Y136" i="25" s="1"/>
  <c r="V139" i="25" s="1"/>
  <c r="U121" i="25"/>
  <c r="AB121" i="25"/>
  <c r="I136" i="25"/>
  <c r="F139" i="25" s="1"/>
  <c r="Q128" i="25"/>
  <c r="Q133" i="25"/>
  <c r="D125" i="25"/>
  <c r="D133" i="25" s="1"/>
  <c r="U129" i="25"/>
  <c r="U134" i="25"/>
  <c r="U136" i="25" s="1"/>
  <c r="R139" i="25" s="1"/>
  <c r="AM128" i="25"/>
  <c r="AM133" i="25"/>
  <c r="AB129" i="25"/>
  <c r="AB134" i="25"/>
  <c r="Q112" i="25"/>
  <c r="Q113" i="25" s="1"/>
  <c r="Q142" i="25" s="1"/>
  <c r="U21" i="13" s="1"/>
  <c r="P134" i="25"/>
  <c r="P129" i="25"/>
  <c r="AC109" i="25"/>
  <c r="AC120" i="25" s="1"/>
  <c r="O128" i="25"/>
  <c r="O133" i="25"/>
  <c r="AA128" i="25"/>
  <c r="AA133" i="25"/>
  <c r="AG136" i="25"/>
  <c r="AD139" i="25" s="1"/>
  <c r="X129" i="25"/>
  <c r="U112" i="25"/>
  <c r="U113" i="25" s="1"/>
  <c r="U142" i="25" s="1"/>
  <c r="U25" i="13" s="1"/>
  <c r="AN105" i="25"/>
  <c r="AJ109" i="25"/>
  <c r="AJ120" i="25" s="1"/>
  <c r="D110" i="25"/>
  <c r="D126" i="25" s="1"/>
  <c r="Q120" i="25"/>
  <c r="AS54" i="25"/>
  <c r="I41" i="4"/>
  <c r="AR104" i="25"/>
  <c r="AR109" i="25" s="1"/>
  <c r="AR125" i="25" s="1"/>
  <c r="AR133" i="25" s="1"/>
  <c r="AP133" i="25"/>
  <c r="L38" i="23"/>
  <c r="L37" i="23"/>
  <c r="L39" i="23"/>
  <c r="AS32" i="25"/>
  <c r="AS78" i="25"/>
  <c r="T49" i="13"/>
  <c r="L41" i="4"/>
  <c r="H41" i="4"/>
  <c r="D41" i="4"/>
  <c r="K41" i="4"/>
  <c r="C41" i="4"/>
  <c r="F41" i="4"/>
  <c r="E41" i="4"/>
  <c r="G41" i="4"/>
  <c r="B41" i="4"/>
  <c r="J41" i="4"/>
  <c r="AS120" i="25"/>
  <c r="AR111" i="25"/>
  <c r="AR127" i="25" s="1"/>
  <c r="AR135" i="25" s="1"/>
  <c r="AS110" i="25"/>
  <c r="AS126" i="25" s="1"/>
  <c r="AS122" i="25"/>
  <c r="AS130" i="25"/>
  <c r="AS135" i="25"/>
  <c r="AR105" i="25"/>
  <c r="AS128" i="25"/>
  <c r="AS133" i="25"/>
  <c r="L134" i="25" l="1"/>
  <c r="M136" i="25" s="1"/>
  <c r="J139" i="25" s="1"/>
  <c r="L92" i="4"/>
  <c r="R48" i="13"/>
  <c r="T48" i="13"/>
  <c r="Q136" i="25"/>
  <c r="N139" i="25" s="1"/>
  <c r="AN110" i="25"/>
  <c r="AN121" i="25" s="1"/>
  <c r="E112" i="25"/>
  <c r="E113" i="25" s="1"/>
  <c r="E142" i="25" s="1"/>
  <c r="U9" i="13" s="1"/>
  <c r="D121" i="25"/>
  <c r="AC125" i="25"/>
  <c r="AC112" i="25"/>
  <c r="AC113" i="25" s="1"/>
  <c r="AC142" i="25" s="1"/>
  <c r="U33" i="13" s="1"/>
  <c r="D129" i="25"/>
  <c r="D134" i="25"/>
  <c r="E136" i="25" s="1"/>
  <c r="B139" i="25" s="1"/>
  <c r="AJ125" i="25"/>
  <c r="AJ133" i="25" s="1"/>
  <c r="AK136" i="25" s="1"/>
  <c r="AH139" i="25" s="1"/>
  <c r="AK112" i="25"/>
  <c r="AK113" i="25" s="1"/>
  <c r="AK142" i="25" s="1"/>
  <c r="U41" i="13" s="1"/>
  <c r="L40" i="23"/>
  <c r="AR120" i="25"/>
  <c r="R50" i="13"/>
  <c r="AR110" i="25"/>
  <c r="AS129" i="25"/>
  <c r="AS134" i="25"/>
  <c r="AS121" i="25"/>
  <c r="AR122" i="25"/>
  <c r="AC128" i="25" l="1"/>
  <c r="AC133" i="25"/>
  <c r="AC136" i="25" s="1"/>
  <c r="Z139" i="25" s="1"/>
  <c r="AN126" i="25"/>
  <c r="AO112" i="25"/>
  <c r="AO113" i="25" s="1"/>
  <c r="AO142" i="25" s="1"/>
  <c r="AR126" i="25"/>
  <c r="AR129" i="25" s="1"/>
  <c r="AS112" i="25"/>
  <c r="AS113" i="25" s="1"/>
  <c r="AS142" i="25" s="1"/>
  <c r="AR121" i="25"/>
  <c r="U45" i="13" l="1"/>
  <c r="AN129" i="25"/>
  <c r="AN134" i="25"/>
  <c r="AO136" i="25" s="1"/>
  <c r="AL139" i="25" s="1"/>
  <c r="U49" i="13"/>
  <c r="AR134" i="25"/>
  <c r="AS136" i="25" s="1"/>
  <c r="AP139" i="25" s="1"/>
  <c r="B90" i="4"/>
  <c r="C90" i="4"/>
  <c r="D90" i="4"/>
  <c r="E90" i="4"/>
  <c r="E92" i="4" s="1"/>
  <c r="F90" i="4"/>
  <c r="G90" i="4"/>
  <c r="H90" i="4"/>
  <c r="J90" i="4"/>
  <c r="J92" i="4" s="1"/>
  <c r="K90" i="4"/>
  <c r="B91" i="4"/>
  <c r="C91" i="4"/>
  <c r="D91" i="4"/>
  <c r="E91" i="4"/>
  <c r="F91" i="4"/>
  <c r="G91" i="4"/>
  <c r="H91" i="4"/>
  <c r="J91" i="4"/>
  <c r="K91" i="4"/>
  <c r="C92" i="4" l="1"/>
  <c r="K92" i="4"/>
  <c r="B92" i="4"/>
  <c r="H92" i="4"/>
  <c r="G92" i="4"/>
  <c r="D92" i="4"/>
  <c r="F92" i="4"/>
  <c r="L124" i="16"/>
  <c r="K124" i="16"/>
  <c r="J124" i="16"/>
  <c r="I124" i="16"/>
  <c r="H124" i="16"/>
  <c r="G124" i="16"/>
  <c r="F124" i="16"/>
  <c r="L112" i="16"/>
  <c r="K112" i="16"/>
  <c r="J112" i="16"/>
  <c r="I112" i="16"/>
  <c r="H112" i="16"/>
  <c r="G112" i="16"/>
  <c r="F112" i="16"/>
  <c r="L100" i="16"/>
  <c r="K100" i="16"/>
  <c r="J100" i="16"/>
  <c r="I100" i="16"/>
  <c r="H100" i="16"/>
  <c r="G100" i="16"/>
  <c r="F100" i="16"/>
  <c r="L88" i="16"/>
  <c r="K88" i="16"/>
  <c r="J88" i="16"/>
  <c r="I88" i="16"/>
  <c r="H88" i="16"/>
  <c r="G88" i="16"/>
  <c r="F88" i="16"/>
  <c r="L76" i="16"/>
  <c r="K76" i="16"/>
  <c r="J76" i="16"/>
  <c r="I76" i="16"/>
  <c r="H76" i="16"/>
  <c r="G76" i="16"/>
  <c r="F76" i="16"/>
  <c r="L64" i="16"/>
  <c r="K64" i="16"/>
  <c r="J64" i="16"/>
  <c r="I64" i="16"/>
  <c r="H64" i="16"/>
  <c r="G64" i="16"/>
  <c r="F64" i="16"/>
  <c r="L52" i="16"/>
  <c r="K52" i="16"/>
  <c r="J52" i="16"/>
  <c r="I52" i="16"/>
  <c r="H52" i="16"/>
  <c r="G52" i="16"/>
  <c r="F52" i="16"/>
  <c r="L40" i="16"/>
  <c r="K40" i="16"/>
  <c r="J40" i="16"/>
  <c r="I40" i="16"/>
  <c r="H40" i="16"/>
  <c r="G40" i="16"/>
  <c r="F40" i="16"/>
  <c r="L28" i="16"/>
  <c r="K28" i="16"/>
  <c r="J28" i="16"/>
  <c r="I28" i="16"/>
  <c r="H28" i="16"/>
  <c r="G28" i="16"/>
  <c r="F28" i="16"/>
  <c r="L16" i="16"/>
  <c r="K16" i="16"/>
  <c r="J16" i="16"/>
  <c r="I16" i="16"/>
  <c r="H16" i="16"/>
  <c r="G16" i="16"/>
  <c r="F16" i="16"/>
  <c r="L136" i="16"/>
  <c r="K136" i="16"/>
  <c r="J136" i="16"/>
  <c r="I136" i="16"/>
  <c r="H136" i="16"/>
  <c r="G136" i="16"/>
  <c r="F136" i="16"/>
  <c r="M126" i="16"/>
  <c r="M127" i="16"/>
  <c r="M128" i="16"/>
  <c r="M129" i="16"/>
  <c r="M130" i="16"/>
  <c r="M131" i="16"/>
  <c r="M132" i="16"/>
  <c r="M133" i="16"/>
  <c r="M134" i="16"/>
  <c r="M135" i="16"/>
  <c r="M136" i="16"/>
  <c r="M124" i="16"/>
  <c r="M123" i="16"/>
  <c r="M122" i="16"/>
  <c r="M121" i="16"/>
  <c r="M120" i="16"/>
  <c r="M119" i="16"/>
  <c r="M118" i="16"/>
  <c r="M117" i="16"/>
  <c r="M116" i="16"/>
  <c r="M115" i="16"/>
  <c r="M114" i="16"/>
  <c r="M112" i="16"/>
  <c r="M111" i="16"/>
  <c r="M110" i="16"/>
  <c r="M109" i="16"/>
  <c r="M108" i="16"/>
  <c r="M107" i="16"/>
  <c r="M106" i="16"/>
  <c r="M105" i="16"/>
  <c r="M104" i="16"/>
  <c r="M103" i="16"/>
  <c r="M102" i="16"/>
  <c r="M88" i="16"/>
  <c r="M87" i="16"/>
  <c r="M86" i="16"/>
  <c r="M85" i="16"/>
  <c r="M84" i="16"/>
  <c r="M83" i="16"/>
  <c r="M82" i="16"/>
  <c r="M81" i="16"/>
  <c r="M80" i="16"/>
  <c r="M79" i="16"/>
  <c r="M76" i="16"/>
  <c r="M75" i="16"/>
  <c r="M74" i="16"/>
  <c r="M73" i="16"/>
  <c r="M72" i="16"/>
  <c r="M71" i="16"/>
  <c r="M70" i="16"/>
  <c r="M69" i="16"/>
  <c r="M68" i="16"/>
  <c r="M67" i="16"/>
  <c r="M66" i="16"/>
  <c r="M64" i="16"/>
  <c r="M63" i="16"/>
  <c r="M62" i="16"/>
  <c r="M61" i="16"/>
  <c r="M60" i="16"/>
  <c r="M59" i="16"/>
  <c r="M58" i="16"/>
  <c r="M57" i="16"/>
  <c r="M56" i="16"/>
  <c r="M55" i="16"/>
  <c r="M54" i="16"/>
  <c r="M52" i="16"/>
  <c r="M51" i="16"/>
  <c r="M50" i="16"/>
  <c r="M49" i="16"/>
  <c r="M48" i="16"/>
  <c r="M47" i="16"/>
  <c r="M46" i="16"/>
  <c r="M45" i="16"/>
  <c r="M44" i="16"/>
  <c r="M43" i="16"/>
  <c r="M42" i="16"/>
  <c r="M40" i="16"/>
  <c r="M39" i="16"/>
  <c r="M38" i="16"/>
  <c r="M37" i="16"/>
  <c r="M36" i="16"/>
  <c r="M35" i="16"/>
  <c r="M34" i="16"/>
  <c r="M33" i="16"/>
  <c r="M32" i="16"/>
  <c r="M31" i="16"/>
  <c r="M30" i="16"/>
  <c r="M28" i="16"/>
  <c r="M27" i="16"/>
  <c r="M26" i="16"/>
  <c r="M25" i="16"/>
  <c r="M24" i="16"/>
  <c r="M23" i="16"/>
  <c r="M22" i="16"/>
  <c r="M21" i="16"/>
  <c r="M20" i="16"/>
  <c r="M19" i="16"/>
  <c r="M18" i="16"/>
  <c r="M16" i="16"/>
  <c r="M15" i="16"/>
  <c r="M14" i="16"/>
  <c r="M13" i="16"/>
  <c r="M12" i="16"/>
  <c r="M11" i="16"/>
  <c r="M10" i="16"/>
  <c r="M9" i="16"/>
  <c r="M8" i="16"/>
  <c r="M7" i="16"/>
  <c r="M6" i="16"/>
  <c r="W45" i="13"/>
  <c r="V45" i="13"/>
  <c r="W44" i="13"/>
  <c r="V44" i="13"/>
  <c r="W43" i="13"/>
  <c r="V43" i="13"/>
  <c r="R46" i="13"/>
  <c r="M46" i="13"/>
  <c r="W41" i="13"/>
  <c r="V41" i="13"/>
  <c r="W40" i="13"/>
  <c r="V40" i="13"/>
  <c r="W39" i="13"/>
  <c r="V39" i="13"/>
  <c r="R42" i="13"/>
  <c r="M42" i="13"/>
  <c r="W37" i="13"/>
  <c r="V37" i="13"/>
  <c r="W36" i="13"/>
  <c r="V36" i="13"/>
  <c r="W35" i="13"/>
  <c r="V35" i="13"/>
  <c r="R38" i="13"/>
  <c r="M38" i="13"/>
  <c r="L137" i="16" l="1"/>
  <c r="W38" i="13"/>
  <c r="I41" i="16"/>
  <c r="H101" i="16"/>
  <c r="G77" i="16"/>
  <c r="I125" i="16"/>
  <c r="K137" i="16"/>
  <c r="H53" i="16"/>
  <c r="H113" i="16"/>
  <c r="H17" i="16"/>
  <c r="I89" i="16"/>
  <c r="I29" i="16"/>
  <c r="F137" i="16"/>
  <c r="K17" i="16"/>
  <c r="K29" i="16"/>
  <c r="H41" i="16"/>
  <c r="L53" i="16"/>
  <c r="J65" i="16"/>
  <c r="K77" i="16"/>
  <c r="J89" i="16"/>
  <c r="J101" i="16"/>
  <c r="I113" i="16"/>
  <c r="J125" i="16"/>
  <c r="V38" i="13"/>
  <c r="G137" i="16"/>
  <c r="L17" i="16"/>
  <c r="F41" i="16"/>
  <c r="F53" i="16"/>
  <c r="K65" i="16"/>
  <c r="L77" i="16"/>
  <c r="K89" i="16"/>
  <c r="K101" i="16"/>
  <c r="J113" i="16"/>
  <c r="K125" i="16"/>
  <c r="H137" i="16"/>
  <c r="J29" i="16"/>
  <c r="G41" i="16"/>
  <c r="G53" i="16"/>
  <c r="L65" i="16"/>
  <c r="F77" i="16"/>
  <c r="L89" i="16"/>
  <c r="L101" i="16"/>
  <c r="K113" i="16"/>
  <c r="L125" i="16"/>
  <c r="I137" i="16"/>
  <c r="F17" i="16"/>
  <c r="H89" i="16"/>
  <c r="F101" i="16"/>
  <c r="L113" i="16"/>
  <c r="F125" i="16"/>
  <c r="J137" i="16"/>
  <c r="G17" i="16"/>
  <c r="L29" i="16"/>
  <c r="F65" i="16"/>
  <c r="F89" i="16"/>
  <c r="F113" i="16"/>
  <c r="H125" i="16"/>
  <c r="V42" i="13"/>
  <c r="F29" i="16"/>
  <c r="J41" i="16"/>
  <c r="I53" i="16"/>
  <c r="G65" i="16"/>
  <c r="H77" i="16"/>
  <c r="G89" i="16"/>
  <c r="G101" i="16"/>
  <c r="G125" i="16"/>
  <c r="W46" i="13"/>
  <c r="V46" i="13"/>
  <c r="I17" i="16"/>
  <c r="H29" i="16"/>
  <c r="K41" i="16"/>
  <c r="J53" i="16"/>
  <c r="H65" i="16"/>
  <c r="I77" i="16"/>
  <c r="G113" i="16"/>
  <c r="J17" i="16"/>
  <c r="G29" i="16"/>
  <c r="L41" i="16"/>
  <c r="K53" i="16"/>
  <c r="I65" i="16"/>
  <c r="J77" i="16"/>
  <c r="I101" i="16"/>
  <c r="W42" i="13"/>
  <c r="W34" i="13"/>
  <c r="V34" i="13"/>
  <c r="R34" i="13"/>
  <c r="M34" i="13"/>
  <c r="W29" i="13"/>
  <c r="V29" i="13"/>
  <c r="W28" i="13"/>
  <c r="V28" i="13"/>
  <c r="W27" i="13"/>
  <c r="V27" i="13"/>
  <c r="R30" i="13"/>
  <c r="M30" i="13"/>
  <c r="W25" i="13"/>
  <c r="V25" i="13"/>
  <c r="W24" i="13"/>
  <c r="V24" i="13"/>
  <c r="W23" i="13"/>
  <c r="V23" i="13"/>
  <c r="R26" i="13"/>
  <c r="M26" i="13"/>
  <c r="W21" i="13"/>
  <c r="V21" i="13"/>
  <c r="W20" i="13"/>
  <c r="V20" i="13"/>
  <c r="W19" i="13"/>
  <c r="V19" i="13"/>
  <c r="R22" i="13"/>
  <c r="M22" i="13"/>
  <c r="W17" i="13"/>
  <c r="V17" i="13"/>
  <c r="W16" i="13"/>
  <c r="V16" i="13"/>
  <c r="W15" i="13"/>
  <c r="V15" i="13"/>
  <c r="R18" i="13"/>
  <c r="M18" i="13"/>
  <c r="W13" i="13"/>
  <c r="V13" i="13"/>
  <c r="W12" i="13"/>
  <c r="V12" i="13"/>
  <c r="W11" i="13"/>
  <c r="V11" i="13"/>
  <c r="R14" i="13"/>
  <c r="M14" i="13"/>
  <c r="W9" i="13"/>
  <c r="V9" i="13"/>
  <c r="W8" i="13"/>
  <c r="V8" i="13"/>
  <c r="W7" i="13"/>
  <c r="V7" i="13"/>
  <c r="R10" i="13"/>
  <c r="M10" i="13"/>
  <c r="W47" i="13"/>
  <c r="V10" i="13" l="1"/>
  <c r="V14" i="13"/>
  <c r="V22" i="13"/>
  <c r="W14" i="13"/>
  <c r="V18" i="13"/>
  <c r="V26" i="13"/>
  <c r="W10" i="13"/>
  <c r="W30" i="13"/>
  <c r="V30" i="13"/>
  <c r="W26" i="13"/>
  <c r="W22" i="13"/>
  <c r="W18" i="13"/>
  <c r="F132" i="14" l="1"/>
  <c r="F131" i="14"/>
  <c r="F130" i="14"/>
  <c r="F129" i="14"/>
  <c r="F128" i="14"/>
  <c r="F127" i="14"/>
  <c r="F126" i="14"/>
  <c r="F120" i="14"/>
  <c r="F119" i="14"/>
  <c r="F118" i="14"/>
  <c r="F117" i="14"/>
  <c r="F116" i="14"/>
  <c r="F115" i="14"/>
  <c r="F114" i="14"/>
  <c r="F108" i="14"/>
  <c r="F107" i="14"/>
  <c r="F106" i="14"/>
  <c r="F105" i="14"/>
  <c r="F104" i="14"/>
  <c r="F103" i="14"/>
  <c r="F102" i="14"/>
  <c r="F96" i="14"/>
  <c r="F95" i="14"/>
  <c r="F94" i="14"/>
  <c r="F93" i="14"/>
  <c r="F92" i="14"/>
  <c r="F91" i="14"/>
  <c r="F90" i="14"/>
  <c r="F84" i="14"/>
  <c r="F83" i="14"/>
  <c r="F82" i="14"/>
  <c r="F81" i="14"/>
  <c r="F80" i="14"/>
  <c r="F79" i="14"/>
  <c r="F78" i="14"/>
  <c r="F72" i="14"/>
  <c r="F71" i="14"/>
  <c r="F70" i="14"/>
  <c r="F69" i="14"/>
  <c r="F68" i="14"/>
  <c r="F67" i="14"/>
  <c r="F66" i="14"/>
  <c r="F60" i="14"/>
  <c r="F59" i="14"/>
  <c r="F58" i="14"/>
  <c r="F57" i="14"/>
  <c r="F56" i="14"/>
  <c r="F55" i="14"/>
  <c r="F54" i="14"/>
  <c r="F48" i="14"/>
  <c r="F47" i="14"/>
  <c r="F46" i="14"/>
  <c r="F45" i="14"/>
  <c r="F44" i="14"/>
  <c r="F43" i="14"/>
  <c r="F42" i="14"/>
  <c r="F36" i="14"/>
  <c r="F35" i="14"/>
  <c r="F34" i="14"/>
  <c r="F33" i="14"/>
  <c r="F32" i="14"/>
  <c r="F31" i="14"/>
  <c r="F30" i="14"/>
  <c r="F24" i="14"/>
  <c r="F23" i="14"/>
  <c r="F22" i="14"/>
  <c r="F21" i="14"/>
  <c r="F20" i="14"/>
  <c r="F19" i="14"/>
  <c r="F18" i="14"/>
  <c r="F12" i="14"/>
  <c r="F11" i="14"/>
  <c r="F10" i="14"/>
  <c r="F9" i="14"/>
  <c r="F8" i="14"/>
  <c r="F7" i="14"/>
  <c r="F6" i="14"/>
  <c r="F120" i="15"/>
  <c r="F119" i="15"/>
  <c r="F118" i="15"/>
  <c r="F117" i="15"/>
  <c r="F116" i="15"/>
  <c r="F115" i="15"/>
  <c r="F114" i="15"/>
  <c r="F108" i="15"/>
  <c r="F107" i="15"/>
  <c r="F106" i="15"/>
  <c r="F105" i="15"/>
  <c r="F104" i="15"/>
  <c r="F103" i="15"/>
  <c r="F102" i="15"/>
  <c r="F96" i="15"/>
  <c r="F95" i="15"/>
  <c r="F94" i="15"/>
  <c r="F93" i="15"/>
  <c r="F92" i="15"/>
  <c r="F91" i="15"/>
  <c r="F90" i="15"/>
  <c r="F84" i="15"/>
  <c r="F83" i="15"/>
  <c r="F82" i="15"/>
  <c r="F81" i="15"/>
  <c r="F80" i="15"/>
  <c r="F79" i="15"/>
  <c r="F78" i="15"/>
  <c r="F72" i="15"/>
  <c r="F71" i="15"/>
  <c r="F70" i="15"/>
  <c r="F69" i="15"/>
  <c r="F68" i="15"/>
  <c r="F67" i="15"/>
  <c r="F66" i="15"/>
  <c r="F60" i="15"/>
  <c r="F59" i="15"/>
  <c r="F58" i="15"/>
  <c r="F57" i="15"/>
  <c r="F56" i="15"/>
  <c r="F55" i="15"/>
  <c r="F54" i="15"/>
  <c r="F48" i="15"/>
  <c r="F47" i="15"/>
  <c r="F46" i="15"/>
  <c r="F45" i="15"/>
  <c r="F44" i="15"/>
  <c r="F43" i="15"/>
  <c r="F42" i="15"/>
  <c r="F36" i="15"/>
  <c r="F35" i="15"/>
  <c r="F34" i="15"/>
  <c r="F33" i="15"/>
  <c r="F32" i="15"/>
  <c r="F31" i="15"/>
  <c r="F30" i="15"/>
  <c r="F24" i="15"/>
  <c r="F23" i="15"/>
  <c r="F22" i="15"/>
  <c r="F21" i="15"/>
  <c r="F20" i="15"/>
  <c r="F19" i="15"/>
  <c r="F18" i="15"/>
  <c r="F12" i="15"/>
  <c r="F11" i="15"/>
  <c r="F10" i="15"/>
  <c r="F9" i="15"/>
  <c r="F8" i="15"/>
  <c r="F7" i="15"/>
  <c r="F6" i="15"/>
  <c r="F120" i="2"/>
  <c r="F119" i="2"/>
  <c r="F118" i="2"/>
  <c r="F117" i="2"/>
  <c r="F116" i="2"/>
  <c r="F115" i="2"/>
  <c r="F114" i="2"/>
  <c r="F108" i="2"/>
  <c r="F107" i="2"/>
  <c r="F106" i="2"/>
  <c r="F105" i="2"/>
  <c r="F104" i="2"/>
  <c r="F103" i="2"/>
  <c r="F102" i="2"/>
  <c r="F96" i="2"/>
  <c r="F95" i="2"/>
  <c r="F94" i="2"/>
  <c r="F93" i="2"/>
  <c r="F92" i="2"/>
  <c r="F91" i="2"/>
  <c r="F90" i="2"/>
  <c r="F84" i="2"/>
  <c r="F83" i="2"/>
  <c r="F82" i="2"/>
  <c r="F81" i="2"/>
  <c r="F80" i="2"/>
  <c r="F79" i="2"/>
  <c r="F78" i="2"/>
  <c r="F72" i="2"/>
  <c r="F71" i="2"/>
  <c r="F70" i="2"/>
  <c r="F69" i="2"/>
  <c r="F68" i="2"/>
  <c r="F67" i="2"/>
  <c r="F66" i="2"/>
  <c r="F60" i="2"/>
  <c r="F59" i="2"/>
  <c r="F58" i="2"/>
  <c r="F57" i="2"/>
  <c r="F56" i="2"/>
  <c r="F55" i="2"/>
  <c r="F54" i="2"/>
  <c r="F48" i="2"/>
  <c r="F47" i="2"/>
  <c r="F46" i="2"/>
  <c r="F45" i="2"/>
  <c r="F44" i="2"/>
  <c r="F43" i="2"/>
  <c r="F42" i="2"/>
  <c r="F36" i="2"/>
  <c r="F35" i="2"/>
  <c r="F34" i="2"/>
  <c r="F33" i="2"/>
  <c r="F32" i="2"/>
  <c r="F31" i="2"/>
  <c r="F30" i="2"/>
  <c r="F24" i="2"/>
  <c r="F23" i="2"/>
  <c r="F22" i="2"/>
  <c r="F21" i="2"/>
  <c r="F20" i="2"/>
  <c r="F19" i="2"/>
  <c r="F18" i="2"/>
  <c r="F12" i="2"/>
  <c r="F11" i="2"/>
  <c r="F10" i="2"/>
  <c r="F9" i="2"/>
  <c r="F8" i="2"/>
  <c r="F7" i="2"/>
  <c r="F6" i="2"/>
  <c r="F132" i="15"/>
  <c r="F131" i="15"/>
  <c r="F130" i="15"/>
  <c r="F129" i="15"/>
  <c r="F128" i="15"/>
  <c r="F127" i="15"/>
  <c r="F126" i="15"/>
  <c r="F127" i="2"/>
  <c r="F128" i="2"/>
  <c r="F129" i="2"/>
  <c r="F130" i="2"/>
  <c r="F131" i="2"/>
  <c r="F132" i="2"/>
  <c r="F126" i="2"/>
  <c r="M50" i="13"/>
  <c r="O36" i="19"/>
  <c r="O38" i="19"/>
  <c r="O41" i="19"/>
  <c r="O43" i="19"/>
  <c r="W49" i="13" l="1"/>
  <c r="W48" i="13"/>
  <c r="P122" i="14" l="1"/>
  <c r="O122" i="14"/>
  <c r="P121" i="14"/>
  <c r="O121" i="14"/>
  <c r="P110" i="14"/>
  <c r="O110" i="14"/>
  <c r="P109" i="14"/>
  <c r="O109" i="14"/>
  <c r="P98" i="14"/>
  <c r="O98" i="14"/>
  <c r="P97" i="14"/>
  <c r="O97" i="14"/>
  <c r="P86" i="14"/>
  <c r="O86" i="14"/>
  <c r="P85" i="14"/>
  <c r="O85" i="14"/>
  <c r="P74" i="14"/>
  <c r="O74" i="14"/>
  <c r="P73" i="14"/>
  <c r="O73" i="14"/>
  <c r="P62" i="14"/>
  <c r="O62" i="14"/>
  <c r="P61" i="14"/>
  <c r="O61" i="14"/>
  <c r="P50" i="14"/>
  <c r="O50" i="14"/>
  <c r="P49" i="14"/>
  <c r="O49" i="14"/>
  <c r="P38" i="14"/>
  <c r="O38" i="14"/>
  <c r="P37" i="14"/>
  <c r="O37" i="14"/>
  <c r="P26" i="14"/>
  <c r="O26" i="14"/>
  <c r="P25" i="14"/>
  <c r="O25" i="14"/>
  <c r="P14" i="14"/>
  <c r="O14" i="14"/>
  <c r="P13" i="14"/>
  <c r="O13" i="14"/>
  <c r="Q136" i="14"/>
  <c r="Q135" i="14"/>
  <c r="Q134" i="14"/>
  <c r="Q133" i="14"/>
  <c r="Q132" i="14"/>
  <c r="Q131" i="14"/>
  <c r="Q130" i="14"/>
  <c r="Q129" i="14"/>
  <c r="Q128" i="14"/>
  <c r="Q127" i="14"/>
  <c r="Q126" i="14"/>
  <c r="Q124" i="14"/>
  <c r="Q123" i="14"/>
  <c r="Q122" i="14"/>
  <c r="Q121" i="14"/>
  <c r="Q120" i="14"/>
  <c r="Q119" i="14"/>
  <c r="Q118" i="14"/>
  <c r="Q117" i="14"/>
  <c r="Q116" i="14"/>
  <c r="Q115" i="14"/>
  <c r="Q114" i="14"/>
  <c r="Q112" i="14"/>
  <c r="Q111" i="14"/>
  <c r="Q110" i="14"/>
  <c r="Q109" i="14"/>
  <c r="Q108" i="14"/>
  <c r="Q107" i="14"/>
  <c r="Q106" i="14"/>
  <c r="Q105" i="14"/>
  <c r="Q104" i="14"/>
  <c r="Q103" i="14"/>
  <c r="Q102" i="14"/>
  <c r="Q88" i="14"/>
  <c r="Q87" i="14"/>
  <c r="Q86" i="14"/>
  <c r="Q85" i="14"/>
  <c r="Q84" i="14"/>
  <c r="Q83" i="14"/>
  <c r="Q82" i="14"/>
  <c r="Q81" i="14"/>
  <c r="Q80" i="14"/>
  <c r="Q79" i="14"/>
  <c r="Q76" i="14"/>
  <c r="Q75" i="14"/>
  <c r="Q74" i="14"/>
  <c r="Q73" i="14"/>
  <c r="Q72" i="14"/>
  <c r="Q71" i="14"/>
  <c r="Q70" i="14"/>
  <c r="Q69" i="14"/>
  <c r="Q68" i="14"/>
  <c r="Q67" i="14"/>
  <c r="Q66" i="14"/>
  <c r="Q64" i="14"/>
  <c r="Q63" i="14"/>
  <c r="Q62" i="14"/>
  <c r="Q61" i="14"/>
  <c r="Q60" i="14"/>
  <c r="Q59" i="14"/>
  <c r="Q58" i="14"/>
  <c r="Q57" i="14"/>
  <c r="Q56" i="14"/>
  <c r="Q55" i="14"/>
  <c r="Q54" i="14"/>
  <c r="Q52" i="14"/>
  <c r="Q51" i="14"/>
  <c r="Q50" i="14"/>
  <c r="Q49" i="14"/>
  <c r="Q48" i="14"/>
  <c r="Q47" i="14"/>
  <c r="Q46" i="14"/>
  <c r="Q45" i="14"/>
  <c r="Q44" i="14"/>
  <c r="Q43" i="14"/>
  <c r="Q42" i="14"/>
  <c r="Q40" i="14"/>
  <c r="Q39" i="14"/>
  <c r="Q38" i="14"/>
  <c r="Q37" i="14"/>
  <c r="Q36" i="14"/>
  <c r="Q35" i="14"/>
  <c r="Q34" i="14"/>
  <c r="Q33" i="14"/>
  <c r="Q32" i="14"/>
  <c r="Q31" i="14"/>
  <c r="Q30" i="14"/>
  <c r="Q28" i="14"/>
  <c r="Q27" i="14"/>
  <c r="Q26" i="14"/>
  <c r="Q25" i="14"/>
  <c r="Q24" i="14"/>
  <c r="Q23" i="14"/>
  <c r="Q22" i="14"/>
  <c r="Q21" i="14"/>
  <c r="Q20" i="14"/>
  <c r="Q19" i="14"/>
  <c r="Q18" i="14"/>
  <c r="Q16" i="14"/>
  <c r="Q15" i="14"/>
  <c r="Q14" i="14"/>
  <c r="Q13" i="14"/>
  <c r="Q12" i="14"/>
  <c r="Q11" i="14"/>
  <c r="Q10" i="14"/>
  <c r="Q9" i="14"/>
  <c r="Q8" i="14"/>
  <c r="Q7" i="14"/>
  <c r="Q6" i="14"/>
  <c r="P134" i="14"/>
  <c r="O134" i="14"/>
  <c r="P133" i="14"/>
  <c r="O133" i="14"/>
  <c r="Q116" i="15"/>
  <c r="Q117" i="15"/>
  <c r="Q118" i="15"/>
  <c r="Q119" i="15"/>
  <c r="Q120" i="15"/>
  <c r="Q121" i="15"/>
  <c r="Q122" i="15"/>
  <c r="Q123" i="15"/>
  <c r="Q124" i="15"/>
  <c r="Q115" i="15"/>
  <c r="Q114" i="15"/>
  <c r="Q104" i="15"/>
  <c r="Q105" i="15"/>
  <c r="Q106" i="15"/>
  <c r="Q107" i="15"/>
  <c r="Q108" i="15"/>
  <c r="Q109" i="15"/>
  <c r="Q110" i="15"/>
  <c r="Q111" i="15"/>
  <c r="Q112" i="15"/>
  <c r="Q103" i="15"/>
  <c r="Q102" i="15"/>
  <c r="Q80" i="15"/>
  <c r="Q81" i="15"/>
  <c r="Q82" i="15"/>
  <c r="Q83" i="15"/>
  <c r="Q84" i="15"/>
  <c r="Q85" i="15"/>
  <c r="Q86" i="15"/>
  <c r="Q87" i="15"/>
  <c r="Q88" i="15"/>
  <c r="Q79" i="15"/>
  <c r="Q68" i="15"/>
  <c r="Q69" i="15"/>
  <c r="Q70" i="15"/>
  <c r="Q71" i="15"/>
  <c r="Q72" i="15"/>
  <c r="Q73" i="15"/>
  <c r="Q74" i="15"/>
  <c r="Q75" i="15"/>
  <c r="Q76" i="15"/>
  <c r="Q67" i="15"/>
  <c r="Q66" i="15"/>
  <c r="Q56" i="15"/>
  <c r="Q57" i="15"/>
  <c r="Q58" i="15"/>
  <c r="Q59" i="15"/>
  <c r="Q60" i="15"/>
  <c r="Q61" i="15"/>
  <c r="Q62" i="15"/>
  <c r="Q63" i="15"/>
  <c r="Q64" i="15"/>
  <c r="Q55" i="15"/>
  <c r="Q54" i="15"/>
  <c r="Q44" i="15"/>
  <c r="Q45" i="15"/>
  <c r="Q46" i="15"/>
  <c r="Q47" i="15"/>
  <c r="Q48" i="15"/>
  <c r="Q49" i="15"/>
  <c r="Q50" i="15"/>
  <c r="Q51" i="15"/>
  <c r="Q52" i="15"/>
  <c r="Q43" i="15"/>
  <c r="Q42" i="15"/>
  <c r="Q32" i="15"/>
  <c r="Q33" i="15"/>
  <c r="Q34" i="15"/>
  <c r="Q35" i="15"/>
  <c r="Q36" i="15"/>
  <c r="Q37" i="15"/>
  <c r="Q38" i="15"/>
  <c r="Q39" i="15"/>
  <c r="Q40" i="15"/>
  <c r="Q31" i="15"/>
  <c r="Q30" i="15"/>
  <c r="Q20" i="15"/>
  <c r="Q21" i="15"/>
  <c r="Q22" i="15"/>
  <c r="Q23" i="15"/>
  <c r="Q24" i="15"/>
  <c r="Q25" i="15"/>
  <c r="Q26" i="15"/>
  <c r="Q27" i="15"/>
  <c r="Q28" i="15"/>
  <c r="Q19" i="15"/>
  <c r="Q18" i="15"/>
  <c r="Q7" i="15"/>
  <c r="Q8" i="15"/>
  <c r="Q9" i="15"/>
  <c r="Q10" i="15"/>
  <c r="Q11" i="15"/>
  <c r="Q12" i="15"/>
  <c r="Q13" i="15"/>
  <c r="Q14" i="15"/>
  <c r="Q15" i="15"/>
  <c r="Q16" i="15"/>
  <c r="Q6" i="15"/>
  <c r="P122" i="15"/>
  <c r="O122" i="15"/>
  <c r="P121" i="15"/>
  <c r="O121" i="15"/>
  <c r="P110" i="15"/>
  <c r="O110" i="15"/>
  <c r="P109" i="15"/>
  <c r="O109" i="15"/>
  <c r="P98" i="15"/>
  <c r="O98" i="15"/>
  <c r="P97" i="15"/>
  <c r="O97" i="15"/>
  <c r="P86" i="15"/>
  <c r="O86" i="15"/>
  <c r="P85" i="15"/>
  <c r="O85" i="15"/>
  <c r="P74" i="15"/>
  <c r="O74" i="15"/>
  <c r="P73" i="15"/>
  <c r="O73" i="15"/>
  <c r="P62" i="15"/>
  <c r="O62" i="15"/>
  <c r="P61" i="15"/>
  <c r="O61" i="15"/>
  <c r="P50" i="15"/>
  <c r="O50" i="15"/>
  <c r="P49" i="15"/>
  <c r="O49" i="15"/>
  <c r="P38" i="15"/>
  <c r="O38" i="15"/>
  <c r="P37" i="15"/>
  <c r="O37" i="15"/>
  <c r="P26" i="15"/>
  <c r="O26" i="15"/>
  <c r="P25" i="15"/>
  <c r="O25" i="15"/>
  <c r="P14" i="15"/>
  <c r="O14" i="15"/>
  <c r="P13" i="15"/>
  <c r="O13" i="15"/>
  <c r="Q115" i="2"/>
  <c r="Q116" i="2"/>
  <c r="Q117" i="2"/>
  <c r="Q118" i="2"/>
  <c r="Q119" i="2"/>
  <c r="Q120" i="2"/>
  <c r="Q121" i="2"/>
  <c r="Q122" i="2"/>
  <c r="Q123" i="2"/>
  <c r="Q124" i="2"/>
  <c r="Q114" i="2"/>
  <c r="P122" i="2"/>
  <c r="O122" i="2"/>
  <c r="P121" i="2"/>
  <c r="Q103" i="2"/>
  <c r="Q104" i="2"/>
  <c r="Q105" i="2"/>
  <c r="Q106" i="2"/>
  <c r="Q107" i="2"/>
  <c r="Q108" i="2"/>
  <c r="Q109" i="2"/>
  <c r="Q110" i="2"/>
  <c r="Q111" i="2"/>
  <c r="Q112" i="2"/>
  <c r="Q102" i="2"/>
  <c r="P110" i="2"/>
  <c r="O110" i="2"/>
  <c r="P109" i="2"/>
  <c r="P98" i="2"/>
  <c r="O98" i="2"/>
  <c r="P97" i="2"/>
  <c r="Q79" i="2"/>
  <c r="Q80" i="2"/>
  <c r="Q81" i="2"/>
  <c r="Q82" i="2"/>
  <c r="Q83" i="2"/>
  <c r="Q84" i="2"/>
  <c r="Q85" i="2"/>
  <c r="Q86" i="2"/>
  <c r="Q87" i="2"/>
  <c r="Q88" i="2"/>
  <c r="Q67" i="2"/>
  <c r="Q68" i="2"/>
  <c r="Q69" i="2"/>
  <c r="Q70" i="2"/>
  <c r="Q71" i="2"/>
  <c r="Q72" i="2"/>
  <c r="Q73" i="2"/>
  <c r="Q74" i="2"/>
  <c r="Q75" i="2"/>
  <c r="Q76" i="2"/>
  <c r="Q66" i="2"/>
  <c r="Q55" i="2"/>
  <c r="Q56" i="2"/>
  <c r="Q57" i="2"/>
  <c r="Q58" i="2"/>
  <c r="Q59" i="2"/>
  <c r="Q60" i="2"/>
  <c r="Q61" i="2"/>
  <c r="Q62" i="2"/>
  <c r="Q63" i="2"/>
  <c r="Q64" i="2"/>
  <c r="Q54" i="2"/>
  <c r="Q43" i="2"/>
  <c r="Q44" i="2"/>
  <c r="Q45" i="2"/>
  <c r="Q46" i="2"/>
  <c r="Q47" i="2"/>
  <c r="Q48" i="2"/>
  <c r="Q49" i="2"/>
  <c r="Q50" i="2"/>
  <c r="Q51" i="2"/>
  <c r="Q52" i="2"/>
  <c r="Q42" i="2"/>
  <c r="Q30" i="2"/>
  <c r="P86" i="2"/>
  <c r="O86" i="2"/>
  <c r="P85" i="2"/>
  <c r="P74" i="2"/>
  <c r="O74" i="2"/>
  <c r="P73" i="2"/>
  <c r="P62" i="2"/>
  <c r="O62" i="2"/>
  <c r="P61" i="2"/>
  <c r="P50" i="2"/>
  <c r="O50" i="2"/>
  <c r="P49" i="2"/>
  <c r="Q31" i="2"/>
  <c r="Q32" i="2"/>
  <c r="Q33" i="2"/>
  <c r="Q34" i="2"/>
  <c r="Q35" i="2"/>
  <c r="Q36" i="2"/>
  <c r="Q37" i="2"/>
  <c r="Q38" i="2"/>
  <c r="Q39" i="2"/>
  <c r="Q40" i="2"/>
  <c r="Q19" i="2"/>
  <c r="Q20" i="2"/>
  <c r="Q21" i="2"/>
  <c r="Q22" i="2"/>
  <c r="Q23" i="2"/>
  <c r="Q24" i="2"/>
  <c r="Q25" i="2"/>
  <c r="Q26" i="2"/>
  <c r="Q27" i="2"/>
  <c r="Q28" i="2"/>
  <c r="Q18" i="2"/>
  <c r="P38" i="2"/>
  <c r="O38" i="2"/>
  <c r="P37" i="2"/>
  <c r="P26" i="2"/>
  <c r="O26" i="2"/>
  <c r="P25" i="2"/>
  <c r="Q7" i="2"/>
  <c r="Q8" i="2"/>
  <c r="Q9" i="2"/>
  <c r="Q10" i="2"/>
  <c r="Q11" i="2"/>
  <c r="Q12" i="2"/>
  <c r="Q13" i="2"/>
  <c r="Q14" i="2"/>
  <c r="Q15" i="2"/>
  <c r="Q16" i="2"/>
  <c r="Q6" i="2"/>
  <c r="P14" i="2"/>
  <c r="O14" i="2"/>
  <c r="P13" i="2"/>
  <c r="O52" i="15" l="1"/>
  <c r="O112" i="15"/>
  <c r="O88" i="15"/>
  <c r="O89" i="15" s="1"/>
  <c r="P32" i="13" s="1"/>
  <c r="P88" i="15"/>
  <c r="P101" i="2"/>
  <c r="O101" i="2"/>
  <c r="P52" i="15"/>
  <c r="P77" i="15"/>
  <c r="P112" i="15"/>
  <c r="P113" i="15" s="1"/>
  <c r="P17" i="15"/>
  <c r="O53" i="14"/>
  <c r="P17" i="14"/>
  <c r="P41" i="14"/>
  <c r="O101" i="14"/>
  <c r="O125" i="14"/>
  <c r="P41" i="15"/>
  <c r="O101" i="15"/>
  <c r="P101" i="15"/>
  <c r="O77" i="2"/>
  <c r="O125" i="15"/>
  <c r="P125" i="15"/>
  <c r="P65" i="14"/>
  <c r="O17" i="15"/>
  <c r="P41" i="2"/>
  <c r="O41" i="2"/>
  <c r="O113" i="15"/>
  <c r="O77" i="15"/>
  <c r="O65" i="14"/>
  <c r="P29" i="14"/>
  <c r="P89" i="2"/>
  <c r="Q31" i="13" s="1"/>
  <c r="P53" i="2"/>
  <c r="O53" i="2"/>
  <c r="O125" i="2"/>
  <c r="P125" i="2"/>
  <c r="P101" i="14"/>
  <c r="O29" i="2"/>
  <c r="P53" i="15"/>
  <c r="O53" i="15"/>
  <c r="O89" i="2"/>
  <c r="P31" i="13" s="1"/>
  <c r="O77" i="14"/>
  <c r="P77" i="14"/>
  <c r="P29" i="15"/>
  <c r="O65" i="15"/>
  <c r="P65" i="15"/>
  <c r="P89" i="15"/>
  <c r="Q32" i="13" s="1"/>
  <c r="P65" i="2"/>
  <c r="O65" i="2"/>
  <c r="P53" i="14"/>
  <c r="O113" i="14"/>
  <c r="P113" i="14"/>
  <c r="P77" i="2"/>
  <c r="O41" i="15"/>
  <c r="P125" i="14"/>
  <c r="O29" i="15"/>
  <c r="O41" i="14"/>
  <c r="O17" i="14"/>
  <c r="O89" i="14"/>
  <c r="P33" i="13" s="1"/>
  <c r="P89" i="14"/>
  <c r="Q33" i="13" s="1"/>
  <c r="P29" i="2"/>
  <c r="O113" i="2"/>
  <c r="P113" i="2"/>
  <c r="P137" i="14"/>
  <c r="O137" i="14"/>
  <c r="O29" i="14"/>
  <c r="B58" i="4"/>
  <c r="C58" i="4"/>
  <c r="D58" i="4"/>
  <c r="E58" i="4"/>
  <c r="F58" i="4"/>
  <c r="G58" i="4"/>
  <c r="H58" i="4"/>
  <c r="J58" i="4"/>
  <c r="K58" i="4"/>
  <c r="L58" i="4"/>
  <c r="O134" i="15" l="1"/>
  <c r="O133" i="15"/>
  <c r="P134" i="2"/>
  <c r="P133" i="2"/>
  <c r="O134" i="2"/>
  <c r="P134" i="15"/>
  <c r="P133" i="15"/>
  <c r="E28" i="19"/>
  <c r="O26" i="19" s="1"/>
  <c r="E42" i="19" s="1"/>
  <c r="E21" i="19"/>
  <c r="O15" i="19" s="1"/>
  <c r="E34" i="19" s="1"/>
  <c r="D34" i="19" s="1"/>
  <c r="G27" i="19"/>
  <c r="H27" i="19"/>
  <c r="I27" i="19"/>
  <c r="J27" i="19"/>
  <c r="K27" i="19"/>
  <c r="L27" i="19"/>
  <c r="M27" i="19"/>
  <c r="F27" i="19"/>
  <c r="G20" i="19"/>
  <c r="H20" i="19"/>
  <c r="I20" i="19"/>
  <c r="J20" i="19"/>
  <c r="K20" i="19"/>
  <c r="L20" i="19"/>
  <c r="M20" i="19"/>
  <c r="F20" i="19"/>
  <c r="G25" i="19"/>
  <c r="H25" i="19"/>
  <c r="I25" i="19"/>
  <c r="J25" i="19"/>
  <c r="K25" i="19"/>
  <c r="L25" i="19"/>
  <c r="M25" i="19"/>
  <c r="F25" i="19"/>
  <c r="G18" i="19"/>
  <c r="H18" i="19"/>
  <c r="I18" i="19"/>
  <c r="J18" i="19"/>
  <c r="K18" i="19"/>
  <c r="L18" i="19"/>
  <c r="M18" i="19"/>
  <c r="F18" i="19"/>
  <c r="F16" i="19"/>
  <c r="G16" i="19"/>
  <c r="H16" i="19"/>
  <c r="I16" i="19"/>
  <c r="J16" i="19"/>
  <c r="K16" i="19"/>
  <c r="L16" i="19"/>
  <c r="M16" i="19"/>
  <c r="G23" i="19"/>
  <c r="H23" i="19"/>
  <c r="I23" i="19"/>
  <c r="J23" i="19"/>
  <c r="K23" i="19"/>
  <c r="L23" i="19"/>
  <c r="M23" i="19"/>
  <c r="F23" i="19"/>
  <c r="O17" i="19" l="1"/>
  <c r="E35" i="19" s="1"/>
  <c r="G42" i="19"/>
  <c r="G43" i="19" s="1"/>
  <c r="H42" i="19"/>
  <c r="H43" i="19" s="1"/>
  <c r="I42" i="19"/>
  <c r="I43" i="19" s="1"/>
  <c r="J42" i="19"/>
  <c r="J43" i="19" s="1"/>
  <c r="F42" i="19"/>
  <c r="F43" i="19" s="1"/>
  <c r="K42" i="19"/>
  <c r="K43" i="19" s="1"/>
  <c r="L42" i="19"/>
  <c r="L43" i="19" s="1"/>
  <c r="M42" i="19"/>
  <c r="M43" i="19" s="1"/>
  <c r="F34" i="19"/>
  <c r="O19" i="19"/>
  <c r="E37" i="19" s="1"/>
  <c r="I37" i="19" s="1"/>
  <c r="I38" i="19" s="1"/>
  <c r="O22" i="19"/>
  <c r="E39" i="19" s="1"/>
  <c r="D39" i="19" s="1"/>
  <c r="O24" i="19"/>
  <c r="E40" i="19" s="1"/>
  <c r="J49" i="14" l="1"/>
  <c r="J61" i="14"/>
  <c r="J133" i="14"/>
  <c r="J97" i="14"/>
  <c r="J73" i="14"/>
  <c r="J25" i="14"/>
  <c r="J85" i="14"/>
  <c r="J121" i="14"/>
  <c r="J109" i="14"/>
  <c r="J37" i="14"/>
  <c r="J13" i="14"/>
  <c r="H50" i="14"/>
  <c r="H62" i="14"/>
  <c r="H134" i="14"/>
  <c r="H98" i="14"/>
  <c r="H74" i="14"/>
  <c r="H26" i="14"/>
  <c r="H86" i="14"/>
  <c r="H122" i="14"/>
  <c r="H110" i="14"/>
  <c r="H38" i="14"/>
  <c r="H14" i="14"/>
  <c r="K134" i="14"/>
  <c r="K98" i="14"/>
  <c r="K74" i="14"/>
  <c r="K26" i="14"/>
  <c r="K86" i="14"/>
  <c r="K122" i="14"/>
  <c r="K110" i="14"/>
  <c r="K38" i="14"/>
  <c r="K14" i="14"/>
  <c r="K50" i="14"/>
  <c r="K62" i="14"/>
  <c r="I62" i="14"/>
  <c r="I134" i="14"/>
  <c r="I98" i="14"/>
  <c r="I74" i="14"/>
  <c r="I26" i="14"/>
  <c r="I86" i="14"/>
  <c r="I122" i="14"/>
  <c r="I110" i="14"/>
  <c r="I38" i="14"/>
  <c r="I14" i="14"/>
  <c r="I50" i="14"/>
  <c r="G133" i="2"/>
  <c r="G121" i="2"/>
  <c r="G85" i="2"/>
  <c r="G73" i="2"/>
  <c r="G61" i="2"/>
  <c r="G49" i="2"/>
  <c r="G109" i="2"/>
  <c r="G97" i="2"/>
  <c r="G37" i="2"/>
  <c r="G13" i="2"/>
  <c r="G25" i="2"/>
  <c r="M86" i="14"/>
  <c r="M122" i="14"/>
  <c r="M110" i="14"/>
  <c r="M38" i="14"/>
  <c r="M14" i="14"/>
  <c r="M50" i="14"/>
  <c r="M62" i="14"/>
  <c r="M134" i="14"/>
  <c r="M98" i="14"/>
  <c r="M74" i="14"/>
  <c r="M26" i="14"/>
  <c r="J62" i="14"/>
  <c r="J134" i="14"/>
  <c r="J98" i="14"/>
  <c r="J74" i="14"/>
  <c r="J26" i="14"/>
  <c r="J86" i="14"/>
  <c r="J122" i="14"/>
  <c r="J110" i="14"/>
  <c r="J38" i="14"/>
  <c r="J14" i="14"/>
  <c r="J50" i="14"/>
  <c r="N122" i="14"/>
  <c r="N110" i="14"/>
  <c r="N38" i="14"/>
  <c r="N14" i="14"/>
  <c r="N50" i="14"/>
  <c r="N62" i="14"/>
  <c r="N134" i="14"/>
  <c r="N98" i="14"/>
  <c r="N74" i="14"/>
  <c r="N26" i="14"/>
  <c r="N86" i="14"/>
  <c r="L98" i="14"/>
  <c r="L74" i="14"/>
  <c r="L26" i="14"/>
  <c r="L86" i="14"/>
  <c r="L122" i="14"/>
  <c r="L110" i="14"/>
  <c r="L38" i="14"/>
  <c r="L14" i="14"/>
  <c r="L50" i="14"/>
  <c r="L62" i="14"/>
  <c r="L134" i="14"/>
  <c r="G50" i="14"/>
  <c r="G62" i="14"/>
  <c r="G134" i="14"/>
  <c r="G98" i="14"/>
  <c r="G74" i="14"/>
  <c r="G26" i="14"/>
  <c r="G86" i="14"/>
  <c r="G122" i="14"/>
  <c r="G110" i="14"/>
  <c r="G38" i="14"/>
  <c r="G14" i="14"/>
  <c r="J39" i="19"/>
  <c r="K39" i="19"/>
  <c r="L39" i="19"/>
  <c r="M39" i="19"/>
  <c r="F39" i="19"/>
  <c r="G39" i="19"/>
  <c r="I39" i="19"/>
  <c r="H39" i="19"/>
  <c r="E43" i="19"/>
  <c r="D43" i="19" s="1"/>
  <c r="J40" i="19"/>
  <c r="J41" i="19" s="1"/>
  <c r="K40" i="19"/>
  <c r="K41" i="19" s="1"/>
  <c r="L40" i="19"/>
  <c r="L41" i="19" s="1"/>
  <c r="M40" i="19"/>
  <c r="M41" i="19" s="1"/>
  <c r="F40" i="19"/>
  <c r="F41" i="19" s="1"/>
  <c r="G40" i="19"/>
  <c r="G41" i="19" s="1"/>
  <c r="H40" i="19"/>
  <c r="H41" i="19" s="1"/>
  <c r="I40" i="19"/>
  <c r="I41" i="19" s="1"/>
  <c r="J37" i="19"/>
  <c r="J38" i="19" s="1"/>
  <c r="H37" i="19"/>
  <c r="H38" i="19" s="1"/>
  <c r="L37" i="19"/>
  <c r="L38" i="19" s="1"/>
  <c r="G37" i="19"/>
  <c r="G38" i="19" s="1"/>
  <c r="F37" i="19"/>
  <c r="F38" i="19" s="1"/>
  <c r="M37" i="19"/>
  <c r="M38" i="19" s="1"/>
  <c r="K37" i="19"/>
  <c r="K38" i="19" s="1"/>
  <c r="G34" i="19"/>
  <c r="J34" i="19"/>
  <c r="I34" i="19"/>
  <c r="H34" i="19"/>
  <c r="M34" i="19"/>
  <c r="K34" i="19"/>
  <c r="L34" i="19"/>
  <c r="L35" i="19"/>
  <c r="L36" i="19" s="1"/>
  <c r="M35" i="19"/>
  <c r="M36" i="19" s="1"/>
  <c r="F35" i="19"/>
  <c r="F36" i="19" s="1"/>
  <c r="K35" i="19"/>
  <c r="K36" i="19" s="1"/>
  <c r="G35" i="19"/>
  <c r="G36" i="19" s="1"/>
  <c r="H35" i="19"/>
  <c r="H36" i="19" s="1"/>
  <c r="I35" i="19"/>
  <c r="I36" i="19" s="1"/>
  <c r="J35" i="19"/>
  <c r="J36" i="19" s="1"/>
  <c r="W50" i="13"/>
  <c r="F14" i="14" l="1"/>
  <c r="F74" i="14"/>
  <c r="F110" i="14"/>
  <c r="F98" i="14"/>
  <c r="F122" i="14"/>
  <c r="F86" i="14"/>
  <c r="F134" i="14"/>
  <c r="F50" i="14"/>
  <c r="F62" i="14"/>
  <c r="F38" i="14"/>
  <c r="F26" i="14"/>
  <c r="H133" i="2"/>
  <c r="H73" i="2"/>
  <c r="H61" i="2"/>
  <c r="H49" i="2"/>
  <c r="H109" i="2"/>
  <c r="H97" i="2"/>
  <c r="H37" i="2"/>
  <c r="H25" i="2"/>
  <c r="H121" i="2"/>
  <c r="H85" i="2"/>
  <c r="H13" i="2"/>
  <c r="J134" i="15"/>
  <c r="J110" i="15"/>
  <c r="J62" i="15"/>
  <c r="J98" i="15"/>
  <c r="J74" i="15"/>
  <c r="J26" i="15"/>
  <c r="J86" i="15"/>
  <c r="J38" i="15"/>
  <c r="J14" i="15"/>
  <c r="J122" i="15"/>
  <c r="J50" i="15"/>
  <c r="K134" i="2"/>
  <c r="K50" i="2"/>
  <c r="K110" i="2"/>
  <c r="K98" i="2"/>
  <c r="K38" i="2"/>
  <c r="K14" i="2"/>
  <c r="K26" i="2"/>
  <c r="K122" i="2"/>
  <c r="K86" i="2"/>
  <c r="K74" i="2"/>
  <c r="K62" i="2"/>
  <c r="J124" i="14"/>
  <c r="J125" i="14" s="1"/>
  <c r="K49" i="14"/>
  <c r="K61" i="14"/>
  <c r="K133" i="14"/>
  <c r="K97" i="14"/>
  <c r="K73" i="14"/>
  <c r="K25" i="14"/>
  <c r="K85" i="14"/>
  <c r="K121" i="14"/>
  <c r="K109" i="14"/>
  <c r="K37" i="14"/>
  <c r="K13" i="14"/>
  <c r="L61" i="14"/>
  <c r="L133" i="14"/>
  <c r="L97" i="14"/>
  <c r="L73" i="14"/>
  <c r="L25" i="14"/>
  <c r="L85" i="14"/>
  <c r="L121" i="14"/>
  <c r="L109" i="14"/>
  <c r="L37" i="14"/>
  <c r="L13" i="14"/>
  <c r="L49" i="14"/>
  <c r="I134" i="15"/>
  <c r="I122" i="15"/>
  <c r="I98" i="15"/>
  <c r="I110" i="15"/>
  <c r="I50" i="15"/>
  <c r="I62" i="15"/>
  <c r="I74" i="15"/>
  <c r="I26" i="15"/>
  <c r="I86" i="15"/>
  <c r="I38" i="15"/>
  <c r="I14" i="15"/>
  <c r="I134" i="2"/>
  <c r="I62" i="2"/>
  <c r="I50" i="2"/>
  <c r="I110" i="2"/>
  <c r="I98" i="2"/>
  <c r="I38" i="2"/>
  <c r="I14" i="2"/>
  <c r="I26" i="2"/>
  <c r="I122" i="2"/>
  <c r="I86" i="2"/>
  <c r="I74" i="2"/>
  <c r="J88" i="14"/>
  <c r="J89" i="14" s="1"/>
  <c r="J136" i="14"/>
  <c r="J137" i="14" s="1"/>
  <c r="J52" i="14"/>
  <c r="J53" i="14" s="1"/>
  <c r="K134" i="15"/>
  <c r="K98" i="15"/>
  <c r="K110" i="15"/>
  <c r="K122" i="15"/>
  <c r="K62" i="15"/>
  <c r="K74" i="15"/>
  <c r="K26" i="15"/>
  <c r="K86" i="15"/>
  <c r="K38" i="15"/>
  <c r="K14" i="15"/>
  <c r="K50" i="15"/>
  <c r="J112" i="14"/>
  <c r="J113" i="14" s="1"/>
  <c r="G133" i="15"/>
  <c r="G97" i="15"/>
  <c r="G121" i="15"/>
  <c r="G73" i="15"/>
  <c r="G25" i="15"/>
  <c r="G85" i="15"/>
  <c r="G37" i="15"/>
  <c r="G13" i="15"/>
  <c r="G49" i="15"/>
  <c r="G109" i="15"/>
  <c r="G61" i="15"/>
  <c r="N133" i="15"/>
  <c r="N97" i="15"/>
  <c r="N109" i="15"/>
  <c r="N121" i="15"/>
  <c r="N61" i="15"/>
  <c r="N73" i="15"/>
  <c r="N25" i="15"/>
  <c r="N85" i="15"/>
  <c r="N37" i="15"/>
  <c r="N13" i="15"/>
  <c r="N49" i="15"/>
  <c r="N133" i="14"/>
  <c r="N97" i="14"/>
  <c r="N73" i="14"/>
  <c r="N25" i="14"/>
  <c r="N85" i="14"/>
  <c r="N121" i="14"/>
  <c r="N109" i="14"/>
  <c r="N37" i="14"/>
  <c r="N13" i="14"/>
  <c r="N49" i="14"/>
  <c r="N61" i="14"/>
  <c r="H134" i="15"/>
  <c r="H122" i="15"/>
  <c r="H98" i="15"/>
  <c r="H50" i="15"/>
  <c r="H110" i="15"/>
  <c r="H62" i="15"/>
  <c r="H74" i="15"/>
  <c r="H26" i="15"/>
  <c r="H86" i="15"/>
  <c r="H38" i="15"/>
  <c r="H14" i="15"/>
  <c r="J133" i="15"/>
  <c r="J109" i="15"/>
  <c r="J121" i="15"/>
  <c r="J97" i="15"/>
  <c r="J85" i="15"/>
  <c r="J37" i="15"/>
  <c r="J13" i="15"/>
  <c r="J49" i="15"/>
  <c r="J61" i="15"/>
  <c r="J73" i="15"/>
  <c r="J25" i="15"/>
  <c r="G97" i="14"/>
  <c r="G73" i="14"/>
  <c r="G25" i="14"/>
  <c r="G85" i="14"/>
  <c r="G121" i="14"/>
  <c r="G109" i="14"/>
  <c r="G37" i="14"/>
  <c r="G13" i="14"/>
  <c r="G49" i="14"/>
  <c r="G61" i="14"/>
  <c r="G133" i="14"/>
  <c r="G134" i="15"/>
  <c r="G110" i="15"/>
  <c r="G122" i="15"/>
  <c r="G98" i="15"/>
  <c r="G86" i="15"/>
  <c r="G38" i="15"/>
  <c r="G14" i="15"/>
  <c r="G50" i="15"/>
  <c r="G62" i="15"/>
  <c r="G74" i="15"/>
  <c r="G26" i="15"/>
  <c r="H134" i="2"/>
  <c r="H74" i="2"/>
  <c r="H62" i="2"/>
  <c r="H50" i="2"/>
  <c r="H110" i="2"/>
  <c r="H98" i="2"/>
  <c r="H38" i="2"/>
  <c r="H26" i="2"/>
  <c r="H122" i="2"/>
  <c r="H86" i="2"/>
  <c r="H14" i="2"/>
  <c r="M133" i="15"/>
  <c r="M109" i="15"/>
  <c r="M61" i="15"/>
  <c r="M121" i="15"/>
  <c r="M73" i="15"/>
  <c r="M25" i="15"/>
  <c r="M85" i="15"/>
  <c r="M37" i="15"/>
  <c r="M13" i="15"/>
  <c r="M97" i="15"/>
  <c r="M49" i="15"/>
  <c r="H85" i="14"/>
  <c r="H121" i="14"/>
  <c r="H109" i="14"/>
  <c r="H37" i="14"/>
  <c r="H13" i="14"/>
  <c r="H49" i="14"/>
  <c r="H61" i="14"/>
  <c r="H133" i="14"/>
  <c r="H97" i="14"/>
  <c r="H73" i="14"/>
  <c r="H25" i="14"/>
  <c r="J16" i="14"/>
  <c r="J17" i="14" s="1"/>
  <c r="J64" i="14"/>
  <c r="J65" i="14" s="1"/>
  <c r="K133" i="2"/>
  <c r="K49" i="2"/>
  <c r="K109" i="2"/>
  <c r="K97" i="2"/>
  <c r="K37" i="2"/>
  <c r="K13" i="2"/>
  <c r="K25" i="2"/>
  <c r="K121" i="2"/>
  <c r="K85" i="2"/>
  <c r="K73" i="2"/>
  <c r="K61" i="2"/>
  <c r="M133" i="2"/>
  <c r="M109" i="2"/>
  <c r="M97" i="2"/>
  <c r="M37" i="2"/>
  <c r="M13" i="2"/>
  <c r="M25" i="2"/>
  <c r="M121" i="2"/>
  <c r="M85" i="2"/>
  <c r="M73" i="2"/>
  <c r="M61" i="2"/>
  <c r="M49" i="2"/>
  <c r="I133" i="15"/>
  <c r="I109" i="15"/>
  <c r="I121" i="15"/>
  <c r="I97" i="15"/>
  <c r="I85" i="15"/>
  <c r="I37" i="15"/>
  <c r="I13" i="15"/>
  <c r="I49" i="15"/>
  <c r="I61" i="15"/>
  <c r="I73" i="15"/>
  <c r="I25" i="15"/>
  <c r="N133" i="2"/>
  <c r="N97" i="2"/>
  <c r="N37" i="2"/>
  <c r="N13" i="2"/>
  <c r="N25" i="2"/>
  <c r="N121" i="2"/>
  <c r="N85" i="2"/>
  <c r="N73" i="2"/>
  <c r="N61" i="2"/>
  <c r="N49" i="2"/>
  <c r="N109" i="2"/>
  <c r="N134" i="15"/>
  <c r="N110" i="15"/>
  <c r="N122" i="15"/>
  <c r="N86" i="15"/>
  <c r="N38" i="15"/>
  <c r="N14" i="15"/>
  <c r="N98" i="15"/>
  <c r="N50" i="15"/>
  <c r="N62" i="15"/>
  <c r="N74" i="15"/>
  <c r="N26" i="15"/>
  <c r="G134" i="2"/>
  <c r="G136" i="2" s="1"/>
  <c r="G122" i="2"/>
  <c r="G86" i="2"/>
  <c r="G74" i="2"/>
  <c r="G62" i="2"/>
  <c r="G50" i="2"/>
  <c r="G110" i="2"/>
  <c r="G98" i="2"/>
  <c r="G100" i="2" s="1"/>
  <c r="G38" i="2"/>
  <c r="G14" i="2"/>
  <c r="G26" i="2"/>
  <c r="H133" i="15"/>
  <c r="H97" i="15"/>
  <c r="H109" i="15"/>
  <c r="H121" i="15"/>
  <c r="H73" i="15"/>
  <c r="H25" i="15"/>
  <c r="H85" i="15"/>
  <c r="H37" i="15"/>
  <c r="H13" i="15"/>
  <c r="H49" i="15"/>
  <c r="H61" i="15"/>
  <c r="I133" i="2"/>
  <c r="I61" i="2"/>
  <c r="I49" i="2"/>
  <c r="I109" i="2"/>
  <c r="I97" i="2"/>
  <c r="I37" i="2"/>
  <c r="I13" i="2"/>
  <c r="I25" i="2"/>
  <c r="I121" i="2"/>
  <c r="I85" i="2"/>
  <c r="I73" i="2"/>
  <c r="M61" i="14"/>
  <c r="M133" i="14"/>
  <c r="M97" i="14"/>
  <c r="M73" i="14"/>
  <c r="M25" i="14"/>
  <c r="M85" i="14"/>
  <c r="M121" i="14"/>
  <c r="M109" i="14"/>
  <c r="M37" i="14"/>
  <c r="M13" i="14"/>
  <c r="M49" i="14"/>
  <c r="M134" i="15"/>
  <c r="M98" i="15"/>
  <c r="M110" i="15"/>
  <c r="M122" i="15"/>
  <c r="M74" i="15"/>
  <c r="M26" i="15"/>
  <c r="M86" i="15"/>
  <c r="M38" i="15"/>
  <c r="M14" i="15"/>
  <c r="M50" i="15"/>
  <c r="M62" i="15"/>
  <c r="N134" i="2"/>
  <c r="N98" i="2"/>
  <c r="N38" i="2"/>
  <c r="N14" i="2"/>
  <c r="N26" i="2"/>
  <c r="N122" i="2"/>
  <c r="N86" i="2"/>
  <c r="N74" i="2"/>
  <c r="N62" i="2"/>
  <c r="N50" i="2"/>
  <c r="N110" i="2"/>
  <c r="J40" i="14"/>
  <c r="J41" i="14" s="1"/>
  <c r="J28" i="14"/>
  <c r="J29" i="14" s="1"/>
  <c r="J100" i="14"/>
  <c r="J101" i="14" s="1"/>
  <c r="K133" i="15"/>
  <c r="K121" i="15"/>
  <c r="K97" i="15"/>
  <c r="K49" i="15"/>
  <c r="K61" i="15"/>
  <c r="K73" i="15"/>
  <c r="K25" i="15"/>
  <c r="K109" i="15"/>
  <c r="K85" i="15"/>
  <c r="K37" i="15"/>
  <c r="K13" i="15"/>
  <c r="L133" i="15"/>
  <c r="L121" i="15"/>
  <c r="L97" i="15"/>
  <c r="L109" i="15"/>
  <c r="L49" i="15"/>
  <c r="L61" i="15"/>
  <c r="L73" i="15"/>
  <c r="L25" i="15"/>
  <c r="L85" i="15"/>
  <c r="L37" i="15"/>
  <c r="L13" i="15"/>
  <c r="I121" i="14"/>
  <c r="I109" i="14"/>
  <c r="I37" i="14"/>
  <c r="I13" i="14"/>
  <c r="I49" i="14"/>
  <c r="I61" i="14"/>
  <c r="I133" i="14"/>
  <c r="I97" i="14"/>
  <c r="I73" i="14"/>
  <c r="I25" i="14"/>
  <c r="I85" i="14"/>
  <c r="L134" i="15"/>
  <c r="L98" i="15"/>
  <c r="L122" i="15"/>
  <c r="L74" i="15"/>
  <c r="L26" i="15"/>
  <c r="L110" i="15"/>
  <c r="L86" i="15"/>
  <c r="L38" i="15"/>
  <c r="L14" i="15"/>
  <c r="L50" i="15"/>
  <c r="L62" i="15"/>
  <c r="M134" i="2"/>
  <c r="M110" i="2"/>
  <c r="M98" i="2"/>
  <c r="M38" i="2"/>
  <c r="M14" i="2"/>
  <c r="M26" i="2"/>
  <c r="M122" i="2"/>
  <c r="M86" i="2"/>
  <c r="M74" i="2"/>
  <c r="M62" i="2"/>
  <c r="M50" i="2"/>
  <c r="J76" i="14"/>
  <c r="J77" i="14" s="1"/>
  <c r="E38" i="19"/>
  <c r="D38" i="19" s="1"/>
  <c r="E41" i="19"/>
  <c r="D41" i="19" s="1"/>
  <c r="E36" i="19"/>
  <c r="D36" i="19" s="1"/>
  <c r="Q136" i="15"/>
  <c r="Q135" i="15"/>
  <c r="Q134" i="15"/>
  <c r="Q133" i="15"/>
  <c r="Q132" i="15"/>
  <c r="Q131" i="15"/>
  <c r="Q130" i="15"/>
  <c r="Q129" i="15"/>
  <c r="Q128" i="15"/>
  <c r="Q127" i="15"/>
  <c r="Q126" i="15"/>
  <c r="B33" i="4"/>
  <c r="C33" i="4"/>
  <c r="D33" i="4"/>
  <c r="E33" i="4"/>
  <c r="F33" i="4"/>
  <c r="G33" i="4"/>
  <c r="H33" i="4"/>
  <c r="J33" i="4"/>
  <c r="K33" i="4"/>
  <c r="B73" i="4"/>
  <c r="C73" i="4"/>
  <c r="D73" i="4"/>
  <c r="E73" i="4"/>
  <c r="F73" i="4"/>
  <c r="G73" i="4"/>
  <c r="H73" i="4"/>
  <c r="J73" i="4"/>
  <c r="K73" i="4"/>
  <c r="L33" i="4"/>
  <c r="V50" i="13"/>
  <c r="L73" i="4"/>
  <c r="F13" i="2" l="1"/>
  <c r="H136" i="2"/>
  <c r="F85" i="2"/>
  <c r="F109" i="2"/>
  <c r="F133" i="2"/>
  <c r="F121" i="2"/>
  <c r="F97" i="2"/>
  <c r="F73" i="2"/>
  <c r="F37" i="2"/>
  <c r="F49" i="2"/>
  <c r="F86" i="15"/>
  <c r="F134" i="2"/>
  <c r="F25" i="2"/>
  <c r="F61" i="2"/>
  <c r="F13" i="14"/>
  <c r="F37" i="15"/>
  <c r="F26" i="15"/>
  <c r="F98" i="15"/>
  <c r="F134" i="15"/>
  <c r="F37" i="14"/>
  <c r="F25" i="14"/>
  <c r="F85" i="15"/>
  <c r="F121" i="15"/>
  <c r="F74" i="15"/>
  <c r="F133" i="14"/>
  <c r="F49" i="14"/>
  <c r="F73" i="14"/>
  <c r="F97" i="15"/>
  <c r="F50" i="15"/>
  <c r="F109" i="14"/>
  <c r="F97" i="14"/>
  <c r="F49" i="15"/>
  <c r="F121" i="14"/>
  <c r="F133" i="15"/>
  <c r="F14" i="2"/>
  <c r="F61" i="14"/>
  <c r="F85" i="14"/>
  <c r="F61" i="15"/>
  <c r="F25" i="15"/>
  <c r="F14" i="15"/>
  <c r="F122" i="15"/>
  <c r="F73" i="15"/>
  <c r="H100" i="2"/>
  <c r="H101" i="2" s="1"/>
  <c r="F98" i="2"/>
  <c r="F62" i="15"/>
  <c r="F38" i="15"/>
  <c r="F110" i="15"/>
  <c r="F109" i="15"/>
  <c r="F13" i="15"/>
  <c r="G40" i="2"/>
  <c r="G41" i="2" s="1"/>
  <c r="F38" i="2"/>
  <c r="G76" i="2"/>
  <c r="G77" i="2" s="1"/>
  <c r="F74" i="2"/>
  <c r="G112" i="2"/>
  <c r="F110" i="2"/>
  <c r="G88" i="2"/>
  <c r="G89" i="2" s="1"/>
  <c r="H31" i="13" s="1"/>
  <c r="F86" i="2"/>
  <c r="G52" i="2"/>
  <c r="G53" i="2" s="1"/>
  <c r="F50" i="2"/>
  <c r="G124" i="2"/>
  <c r="F122" i="2"/>
  <c r="G28" i="2"/>
  <c r="G29" i="2" s="1"/>
  <c r="H11" i="13" s="1"/>
  <c r="F26" i="2"/>
  <c r="K100" i="2"/>
  <c r="K101" i="2" s="1"/>
  <c r="G101" i="2"/>
  <c r="I100" i="2"/>
  <c r="G64" i="2"/>
  <c r="F62" i="2"/>
  <c r="I136" i="15"/>
  <c r="I137" i="15" s="1"/>
  <c r="G136" i="15"/>
  <c r="G137" i="15" s="1"/>
  <c r="K136" i="2"/>
  <c r="J136" i="15"/>
  <c r="H136" i="15"/>
  <c r="H137" i="15" s="1"/>
  <c r="L16" i="15"/>
  <c r="L17" i="15" s="1"/>
  <c r="M76" i="14"/>
  <c r="M77" i="14" s="1"/>
  <c r="N76" i="2"/>
  <c r="N77" i="2" s="1"/>
  <c r="M52" i="2"/>
  <c r="M53" i="2" s="1"/>
  <c r="J112" i="15"/>
  <c r="J113" i="15" s="1"/>
  <c r="I64" i="14"/>
  <c r="I65" i="14" s="1"/>
  <c r="K64" i="15"/>
  <c r="K65" i="15" s="1"/>
  <c r="K100" i="15"/>
  <c r="K101" i="15" s="1"/>
  <c r="M40" i="14"/>
  <c r="M41" i="14" s="1"/>
  <c r="M28" i="14"/>
  <c r="M29" i="14" s="1"/>
  <c r="I76" i="2"/>
  <c r="I77" i="2" s="1"/>
  <c r="I28" i="2"/>
  <c r="I29" i="2" s="1"/>
  <c r="H64" i="15"/>
  <c r="H65" i="15" s="1"/>
  <c r="H40" i="15"/>
  <c r="H41" i="15" s="1"/>
  <c r="N136" i="2"/>
  <c r="I124" i="15"/>
  <c r="I125" i="15" s="1"/>
  <c r="M88" i="2"/>
  <c r="M89" i="2" s="1"/>
  <c r="N31" i="13" s="1"/>
  <c r="H112" i="14"/>
  <c r="H113" i="14" s="1"/>
  <c r="M76" i="15"/>
  <c r="M77" i="15" s="1"/>
  <c r="G124" i="14"/>
  <c r="J64" i="15"/>
  <c r="J65" i="15" s="1"/>
  <c r="J16" i="15"/>
  <c r="J17" i="15" s="1"/>
  <c r="J124" i="15"/>
  <c r="J125" i="15" s="1"/>
  <c r="N124" i="14"/>
  <c r="N125" i="14" s="1"/>
  <c r="N40" i="15"/>
  <c r="N41" i="15" s="1"/>
  <c r="G52" i="15"/>
  <c r="L112" i="14"/>
  <c r="L113" i="14" s="1"/>
  <c r="L100" i="14"/>
  <c r="L101" i="14" s="1"/>
  <c r="K88" i="14"/>
  <c r="K89" i="14" s="1"/>
  <c r="L33" i="13" s="1"/>
  <c r="K136" i="14"/>
  <c r="K137" i="14" s="1"/>
  <c r="K52" i="14"/>
  <c r="K53" i="14" s="1"/>
  <c r="H52" i="2"/>
  <c r="H53" i="2" s="1"/>
  <c r="H124" i="14"/>
  <c r="H125" i="14" s="1"/>
  <c r="I76" i="14"/>
  <c r="I77" i="14" s="1"/>
  <c r="L40" i="15"/>
  <c r="L41" i="15" s="1"/>
  <c r="L136" i="15"/>
  <c r="L137" i="15" s="1"/>
  <c r="K28" i="15"/>
  <c r="K29" i="15" s="1"/>
  <c r="M112" i="14"/>
  <c r="M113" i="14" s="1"/>
  <c r="M100" i="14"/>
  <c r="M101" i="14" s="1"/>
  <c r="I88" i="2"/>
  <c r="I89" i="2" s="1"/>
  <c r="J31" i="13" s="1"/>
  <c r="I64" i="2"/>
  <c r="I65" i="2" s="1"/>
  <c r="H124" i="15"/>
  <c r="H125" i="15" s="1"/>
  <c r="I64" i="15"/>
  <c r="I65" i="15" s="1"/>
  <c r="I40" i="15"/>
  <c r="I41" i="15" s="1"/>
  <c r="M40" i="2"/>
  <c r="M41" i="2" s="1"/>
  <c r="K124" i="2"/>
  <c r="K125" i="2" s="1"/>
  <c r="K40" i="2"/>
  <c r="K41" i="2" s="1"/>
  <c r="H64" i="14"/>
  <c r="H65" i="14" s="1"/>
  <c r="H88" i="14"/>
  <c r="H89" i="14" s="1"/>
  <c r="I33" i="13" s="1"/>
  <c r="M16" i="15"/>
  <c r="M17" i="15" s="1"/>
  <c r="J88" i="15"/>
  <c r="J89" i="15" s="1"/>
  <c r="G64" i="15"/>
  <c r="G28" i="15"/>
  <c r="L88" i="14"/>
  <c r="L89" i="14" s="1"/>
  <c r="L136" i="14"/>
  <c r="L137" i="14" s="1"/>
  <c r="H28" i="2"/>
  <c r="H29" i="2" s="1"/>
  <c r="L124" i="15"/>
  <c r="L125" i="15" s="1"/>
  <c r="I112" i="15"/>
  <c r="I113" i="15" s="1"/>
  <c r="K88" i="2"/>
  <c r="K89" i="2" s="1"/>
  <c r="L31" i="13" s="1"/>
  <c r="L124" i="14"/>
  <c r="L125" i="14" s="1"/>
  <c r="I100" i="14"/>
  <c r="I101" i="14" s="1"/>
  <c r="I16" i="14"/>
  <c r="I17" i="14" s="1"/>
  <c r="L88" i="15"/>
  <c r="L89" i="15" s="1"/>
  <c r="L64" i="15"/>
  <c r="L65" i="15" s="1"/>
  <c r="L100" i="15"/>
  <c r="L101" i="15" s="1"/>
  <c r="K76" i="15"/>
  <c r="K77" i="15" s="1"/>
  <c r="M124" i="14"/>
  <c r="M125" i="14" s="1"/>
  <c r="I124" i="2"/>
  <c r="I125" i="2" s="1"/>
  <c r="I40" i="2"/>
  <c r="I41" i="2" s="1"/>
  <c r="H112" i="15"/>
  <c r="H113" i="15" s="1"/>
  <c r="N112" i="2"/>
  <c r="N113" i="2" s="1"/>
  <c r="N88" i="2"/>
  <c r="N89" i="2" s="1"/>
  <c r="O31" i="13" s="1"/>
  <c r="N28" i="2"/>
  <c r="N29" i="2" s="1"/>
  <c r="I28" i="15"/>
  <c r="I29" i="15" s="1"/>
  <c r="I88" i="15"/>
  <c r="I89" i="15" s="1"/>
  <c r="M100" i="2"/>
  <c r="M101" i="2" s="1"/>
  <c r="H28" i="14"/>
  <c r="H29" i="14" s="1"/>
  <c r="M40" i="15"/>
  <c r="M41" i="15" s="1"/>
  <c r="J28" i="15"/>
  <c r="J29" i="15" s="1"/>
  <c r="J100" i="15"/>
  <c r="J101" i="15" s="1"/>
  <c r="G76" i="15"/>
  <c r="K16" i="14"/>
  <c r="K17" i="14" s="1"/>
  <c r="K64" i="14"/>
  <c r="K65" i="14" s="1"/>
  <c r="G125" i="2"/>
  <c r="H88" i="2"/>
  <c r="H89" i="2" s="1"/>
  <c r="I31" i="13" s="1"/>
  <c r="H64" i="2"/>
  <c r="H65" i="2" s="1"/>
  <c r="I40" i="14"/>
  <c r="I41" i="14" s="1"/>
  <c r="K16" i="15"/>
  <c r="K17" i="15" s="1"/>
  <c r="K52" i="15"/>
  <c r="K53" i="15" s="1"/>
  <c r="K124" i="15"/>
  <c r="K125" i="15" s="1"/>
  <c r="M88" i="14"/>
  <c r="M89" i="14" s="1"/>
  <c r="N33" i="13" s="1"/>
  <c r="M136" i="14"/>
  <c r="M137" i="14" s="1"/>
  <c r="I136" i="2"/>
  <c r="H52" i="15"/>
  <c r="H53" i="15" s="1"/>
  <c r="H28" i="15"/>
  <c r="H29" i="15" s="1"/>
  <c r="N52" i="2"/>
  <c r="N53" i="2" s="1"/>
  <c r="N124" i="2"/>
  <c r="N125" i="2" s="1"/>
  <c r="I76" i="15"/>
  <c r="I77" i="15" s="1"/>
  <c r="I100" i="15"/>
  <c r="I101" i="15" s="1"/>
  <c r="M64" i="2"/>
  <c r="M65" i="2" s="1"/>
  <c r="H76" i="14"/>
  <c r="H77" i="14" s="1"/>
  <c r="M88" i="15"/>
  <c r="M89" i="15" s="1"/>
  <c r="N32" i="13" s="1"/>
  <c r="G16" i="14"/>
  <c r="J76" i="15"/>
  <c r="J77" i="15" s="1"/>
  <c r="J52" i="15"/>
  <c r="J53" i="15" s="1"/>
  <c r="N16" i="14"/>
  <c r="N17" i="14" s="1"/>
  <c r="N52" i="15"/>
  <c r="N53" i="15" s="1"/>
  <c r="N28" i="15"/>
  <c r="N29" i="15" s="1"/>
  <c r="N124" i="15"/>
  <c r="N125" i="15" s="1"/>
  <c r="N136" i="15"/>
  <c r="N137" i="15" s="1"/>
  <c r="G112" i="15"/>
  <c r="G16" i="15"/>
  <c r="K40" i="14"/>
  <c r="K41" i="14" s="1"/>
  <c r="K28" i="14"/>
  <c r="K29" i="14" s="1"/>
  <c r="H124" i="2"/>
  <c r="H125" i="2" s="1"/>
  <c r="H40" i="2"/>
  <c r="H41" i="2" s="1"/>
  <c r="H88" i="15"/>
  <c r="H89" i="15" s="1"/>
  <c r="I32" i="13" s="1"/>
  <c r="I16" i="15"/>
  <c r="I17" i="15" s="1"/>
  <c r="J40" i="15"/>
  <c r="J41" i="15" s="1"/>
  <c r="N88" i="14"/>
  <c r="N89" i="14" s="1"/>
  <c r="O33" i="13" s="1"/>
  <c r="N64" i="15"/>
  <c r="N65" i="15" s="1"/>
  <c r="I88" i="14"/>
  <c r="I89" i="14" s="1"/>
  <c r="J33" i="13" s="1"/>
  <c r="K33" i="13" s="1"/>
  <c r="I136" i="14"/>
  <c r="I137" i="14" s="1"/>
  <c r="I52" i="14"/>
  <c r="I53" i="14" s="1"/>
  <c r="K40" i="15"/>
  <c r="K41" i="15" s="1"/>
  <c r="K136" i="15"/>
  <c r="K137" i="15" s="1"/>
  <c r="H76" i="15"/>
  <c r="H77" i="15" s="1"/>
  <c r="H100" i="15"/>
  <c r="H101" i="15" s="1"/>
  <c r="M112" i="2"/>
  <c r="M113" i="2" s="1"/>
  <c r="K64" i="2"/>
  <c r="K65" i="2" s="1"/>
  <c r="K112" i="2"/>
  <c r="K113" i="2" s="1"/>
  <c r="H100" i="14"/>
  <c r="H101" i="14" s="1"/>
  <c r="H16" i="14"/>
  <c r="H17" i="14" s="1"/>
  <c r="M52" i="15"/>
  <c r="M53" i="15" s="1"/>
  <c r="M64" i="15"/>
  <c r="M65" i="15" s="1"/>
  <c r="M136" i="15"/>
  <c r="M137" i="15" s="1"/>
  <c r="G40" i="14"/>
  <c r="G28" i="14"/>
  <c r="G29" i="14" s="1"/>
  <c r="N40" i="14"/>
  <c r="N41" i="14" s="1"/>
  <c r="N28" i="14"/>
  <c r="N29" i="14" s="1"/>
  <c r="N76" i="15"/>
  <c r="N77" i="15" s="1"/>
  <c r="N112" i="15"/>
  <c r="N113" i="15" s="1"/>
  <c r="G40" i="15"/>
  <c r="G124" i="15"/>
  <c r="L16" i="14"/>
  <c r="L17" i="14" s="1"/>
  <c r="L64" i="14"/>
  <c r="L65" i="14" s="1"/>
  <c r="K76" i="14"/>
  <c r="K77" i="14" s="1"/>
  <c r="H76" i="2"/>
  <c r="H77" i="2" s="1"/>
  <c r="L112" i="15"/>
  <c r="L113" i="15" s="1"/>
  <c r="M52" i="14"/>
  <c r="M53" i="14" s="1"/>
  <c r="M124" i="2"/>
  <c r="M125" i="2" s="1"/>
  <c r="M124" i="15"/>
  <c r="M125" i="15" s="1"/>
  <c r="G64" i="14"/>
  <c r="N64" i="14"/>
  <c r="N65" i="14" s="1"/>
  <c r="N88" i="15"/>
  <c r="N89" i="15" s="1"/>
  <c r="O32" i="13" s="1"/>
  <c r="I112" i="14"/>
  <c r="I113" i="14" s="1"/>
  <c r="L28" i="15"/>
  <c r="L29" i="15" s="1"/>
  <c r="K88" i="15"/>
  <c r="K89" i="15" s="1"/>
  <c r="L32" i="13" s="1"/>
  <c r="I112" i="2"/>
  <c r="I113" i="2" s="1"/>
  <c r="N40" i="2"/>
  <c r="N41" i="2" s="1"/>
  <c r="I52" i="15"/>
  <c r="I53" i="15" s="1"/>
  <c r="M76" i="2"/>
  <c r="M77" i="2" s="1"/>
  <c r="M136" i="2"/>
  <c r="K52" i="2"/>
  <c r="K53" i="2" s="1"/>
  <c r="H40" i="14"/>
  <c r="H41" i="14" s="1"/>
  <c r="G136" i="14"/>
  <c r="G52" i="14"/>
  <c r="G76" i="14"/>
  <c r="N52" i="14"/>
  <c r="N53" i="14" s="1"/>
  <c r="N76" i="14"/>
  <c r="N77" i="14" s="1"/>
  <c r="G88" i="15"/>
  <c r="L40" i="14"/>
  <c r="L41" i="14" s="1"/>
  <c r="L28" i="14"/>
  <c r="L29" i="14" s="1"/>
  <c r="K112" i="14"/>
  <c r="K113" i="14" s="1"/>
  <c r="K100" i="14"/>
  <c r="K101" i="14" s="1"/>
  <c r="I28" i="14"/>
  <c r="I29" i="14" s="1"/>
  <c r="G88" i="14"/>
  <c r="N136" i="14"/>
  <c r="I124" i="14"/>
  <c r="I125" i="14" s="1"/>
  <c r="J45" i="13" s="1"/>
  <c r="L76" i="15"/>
  <c r="L77" i="15" s="1"/>
  <c r="L52" i="15"/>
  <c r="L53" i="15" s="1"/>
  <c r="K112" i="15"/>
  <c r="K113" i="15" s="1"/>
  <c r="M16" i="14"/>
  <c r="M17" i="14" s="1"/>
  <c r="M64" i="14"/>
  <c r="M65" i="14" s="1"/>
  <c r="I52" i="2"/>
  <c r="I53" i="2" s="1"/>
  <c r="H16" i="15"/>
  <c r="H17" i="15" s="1"/>
  <c r="N64" i="2"/>
  <c r="N65" i="2" s="1"/>
  <c r="N100" i="2"/>
  <c r="N101" i="2" s="1"/>
  <c r="M28" i="2"/>
  <c r="M29" i="2" s="1"/>
  <c r="K76" i="2"/>
  <c r="K77" i="2" s="1"/>
  <c r="K28" i="2"/>
  <c r="K29" i="2" s="1"/>
  <c r="H136" i="14"/>
  <c r="H52" i="14"/>
  <c r="H53" i="14" s="1"/>
  <c r="M100" i="15"/>
  <c r="M101" i="15" s="1"/>
  <c r="M28" i="15"/>
  <c r="M29" i="15" s="1"/>
  <c r="M112" i="15"/>
  <c r="M113" i="15" s="1"/>
  <c r="G112" i="14"/>
  <c r="G100" i="14"/>
  <c r="N112" i="14"/>
  <c r="N113" i="14" s="1"/>
  <c r="N100" i="14"/>
  <c r="N101" i="14" s="1"/>
  <c r="N16" i="15"/>
  <c r="N17" i="15" s="1"/>
  <c r="N100" i="15"/>
  <c r="N101" i="15" s="1"/>
  <c r="G100" i="15"/>
  <c r="L52" i="14"/>
  <c r="L53" i="14" s="1"/>
  <c r="L76" i="14"/>
  <c r="L77" i="14" s="1"/>
  <c r="K124" i="14"/>
  <c r="K125" i="14" s="1"/>
  <c r="H112" i="2"/>
  <c r="H113" i="2" s="1"/>
  <c r="J137" i="15"/>
  <c r="O137" i="15"/>
  <c r="P137" i="15"/>
  <c r="Q127" i="2"/>
  <c r="Q128" i="2"/>
  <c r="Q129" i="2"/>
  <c r="Q130" i="2"/>
  <c r="Q131" i="2"/>
  <c r="Q132" i="2"/>
  <c r="Q133" i="2"/>
  <c r="Q134" i="2"/>
  <c r="Q135" i="2"/>
  <c r="Q136" i="2"/>
  <c r="Q126" i="2"/>
  <c r="G31" i="13" l="1"/>
  <c r="H35" i="13"/>
  <c r="F136" i="2"/>
  <c r="F137" i="2" s="1"/>
  <c r="F100" i="2"/>
  <c r="F101" i="2" s="1"/>
  <c r="F124" i="2"/>
  <c r="F125" i="2" s="1"/>
  <c r="F28" i="14"/>
  <c r="F29" i="14" s="1"/>
  <c r="F52" i="2"/>
  <c r="F53" i="2" s="1"/>
  <c r="F76" i="2"/>
  <c r="F77" i="2" s="1"/>
  <c r="F40" i="2"/>
  <c r="F41" i="2" s="1"/>
  <c r="F28" i="2"/>
  <c r="F29" i="2" s="1"/>
  <c r="I101" i="2"/>
  <c r="F88" i="2"/>
  <c r="F89" i="2" s="1"/>
  <c r="F136" i="15"/>
  <c r="F137" i="15" s="1"/>
  <c r="G101" i="15"/>
  <c r="F100" i="15"/>
  <c r="F101" i="15" s="1"/>
  <c r="G29" i="15"/>
  <c r="F28" i="15"/>
  <c r="F29" i="15" s="1"/>
  <c r="G77" i="14"/>
  <c r="F76" i="14"/>
  <c r="G65" i="14"/>
  <c r="F64" i="14"/>
  <c r="F65" i="14" s="1"/>
  <c r="G125" i="15"/>
  <c r="F124" i="15"/>
  <c r="F125" i="15" s="1"/>
  <c r="G41" i="15"/>
  <c r="F40" i="15"/>
  <c r="F41" i="15" s="1"/>
  <c r="G65" i="15"/>
  <c r="F64" i="15"/>
  <c r="F65" i="15" s="1"/>
  <c r="G53" i="14"/>
  <c r="F52" i="14"/>
  <c r="F53" i="14" s="1"/>
  <c r="G17" i="14"/>
  <c r="F16" i="14"/>
  <c r="F17" i="14" s="1"/>
  <c r="G53" i="15"/>
  <c r="F52" i="15"/>
  <c r="F53" i="15" s="1"/>
  <c r="G113" i="2"/>
  <c r="F112" i="2"/>
  <c r="F113" i="2" s="1"/>
  <c r="G137" i="2"/>
  <c r="G137" i="14"/>
  <c r="F136" i="14"/>
  <c r="F137" i="14" s="1"/>
  <c r="G89" i="14"/>
  <c r="H33" i="13" s="1"/>
  <c r="F88" i="14"/>
  <c r="F89" i="14" s="1"/>
  <c r="G41" i="14"/>
  <c r="F40" i="14"/>
  <c r="F41" i="14" s="1"/>
  <c r="G77" i="15"/>
  <c r="F76" i="15"/>
  <c r="F77" i="15" s="1"/>
  <c r="G65" i="2"/>
  <c r="F64" i="2"/>
  <c r="F65" i="2" s="1"/>
  <c r="G101" i="14"/>
  <c r="F100" i="14"/>
  <c r="F101" i="14" s="1"/>
  <c r="G89" i="15"/>
  <c r="H32" i="13" s="1"/>
  <c r="F88" i="15"/>
  <c r="F89" i="15" s="1"/>
  <c r="G17" i="15"/>
  <c r="F16" i="15"/>
  <c r="F17" i="15" s="1"/>
  <c r="G113" i="14"/>
  <c r="F112" i="14"/>
  <c r="F113" i="14" s="1"/>
  <c r="G113" i="15"/>
  <c r="F112" i="15"/>
  <c r="F113" i="15" s="1"/>
  <c r="G125" i="14"/>
  <c r="F124" i="14"/>
  <c r="F125" i="14" s="1"/>
  <c r="N137" i="14"/>
  <c r="F77" i="14"/>
  <c r="H137" i="14"/>
  <c r="H137" i="2"/>
  <c r="I137" i="2"/>
  <c r="O137" i="2"/>
  <c r="P137" i="2"/>
  <c r="M137" i="2"/>
  <c r="K137" i="2"/>
  <c r="N137" i="2"/>
  <c r="L16" i="2"/>
  <c r="L17" i="2" s="1"/>
  <c r="J16" i="2"/>
  <c r="J17" i="2" s="1"/>
  <c r="G16" i="2"/>
  <c r="G17" i="2" s="1"/>
  <c r="O17" i="2"/>
  <c r="I16" i="2"/>
  <c r="I17" i="2" s="1"/>
  <c r="N16" i="2"/>
  <c r="N17" i="2" s="1"/>
  <c r="K16" i="2"/>
  <c r="K17" i="2" s="1"/>
  <c r="M16" i="2"/>
  <c r="M17" i="2" s="1"/>
  <c r="H16" i="2"/>
  <c r="H17" i="2" s="1"/>
  <c r="P17" i="2"/>
  <c r="Z46" i="13" l="1"/>
  <c r="Z26" i="13"/>
  <c r="Z34" i="13"/>
  <c r="Z14" i="13"/>
  <c r="Z38" i="13"/>
  <c r="Z18" i="13"/>
  <c r="Z50" i="13"/>
  <c r="Z30" i="13"/>
  <c r="Z42" i="13"/>
  <c r="Z22" i="13"/>
  <c r="F16" i="2"/>
  <c r="F17" i="2" s="1"/>
  <c r="Z10" i="13" s="1"/>
  <c r="S32" i="13" l="1"/>
  <c r="G32" i="13" s="1"/>
  <c r="S36" i="13"/>
  <c r="S44" i="13"/>
  <c r="S16" i="13"/>
  <c r="S8" i="13"/>
  <c r="S24" i="13" l="1"/>
  <c r="S40" i="13"/>
  <c r="S20" i="13"/>
  <c r="S28" i="13"/>
  <c r="S12" i="13"/>
  <c r="P16" i="13" l="1"/>
  <c r="Q16" i="13"/>
  <c r="P17" i="13"/>
  <c r="P15" i="13"/>
  <c r="Q15" i="13"/>
  <c r="Q17" i="13"/>
  <c r="I16" i="13"/>
  <c r="L17" i="13"/>
  <c r="I17" i="13"/>
  <c r="L16" i="13"/>
  <c r="N16" i="13"/>
  <c r="L15" i="13"/>
  <c r="I15" i="13"/>
  <c r="N17" i="13"/>
  <c r="O17" i="13"/>
  <c r="J15" i="13"/>
  <c r="N15" i="13"/>
  <c r="O15" i="13"/>
  <c r="O16" i="13"/>
  <c r="S17" i="13"/>
  <c r="S18" i="13" s="1"/>
  <c r="P8" i="13"/>
  <c r="Q8" i="13"/>
  <c r="P9" i="13"/>
  <c r="Q9" i="13"/>
  <c r="O9" i="13"/>
  <c r="I9" i="13"/>
  <c r="I8" i="13"/>
  <c r="L9" i="13"/>
  <c r="N9" i="13"/>
  <c r="O8" i="13"/>
  <c r="L8" i="13"/>
  <c r="N8" i="13"/>
  <c r="Q7" i="13"/>
  <c r="O7" i="13"/>
  <c r="P7" i="13"/>
  <c r="I7" i="13"/>
  <c r="L7" i="13"/>
  <c r="N7" i="13"/>
  <c r="J7" i="13"/>
  <c r="S9" i="13"/>
  <c r="S10" i="13" s="1"/>
  <c r="P12" i="13" l="1"/>
  <c r="J35" i="13"/>
  <c r="I37" i="13"/>
  <c r="I36" i="13"/>
  <c r="O35" i="13"/>
  <c r="P36" i="13"/>
  <c r="O36" i="13"/>
  <c r="N37" i="13"/>
  <c r="N35" i="13"/>
  <c r="Q37" i="13"/>
  <c r="Q36" i="13"/>
  <c r="I35" i="13"/>
  <c r="L37" i="13"/>
  <c r="P35" i="13"/>
  <c r="N36" i="13"/>
  <c r="L36" i="13"/>
  <c r="P37" i="13"/>
  <c r="L35" i="13"/>
  <c r="O37" i="13"/>
  <c r="Q35" i="13"/>
  <c r="S37" i="13"/>
  <c r="S38" i="13" s="1"/>
  <c r="Q43" i="13"/>
  <c r="P44" i="13"/>
  <c r="P43" i="13"/>
  <c r="P45" i="13"/>
  <c r="Q45" i="13"/>
  <c r="Q44" i="13"/>
  <c r="O45" i="13"/>
  <c r="L44" i="13"/>
  <c r="O44" i="13"/>
  <c r="J43" i="13"/>
  <c r="I44" i="13"/>
  <c r="L45" i="13"/>
  <c r="I43" i="13"/>
  <c r="L43" i="13"/>
  <c r="I45" i="13"/>
  <c r="N43" i="13"/>
  <c r="N45" i="13"/>
  <c r="N44" i="13"/>
  <c r="O43" i="13"/>
  <c r="S45" i="13"/>
  <c r="S46" i="13" s="1"/>
  <c r="J9" i="13"/>
  <c r="K9" i="13" s="1"/>
  <c r="K10" i="13" s="1"/>
  <c r="H9" i="13"/>
  <c r="G9" i="13" s="1"/>
  <c r="H8" i="13"/>
  <c r="G8" i="13" s="1"/>
  <c r="H7" i="13"/>
  <c r="G7" i="13" s="1"/>
  <c r="J17" i="13"/>
  <c r="K17" i="13" s="1"/>
  <c r="K18" i="13" s="1"/>
  <c r="H15" i="13"/>
  <c r="G15" i="13" s="1"/>
  <c r="H16" i="13"/>
  <c r="G16" i="13" s="1"/>
  <c r="H17" i="13"/>
  <c r="G17" i="13" s="1"/>
  <c r="G35" i="13" l="1"/>
  <c r="L12" i="13"/>
  <c r="L13" i="13"/>
  <c r="O13" i="13"/>
  <c r="P13" i="13"/>
  <c r="I11" i="13"/>
  <c r="Q11" i="13"/>
  <c r="I13" i="13"/>
  <c r="P11" i="13"/>
  <c r="N12" i="13"/>
  <c r="O12" i="13"/>
  <c r="I12" i="13"/>
  <c r="N13" i="13"/>
  <c r="Q13" i="13"/>
  <c r="N11" i="13"/>
  <c r="O11" i="13"/>
  <c r="Q12" i="13"/>
  <c r="L11" i="13"/>
  <c r="J11" i="13"/>
  <c r="J13" i="13"/>
  <c r="K13" i="13" s="1"/>
  <c r="K14" i="13" s="1"/>
  <c r="S13" i="13"/>
  <c r="S14" i="13" s="1"/>
  <c r="J10" i="13"/>
  <c r="J18" i="13"/>
  <c r="L19" i="13"/>
  <c r="O20" i="13"/>
  <c r="N19" i="13"/>
  <c r="I19" i="13"/>
  <c r="Q20" i="13"/>
  <c r="O19" i="13"/>
  <c r="I21" i="13"/>
  <c r="O21" i="13"/>
  <c r="N21" i="13"/>
  <c r="Q19" i="13"/>
  <c r="I20" i="13"/>
  <c r="J19" i="13"/>
  <c r="P21" i="13"/>
  <c r="P19" i="13"/>
  <c r="Q21" i="13"/>
  <c r="L20" i="13"/>
  <c r="N20" i="13"/>
  <c r="P20" i="13"/>
  <c r="L21" i="13"/>
  <c r="S21" i="13"/>
  <c r="S22" i="13" s="1"/>
  <c r="P27" i="13"/>
  <c r="Q28" i="13"/>
  <c r="P29" i="13"/>
  <c r="P28" i="13"/>
  <c r="Q27" i="13"/>
  <c r="Q29" i="13"/>
  <c r="I29" i="13"/>
  <c r="L29" i="13"/>
  <c r="N27" i="13"/>
  <c r="I27" i="13"/>
  <c r="O27" i="13"/>
  <c r="I28" i="13"/>
  <c r="L27" i="13"/>
  <c r="N28" i="13"/>
  <c r="L28" i="13"/>
  <c r="N29" i="13"/>
  <c r="J27" i="13"/>
  <c r="O28" i="13"/>
  <c r="O29" i="13"/>
  <c r="P23" i="13"/>
  <c r="N23" i="13"/>
  <c r="Q24" i="13"/>
  <c r="L23" i="13"/>
  <c r="J23" i="13"/>
  <c r="O23" i="13"/>
  <c r="L25" i="13"/>
  <c r="L24" i="13"/>
  <c r="I25" i="13"/>
  <c r="Q23" i="13"/>
  <c r="I23" i="13"/>
  <c r="O24" i="13"/>
  <c r="Q25" i="13"/>
  <c r="P25" i="13"/>
  <c r="P24" i="13"/>
  <c r="O25" i="13"/>
  <c r="N24" i="13"/>
  <c r="I24" i="13"/>
  <c r="N25" i="13"/>
  <c r="S25" i="13"/>
  <c r="S26" i="13" s="1"/>
  <c r="P39" i="13"/>
  <c r="I39" i="13"/>
  <c r="I41" i="13"/>
  <c r="J39" i="13"/>
  <c r="Q41" i="13"/>
  <c r="P40" i="13"/>
  <c r="N39" i="13"/>
  <c r="I40" i="13"/>
  <c r="N40" i="13"/>
  <c r="Q40" i="13"/>
  <c r="O41" i="13"/>
  <c r="L39" i="13"/>
  <c r="P41" i="13"/>
  <c r="O40" i="13"/>
  <c r="L41" i="13"/>
  <c r="O39" i="13"/>
  <c r="L40" i="13"/>
  <c r="N41" i="13"/>
  <c r="Q39" i="13"/>
  <c r="S41" i="13"/>
  <c r="S42" i="13" s="1"/>
  <c r="H43" i="13"/>
  <c r="G43" i="13" s="1"/>
  <c r="K45" i="13"/>
  <c r="K46" i="13" s="1"/>
  <c r="H44" i="13"/>
  <c r="G44" i="13" s="1"/>
  <c r="H45" i="13"/>
  <c r="H36" i="13"/>
  <c r="G36" i="13" s="1"/>
  <c r="H37" i="13"/>
  <c r="J37" i="13"/>
  <c r="K37" i="13" s="1"/>
  <c r="K38" i="13" s="1"/>
  <c r="G37" i="13" l="1"/>
  <c r="G11" i="13"/>
  <c r="G45" i="13"/>
  <c r="H12" i="13"/>
  <c r="G12" i="13" s="1"/>
  <c r="H13" i="13"/>
  <c r="G13" i="13" s="1"/>
  <c r="J38" i="13"/>
  <c r="J14" i="13"/>
  <c r="J46" i="13"/>
  <c r="S33" i="13"/>
  <c r="J41" i="13"/>
  <c r="K41" i="13" s="1"/>
  <c r="K42" i="13" s="1"/>
  <c r="H39" i="13"/>
  <c r="G39" i="13" s="1"/>
  <c r="H41" i="13"/>
  <c r="G41" i="13" s="1"/>
  <c r="H40" i="13"/>
  <c r="G40" i="13" s="1"/>
  <c r="H23" i="13"/>
  <c r="G23" i="13" s="1"/>
  <c r="H24" i="13"/>
  <c r="G24" i="13" s="1"/>
  <c r="H25" i="13"/>
  <c r="G25" i="13" s="1"/>
  <c r="J25" i="13"/>
  <c r="K25" i="13" s="1"/>
  <c r="K26" i="13" s="1"/>
  <c r="S29" i="13"/>
  <c r="S30" i="13" s="1"/>
  <c r="H27" i="13"/>
  <c r="G27" i="13" s="1"/>
  <c r="H29" i="13"/>
  <c r="J29" i="13"/>
  <c r="K29" i="13" s="1"/>
  <c r="K30" i="13" s="1"/>
  <c r="H28" i="13"/>
  <c r="G28" i="13" s="1"/>
  <c r="J21" i="13"/>
  <c r="K21" i="13" s="1"/>
  <c r="K22" i="13" s="1"/>
  <c r="H21" i="13"/>
  <c r="H19" i="13"/>
  <c r="G19" i="13" s="1"/>
  <c r="H20" i="13"/>
  <c r="G20" i="13" s="1"/>
  <c r="S48" i="13"/>
  <c r="G21" i="13" l="1"/>
  <c r="G29" i="13"/>
  <c r="S34" i="13"/>
  <c r="G33" i="13"/>
  <c r="J42" i="13"/>
  <c r="J30" i="13"/>
  <c r="J22" i="13"/>
  <c r="J26" i="13"/>
  <c r="K34" i="13"/>
  <c r="J34" i="13" l="1"/>
  <c r="H48" i="13" l="1"/>
  <c r="P48" i="13"/>
  <c r="I48" i="13"/>
  <c r="I47" i="13"/>
  <c r="I49" i="13"/>
  <c r="Q49" i="13"/>
  <c r="O48" i="13"/>
  <c r="J47" i="13"/>
  <c r="Q47" i="13"/>
  <c r="N48" i="13"/>
  <c r="N47" i="13"/>
  <c r="Q48" i="13"/>
  <c r="L49" i="13"/>
  <c r="L48" i="13"/>
  <c r="P47" i="13"/>
  <c r="P49" i="13"/>
  <c r="N49" i="13"/>
  <c r="L47" i="13"/>
  <c r="O47" i="13"/>
  <c r="O49" i="13"/>
  <c r="G48" i="13" l="1"/>
  <c r="P50" i="13"/>
  <c r="L50" i="13"/>
  <c r="N50" i="13"/>
  <c r="H49" i="13"/>
  <c r="J49" i="13"/>
  <c r="K49" i="13" s="1"/>
  <c r="K50" i="13" s="1"/>
  <c r="H47" i="13"/>
  <c r="G47" i="13" s="1"/>
  <c r="Q50" i="13"/>
  <c r="S49" i="13"/>
  <c r="S50" i="13" s="1"/>
  <c r="I50" i="13"/>
  <c r="O50" i="13"/>
  <c r="G49" i="13" l="1"/>
  <c r="J50" i="13"/>
  <c r="H50" i="13"/>
  <c r="N38" i="13"/>
  <c r="O38" i="13"/>
  <c r="Q38" i="13"/>
  <c r="I38" i="13"/>
  <c r="L38" i="13"/>
  <c r="P38" i="13"/>
  <c r="I34" i="13"/>
  <c r="L18" i="13"/>
  <c r="L10" i="13"/>
  <c r="I10" i="13"/>
  <c r="O34" i="13"/>
  <c r="Q34" i="13"/>
  <c r="Q18" i="13"/>
  <c r="N18" i="13"/>
  <c r="O10" i="13"/>
  <c r="P10" i="13"/>
  <c r="P34" i="13"/>
  <c r="I18" i="13"/>
  <c r="Q10" i="13"/>
  <c r="L34" i="13"/>
  <c r="N10" i="13"/>
  <c r="O18" i="13"/>
  <c r="P18" i="13"/>
  <c r="N34" i="13"/>
  <c r="H10" i="13"/>
  <c r="L42" i="13"/>
  <c r="I26" i="13"/>
  <c r="Q42" i="13"/>
  <c r="O26" i="13"/>
  <c r="L26" i="13"/>
  <c r="N42" i="13"/>
  <c r="O22" i="13"/>
  <c r="Q26" i="13"/>
  <c r="H38" i="13"/>
  <c r="I22" i="13"/>
  <c r="Q22" i="13"/>
  <c r="O42" i="13"/>
  <c r="N22" i="13"/>
  <c r="I42" i="13"/>
  <c r="P42" i="13"/>
  <c r="P22" i="13"/>
  <c r="N26" i="13"/>
  <c r="L22" i="13"/>
  <c r="P26" i="13"/>
  <c r="O14" i="13"/>
  <c r="L30" i="13"/>
  <c r="Q30" i="13"/>
  <c r="L46" i="13"/>
  <c r="I46" i="13"/>
  <c r="H34" i="13"/>
  <c r="P30" i="13"/>
  <c r="L14" i="13"/>
  <c r="I14" i="13"/>
  <c r="P14" i="13"/>
  <c r="P46" i="13"/>
  <c r="H18" i="13"/>
  <c r="I30" i="13"/>
  <c r="N46" i="13"/>
  <c r="Q46" i="13"/>
  <c r="N14" i="13"/>
  <c r="O30" i="13"/>
  <c r="Q14" i="13"/>
  <c r="O46" i="13"/>
  <c r="N30" i="13"/>
  <c r="H46" i="13"/>
  <c r="H26" i="13"/>
  <c r="H22" i="13"/>
  <c r="H42" i="13"/>
  <c r="H30" i="13"/>
  <c r="H14" i="13"/>
  <c r="G10" i="13" l="1"/>
  <c r="G50" i="13"/>
  <c r="G38" i="13"/>
  <c r="Y50" i="13"/>
  <c r="G22" i="13"/>
  <c r="G34" i="13"/>
  <c r="Y14" i="13"/>
  <c r="G30" i="13"/>
  <c r="Y26" i="13"/>
  <c r="Y18" i="13"/>
  <c r="Y38" i="13"/>
  <c r="Y34" i="13"/>
  <c r="Y22" i="13"/>
  <c r="Y42" i="13"/>
  <c r="Y46" i="13"/>
  <c r="Y10" i="13"/>
  <c r="Y30" i="13"/>
  <c r="G26" i="13"/>
  <c r="G18" i="13"/>
  <c r="G46" i="13"/>
  <c r="G42" i="13"/>
  <c r="G14" i="13"/>
</calcChain>
</file>

<file path=xl/sharedStrings.xml><?xml version="1.0" encoding="utf-8"?>
<sst xmlns="http://schemas.openxmlformats.org/spreadsheetml/2006/main" count="3357" uniqueCount="428">
  <si>
    <t>Read me</t>
  </si>
  <si>
    <t>This is a file that contains…</t>
  </si>
  <si>
    <t>Assumptions:</t>
  </si>
  <si>
    <t xml:space="preserve"> - All parent animals are also eaten</t>
  </si>
  <si>
    <t xml:space="preserve"> - Impacts are allocated equally across flesh and offals</t>
  </si>
  <si>
    <t>Color codes:</t>
  </si>
  <si>
    <t>Results</t>
  </si>
  <si>
    <t>Sheets for input</t>
  </si>
  <si>
    <t>Intermediate calculations</t>
  </si>
  <si>
    <t>Att göra:</t>
  </si>
  <si>
    <t>Fyll i olika gödselsystem från NIR-rapporterna</t>
  </si>
  <si>
    <t>Lägg in landspecifika foderstater</t>
  </si>
  <si>
    <t>Energianvändning slakt</t>
  </si>
  <si>
    <t>Footprints (per kg of bonefree meat)</t>
  </si>
  <si>
    <t>* Adjusted for manure</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</si>
  <si>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</si>
  <si>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</si>
  <si>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</si>
  <si>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</si>
  <si>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</si>
  <si>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</si>
  <si>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</si>
  <si>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</si>
  <si>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</si>
  <si>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</si>
  <si>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</si>
  <si>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</si>
  <si>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</si>
  <si>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</si>
  <si>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</si>
  <si>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</si>
  <si>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</si>
  <si>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</si>
  <si>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</si>
  <si>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</si>
  <si>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</si>
  <si>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</si>
  <si>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</si>
  <si>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</si>
  <si>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</si>
  <si>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</si>
  <si>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</si>
  <si>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</si>
  <si>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</si>
  <si>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</si>
  <si>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</si>
  <si>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</si>
  <si>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Red meat</t>
  </si>
  <si>
    <t xml:space="preserve">Denmark </t>
  </si>
  <si>
    <t>DK</t>
  </si>
  <si>
    <t>France</t>
  </si>
  <si>
    <t>FR</t>
  </si>
  <si>
    <t>Germany</t>
  </si>
  <si>
    <t>DE</t>
  </si>
  <si>
    <t>Greece</t>
  </si>
  <si>
    <t>GR</t>
  </si>
  <si>
    <t xml:space="preserve">Hungary </t>
  </si>
  <si>
    <t>HU</t>
  </si>
  <si>
    <t>Ireland</t>
  </si>
  <si>
    <t>IE</t>
  </si>
  <si>
    <t>Italy</t>
  </si>
  <si>
    <t>IT</t>
  </si>
  <si>
    <t>Netherlands</t>
  </si>
  <si>
    <t>NL</t>
  </si>
  <si>
    <t>Poland</t>
  </si>
  <si>
    <t>PL</t>
  </si>
  <si>
    <t>Spain</t>
  </si>
  <si>
    <t>ES</t>
  </si>
  <si>
    <t>Sweden</t>
  </si>
  <si>
    <t>SE</t>
  </si>
  <si>
    <t>UK</t>
  </si>
  <si>
    <t>GB</t>
  </si>
  <si>
    <t>* Production of mineral fertiliser is adjusted to account for the N supplied by manure.</t>
  </si>
  <si>
    <t>GHG emissions (per kg of milk)</t>
  </si>
  <si>
    <t>Not updated</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</si>
  <si>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</si>
  <si>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</si>
  <si>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</si>
  <si>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</si>
  <si>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</si>
  <si>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</si>
  <si>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</si>
  <si>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</si>
  <si>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</si>
  <si>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</si>
  <si>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</si>
  <si>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Transports</t>
  </si>
  <si>
    <t>FoodEx code</t>
  </si>
  <si>
    <t>FoodEx name</t>
  </si>
  <si>
    <t>Food Ex category (L1)</t>
  </si>
  <si>
    <t>Gas</t>
  </si>
  <si>
    <t>GHG</t>
  </si>
  <si>
    <t>Production of mineral fertilizer*</t>
  </si>
  <si>
    <t xml:space="preserve">Production of capital goods </t>
  </si>
  <si>
    <t>Direct emissions**</t>
  </si>
  <si>
    <t>Indirect emissions***</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</si>
  <si>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</si>
  <si>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</si>
  <si>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</si>
  <si>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</si>
  <si>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</si>
  <si>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</si>
  <si>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</si>
  <si>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</si>
  <si>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</si>
  <si>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</si>
  <si>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</si>
  <si>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</si>
  <si>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Total feed, excl LUC</t>
  </si>
  <si>
    <t>Feed mix emissions, kg CO2 per kg feed, excl. adjustement manure</t>
  </si>
  <si>
    <t>A01QV</t>
  </si>
  <si>
    <t>Bovine muscle</t>
  </si>
  <si>
    <t>Meat and meat products</t>
  </si>
  <si>
    <t>Denmark</t>
  </si>
  <si>
    <t>CO2</t>
  </si>
  <si>
    <t>CH4</t>
  </si>
  <si>
    <t>N2O</t>
  </si>
  <si>
    <t>CO2e</t>
  </si>
  <si>
    <t>Hungary</t>
  </si>
  <si>
    <t xml:space="preserve">Ireland </t>
  </si>
  <si>
    <t>Netherland</t>
  </si>
  <si>
    <t>Production system</t>
  </si>
  <si>
    <t>Animals in production per year (no)</t>
  </si>
  <si>
    <t>Sows</t>
  </si>
  <si>
    <t>Number of sows (any number can be used here)</t>
  </si>
  <si>
    <t>Recruitment sows</t>
  </si>
  <si>
    <t>Number of sows * recruitment rate</t>
  </si>
  <si>
    <t>Boars</t>
  </si>
  <si>
    <t>Fattening pigs</t>
  </si>
  <si>
    <t>Number of sows * live piglets at weaning - recruitment sows</t>
  </si>
  <si>
    <t>Piglets</t>
  </si>
  <si>
    <t xml:space="preserve">Number of sows * live piglets at weaning </t>
  </si>
  <si>
    <t>Total:</t>
  </si>
  <si>
    <t>Animals slaughtered per year (no)</t>
  </si>
  <si>
    <t>Number of sows * recruitment rate * (1  -  mortality sows)</t>
  </si>
  <si>
    <t>Number of slaughter pig adjusted for mortality and rejection at slaughter</t>
  </si>
  <si>
    <t>Meat produced (kg CW)</t>
  </si>
  <si>
    <t>Number of animals * slaughtering weight</t>
  </si>
  <si>
    <t>Meat produced (kg bonefree)</t>
  </si>
  <si>
    <t>Offal produced (kg edible)</t>
  </si>
  <si>
    <t>Meat and offal produced (kg bonefree)</t>
  </si>
  <si>
    <t>Animals in production per kg of meat&amp;offal produced (no)</t>
  </si>
  <si>
    <t>Sow, incl recruitment</t>
  </si>
  <si>
    <t>Production parameters and emission factors, country specific</t>
  </si>
  <si>
    <t>Sources:</t>
  </si>
  <si>
    <t>Production parameters</t>
  </si>
  <si>
    <t>Comment:</t>
  </si>
  <si>
    <t>Time of fattening phase, days</t>
  </si>
  <si>
    <t>Moberg et al. 2019</t>
  </si>
  <si>
    <t>Mortality rearing, %</t>
  </si>
  <si>
    <t>Landquist et al. 2020, Tabell 3</t>
  </si>
  <si>
    <t>Rejection after slaughter, %</t>
  </si>
  <si>
    <t>Röös et al. 2016 - unclear original source! Kolla Ingrids rapport</t>
  </si>
  <si>
    <t>Meat yield, kg bonefree meat per CW</t>
  </si>
  <si>
    <t>Clune et al. 2017</t>
  </si>
  <si>
    <t>Meat yield, kg CW per fattening pig</t>
  </si>
  <si>
    <t>Landquist et al. 2020, p. 11</t>
  </si>
  <si>
    <t>Meat yield, kg CW per sow</t>
  </si>
  <si>
    <t>Offal yield, kg edible per animal</t>
  </si>
  <si>
    <t>Kolla Ingrids rapport</t>
  </si>
  <si>
    <t>https://www.fao.org/3/I8686EN/i8686en.pdf</t>
  </si>
  <si>
    <t>Recruitment rate, %</t>
  </si>
  <si>
    <t>Liveborn piglets per sow and year</t>
  </si>
  <si>
    <t>Zira et al. 2023, Table 1 - INKLUDERAR DENNA SMÅGRISDÖDLIGHETEN????</t>
  </si>
  <si>
    <t>Time birth to weaning, days</t>
  </si>
  <si>
    <t>Mortality piglets, % of born</t>
  </si>
  <si>
    <t xml:space="preserve">Zira et al. 2023 </t>
  </si>
  <si>
    <t>Living piglets at weaning per sow and year</t>
  </si>
  <si>
    <t>Boars per sow, no</t>
  </si>
  <si>
    <t>Calculated based on national statistics as in Moberg et al. 2019</t>
  </si>
  <si>
    <t>Mortality parents, %</t>
  </si>
  <si>
    <t>Share of feed ingredients (%)</t>
  </si>
  <si>
    <t>Barley, average</t>
  </si>
  <si>
    <t>Landquist et al. 2020. Bilaga 1, shares calculated in "Livestock feed.xlsx"</t>
  </si>
  <si>
    <t>Maize (corn)</t>
  </si>
  <si>
    <t>Oats</t>
  </si>
  <si>
    <t>Rye</t>
  </si>
  <si>
    <t>Wheat, average</t>
  </si>
  <si>
    <t>Peas, dry</t>
  </si>
  <si>
    <t>Broad beans and horse beans, dry</t>
  </si>
  <si>
    <t>Rape seed cake</t>
  </si>
  <si>
    <t>Soy cake</t>
  </si>
  <si>
    <t>By-products</t>
  </si>
  <si>
    <t>Other</t>
  </si>
  <si>
    <t>Cereals</t>
  </si>
  <si>
    <t>Feed requirement</t>
  </si>
  <si>
    <t>Source:</t>
  </si>
  <si>
    <t>Sows, kg per year</t>
  </si>
  <si>
    <t>Zira et al. 2023, Table 2</t>
  </si>
  <si>
    <t>Recruitment sows, kg per animal</t>
  </si>
  <si>
    <t>Boars, kg per year</t>
  </si>
  <si>
    <t>Fattening pigs, kg per animal</t>
  </si>
  <si>
    <t>Piglets, kg per animal</t>
  </si>
  <si>
    <t>Feed conversion, kg per kg bonefree including parents and losses</t>
  </si>
  <si>
    <t>Enteric fermentation</t>
  </si>
  <si>
    <t>Methane enteric fermentation, kg CH4 per animal and year</t>
  </si>
  <si>
    <t xml:space="preserve">Energy use in stables </t>
  </si>
  <si>
    <t>Energy use per fattening pig, kWh per animal</t>
  </si>
  <si>
    <t>Landquist et al. 2020, p.11</t>
  </si>
  <si>
    <t>Energy use per piglet, kWh per animal</t>
  </si>
  <si>
    <t>Total energy use, kWh per kg bonefree meat&amp;offal</t>
  </si>
  <si>
    <t>Share non electricity</t>
  </si>
  <si>
    <t>Approximated from Table 6 in Landquist et al. 2020</t>
  </si>
  <si>
    <t>Share biofuels for non-electricity</t>
  </si>
  <si>
    <t>Energy use at slaughter</t>
  </si>
  <si>
    <t>Energy use electricity, kWh/kg CW</t>
  </si>
  <si>
    <t>Edström et al. 2005, retrieved from Moberg et al. 2019</t>
  </si>
  <si>
    <t>Energy use heating oil, kWh/kg CW</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</si>
  <si>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</si>
  <si>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</si>
  <si>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</si>
  <si>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</si>
  <si>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</si>
  <si>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</si>
  <si>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</si>
  <si>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</si>
  <si>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Emission from the production of mineral fertilisers (kg)</t>
  </si>
  <si>
    <t>Fraction BAT</t>
  </si>
  <si>
    <t>Fraction AN</t>
  </si>
  <si>
    <t>Emission factors N2O from soil</t>
  </si>
  <si>
    <t>Direct emissions from mineral fertiliser</t>
  </si>
  <si>
    <t>Direct emissions from manure</t>
  </si>
  <si>
    <t>Difference in emission factor min. fert - manure</t>
  </si>
  <si>
    <t>Indirect emissions, share of direct emissions</t>
  </si>
  <si>
    <t>Manure replacement factor</t>
  </si>
  <si>
    <t>Based on växttillgängligt kväve</t>
  </si>
  <si>
    <t>Water use</t>
  </si>
  <si>
    <t>Water use for housing and drinking, m3 per kg CW</t>
  </si>
  <si>
    <t>Mekonnen and Hoekstra (2012), collected from Moberg et al. 2019</t>
  </si>
  <si>
    <t>Labour requirements</t>
  </si>
  <si>
    <t>Labour requirements, h tot in production</t>
  </si>
  <si>
    <t>Diseases sows (ratio of animals)</t>
  </si>
  <si>
    <t>Sow disease???</t>
  </si>
  <si>
    <t>Diseases fattening pigs (ratio of animals)</t>
  </si>
  <si>
    <t>Lung infection</t>
  </si>
  <si>
    <t>Space sows</t>
  </si>
  <si>
    <t>Space fattening pigs</t>
  </si>
  <si>
    <t>Animal welfare in production system sows</t>
  </si>
  <si>
    <t>Animal welfare in production system fattening pigs</t>
  </si>
  <si>
    <t>Animal welfare index per kg of meat</t>
  </si>
  <si>
    <t>* approx with Greece</t>
  </si>
  <si>
    <t>Manure emissions</t>
  </si>
  <si>
    <t>Fyll på här med landspecifika gödselsystem och MCF-värden, från NIR rapporterna eller andra källor om möjligt</t>
  </si>
  <si>
    <t>Share solid</t>
  </si>
  <si>
    <t>Landquist et al. 2020, p. 12</t>
  </si>
  <si>
    <t>Share liquid</t>
  </si>
  <si>
    <t>Share deep litter</t>
  </si>
  <si>
    <t>METHANE EMISSIONS</t>
  </si>
  <si>
    <t>Emission factors methane emissions</t>
  </si>
  <si>
    <t>MCF solid manure</t>
  </si>
  <si>
    <t>NIR 2022, Table 5.18</t>
  </si>
  <si>
    <t>MCF liquid manure</t>
  </si>
  <si>
    <t>MCF deep litter sows and boars</t>
  </si>
  <si>
    <t>MCF deep litter fattening pigs</t>
  </si>
  <si>
    <t>MCF deep litter piglets</t>
  </si>
  <si>
    <t>Volatile solids (VS), fraction of manure</t>
  </si>
  <si>
    <t>Bo, m3 CH4/kg VS</t>
  </si>
  <si>
    <t>Manure production, kg DM VS per day</t>
  </si>
  <si>
    <t>NIR 2022, Table 5.16</t>
  </si>
  <si>
    <t>Total amount of DM VS produced, kg per year</t>
  </si>
  <si>
    <t>Solid</t>
  </si>
  <si>
    <t>Liquid</t>
  </si>
  <si>
    <t xml:space="preserve">Deep litter </t>
  </si>
  <si>
    <t>Methane emissions, kg CH4 per year</t>
  </si>
  <si>
    <t>Deep litter</t>
  </si>
  <si>
    <t>Total</t>
  </si>
  <si>
    <t>Per kg meat&amp;offal</t>
  </si>
  <si>
    <t>NITROGEN  EMISSIONS</t>
  </si>
  <si>
    <t>N excreted per animal</t>
  </si>
  <si>
    <t>N excreted, kg per head per year</t>
  </si>
  <si>
    <t>NIR 2022, Table 5.17, note that this is for a pig for a whole year, not per animal slaughtered</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</si>
  <si>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</si>
  <si>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</si>
  <si>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</si>
  <si>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</si>
  <si>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</si>
  <si>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</si>
  <si>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</si>
  <si>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EF NH3-N housing solid</t>
  </si>
  <si>
    <t>EMEP/EEA 2019. Table 3.9, value for sows includes piglets, boars approx. with sows</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</si>
  <si>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</si>
  <si>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</si>
  <si>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</si>
  <si>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</si>
  <si>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</si>
  <si>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</si>
  <si>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</si>
  <si>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</si>
  <si>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</si>
  <si>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</si>
  <si>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</si>
  <si>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</si>
  <si>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</si>
  <si>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</si>
  <si>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Per kg meat/offal</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</si>
  <si>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</si>
  <si>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</si>
  <si>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</si>
  <si>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</si>
  <si>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</si>
  <si>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</si>
  <si>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</si>
  <si>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</si>
  <si>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</si>
  <si>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</si>
  <si>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</si>
  <si>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</si>
  <si>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</si>
  <si>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</si>
  <si>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Per kg of meat&amp;offal</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</si>
  <si>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</si>
  <si>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</si>
  <si>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</si>
  <si>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</si>
  <si>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</si>
  <si>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</si>
  <si>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</si>
  <si>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</si>
  <si>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</si>
  <si>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Remaining total-N per kg of meat&amp;offal</t>
  </si>
  <si>
    <t>Excreted N after losses, kg N per kg of meat&amp;offal</t>
  </si>
  <si>
    <t>Ammonia emissions</t>
  </si>
  <si>
    <t>Ammonia emissions, kg NH3 per kg of meat&amp;offal</t>
  </si>
  <si>
    <t>Emissions of CO2 from feed crops (per kg of crop)</t>
  </si>
  <si>
    <t>Columns A-M copied straight from RPC filerna</t>
  </si>
  <si>
    <t xml:space="preserve">Shares from Karlsson et al. </t>
  </si>
  <si>
    <t>Crops</t>
  </si>
  <si>
    <t>Share</t>
  </si>
  <si>
    <t xml:space="preserve">Categories </t>
  </si>
  <si>
    <t>Production of mineral fertilizer</t>
  </si>
  <si>
    <t>Direct emissions</t>
  </si>
  <si>
    <t>Indirect emissions</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</si>
  <si>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</si>
  <si>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</si>
  <si>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</si>
  <si>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</si>
  <si>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</si>
  <si>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</si>
  <si>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</si>
  <si>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</si>
  <si>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</si>
  <si>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</si>
  <si>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</si>
  <si>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</si>
  <si>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</si>
  <si>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</si>
  <si>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</si>
  <si>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</si>
  <si>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</si>
  <si>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Emissions of N2O from feed crops (per kg of crop)</t>
  </si>
  <si>
    <t>Environmental footprints per kg of feed</t>
  </si>
  <si>
    <t>Columns F-L copied straight from RPC filerna</t>
  </si>
  <si>
    <t>Nitrogen</t>
  </si>
  <si>
    <t>N application, kg N/kg</t>
  </si>
  <si>
    <t>P application, kg P/kg</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</si>
  <si>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</si>
  <si>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</si>
  <si>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</si>
  <si>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</si>
  <si>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</si>
  <si>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</si>
  <si>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</si>
  <si>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</si>
  <si>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</si>
  <si>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</si>
  <si>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</si>
  <si>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</si>
  <si>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</si>
  <si>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</si>
  <si>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</si>
  <si>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</si>
  <si>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</si>
  <si>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CH4, fossil</t>
  </si>
  <si>
    <t>CH4, biogenic</t>
  </si>
  <si>
    <t>Ability to perceive handling (from 0 to 1)</t>
  </si>
  <si>
    <t>Slaughter duration class (0.01-2)</t>
  </si>
  <si>
    <t>Weight no of animal</t>
  </si>
  <si>
    <t>Weight ability to perceive handling</t>
  </si>
  <si>
    <t>Weight mortality</t>
  </si>
  <si>
    <t>Weight diseases</t>
  </si>
  <si>
    <t>Weight space</t>
  </si>
  <si>
    <t>Weight slaughter duration class</t>
  </si>
  <si>
    <t>Processed feed stuff</t>
  </si>
  <si>
    <t>Data from the Global Feed LCA database</t>
  </si>
  <si>
    <t>Global warming - Including LUC &amp; Peat (kg CO2 eq / ton product)</t>
  </si>
  <si>
    <t>Global warming - Excluding LUC &amp; peat(kg CO2 eq / ton product)</t>
  </si>
  <si>
    <t>Global warming - LUC only (kg CO2 eq / ton product)</t>
  </si>
  <si>
    <t>Global warming - Peat only (kg CO2 eq / ton product)</t>
  </si>
  <si>
    <t>Soybean meal (solvent), at processing/AR Economic S</t>
  </si>
  <si>
    <t>AFP 6.3</t>
  </si>
  <si>
    <t xml:space="preserve">Global Feed LCA database, www.globalfeedlca.org </t>
  </si>
  <si>
    <t>Soybean meal (solvent), at processing/BR Economic S</t>
  </si>
  <si>
    <t xml:space="preserve">See file: GFLI+LCIA+31Oct2022.zip </t>
  </si>
  <si>
    <t>Rapeseed meal (solvent), at processing/DE Economic S</t>
  </si>
  <si>
    <t>The Global FCA database does not provide disaggregated data or LCI data for free, so here we use the aggregated value and divide it upon different emissions sources based on the approximate shares for wheat (for rapeseed cake) and peas (for soybean meal)</t>
  </si>
  <si>
    <t>(Data on wheat and peas from Sweden, just used for proportion of processes)</t>
  </si>
  <si>
    <t>Sum excl. LUC and transports</t>
  </si>
  <si>
    <t>Share of gases:</t>
  </si>
  <si>
    <t>Share:</t>
  </si>
  <si>
    <t>Emission data for soybean meal and rapeseed cake (same across countries), kg per kg feed</t>
  </si>
  <si>
    <t>Sum incl. LUC and transports</t>
  </si>
  <si>
    <t>Source LUC:</t>
  </si>
  <si>
    <t>Source transports:</t>
  </si>
  <si>
    <t>Flysjö et al. 2008, Figur 6.35</t>
  </si>
  <si>
    <t>CH4 in CO2e</t>
  </si>
  <si>
    <t xml:space="preserve">CH4  </t>
  </si>
  <si>
    <t>Flysjö et al. 2008, Figur 6.35, divided by GWP-factor used in report, Tabell 5.1</t>
  </si>
  <si>
    <t>N2O in CO2e</t>
  </si>
  <si>
    <t>Pendrill et al. (2020)</t>
  </si>
  <si>
    <t>Manure</t>
  </si>
  <si>
    <t>Landquist et al. 2020 has the following emissions from manure:</t>
  </si>
  <si>
    <t>In bonefree weight:</t>
  </si>
  <si>
    <t>This study:</t>
  </si>
  <si>
    <t>Explained fully by use of different MCF factors, Landquist used default IPCC (10% for liquid and 39% for deep litter)</t>
  </si>
  <si>
    <t>N2O direct</t>
  </si>
  <si>
    <t>N2O indirect</t>
  </si>
  <si>
    <t>Zira et al. 2023</t>
  </si>
  <si>
    <t>Borde vara samma låga metan som jag, alltså mkt mer kväverelaterade utsläpp</t>
  </si>
  <si>
    <t>Landquist et al</t>
  </si>
  <si>
    <t>This study</t>
  </si>
  <si>
    <t>Total in bonefree</t>
  </si>
  <si>
    <t>Lower for manure, but higher for feed due to mostly SOC</t>
  </si>
  <si>
    <t>References</t>
  </si>
  <si>
    <t xml:space="preserve">Landquist et al. 2020. Uppdaterad och utökad livscykelanalys av svensk grisproduktion. RISE Rapport 2020:59. https://www.diva-portal.org/smash/get/diva2:1516404/FULLTEXT03.pdf </t>
  </si>
  <si>
    <t>Sheep meat</t>
  </si>
  <si>
    <t>New Zealand</t>
  </si>
  <si>
    <t>NZ</t>
  </si>
  <si>
    <t>Data from https://www.diva-portal.org/smash/get/diva2:1718732/FULLTEXT01.pdf so not calculated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</si>
</sst>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0.000"/>
  </numFmts>
  <fonts count="33"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777777"/>
      <name val="Arial"/>
      <family val="2"/>
    </font>
    <font>
      <i/>
      <sz val="11"/>
      <color theme="4" tint="-0.249977111117893"/>
      <name val="Calibri"/>
      <family val="2"/>
      <scheme val="minor"/>
    </font>
    <font>
      <sz val="16"/>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color rgb="FFFF0000"/>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6"/>
      <color rgb="FFFF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s>
  <borders count="16">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337">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5"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6"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4" fontId="14"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4"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6" fontId="12"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3" fillId="3" borderId="0" xfId="0" applyFont="1" applyFill="1"/>
    <xf numFmtId="166"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8" fillId="4" borderId="0" xfId="0" applyFont="1" applyFill="1"/>
    <xf numFmtId="166"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4" fillId="0" borderId="0" xfId="0" applyNumberFormat="1" applyFont="1"/>
    <xf numFmtId="169" fontId="14" fillId="0" borderId="0" xfId="0" applyNumberFormat="1" applyFont="1"/>
    <xf numFmtId="11" fontId="14"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0" fillId="0" borderId="0" xfId="0" applyNumberFormat="1" applyAlignment="1">
      <alignment horizontal="center"/>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11" fontId="1" fillId="0" borderId="0" xfId="0" applyNumberFormat="1" applyFont="1"/>
    <xf numFmtId="0" fontId="14" fillId="0" borderId="0" xfId="0" applyFont="1" applyAlignment="1">
      <alignment horizontal="right"/>
    </xf>
    <xf numFmtId="0" fontId="14" fillId="0" borderId="0" xfId="0" applyFont="1" applyAlignment="1">
      <alignment horizontal="right" vertical="center"/>
    </xf>
    <xf numFmtId="2" fontId="14" fillId="0" borderId="0" xfId="0" applyNumberFormat="1" applyFont="1" applyAlignment="1">
      <alignment vertical="center"/>
    </xf>
    <xf numFmtId="0" fontId="21" fillId="0" borderId="0" xfId="0" applyFont="1" applyAlignment="1">
      <alignment horizontal="left" vertical="center" wrapText="1" indent="1"/>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1" fontId="0" fillId="0" borderId="0" xfId="0" applyNumberFormat="1"/>
    <xf numFmtId="0" fontId="8" fillId="4" borderId="0" xfId="0" applyFont="1" applyFill="1" applyAlignment="1">
      <alignment horizontal="center" wrapText="1"/>
    </xf>
    <xf numFmtId="0" fontId="0" fillId="4" borderId="0" xfId="0" applyFill="1" applyAlignment="1">
      <alignment horizontal="center" wrapText="1"/>
    </xf>
    <xf numFmtId="0" fontId="0" fillId="9" borderId="0" xfId="0" applyFill="1"/>
    <xf numFmtId="166" fontId="0" fillId="9" borderId="0" xfId="0" applyNumberFormat="1" applyFill="1" applyAlignment="1">
      <alignment horizontal="center" vertical="center"/>
    </xf>
    <xf numFmtId="166" fontId="2" fillId="9" borderId="0" xfId="0" applyNumberFormat="1" applyFont="1" applyFill="1" applyAlignment="1">
      <alignment horizontal="center" vertical="center" wrapText="1"/>
    </xf>
    <xf numFmtId="166" fontId="0" fillId="4" borderId="0" xfId="0" applyNumberFormat="1" applyFill="1" applyAlignment="1">
      <alignment horizontal="center" vertical="center" wrapText="1"/>
    </xf>
    <xf numFmtId="166" fontId="0" fillId="9" borderId="0" xfId="0" applyNumberFormat="1" applyFill="1" applyAlignment="1">
      <alignment horizontal="center" vertical="center" wrapText="1"/>
    </xf>
    <xf numFmtId="166"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horizontal="center" vertical="center" wrapText="1"/>
    </xf>
    <xf numFmtId="0" fontId="22" fillId="0" borderId="0" xfId="0" applyFont="1"/>
    <xf numFmtId="0" fontId="0" fillId="11" borderId="0" xfId="0" applyFill="1"/>
    <xf numFmtId="0" fontId="7" fillId="4" borderId="0" xfId="0" applyFont="1" applyFill="1" applyAlignment="1">
      <alignment horizontal="left" vertical="center" wrapText="1"/>
    </xf>
    <xf numFmtId="49" fontId="7" fillId="0" borderId="0" xfId="0" applyNumberFormat="1" applyFont="1"/>
    <xf numFmtId="2" fontId="18" fillId="0" borderId="0" xfId="0" applyNumberFormat="1" applyFont="1" applyAlignment="1">
      <alignment horizontal="right"/>
    </xf>
    <xf numFmtId="164" fontId="18" fillId="0" borderId="0" xfId="0" applyNumberFormat="1" applyFont="1"/>
    <xf numFmtId="11" fontId="8" fillId="0" borderId="0" xfId="0" applyNumberFormat="1" applyFont="1" applyAlignment="1">
      <alignment horizontal="right"/>
    </xf>
    <xf numFmtId="169" fontId="8" fillId="0" borderId="0" xfId="0" applyNumberFormat="1" applyFont="1"/>
    <xf numFmtId="0" fontId="23" fillId="0" borderId="0" xfId="0" applyFont="1"/>
    <xf numFmtId="1" fontId="8" fillId="0" borderId="0" xfId="0" applyNumberFormat="1" applyFont="1"/>
    <xf numFmtId="49" fontId="0" fillId="10" borderId="0" xfId="0" applyNumberFormat="1" applyFill="1"/>
    <xf numFmtId="0" fontId="8" fillId="10" borderId="0" xfId="0" applyFont="1" applyFill="1"/>
    <xf numFmtId="0" fontId="18" fillId="10" borderId="0" xfId="0" applyFont="1" applyFill="1"/>
    <xf numFmtId="2" fontId="18" fillId="10" borderId="0" xfId="0" applyNumberFormat="1" applyFont="1" applyFill="1" applyAlignment="1">
      <alignment horizontal="right"/>
    </xf>
    <xf numFmtId="164" fontId="18" fillId="10" borderId="0" xfId="0" applyNumberFormat="1" applyFont="1" applyFill="1"/>
    <xf numFmtId="168" fontId="8" fillId="0" borderId="0" xfId="0" applyNumberFormat="1" applyFont="1"/>
    <xf numFmtId="0" fontId="8" fillId="11" borderId="0" xfId="0" applyFont="1" applyFill="1"/>
    <xf numFmtId="2" fontId="0" fillId="11" borderId="0" xfId="0" applyNumberFormat="1" applyFill="1"/>
    <xf numFmtId="2" fontId="8" fillId="11" borderId="0" xfId="0" applyNumberFormat="1" applyFont="1" applyFill="1"/>
    <xf numFmtId="164" fontId="8" fillId="11" borderId="0" xfId="0" applyNumberFormat="1" applyFont="1" applyFill="1"/>
    <xf numFmtId="11" fontId="0" fillId="11" borderId="0" xfId="0" applyNumberFormat="1" applyFill="1"/>
    <xf numFmtId="166" fontId="8" fillId="11" borderId="0" xfId="0" applyNumberFormat="1" applyFont="1" applyFill="1"/>
    <xf numFmtId="166" fontId="0" fillId="11" borderId="0" xfId="0" applyNumberFormat="1" applyFill="1"/>
    <xf numFmtId="0" fontId="0" fillId="0" borderId="1" xfId="0" applyBorder="1"/>
    <xf numFmtId="3" fontId="0" fillId="0" borderId="1" xfId="0" applyNumberFormat="1" applyBorder="1"/>
    <xf numFmtId="0" fontId="8" fillId="11" borderId="1" xfId="0" applyFont="1" applyFill="1" applyBorder="1"/>
    <xf numFmtId="2" fontId="0" fillId="11" borderId="1" xfId="0" applyNumberFormat="1" applyFill="1" applyBorder="1"/>
    <xf numFmtId="2" fontId="8" fillId="11" borderId="1" xfId="0" applyNumberFormat="1" applyFont="1" applyFill="1" applyBorder="1"/>
    <xf numFmtId="164" fontId="0" fillId="11" borderId="1" xfId="0" applyNumberFormat="1" applyFill="1" applyBorder="1"/>
    <xf numFmtId="0" fontId="0" fillId="11" borderId="1" xfId="0" applyFill="1" applyBorder="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164" fontId="10"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10"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171" fontId="14" fillId="0" borderId="0" xfId="0" applyNumberFormat="1" applyFont="1"/>
    <xf numFmtId="170" fontId="14" fillId="0" borderId="0" xfId="0" applyNumberFormat="1" applyFont="1"/>
    <xf numFmtId="0" fontId="24" fillId="0" borderId="0" xfId="0" applyFont="1" applyAlignment="1">
      <alignment horizontal="left" vertical="center" wrapText="1"/>
    </xf>
    <xf numFmtId="11" fontId="24"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2" fontId="14" fillId="0" borderId="0" xfId="0" applyNumberFormat="1" applyFont="1" applyAlignment="1">
      <alignment horizontal="right"/>
    </xf>
    <xf numFmtId="0" fontId="0" fillId="5" borderId="3" xfId="0" applyFill="1" applyBorder="1"/>
    <xf numFmtId="2" fontId="18" fillId="0" borderId="0" xfId="0" applyNumberFormat="1" applyFont="1"/>
    <xf numFmtId="0" fontId="25" fillId="5" borderId="3" xfId="0" applyFont="1" applyFill="1" applyBorder="1"/>
    <xf numFmtId="49" fontId="0" fillId="0" borderId="1" xfId="0" applyNumberFormat="1" applyBorder="1"/>
    <xf numFmtId="0" fontId="8" fillId="0" borderId="1" xfId="0" applyFont="1" applyBorder="1" applyAlignment="1">
      <alignment horizontal="left"/>
    </xf>
    <xf numFmtId="166" fontId="14" fillId="0" borderId="1" xfId="0" applyNumberFormat="1" applyFont="1" applyBorder="1"/>
    <xf numFmtId="169" fontId="14" fillId="0" borderId="1" xfId="0" applyNumberFormat="1" applyFont="1" applyBorder="1"/>
    <xf numFmtId="2" fontId="14" fillId="0" borderId="1" xfId="0" applyNumberFormat="1" applyFont="1" applyBorder="1"/>
    <xf numFmtId="0" fontId="14" fillId="0" borderId="1" xfId="0" applyFont="1" applyBorder="1"/>
    <xf numFmtId="11" fontId="14" fillId="0" borderId="1" xfId="0" applyNumberFormat="1" applyFont="1" applyBorder="1"/>
    <xf numFmtId="0" fontId="2" fillId="6" borderId="0" xfId="0" applyFont="1" applyFill="1" applyAlignment="1">
      <alignment vertical="center"/>
    </xf>
    <xf numFmtId="0" fontId="25" fillId="5" borderId="0" xfId="0" applyFont="1" applyFill="1"/>
    <xf numFmtId="2" fontId="18" fillId="0" borderId="1" xfId="0" applyNumberFormat="1" applyFont="1" applyBorder="1"/>
    <xf numFmtId="2" fontId="0" fillId="12" borderId="0" xfId="0" applyNumberFormat="1" applyFill="1"/>
    <xf numFmtId="0" fontId="0" fillId="4" borderId="3" xfId="0" applyFill="1" applyBorder="1"/>
    <xf numFmtId="2" fontId="8" fillId="4" borderId="6" xfId="0" applyNumberFormat="1" applyFont="1"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11" fontId="14" fillId="0" borderId="1" xfId="0" applyNumberFormat="1" applyFont="1" applyBorder="1" applyAlignment="1">
      <alignment horizontal="right"/>
    </xf>
    <xf numFmtId="0" fontId="19" fillId="0" borderId="0" xfId="0" applyFont="1" applyAlignment="1">
      <alignment horizontal="left"/>
    </xf>
    <xf numFmtId="164" fontId="8" fillId="4" borderId="7" xfId="0" applyNumberFormat="1" applyFont="1" applyFill="1" applyBorder="1"/>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6" fillId="0" borderId="0" xfId="0" applyFont="1" applyAlignment="1">
      <alignment horizontal="right" vertical="center" wrapText="1"/>
    </xf>
    <xf numFmtId="0" fontId="27" fillId="0" borderId="0" xfId="0" applyFont="1"/>
    <xf numFmtId="0" fontId="19" fillId="13" borderId="0" xfId="0" applyFont="1" applyFill="1"/>
    <xf numFmtId="3" fontId="27" fillId="0" borderId="0" xfId="0" applyNumberFormat="1" applyFont="1"/>
    <xf numFmtId="0" fontId="19" fillId="8" borderId="0" xfId="0" applyFont="1" applyFill="1"/>
    <xf numFmtId="0" fontId="28" fillId="0" borderId="0" xfId="0" applyFont="1"/>
    <xf numFmtId="0" fontId="27" fillId="8" borderId="0" xfId="0" applyFont="1" applyFill="1"/>
    <xf numFmtId="0" fontId="18" fillId="0" borderId="2" xfId="1" applyFont="1" applyBorder="1" applyAlignment="1">
      <alignment horizontal="left" vertical="center"/>
    </xf>
    <xf numFmtId="0" fontId="7" fillId="0" borderId="0" xfId="0" applyFont="1" applyAlignment="1">
      <alignment horizontal="left" vertical="center"/>
    </xf>
    <xf numFmtId="0" fontId="29" fillId="0" borderId="0" xfId="0" applyFont="1"/>
    <xf numFmtId="0" fontId="18" fillId="0" borderId="0" xfId="1" applyFont="1" applyAlignment="1">
      <alignment horizontal="left" vertical="center"/>
    </xf>
    <xf numFmtId="0" fontId="29" fillId="0" borderId="8" xfId="0" applyFont="1" applyBorder="1"/>
    <xf numFmtId="0" fontId="31" fillId="0" borderId="0" xfId="0" applyFont="1"/>
    <xf numFmtId="3" fontId="8" fillId="0" borderId="0" xfId="0" applyNumberFormat="1" applyFont="1"/>
    <xf numFmtId="4" fontId="8" fillId="4" borderId="0" xfId="0" applyNumberFormat="1" applyFont="1" applyFill="1"/>
    <xf numFmtId="3" fontId="17" fillId="0" borderId="0" xfId="0" applyNumberFormat="1" applyFont="1"/>
    <xf numFmtId="3" fontId="8" fillId="4" borderId="0" xfId="0" applyNumberFormat="1" applyFont="1" applyFill="1"/>
    <xf numFmtId="170" fontId="10" fillId="0" borderId="0" xfId="0" applyNumberFormat="1" applyFont="1"/>
    <xf numFmtId="167" fontId="8" fillId="0" borderId="0" xfId="0" applyNumberFormat="1" applyFont="1"/>
    <xf numFmtId="172" fontId="17" fillId="0" borderId="0" xfId="0" applyNumberFormat="1" applyFont="1"/>
    <xf numFmtId="166" fontId="10" fillId="0" borderId="0" xfId="0" applyNumberFormat="1" applyFont="1"/>
    <xf numFmtId="0" fontId="26" fillId="0" borderId="0" xfId="0" applyFont="1"/>
    <xf numFmtId="0" fontId="8" fillId="9" borderId="0" xfId="0" applyFont="1" applyFill="1"/>
    <xf numFmtId="0" fontId="14" fillId="8" borderId="0" xfId="0" applyFont="1" applyFill="1"/>
    <xf numFmtId="2" fontId="29" fillId="0" borderId="0" xfId="0" applyNumberFormat="1" applyFont="1"/>
    <xf numFmtId="0" fontId="0" fillId="8" borderId="9" xfId="0" applyFill="1" applyBorder="1"/>
    <xf numFmtId="0" fontId="0" fillId="8" borderId="1" xfId="0" applyFill="1" applyBorder="1"/>
    <xf numFmtId="0" fontId="0" fillId="8" borderId="10" xfId="0" applyFill="1" applyBorder="1"/>
    <xf numFmtId="0" fontId="18" fillId="0" borderId="8" xfId="1" applyFont="1" applyBorder="1" applyAlignment="1">
      <alignment horizontal="left" vertical="center"/>
    </xf>
    <xf numFmtId="2" fontId="14" fillId="0" borderId="2" xfId="1" applyNumberFormat="1" applyFont="1" applyBorder="1" applyAlignment="1">
      <alignment horizontal="right" vertical="center"/>
    </xf>
    <xf numFmtId="2" fontId="14" fillId="0" borderId="0" xfId="1" applyNumberFormat="1" applyFont="1" applyAlignment="1">
      <alignment horizontal="right" vertical="center"/>
    </xf>
    <xf numFmtId="2" fontId="14" fillId="0" borderId="8" xfId="1" applyNumberFormat="1" applyFont="1" applyBorder="1" applyAlignment="1">
      <alignment horizontal="right" vertical="center"/>
    </xf>
    <xf numFmtId="0" fontId="0" fillId="0" borderId="2" xfId="0" applyBorder="1"/>
    <xf numFmtId="0" fontId="0" fillId="0" borderId="8" xfId="0" applyBorder="1"/>
    <xf numFmtId="0" fontId="27" fillId="4" borderId="2" xfId="0" applyFont="1" applyFill="1" applyBorder="1"/>
    <xf numFmtId="0" fontId="27" fillId="4" borderId="0" xfId="0" applyFont="1" applyFill="1"/>
    <xf numFmtId="0" fontId="27" fillId="4" borderId="8" xfId="0" applyFont="1" applyFill="1" applyBorder="1"/>
    <xf numFmtId="164" fontId="14" fillId="0" borderId="2" xfId="1" applyNumberFormat="1" applyFont="1" applyBorder="1" applyAlignment="1">
      <alignment horizontal="right" vertical="center"/>
    </xf>
    <xf numFmtId="2" fontId="14" fillId="0" borderId="2" xfId="0" applyNumberFormat="1" applyFont="1" applyBorder="1" applyAlignment="1">
      <alignment horizontal="right" vertical="center"/>
    </xf>
    <xf numFmtId="0" fontId="14" fillId="0" borderId="2" xfId="0" applyFont="1" applyBorder="1"/>
    <xf numFmtId="0" fontId="14" fillId="0" borderId="8" xfId="0" applyFont="1" applyBorder="1"/>
    <xf numFmtId="0" fontId="0" fillId="4" borderId="2" xfId="0" applyFill="1" applyBorder="1"/>
    <xf numFmtId="0" fontId="0" fillId="4" borderId="8" xfId="0" applyFill="1" applyBorder="1"/>
    <xf numFmtId="1" fontId="0" fillId="0" borderId="2" xfId="0" applyNumberFormat="1" applyBorder="1"/>
    <xf numFmtId="1" fontId="0" fillId="0" borderId="8" xfId="0" applyNumberFormat="1" applyBorder="1"/>
    <xf numFmtId="1" fontId="8" fillId="4" borderId="0" xfId="0" applyNumberFormat="1" applyFont="1" applyFill="1"/>
    <xf numFmtId="2" fontId="0" fillId="0" borderId="2" xfId="0" applyNumberFormat="1" applyBorder="1"/>
    <xf numFmtId="2" fontId="0" fillId="0" borderId="8" xfId="0" applyNumberFormat="1" applyBorder="1"/>
    <xf numFmtId="164" fontId="0" fillId="0" borderId="8" xfId="0" applyNumberFormat="1" applyBorder="1"/>
    <xf numFmtId="165" fontId="14" fillId="0" borderId="2" xfId="1" applyNumberFormat="1" applyFont="1" applyBorder="1" applyAlignment="1">
      <alignment horizontal="right" vertical="center"/>
    </xf>
    <xf numFmtId="165" fontId="14" fillId="0" borderId="0" xfId="1" applyNumberFormat="1" applyFont="1" applyAlignment="1">
      <alignment horizontal="right" vertical="center"/>
    </xf>
    <xf numFmtId="165" fontId="14" fillId="0" borderId="8" xfId="1" applyNumberFormat="1" applyFont="1" applyBorder="1" applyAlignment="1">
      <alignment horizontal="right" vertical="center"/>
    </xf>
    <xf numFmtId="2" fontId="8" fillId="0" borderId="2" xfId="0" applyNumberFormat="1" applyFont="1" applyBorder="1"/>
    <xf numFmtId="165" fontId="0" fillId="0" borderId="2" xfId="0" applyNumberFormat="1" applyBorder="1"/>
    <xf numFmtId="165" fontId="0" fillId="0" borderId="8" xfId="0" applyNumberFormat="1" applyBorder="1"/>
    <xf numFmtId="1" fontId="8" fillId="0" borderId="2" xfId="0" applyNumberFormat="1" applyFont="1" applyBorder="1"/>
    <xf numFmtId="2" fontId="14" fillId="0" borderId="2" xfId="0" applyNumberFormat="1" applyFont="1" applyBorder="1"/>
    <xf numFmtId="2" fontId="14" fillId="0" borderId="8" xfId="0" applyNumberFormat="1" applyFont="1" applyBorder="1"/>
    <xf numFmtId="0" fontId="1" fillId="0" borderId="2" xfId="0" applyFont="1" applyBorder="1"/>
    <xf numFmtId="0" fontId="1" fillId="0" borderId="8" xfId="0" applyFont="1" applyBorder="1"/>
    <xf numFmtId="1" fontId="8" fillId="4" borderId="2" xfId="0" applyNumberFormat="1" applyFont="1" applyFill="1" applyBorder="1"/>
    <xf numFmtId="165" fontId="8" fillId="0" borderId="2" xfId="0" applyNumberFormat="1" applyFont="1" applyBorder="1"/>
    <xf numFmtId="165" fontId="8" fillId="0" borderId="8" xfId="0" applyNumberFormat="1" applyFont="1" applyBorder="1"/>
    <xf numFmtId="164" fontId="0" fillId="0" borderId="2" xfId="0" applyNumberFormat="1" applyBorder="1"/>
    <xf numFmtId="1" fontId="14" fillId="0" borderId="2" xfId="0" applyNumberFormat="1" applyFont="1" applyBorder="1"/>
    <xf numFmtId="1" fontId="14" fillId="0" borderId="0" xfId="0" applyNumberFormat="1" applyFont="1"/>
    <xf numFmtId="1" fontId="14" fillId="0" borderId="8" xfId="0" applyNumberFormat="1" applyFont="1" applyBorder="1"/>
    <xf numFmtId="170" fontId="14" fillId="0" borderId="2" xfId="0" applyNumberFormat="1" applyFont="1" applyBorder="1"/>
    <xf numFmtId="170" fontId="14" fillId="0" borderId="8" xfId="0" applyNumberFormat="1" applyFont="1" applyBorder="1"/>
    <xf numFmtId="165" fontId="0" fillId="4" borderId="2" xfId="0" applyNumberFormat="1" applyFill="1" applyBorder="1"/>
    <xf numFmtId="165" fontId="0" fillId="4" borderId="0" xfId="0" applyNumberFormat="1" applyFill="1"/>
    <xf numFmtId="165" fontId="0" fillId="4" borderId="8" xfId="0" applyNumberFormat="1" applyFill="1" applyBorder="1"/>
    <xf numFmtId="2" fontId="7" fillId="0" borderId="2" xfId="0" applyNumberFormat="1" applyFont="1" applyBorder="1"/>
    <xf numFmtId="2" fontId="7" fillId="0" borderId="0" xfId="0" applyNumberFormat="1" applyFont="1"/>
    <xf numFmtId="2" fontId="7" fillId="0" borderId="8" xfId="0" applyNumberFormat="1" applyFont="1" applyBorder="1"/>
    <xf numFmtId="0" fontId="27" fillId="0" borderId="2" xfId="0" applyFont="1" applyBorder="1"/>
    <xf numFmtId="0" fontId="0" fillId="0" borderId="11" xfId="0" applyBorder="1"/>
    <xf numFmtId="0" fontId="0" fillId="0" borderId="3" xfId="0" applyBorder="1"/>
    <xf numFmtId="0" fontId="0" fillId="0" borderId="12" xfId="0" applyBorder="1"/>
    <xf numFmtId="0" fontId="0" fillId="8" borderId="13" xfId="0" applyFill="1" applyBorder="1"/>
    <xf numFmtId="0" fontId="0" fillId="0" borderId="14" xfId="0" applyBorder="1"/>
    <xf numFmtId="2" fontId="18" fillId="0" borderId="14" xfId="0" applyNumberFormat="1" applyFont="1" applyBorder="1"/>
    <xf numFmtId="0" fontId="18" fillId="0" borderId="14" xfId="0" applyFont="1" applyBorder="1"/>
    <xf numFmtId="0" fontId="8" fillId="6" borderId="14" xfId="1" applyFont="1" applyFill="1" applyBorder="1" applyAlignment="1">
      <alignment horizontal="left" vertical="center"/>
    </xf>
    <xf numFmtId="0" fontId="0" fillId="4" borderId="14" xfId="0" applyFill="1" applyBorder="1"/>
    <xf numFmtId="0" fontId="7" fillId="0" borderId="14" xfId="0" applyFont="1" applyBorder="1" applyAlignment="1">
      <alignment horizontal="left" vertical="center"/>
    </xf>
    <xf numFmtId="0" fontId="18" fillId="0" borderId="14" xfId="1" applyFont="1" applyBorder="1" applyAlignment="1">
      <alignment horizontal="left" vertical="center"/>
    </xf>
    <xf numFmtId="0" fontId="7" fillId="4" borderId="14" xfId="0" applyFont="1" applyFill="1" applyBorder="1" applyAlignment="1">
      <alignment horizontal="left" vertical="center"/>
    </xf>
    <xf numFmtId="0" fontId="18" fillId="4" borderId="14" xfId="1" applyFont="1" applyFill="1" applyBorder="1" applyAlignment="1">
      <alignment horizontal="left" vertical="center"/>
    </xf>
    <xf numFmtId="0" fontId="7" fillId="0" borderId="14" xfId="0" applyFont="1" applyBorder="1"/>
    <xf numFmtId="0" fontId="30" fillId="0" borderId="14" xfId="1" applyFont="1" applyBorder="1" applyAlignment="1">
      <alignment horizontal="left" vertical="center"/>
    </xf>
    <xf numFmtId="0" fontId="7" fillId="4" borderId="14" xfId="0" applyFont="1" applyFill="1" applyBorder="1"/>
    <xf numFmtId="0" fontId="0" fillId="0" borderId="15" xfId="0" applyBorder="1"/>
    <xf numFmtId="0" fontId="8" fillId="0" borderId="0" xfId="0" applyFont="1" applyAlignment="1">
      <alignment horizontal="right" vertical="center" wrapText="1"/>
    </xf>
    <xf numFmtId="2" fontId="26" fillId="0" borderId="0" xfId="0" applyNumberFormat="1" applyFont="1" applyAlignment="1">
      <alignment horizontal="right" vertical="center" wrapText="1"/>
    </xf>
    <xf numFmtId="0" fontId="0" fillId="6" borderId="2" xfId="0" applyFill="1" applyBorder="1"/>
    <xf numFmtId="165" fontId="26" fillId="0" borderId="0" xfId="0" applyNumberFormat="1" applyFont="1" applyAlignment="1">
      <alignment horizontal="right" vertical="center" wrapText="1"/>
    </xf>
    <xf numFmtId="0" fontId="20" fillId="0" borderId="0" xfId="0" applyFont="1" applyAlignment="1">
      <alignment horizontal="left" vertical="center"/>
    </xf>
    <xf numFmtId="0" fontId="32" fillId="0" borderId="0" xfId="0" applyFont="1" applyAlignment="1">
      <alignment horizontal="left"/>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523873</xdr:colOff>
      <xdr:row>4</xdr:row>
      <xdr:rowOff>11905</xdr:rowOff>
    </xdr:from>
    <xdr:ext cx="3917157" cy="1202532"/>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7895092" y="845343"/>
          <a:ext cx="3917157" cy="120253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t>Products “at plant”: the environmental impact of processed feed materials until processing gate. Environmental impact of processed products includes the impact of cultivation of raw materials, sourcing from different countries, energy and auxiliary material use at processing and waste.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31</xdr:row>
      <xdr:rowOff>70847</xdr:rowOff>
    </xdr:from>
    <xdr:to>
      <xdr:col>8</xdr:col>
      <xdr:colOff>9526</xdr:colOff>
      <xdr:row>46</xdr:row>
      <xdr:rowOff>19558</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 y="6052547"/>
          <a:ext cx="5810250" cy="2806211"/>
        </a:xfrm>
        <a:prstGeom prst="rect">
          <a:avLst/>
        </a:prstGeom>
      </xdr:spPr>
    </xdr:pic>
    <xdr:clientData/>
  </xdr:twoCellAnchor>
  <xdr:twoCellAnchor editAs="oneCell">
    <xdr:from>
      <xdr:col>0</xdr:col>
      <xdr:colOff>66674</xdr:colOff>
      <xdr:row>5</xdr:row>
      <xdr:rowOff>135276</xdr:rowOff>
    </xdr:from>
    <xdr:to>
      <xdr:col>7</xdr:col>
      <xdr:colOff>581024</xdr:colOff>
      <xdr:row>28</xdr:row>
      <xdr:rowOff>27540</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66674" y="1163976"/>
          <a:ext cx="5705475" cy="42737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9"/>
  <sheetViews>
    <sheetView zoomScale="80" zoomScaleNormal="80" workbookViewId="0">
      <selection activeCell="C28" sqref="C28"/>
    </sheetView>
  </sheetViews>
  <sheetFormatPr defaultRowHeight="14.4" x14ac:dyDescent="0.3"/>
  <cols>
    <col min="1" max="1" width="8.88671875" style="30"/>
    <col min="2" max="2" width="18.33203125" customWidth="1"/>
    <col min="3" max="3" width="31.5546875" customWidth="1"/>
    <col min="4" max="4" width="24.6640625" customWidth="1"/>
  </cols>
  <sheetData>
    <row r="2" spans="1:1" ht="21" x14ac:dyDescent="0.4">
      <c r="A2" s="64" t="s">
        <v>0</v>
      </c>
    </row>
    <row r="4" spans="1:1" x14ac:dyDescent="0.3">
      <c r="A4" s="30" t="s">
        <v>1</v>
      </c>
    </row>
    <row r="7" spans="1:1" x14ac:dyDescent="0.3">
      <c r="A7" s="30" t="s">
        <v>2</v>
      </c>
    </row>
    <row r="8" spans="1:1" x14ac:dyDescent="0.3">
      <c r="A8" s="30" t="s">
        <v>3</v>
      </c>
    </row>
    <row r="9" spans="1:1" x14ac:dyDescent="0.3">
      <c r="A9" s="30" t="s">
        <v>4</v>
      </c>
    </row>
    <row r="17" spans="1:2" x14ac:dyDescent="0.3">
      <c r="A17" s="30" t="s">
        <v>5</v>
      </c>
    </row>
    <row r="19" spans="1:2" x14ac:dyDescent="0.3">
      <c r="A19" s="84"/>
      <c r="B19" t="s">
        <v>6</v>
      </c>
    </row>
    <row r="20" spans="1:2" x14ac:dyDescent="0.3">
      <c r="A20" s="109"/>
      <c r="B20" t="s">
        <v>7</v>
      </c>
    </row>
    <row r="21" spans="1:2" x14ac:dyDescent="0.3">
      <c r="A21" s="110"/>
      <c r="B21" t="s">
        <v>8</v>
      </c>
    </row>
    <row r="26" spans="1:2" x14ac:dyDescent="0.3">
      <c r="A26" s="111" t="s">
        <v>9</v>
      </c>
    </row>
    <row r="27" spans="1:2" x14ac:dyDescent="0.3">
      <c r="A27" s="30" t="s">
        <v>10</v>
      </c>
    </row>
    <row r="28" spans="1:2" x14ac:dyDescent="0.3">
      <c r="A28" s="30" t="s">
        <v>11</v>
      </c>
    </row>
    <row r="29" spans="1:2" x14ac:dyDescent="0.3">
      <c r="A29" s="30"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U18"/>
  <sheetViews>
    <sheetView zoomScale="85" zoomScaleNormal="85" workbookViewId="0">
      <selection activeCell="Q7" sqref="Q7"/>
    </sheetView>
  </sheetViews>
  <sheetFormatPr defaultRowHeight="14.4" x14ac:dyDescent="0.3"/>
  <cols>
    <col min="1" max="1" width="8.88671875" style="30"/>
    <col min="2" max="2" width="22.88671875" customWidth="1"/>
    <col min="3" max="3" width="25.44140625" customWidth="1"/>
    <col min="4" max="4" width="16.44140625" customWidth="1"/>
    <col min="5" max="11" width="10.5546875" customWidth="1"/>
    <col min="12" max="13" width="14.6640625" customWidth="1"/>
    <col min="14" max="14" width="14.6640625" style="12" customWidth="1"/>
    <col min="15" max="16" width="14.6640625" customWidth="1"/>
    <col min="17" max="17" width="25" customWidth="1"/>
    <col min="18" max="20" width="14.6640625" customWidth="1"/>
    <col min="21" max="21" width="15.88671875" customWidth="1"/>
  </cols>
  <sheetData>
    <row r="2" spans="1:21" ht="21" x14ac:dyDescent="0.4">
      <c r="A2" s="64" t="s">
        <v>13</v>
      </c>
      <c r="D2" s="7" t="s">
        <v>427</v>
      </c>
      <c r="M2" s="226" t="s">
        <v>14</v>
      </c>
    </row>
    <row r="3" spans="1:21" x14ac:dyDescent="0.3">
      <c r="P3" s="7"/>
      <c r="R3" s="7"/>
      <c r="S3" s="8"/>
      <c r="T3" s="8"/>
      <c r="U3" s="8"/>
    </row>
    <row r="4" spans="1:21" x14ac:dyDescent="0.3">
      <c r="A4" s="85"/>
      <c r="B4" s="86"/>
      <c r="C4" s="86"/>
      <c r="D4" s="86"/>
      <c r="E4" s="86"/>
      <c r="F4" s="86"/>
      <c r="G4" s="86"/>
      <c r="H4" s="86"/>
      <c r="I4" s="86"/>
      <c r="J4" s="86"/>
      <c r="K4" s="86"/>
      <c r="L4" s="86"/>
      <c r="M4" s="86"/>
      <c r="N4" s="87"/>
      <c r="O4" s="86"/>
      <c r="P4" s="88"/>
      <c r="Q4" s="86"/>
      <c r="R4" s="88"/>
      <c r="S4" s="89"/>
      <c r="T4" s="89"/>
      <c r="U4" s="89"/>
    </row>
    <row r="5" spans="1:21" x14ac:dyDescent="0.3">
      <c r="A5" s="66" t="s">
        <v>15</v>
      </c>
      <c r="B5" s="47"/>
      <c r="C5" s="47"/>
      <c r="D5" s="53"/>
      <c r="E5" s="53"/>
      <c r="F5" s="237" t="s">
        <v>16</v>
      </c>
      <c r="G5" s="53"/>
      <c r="H5" s="53"/>
      <c r="I5" s="53"/>
      <c r="J5" s="53"/>
      <c r="K5" s="53"/>
      <c r="L5" s="40" t="s">
        <v>17</v>
      </c>
      <c r="M5" s="40" t="s">
        <v>18</v>
      </c>
      <c r="N5" s="40" t="s">
        <v>19</v>
      </c>
      <c r="O5" s="40" t="s">
        <v>20</v>
      </c>
      <c r="P5" s="41" t="s">
        <v>21</v>
      </c>
      <c r="Q5" s="41" t="s">
        <v>22</v>
      </c>
      <c r="R5" s="41" t="s">
        <v>23</v>
      </c>
      <c r="S5" s="41" t="s">
        <v>24</v>
      </c>
      <c r="T5" s="58" t="s">
        <v>25</v>
      </c>
      <c r="U5" s="58" t="s">
        <v>26</v>
      </c>
    </row>
    <row r="6" spans="1:21" s="9" customFormat="1" ht="43.2" x14ac:dyDescent="0.3">
      <c r="A6" s="68" t="s">
        <v>27</v>
      </c>
      <c r="B6" s="67" t="s">
        <v>28</v>
      </c>
      <c r="C6" s="67" t="s">
        <v>29</v>
      </c>
      <c r="D6" s="69" t="s">
        <v>30</v>
      </c>
      <c r="E6" s="70" t="s">
        <v>31</v>
      </c>
      <c r="F6" s="236" t="s">
        <v>32</v>
      </c>
      <c r="G6" s="235" t="s">
        <v>33</v>
      </c>
      <c r="H6" s="236" t="s">
        <v>34</v>
      </c>
      <c r="I6" s="236" t="s">
        <v>35</v>
      </c>
      <c r="J6" s="236" t="s">
        <v>36</v>
      </c>
      <c r="K6" s="235" t="s">
        <v>37</v>
      </c>
      <c r="L6" s="74" t="s">
        <v>38</v>
      </c>
      <c r="M6" s="74" t="s">
        <v>39</v>
      </c>
      <c r="N6" s="74" t="s">
        <v>40</v>
      </c>
      <c r="O6" s="75" t="s">
        <v>41</v>
      </c>
      <c r="P6" s="76" t="s">
        <v>42</v>
      </c>
      <c r="Q6" s="77" t="s">
        <v>43</v>
      </c>
      <c r="R6" s="77" t="s">
        <v>44</v>
      </c>
      <c r="S6" s="77" t="s">
        <v>45</v>
      </c>
      <c r="T6" s="52" t="s">
        <v>46</v>
      </c>
      <c r="U6" s="73"/>
    </row>
    <row r="7" spans="1:21" x14ac:dyDescent="0.3">
      <c r="A7" s="12">
        <v>21115</v>
      </c>
      <c r="B7" s="12" t="s">
        <v>424</v>
      </c>
      <c r="C7" s="16" t="s">
        <v>47</v>
      </c>
      <c r="D7" t="s">
        <v>50</v>
      </c>
      <c r="E7" t="s">
        <v>51</v>
      </c>
      <c r="F7" s="11">
        <v>34.395483705031317</v>
      </c>
      <c r="G7" s="11">
        <v>3.6400991172699557</v>
      </c>
      <c r="I7" s="48">
        <v>0.68500476906973706</v>
      </c>
      <c r="J7" s="48">
        <v>2.5051082011376867E-2</v>
      </c>
      <c r="L7" s="18">
        <f t="shared" ref="L7:L17" si="0">25.2782591151659/0.7</f>
        <v>36.111798735951282</v>
      </c>
      <c r="M7" s="19">
        <f t="shared" ref="M7:M17" si="1">0.731629558788247/0.7</f>
        <v>1.04518508398321</v>
      </c>
      <c r="N7" s="19">
        <f t="shared" ref="N7:N17" si="2">0.0184851691675996/0.7</f>
        <v>2.6407384525142286E-2</v>
      </c>
      <c r="O7" s="33">
        <v>0.32200000000000001</v>
      </c>
      <c r="P7" s="33">
        <f t="shared" ref="P7:P17" si="3">0.00117435421640243/0.7</f>
        <v>1.6776488805749E-3</v>
      </c>
      <c r="Q7" s="33">
        <f>1.03063593462921E-08/0.7</f>
        <v>1.4723370494703E-8</v>
      </c>
      <c r="R7" s="33">
        <f t="shared" ref="R7:R17" si="4">0.116777886949226/0.7</f>
        <v>0.16682555278460859</v>
      </c>
      <c r="S7" s="10">
        <f>'Parameters, country spec'!$C$83/Production!$C$35</f>
        <v>4.4138136412304796E-2</v>
      </c>
      <c r="T7" s="4">
        <v>2.5999999999999999E-2</v>
      </c>
      <c r="U7">
        <v>38.1</v>
      </c>
    </row>
    <row r="8" spans="1:21" x14ac:dyDescent="0.3">
      <c r="A8" s="12">
        <v>21115</v>
      </c>
      <c r="B8" s="12" t="s">
        <v>424</v>
      </c>
      <c r="C8" s="16" t="s">
        <v>47</v>
      </c>
      <c r="D8" t="s">
        <v>52</v>
      </c>
      <c r="E8" t="s">
        <v>53</v>
      </c>
      <c r="F8" s="11">
        <v>34.395483705031317</v>
      </c>
      <c r="G8" s="11">
        <v>3.6400991172699557</v>
      </c>
      <c r="I8" s="48">
        <v>0.68500476906973706</v>
      </c>
      <c r="J8" s="48">
        <v>2.5051082011376867E-2</v>
      </c>
      <c r="L8" s="18">
        <f t="shared" si="0"/>
        <v>36.111798735951282</v>
      </c>
      <c r="M8" s="19">
        <f t="shared" si="1"/>
        <v>1.04518508398321</v>
      </c>
      <c r="N8" s="19">
        <f t="shared" si="2"/>
        <v>2.6407384525142286E-2</v>
      </c>
      <c r="O8" s="33">
        <v>0.161</v>
      </c>
      <c r="P8" s="33">
        <f t="shared" si="3"/>
        <v>1.6776488805749E-3</v>
      </c>
      <c r="Q8" s="33">
        <f>1.95138714626237E-09/0.7</f>
        <v>2.7876959232319574E-9</v>
      </c>
      <c r="R8" s="33">
        <f t="shared" si="4"/>
        <v>0.16682555278460859</v>
      </c>
      <c r="S8" s="10">
        <f>'Parameters, country spec'!$D$83/Production!$D$35</f>
        <v>4.983337982034413E-2</v>
      </c>
      <c r="T8" s="4">
        <v>1.7999999999999999E-2</v>
      </c>
      <c r="U8">
        <v>50.4</v>
      </c>
    </row>
    <row r="9" spans="1:21" x14ac:dyDescent="0.3">
      <c r="A9" s="12">
        <v>21115</v>
      </c>
      <c r="B9" s="12" t="s">
        <v>424</v>
      </c>
      <c r="C9" s="16" t="s">
        <v>47</v>
      </c>
      <c r="D9" t="s">
        <v>54</v>
      </c>
      <c r="E9" t="s">
        <v>55</v>
      </c>
      <c r="F9" s="11">
        <v>34.395483705031317</v>
      </c>
      <c r="G9" s="11">
        <v>3.6400991172699557</v>
      </c>
      <c r="I9" s="48">
        <v>0.68500476906973706</v>
      </c>
      <c r="J9" s="48">
        <v>2.5051082011376867E-2</v>
      </c>
      <c r="L9" s="18">
        <f t="shared" si="0"/>
        <v>36.111798735951282</v>
      </c>
      <c r="M9" s="19">
        <f t="shared" si="1"/>
        <v>1.04518508398321</v>
      </c>
      <c r="N9" s="19">
        <f t="shared" si="2"/>
        <v>2.6407384525142286E-2</v>
      </c>
      <c r="O9" s="33">
        <v>1.19</v>
      </c>
      <c r="P9" s="33">
        <f t="shared" si="3"/>
        <v>1.6776488805749E-3</v>
      </c>
      <c r="Q9" s="33">
        <f>4.72214019813801E-08/0.7</f>
        <v>6.7459145687685859E-8</v>
      </c>
      <c r="R9" s="33">
        <f t="shared" si="4"/>
        <v>0.16682555278460859</v>
      </c>
      <c r="S9" s="10">
        <f>'Parameters, country spec'!$E$83/Production!$E$35</f>
        <v>3.2747649596226142E-2</v>
      </c>
      <c r="T9" s="4">
        <v>2.5999999999999999E-2</v>
      </c>
      <c r="U9">
        <v>111.7</v>
      </c>
    </row>
    <row r="10" spans="1:21" x14ac:dyDescent="0.3">
      <c r="A10" s="12">
        <v>21115</v>
      </c>
      <c r="B10" s="12" t="s">
        <v>424</v>
      </c>
      <c r="C10" s="16" t="s">
        <v>47</v>
      </c>
      <c r="D10" t="s">
        <v>56</v>
      </c>
      <c r="E10" t="s">
        <v>57</v>
      </c>
      <c r="F10" s="11">
        <v>34.395483705031317</v>
      </c>
      <c r="G10" s="11">
        <v>3.6400991172699557</v>
      </c>
      <c r="I10" s="48">
        <v>0.68500476906973706</v>
      </c>
      <c r="J10" s="48">
        <v>2.5051082011376867E-2</v>
      </c>
      <c r="L10" s="18">
        <f t="shared" si="0"/>
        <v>36.111798735951282</v>
      </c>
      <c r="M10" s="19">
        <f t="shared" si="1"/>
        <v>1.04518508398321</v>
      </c>
      <c r="N10" s="19">
        <f t="shared" si="2"/>
        <v>2.6407384525142286E-2</v>
      </c>
      <c r="O10" s="33">
        <v>0.219</v>
      </c>
      <c r="P10" s="33">
        <f t="shared" si="3"/>
        <v>1.6776488805749E-3</v>
      </c>
      <c r="Q10" s="33">
        <f>2.08599117042857E-09/0.7</f>
        <v>2.9799873863265285E-9</v>
      </c>
      <c r="R10" s="33">
        <f t="shared" si="4"/>
        <v>0.16682555278460859</v>
      </c>
      <c r="S10" s="10">
        <f>'Parameters, country spec'!$F$83/Production!$F$35</f>
        <v>0.14309299062698816</v>
      </c>
      <c r="T10" s="4">
        <v>2.5999999999999999E-2</v>
      </c>
      <c r="U10">
        <v>102.5</v>
      </c>
    </row>
    <row r="11" spans="1:21" x14ac:dyDescent="0.3">
      <c r="A11" s="12">
        <v>21115</v>
      </c>
      <c r="B11" s="12" t="s">
        <v>424</v>
      </c>
      <c r="C11" s="16" t="s">
        <v>47</v>
      </c>
      <c r="D11" t="s">
        <v>58</v>
      </c>
      <c r="E11" t="s">
        <v>59</v>
      </c>
      <c r="F11" s="11">
        <v>34.395483705031317</v>
      </c>
      <c r="G11" s="11">
        <v>3.6400991172699557</v>
      </c>
      <c r="I11" s="48">
        <v>0.68500476906973706</v>
      </c>
      <c r="J11" s="48">
        <v>2.5051082011376867E-2</v>
      </c>
      <c r="L11" s="18">
        <f t="shared" si="0"/>
        <v>36.111798735951282</v>
      </c>
      <c r="M11" s="19">
        <f t="shared" si="1"/>
        <v>1.04518508398321</v>
      </c>
      <c r="N11" s="19">
        <f t="shared" si="2"/>
        <v>2.6407384525142286E-2</v>
      </c>
      <c r="O11" s="33">
        <v>0.24099999999999999</v>
      </c>
      <c r="P11" s="33">
        <f t="shared" si="3"/>
        <v>1.6776488805749E-3</v>
      </c>
      <c r="Q11" s="33">
        <f>2.01045385112878E-09/0.7</f>
        <v>2.8720769301839716E-9</v>
      </c>
      <c r="R11" s="33">
        <f t="shared" si="4"/>
        <v>0.16682555278460859</v>
      </c>
      <c r="S11" s="10">
        <f>'Parameters, country spec'!$G$83/Production!$G$35</f>
        <v>9.5395327084658768E-2</v>
      </c>
      <c r="T11" s="4">
        <v>2.5999999999999999E-2</v>
      </c>
      <c r="U11">
        <v>40.6</v>
      </c>
    </row>
    <row r="12" spans="1:21" x14ac:dyDescent="0.3">
      <c r="A12" s="12">
        <v>21115</v>
      </c>
      <c r="B12" s="12" t="s">
        <v>424</v>
      </c>
      <c r="C12" s="16" t="s">
        <v>47</v>
      </c>
      <c r="D12" t="s">
        <v>60</v>
      </c>
      <c r="E12" t="s">
        <v>61</v>
      </c>
      <c r="F12" s="11">
        <v>34.395483705031317</v>
      </c>
      <c r="G12" s="11">
        <v>3.6400991172699557</v>
      </c>
      <c r="I12" s="48">
        <v>0.68500476906973706</v>
      </c>
      <c r="J12" s="48">
        <v>2.5051082011376867E-2</v>
      </c>
      <c r="L12" s="18">
        <f t="shared" si="0"/>
        <v>36.111798735951282</v>
      </c>
      <c r="M12" s="19">
        <f t="shared" si="1"/>
        <v>1.04518508398321</v>
      </c>
      <c r="N12" s="19">
        <f t="shared" si="2"/>
        <v>2.6407384525142286E-2</v>
      </c>
      <c r="O12" s="33">
        <v>0.51200000000000001</v>
      </c>
      <c r="P12" s="33">
        <f t="shared" si="3"/>
        <v>1.6776488805749E-3</v>
      </c>
      <c r="Q12" s="33">
        <f>3.38805721381219E-08/0.7</f>
        <v>4.8400817340174145E-8</v>
      </c>
      <c r="R12" s="33">
        <f t="shared" si="4"/>
        <v>0.16682555278460859</v>
      </c>
      <c r="S12" s="10">
        <f>'Parameters, country spec'!$H$83/Production!$H$35</f>
        <v>4.6273852690319549E-2</v>
      </c>
      <c r="T12" s="4">
        <v>2.5999999999999999E-2</v>
      </c>
      <c r="U12">
        <v>129.1</v>
      </c>
    </row>
    <row r="13" spans="1:21" x14ac:dyDescent="0.3">
      <c r="A13" s="12">
        <v>21115</v>
      </c>
      <c r="B13" s="12" t="s">
        <v>424</v>
      </c>
      <c r="C13" s="16" t="s">
        <v>47</v>
      </c>
      <c r="D13" t="s">
        <v>425</v>
      </c>
      <c r="E13" t="s">
        <v>426</v>
      </c>
      <c r="F13" s="11">
        <v>34.395483705031317</v>
      </c>
      <c r="G13" s="11">
        <v>3.6400991172699557</v>
      </c>
      <c r="I13" s="48">
        <v>0.68500476906973706</v>
      </c>
      <c r="J13" s="48">
        <v>2.5051082011376867E-2</v>
      </c>
      <c r="L13" s="18">
        <f t="shared" si="0"/>
        <v>36.111798735951282</v>
      </c>
      <c r="M13" s="19">
        <f t="shared" si="1"/>
        <v>1.04518508398321</v>
      </c>
      <c r="N13" s="19">
        <f t="shared" si="2"/>
        <v>2.6407384525142286E-2</v>
      </c>
      <c r="O13" s="33">
        <v>0.42299999999999999</v>
      </c>
      <c r="P13" s="33">
        <f t="shared" si="3"/>
        <v>1.6776488805749E-3</v>
      </c>
      <c r="Q13" s="33">
        <f>1.73745552407811E-09/0.7</f>
        <v>2.4820793201115859E-9</v>
      </c>
      <c r="R13" s="33">
        <f t="shared" si="4"/>
        <v>0.16682555278460859</v>
      </c>
      <c r="S13" s="10">
        <f>'Parameters, country spec'!$I$83/Production!$I$35</f>
        <v>5.9800055784412949E-2</v>
      </c>
      <c r="T13" s="4">
        <v>1.7999999999999999E-2</v>
      </c>
      <c r="U13">
        <v>32.1</v>
      </c>
    </row>
    <row r="14" spans="1:21" x14ac:dyDescent="0.3">
      <c r="A14" s="12">
        <v>21115</v>
      </c>
      <c r="B14" s="12" t="s">
        <v>424</v>
      </c>
      <c r="C14" s="16" t="s">
        <v>47</v>
      </c>
      <c r="D14" t="s">
        <v>64</v>
      </c>
      <c r="E14" t="s">
        <v>65</v>
      </c>
      <c r="F14" s="11">
        <v>34.395483705031317</v>
      </c>
      <c r="G14" s="11">
        <v>3.6400991172699557</v>
      </c>
      <c r="I14" s="48">
        <v>0.68500476906973706</v>
      </c>
      <c r="J14" s="48">
        <v>2.5051082011376867E-2</v>
      </c>
      <c r="L14" s="18">
        <f t="shared" si="0"/>
        <v>36.111798735951282</v>
      </c>
      <c r="M14" s="19">
        <f t="shared" si="1"/>
        <v>1.04518508398321</v>
      </c>
      <c r="N14" s="19">
        <f t="shared" si="2"/>
        <v>2.6407384525142286E-2</v>
      </c>
      <c r="O14" s="33">
        <v>0.4</v>
      </c>
      <c r="P14" s="33">
        <f t="shared" si="3"/>
        <v>1.6776488805749E-3</v>
      </c>
      <c r="Q14" s="33">
        <f>2.28129287616524E-09/0.7</f>
        <v>3.2589898230932003E-9</v>
      </c>
      <c r="R14" s="33">
        <f t="shared" si="4"/>
        <v>0.16682555278460859</v>
      </c>
      <c r="S14" s="10">
        <f>'Parameters, country spec'!$J$83/Production!$J$35</f>
        <v>0.1509239503130422</v>
      </c>
      <c r="T14" s="4">
        <v>2.5999999999999999E-2</v>
      </c>
      <c r="U14">
        <v>134.69999999999999</v>
      </c>
    </row>
    <row r="15" spans="1:21" x14ac:dyDescent="0.3">
      <c r="A15" s="12">
        <v>21115</v>
      </c>
      <c r="B15" s="12" t="s">
        <v>424</v>
      </c>
      <c r="C15" s="16" t="s">
        <v>47</v>
      </c>
      <c r="D15" t="s">
        <v>66</v>
      </c>
      <c r="E15" t="s">
        <v>67</v>
      </c>
      <c r="F15" s="11">
        <v>34.395483705031317</v>
      </c>
      <c r="G15" s="11">
        <v>3.6400991172699557</v>
      </c>
      <c r="I15" s="48">
        <v>0.68500476906973706</v>
      </c>
      <c r="J15" s="48">
        <v>2.5051082011376867E-2</v>
      </c>
      <c r="L15" s="18">
        <f t="shared" si="0"/>
        <v>36.111798735951282</v>
      </c>
      <c r="M15" s="19">
        <f t="shared" si="1"/>
        <v>1.04518508398321</v>
      </c>
      <c r="N15" s="19">
        <f t="shared" si="2"/>
        <v>2.6407384525142286E-2</v>
      </c>
      <c r="O15" s="33">
        <v>0.94899999999999995</v>
      </c>
      <c r="P15" s="33">
        <f t="shared" si="3"/>
        <v>1.6776488805749E-3</v>
      </c>
      <c r="Q15" s="33">
        <f>5.55001978047497E-08/0.7</f>
        <v>7.9285996863928142E-8</v>
      </c>
      <c r="R15" s="33">
        <f t="shared" si="4"/>
        <v>0.16682555278460859</v>
      </c>
      <c r="S15" s="10">
        <f>'Parameters, country spec'!$K$83/Production!$K$35</f>
        <v>1.4238108520098323E-2</v>
      </c>
      <c r="T15" s="4">
        <v>2.5999999999999999E-2</v>
      </c>
      <c r="U15">
        <v>95.7</v>
      </c>
    </row>
    <row r="16" spans="1:21" x14ac:dyDescent="0.3">
      <c r="A16" s="12">
        <v>21115</v>
      </c>
      <c r="B16" s="12" t="s">
        <v>424</v>
      </c>
      <c r="C16" s="16" t="s">
        <v>47</v>
      </c>
      <c r="D16" s="17" t="s">
        <v>68</v>
      </c>
      <c r="E16" s="17" t="s">
        <v>69</v>
      </c>
      <c r="F16" s="11">
        <v>34.395483705031317</v>
      </c>
      <c r="G16" s="11">
        <v>3.6400991172699557</v>
      </c>
      <c r="I16" s="48">
        <v>0.68500476906973706</v>
      </c>
      <c r="J16" s="48">
        <v>2.5051082011376867E-2</v>
      </c>
      <c r="K16" s="17"/>
      <c r="L16" s="18">
        <f t="shared" si="0"/>
        <v>36.111798735951282</v>
      </c>
      <c r="M16" s="19">
        <f t="shared" si="1"/>
        <v>1.04518508398321</v>
      </c>
      <c r="N16" s="19">
        <f t="shared" si="2"/>
        <v>2.6407384525142286E-2</v>
      </c>
      <c r="O16" s="33">
        <v>0.17199999999999999</v>
      </c>
      <c r="P16" s="33">
        <f t="shared" si="3"/>
        <v>1.6776488805749E-3</v>
      </c>
      <c r="Q16" s="33">
        <f>1.24339395138407E-09/0.7</f>
        <v>1.7762770734058144E-9</v>
      </c>
      <c r="R16" s="33">
        <f t="shared" si="4"/>
        <v>0.16682555278460859</v>
      </c>
      <c r="S16" s="10">
        <f>'Parameters, country spec'!$L$83/Production!$L$35</f>
        <v>2.918812246620156E-2</v>
      </c>
      <c r="T16" s="4">
        <v>1.6E-2</v>
      </c>
      <c r="U16" s="19">
        <v>10.1</v>
      </c>
    </row>
    <row r="17" spans="1:21" x14ac:dyDescent="0.3">
      <c r="A17" s="12">
        <v>21115</v>
      </c>
      <c r="B17" s="12" t="s">
        <v>424</v>
      </c>
      <c r="C17" s="16" t="s">
        <v>47</v>
      </c>
      <c r="D17" s="17" t="s">
        <v>70</v>
      </c>
      <c r="E17" s="17" t="s">
        <v>71</v>
      </c>
      <c r="F17" s="11">
        <v>34.395483705031317</v>
      </c>
      <c r="G17" s="11">
        <v>3.6400991172699557</v>
      </c>
      <c r="I17" s="48">
        <v>0.68500476906973706</v>
      </c>
      <c r="J17" s="48">
        <v>2.5051082011376867E-2</v>
      </c>
      <c r="K17" s="17"/>
      <c r="L17" s="18">
        <f t="shared" si="0"/>
        <v>36.111798735951282</v>
      </c>
      <c r="M17" s="19">
        <f t="shared" si="1"/>
        <v>1.04518508398321</v>
      </c>
      <c r="N17" s="19">
        <f t="shared" si="2"/>
        <v>2.6407384525142286E-2</v>
      </c>
      <c r="O17" s="33">
        <v>0.34100000000000003</v>
      </c>
      <c r="P17" s="33">
        <f t="shared" si="3"/>
        <v>1.6776488805749E-3</v>
      </c>
      <c r="Q17" s="33">
        <f>2.24979718582115E-08/0.7</f>
        <v>3.2139959797445004E-8</v>
      </c>
      <c r="R17" s="33">
        <f t="shared" si="4"/>
        <v>0.16682555278460859</v>
      </c>
      <c r="S17" s="10">
        <f>'Parameters, country spec'!$L$83/Production!$L$35</f>
        <v>2.918812246620156E-2</v>
      </c>
      <c r="T17" s="4"/>
      <c r="U17">
        <v>29.8</v>
      </c>
    </row>
    <row r="18" spans="1:21" x14ac:dyDescent="0.3">
      <c r="J18" s="48"/>
      <c r="M18" s="4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theme="9" tint="0.59999389629810485"/>
  </sheetPr>
  <dimension ref="A1:Z50"/>
  <sheetViews>
    <sheetView tabSelected="1" zoomScale="80" zoomScaleNormal="80" workbookViewId="0">
      <selection activeCell="C27" sqref="C27"/>
    </sheetView>
  </sheetViews>
  <sheetFormatPr defaultRowHeight="14.4" x14ac:dyDescent="0.3"/>
  <cols>
    <col min="1" max="1" width="8.109375" style="30" customWidth="1"/>
    <col min="2" max="2" width="22.5546875" customWidth="1"/>
    <col min="3" max="3" width="27.33203125" customWidth="1"/>
    <col min="4" max="5" width="10.109375" customWidth="1"/>
    <col min="6" max="6" width="7.6640625" customWidth="1"/>
    <col min="7" max="7" width="9.33203125" style="12" customWidth="1"/>
    <col min="8" max="19" width="14.6640625" customWidth="1"/>
    <col min="20" max="21" width="14.6640625" style="8" customWidth="1"/>
    <col min="22" max="23" width="14.6640625" customWidth="1"/>
    <col min="25" max="25" width="16" customWidth="1"/>
    <col min="26" max="26" width="19.33203125" customWidth="1"/>
  </cols>
  <sheetData>
    <row r="1" spans="1:26" x14ac:dyDescent="0.3">
      <c r="H1" s="226" t="s">
        <v>72</v>
      </c>
    </row>
    <row r="2" spans="1:26" ht="21" x14ac:dyDescent="0.4">
      <c r="A2" s="64" t="s">
        <v>73</v>
      </c>
      <c r="D2" s="336" t="s">
        <v>74</v>
      </c>
      <c r="H2" s="226" t="s">
        <v>75</v>
      </c>
    </row>
    <row r="3" spans="1:26" x14ac:dyDescent="0.3">
      <c r="H3" s="226" t="s">
        <v>76</v>
      </c>
      <c r="J3" s="7"/>
      <c r="K3" s="8"/>
      <c r="L3" s="8"/>
      <c r="M3" s="8"/>
      <c r="N3" s="8"/>
      <c r="O3" s="8"/>
      <c r="P3" s="8"/>
      <c r="Q3" s="8"/>
      <c r="R3" s="8"/>
      <c r="S3" s="8"/>
    </row>
    <row r="4" spans="1:26" x14ac:dyDescent="0.3">
      <c r="A4" s="65"/>
      <c r="B4" s="49"/>
      <c r="C4" s="49"/>
      <c r="D4" s="49"/>
      <c r="E4" s="49"/>
      <c r="F4" s="49"/>
      <c r="G4" s="49"/>
      <c r="H4" s="50"/>
      <c r="I4" s="50"/>
      <c r="J4" s="51"/>
      <c r="K4" s="51"/>
      <c r="L4" s="51"/>
      <c r="M4" s="51"/>
      <c r="N4" s="51"/>
      <c r="O4" s="51"/>
      <c r="P4" s="51"/>
      <c r="Q4" s="51"/>
      <c r="R4" s="50" t="s">
        <v>77</v>
      </c>
      <c r="S4" s="50"/>
      <c r="T4" s="61"/>
      <c r="U4" s="61"/>
      <c r="V4" s="51" t="s">
        <v>78</v>
      </c>
      <c r="W4" s="51" t="s">
        <v>79</v>
      </c>
      <c r="Y4" s="50" t="s">
        <v>80</v>
      </c>
      <c r="Z4" s="50"/>
    </row>
    <row r="5" spans="1:26" x14ac:dyDescent="0.3">
      <c r="A5" s="66" t="s">
        <v>15</v>
      </c>
      <c r="B5" s="47"/>
      <c r="C5" s="47"/>
      <c r="D5" s="53"/>
      <c r="E5" s="53"/>
      <c r="F5" s="54"/>
      <c r="G5" s="55" t="s">
        <v>81</v>
      </c>
      <c r="H5" s="55" t="s">
        <v>82</v>
      </c>
      <c r="I5" s="56"/>
      <c r="J5" s="55" t="s">
        <v>83</v>
      </c>
      <c r="K5" s="57"/>
      <c r="L5" s="58" t="s">
        <v>84</v>
      </c>
      <c r="M5" s="57"/>
      <c r="N5" s="57"/>
      <c r="O5" s="57"/>
      <c r="P5" s="58" t="s">
        <v>85</v>
      </c>
      <c r="Q5" s="58" t="s">
        <v>86</v>
      </c>
      <c r="R5" s="59"/>
      <c r="S5" s="59"/>
      <c r="T5" s="62"/>
      <c r="U5" s="62"/>
      <c r="V5" s="60"/>
      <c r="W5" s="60"/>
      <c r="Y5" s="55"/>
      <c r="Z5" s="55"/>
    </row>
    <row r="6" spans="1:26" ht="57.6" x14ac:dyDescent="0.3">
      <c r="A6" s="68" t="s">
        <v>87</v>
      </c>
      <c r="B6" s="67" t="s">
        <v>88</v>
      </c>
      <c r="C6" s="67" t="s">
        <v>89</v>
      </c>
      <c r="D6" s="69" t="s">
        <v>30</v>
      </c>
      <c r="E6" s="70" t="s">
        <v>31</v>
      </c>
      <c r="F6" s="69" t="s">
        <v>90</v>
      </c>
      <c r="G6" s="70" t="s">
        <v>91</v>
      </c>
      <c r="H6" s="52" t="s">
        <v>92</v>
      </c>
      <c r="I6" s="52" t="s">
        <v>93</v>
      </c>
      <c r="J6" s="52" t="s">
        <v>94</v>
      </c>
      <c r="K6" s="52" t="s">
        <v>95</v>
      </c>
      <c r="L6" s="52" t="s">
        <v>96</v>
      </c>
      <c r="M6" s="52" t="s">
        <v>97</v>
      </c>
      <c r="N6" s="52" t="s">
        <v>98</v>
      </c>
      <c r="O6" s="52" t="s">
        <v>99</v>
      </c>
      <c r="P6" s="52" t="s">
        <v>100</v>
      </c>
      <c r="Q6" s="52" t="s">
        <v>101</v>
      </c>
      <c r="R6" s="70" t="s">
        <v>102</v>
      </c>
      <c r="S6" s="70" t="s">
        <v>103</v>
      </c>
      <c r="T6" s="71" t="s">
        <v>104</v>
      </c>
      <c r="U6" s="71" t="s">
        <v>105</v>
      </c>
      <c r="V6" s="52" t="s">
        <v>106</v>
      </c>
      <c r="W6" s="52" t="s">
        <v>107</v>
      </c>
      <c r="Y6" s="70" t="s">
        <v>108</v>
      </c>
      <c r="Z6" s="70" t="s">
        <v>109</v>
      </c>
    </row>
    <row r="7" spans="1:26" x14ac:dyDescent="0.3">
      <c r="A7" s="178" t="s">
        <v>110</v>
      </c>
      <c r="B7" s="178" t="s">
        <v>111</v>
      </c>
      <c r="C7" s="179" t="s">
        <v>112</v>
      </c>
      <c r="D7" s="163" t="s">
        <v>113</v>
      </c>
      <c r="E7" s="163" t="s">
        <v>49</v>
      </c>
      <c r="F7" s="180" t="s">
        <v>114</v>
      </c>
      <c r="G7" s="181">
        <f t="shared" ref="G7:G50" si="0">SUM(H7:W7)</f>
        <v>3.3278628349238391</v>
      </c>
      <c r="H7" s="181">
        <f>'CO2 per kg feed'!G17*FCR_bonefree_incl_parents_DK-Excreted_N_after_losses_DK*Manure_repl_factor_DK*(EF_min_fert_BAT_CO2*Frac_BAT_DK+EF_min_fert_AN_CO2*Frac_AN_DK)</f>
        <v>0.25774626176254817</v>
      </c>
      <c r="I7" s="181">
        <f>'CO2 per kg feed'!H17*FCR_bonefree_incl_parents_DK</f>
        <v>0.14920612700226749</v>
      </c>
      <c r="J7" s="181">
        <f>'CO2 per kg feed'!I17*FCR_bonefree_incl_parents_DK</f>
        <v>1.1429279854175798</v>
      </c>
      <c r="K7" s="181"/>
      <c r="L7" s="181">
        <f>'CO2 per kg feed'!K17*FCR_bonefree_incl_parents_DK</f>
        <v>0.21958707331276567</v>
      </c>
      <c r="M7" s="181"/>
      <c r="N7" s="181">
        <f>'CO2 per kg feed'!M17*FCR_bonefree_incl_parents_DK</f>
        <v>0</v>
      </c>
      <c r="O7" s="181">
        <f>'CO2 per kg feed'!N17*FCR_bonefree_incl_parents_DK</f>
        <v>0.19251790259459978</v>
      </c>
      <c r="P7" s="181">
        <f>'CO2 per kg feed'!O17*FCR_bonefree_incl_parents_DK</f>
        <v>9.6183216058976104E-2</v>
      </c>
      <c r="Q7" s="181">
        <f>'CO2 per kg feed'!P17*FCR_bonefree_incl_parents_DK</f>
        <v>7.1861228809548455E-2</v>
      </c>
      <c r="R7" s="183"/>
      <c r="S7" s="162"/>
      <c r="T7" s="182"/>
      <c r="U7" s="182"/>
      <c r="V7" s="183">
        <f>Energy_stables_DK/Bonefree_outof_CW_DK*(Share_heating_DK*(Share_biofuels_DK*EF_biofuels_CO2+(1-Share_biofuels_DK)*EF_oil_CO2)+(1-Share_heating_DK)*EF_el_CO2_DK)</f>
        <v>0.31038958445684139</v>
      </c>
      <c r="W7" s="184">
        <f>(Energy_slaughter_el_DK*EF_el_CO2_DK+Energy_slaughter_oil_DK*EF_oil_CO2)/Bonefree_outof_CW_DK</f>
        <v>0.88744345550871218</v>
      </c>
      <c r="Y7" s="19"/>
      <c r="Z7" s="19"/>
    </row>
    <row r="8" spans="1:26" x14ac:dyDescent="0.3">
      <c r="A8" s="12" t="s">
        <v>110</v>
      </c>
      <c r="B8" s="12" t="s">
        <v>111</v>
      </c>
      <c r="C8" s="16" t="s">
        <v>112</v>
      </c>
      <c r="D8" s="17" t="s">
        <v>113</v>
      </c>
      <c r="E8" s="17" t="s">
        <v>49</v>
      </c>
      <c r="F8" s="12" t="s">
        <v>115</v>
      </c>
      <c r="G8" s="19">
        <f t="shared" si="0"/>
        <v>4.0565462832131645E-2</v>
      </c>
      <c r="H8" s="34">
        <f>'CH4 per kg feed'!G17*FCR_bonefree_incl_parents_DK-Excreted_N_after_losses_DK*Manure_repl_factor_DK*(EF_min_fert_BAT_CH4*Frac_BAT_DK+EF_min_fert_AN_CH4*Frac_AN_DK)</f>
        <v>3.0406943917872791E-4</v>
      </c>
      <c r="I8" s="34">
        <f>'CH4 per kg feed'!H17*FCR_bonefree_incl_parents_DK</f>
        <v>5.2655736963523733E-4</v>
      </c>
      <c r="J8" s="34"/>
      <c r="K8" s="34"/>
      <c r="L8" s="34">
        <f>'CH4 per kg feed'!K17*FCR_bonefree_incl_parents_DK</f>
        <v>1.004392943763054E-4</v>
      </c>
      <c r="M8" s="34"/>
      <c r="N8" s="34">
        <f>'CH4 per kg feed'!M17*FCR_bonefree_incl_parents_DK</f>
        <v>0</v>
      </c>
      <c r="O8" s="34">
        <f>'CH4 per kg feed'!N17*FCR_bonefree_incl_parents_DK</f>
        <v>6.9538829046775685E-5</v>
      </c>
      <c r="P8" s="34">
        <f>'CH4 per kg feed'!O17*FCR_bonefree_incl_parents_DK</f>
        <v>0</v>
      </c>
      <c r="Q8" s="34">
        <f>'CH4 per kg feed'!P17*FCR_bonefree_incl_parents_DK</f>
        <v>5.0657668699911149E-3</v>
      </c>
      <c r="R8" s="4">
        <f>(Production!B37+Production!B38+Production!B39*4/12)*EF_ent_ferm_DK</f>
        <v>1.0683313974551908E-2</v>
      </c>
      <c r="S8" s="48">
        <f>SUM(T8:U8)</f>
        <v>1.1236432594966518E-2</v>
      </c>
      <c r="T8" s="63">
        <f>Manure!E32</f>
        <v>1.1236432594966518E-2</v>
      </c>
      <c r="V8" s="4">
        <f>Energy_stables_DK/Bonefree_outof_CW_DK*(Share_heating_DK*(Share_biofuels_DK*EF_biofuel_CH4+(1-Share_biofuels_DK)*EF_oil_CH4)+(1-Share_heating_DK)*EF_el_CH4_DK)</f>
        <v>3.1537651267711742E-4</v>
      </c>
      <c r="W8" s="11">
        <f>(Energy_slaughter_el_DK*EF_el_CH4_DK+Energy_slaughter_oil_DK*EF_oil_CH4)/Bonefree_outof_CW_DK</f>
        <v>1.0275353527414235E-3</v>
      </c>
      <c r="Y8" s="33"/>
      <c r="Z8" s="33"/>
    </row>
    <row r="9" spans="1:26" ht="15" thickBot="1" x14ac:dyDescent="0.35">
      <c r="A9" s="12" t="s">
        <v>110</v>
      </c>
      <c r="B9" s="12" t="s">
        <v>111</v>
      </c>
      <c r="C9" s="16" t="s">
        <v>112</v>
      </c>
      <c r="D9" s="17" t="s">
        <v>113</v>
      </c>
      <c r="E9" s="17" t="s">
        <v>49</v>
      </c>
      <c r="F9" s="35" t="s">
        <v>116</v>
      </c>
      <c r="G9" s="19">
        <f t="shared" si="0"/>
        <v>5.4696457689689107E-3</v>
      </c>
      <c r="H9" s="34">
        <f>'N2O per kg feed'!G17*FCR_bonefree_incl_parents_DK-Excreted_N_after_losses_DK*Manure_repl_factor_DK*(EF_min_fert_BAT_N2O*Frac_BAT_DK+EF_min_fert_AN_N2O*Frac_AN_DK)</f>
        <v>5.7716801279593898E-4</v>
      </c>
      <c r="I9" s="33">
        <f>'N2O per kg feed'!H17*FCR_bonefree_incl_parents_DK</f>
        <v>7.6689941588987793E-5</v>
      </c>
      <c r="J9" s="33">
        <f>'N2O per kg feed'!I17*FCR_bonefree_incl_parents_DK-Excreted_N_after_losses_DK*Manure_repl_factor_DK*EF_N2O_diff_DK</f>
        <v>2.940216582379228E-3</v>
      </c>
      <c r="K9" s="33">
        <f>J9*EF_indirect_N2O_DK</f>
        <v>2.9402165823792282E-4</v>
      </c>
      <c r="L9" s="33">
        <f>'N2O per kg feed'!K17*FCR_bonefree_incl_parents_DK</f>
        <v>1.5687778739663951E-5</v>
      </c>
      <c r="M9" s="33"/>
      <c r="N9" s="33">
        <f>'N2O per kg feed'!M17*FCR_bonefree_incl_parents_DK</f>
        <v>0</v>
      </c>
      <c r="O9" s="33">
        <f>'N2O per kg feed'!N17*FCR_bonefree_incl_parents_DK</f>
        <v>1.580525584168723E-5</v>
      </c>
      <c r="P9" s="33">
        <f>'N2O per kg feed'!O17*FCR_bonefree_incl_parents_DK</f>
        <v>0</v>
      </c>
      <c r="Q9" s="33">
        <f>'N2O per kg feed'!P17*FCR_bonefree_incl_parents_DK</f>
        <v>2.1885712110817802E-4</v>
      </c>
      <c r="R9" s="4"/>
      <c r="S9" s="48">
        <f>SUM(T9:U9)</f>
        <v>6.3249264382454382E-4</v>
      </c>
      <c r="T9" s="258">
        <f>Manure!E88*44/28</f>
        <v>1.0126683780931295E-4</v>
      </c>
      <c r="U9" s="258">
        <f>NH3_per_kg_DK*17/14*Manure!B117</f>
        <v>5.3122580601523087E-4</v>
      </c>
      <c r="V9" s="4">
        <f>Energy_stables_DK/Bonefree_outof_CW_DK*(Share_heating_DK*(Share_biofuels_DK*EF_biofuel_N2O+(1-Share_biofuels_DK)*EF_oil_N2O)+(1-Share_heating_DK)*EF_el_N2O_DK)</f>
        <v>2.3709427975672641E-5</v>
      </c>
      <c r="W9" s="11">
        <f>(Energy_slaughter_el_DK*EF_el_N2O_DK+Energy_slaughter_oil_DK*EF_oil_N2O)/Bonefree_outof_CW_DK</f>
        <v>4.2504702652542384E-5</v>
      </c>
      <c r="Y9" s="33"/>
      <c r="Z9" s="33"/>
    </row>
    <row r="10" spans="1:26" ht="15.6" thickTop="1" thickBot="1" x14ac:dyDescent="0.35">
      <c r="A10" s="172" t="s">
        <v>110</v>
      </c>
      <c r="B10" s="172" t="s">
        <v>111</v>
      </c>
      <c r="C10" s="173" t="s">
        <v>112</v>
      </c>
      <c r="D10" s="174" t="s">
        <v>113</v>
      </c>
      <c r="E10" s="174" t="s">
        <v>49</v>
      </c>
      <c r="F10" s="175" t="s">
        <v>117</v>
      </c>
      <c r="G10" s="186">
        <f t="shared" si="0"/>
        <v>5.5224107391557702</v>
      </c>
      <c r="H10" s="176">
        <f>SUMPRODUCT(H7:H9,'Parameters, general'!$B$13:$B$15)</f>
        <v>0.42437439854336562</v>
      </c>
      <c r="I10" s="176">
        <f>SUMPRODUCT(I7:I9,'Parameters, general'!$B$13:$B$15)</f>
        <v>0.18583389067119122</v>
      </c>
      <c r="J10" s="176">
        <f>SUMPRODUCT(J7:J9,'Parameters, general'!$B$13:$B$15)</f>
        <v>1.945607112407109</v>
      </c>
      <c r="K10" s="176">
        <f>SUMPRODUCT(K7:K9,'Parameters, general'!$B$13:$B$15)</f>
        <v>8.0267912698952934E-2</v>
      </c>
      <c r="L10" s="176">
        <f>SUMPRODUCT(L7:L9,'Parameters, general'!$B$13:$B$15)</f>
        <v>0.22686292788110782</v>
      </c>
      <c r="M10" s="176">
        <f>SUMPRODUCT(M7:M9,'Parameters, general'!$B$13:$B$15)</f>
        <v>0</v>
      </c>
      <c r="N10" s="176">
        <f>SUMPRODUCT(N7:N9,'Parameters, general'!$B$13:$B$15)</f>
        <v>0</v>
      </c>
      <c r="O10" s="176">
        <f>SUMPRODUCT(O7:O9,'Parameters, general'!$B$13:$B$15)</f>
        <v>0.19890499454497432</v>
      </c>
      <c r="P10" s="176">
        <f>SUMPRODUCT(P7:P9,'Parameters, general'!$B$13:$B$15)</f>
        <v>9.6183216058976104E-2</v>
      </c>
      <c r="Q10" s="176">
        <f>SUMPRODUCT(Q7:Q9,'Parameters, general'!$B$13:$B$15)</f>
        <v>0.2825690755978163</v>
      </c>
      <c r="R10" s="176">
        <f>SUMPRODUCT(R7:R9,'Parameters, general'!$B$13:$B$15)</f>
        <v>0.31836275644164685</v>
      </c>
      <c r="S10" s="176">
        <f>SUMPRODUCT(S7:S9,'Parameters, general'!$B$13:$B$15)</f>
        <v>0.50751618309410274</v>
      </c>
      <c r="T10" s="177"/>
      <c r="U10" s="177"/>
      <c r="V10" s="176">
        <f>SUMPRODUCT(V7:V9,'Parameters, general'!$B$13:$B$15)</f>
        <v>0.32626047837197808</v>
      </c>
      <c r="W10" s="176">
        <f>SUMPRODUCT(W7:W9,'Parameters, general'!$B$13:$B$15)</f>
        <v>0.9296677928445507</v>
      </c>
      <c r="Y10" s="112">
        <f>SUM(H10:Q10)</f>
        <v>3.4406035284034928</v>
      </c>
      <c r="Z10" s="211">
        <f>'CO2 per kg feed'!F17+'CH4 per kg feed'!F17*CF_GWP_CH4_fossil+'N2O per kg feed'!F17*CF_GWP_N2O</f>
        <v>0.54104630968948386</v>
      </c>
    </row>
    <row r="11" spans="1:26" ht="15" thickTop="1" x14ac:dyDescent="0.3">
      <c r="A11" s="12" t="s">
        <v>110</v>
      </c>
      <c r="B11" s="12" t="s">
        <v>111</v>
      </c>
      <c r="C11" s="16" t="s">
        <v>112</v>
      </c>
      <c r="D11" s="17" t="s">
        <v>50</v>
      </c>
      <c r="E11" s="17" t="s">
        <v>51</v>
      </c>
      <c r="F11" s="37" t="s">
        <v>114</v>
      </c>
      <c r="G11" s="181">
        <f t="shared" si="0"/>
        <v>2.747786999291983</v>
      </c>
      <c r="H11" s="181">
        <f>'CO2 per kg feed'!G29*FCR_bonefree_incl_parents_FR-Excreted_N_after_losses_FR*Manure_repl_factor_FR*(EF_min_fert_BAT_CO2*Frac_BAT_FR+EF_min_fert_AN_CO2*Frac_AN_FR)</f>
        <v>0.25444395773745759</v>
      </c>
      <c r="I11" s="181">
        <f>'CO2 per kg feed'!H29*FCR_bonefree_incl_parents_FR</f>
        <v>0.15431961619564266</v>
      </c>
      <c r="J11" s="181">
        <f>'CO2 per kg feed'!I29*FCR_bonefree_incl_parents_FR</f>
        <v>1.205026908180568</v>
      </c>
      <c r="K11" s="181"/>
      <c r="L11" s="181">
        <f>'CO2 per kg feed'!K29*FCR_bonefree_incl_parents_FR</f>
        <v>0.23178063742823296</v>
      </c>
      <c r="M11" s="181"/>
      <c r="N11" s="181">
        <f>'CO2 per kg feed'!M29*FCR_bonefree_incl_parents_FR</f>
        <v>0</v>
      </c>
      <c r="O11" s="181">
        <f>'CO2 per kg feed'!N29*FCR_bonefree_incl_parents_FR</f>
        <v>0.19911574300656745</v>
      </c>
      <c r="P11" s="181">
        <f>'CO2 per kg feed'!O29*FCR_bonefree_incl_parents_FR</f>
        <v>9.6183216058976104E-2</v>
      </c>
      <c r="Q11" s="181">
        <f>'CO2 per kg feed'!P29*FCR_bonefree_incl_parents_FR</f>
        <v>7.1861228809548455E-2</v>
      </c>
      <c r="R11" s="183"/>
      <c r="S11" s="162"/>
      <c r="T11" s="182"/>
      <c r="U11" s="182"/>
      <c r="V11" s="183">
        <f>Energy_stables_FR/Bonefree_outof_CW_FR*(Share_heating_FR*(Share_biofuels_FR*EF_biofuels_CO2+(1-Share_biofuels_FR)*EF_oil_CO2)+(1-Share_heating_FR)*EF_el_CO2_FR)</f>
        <v>0.17602117508812568</v>
      </c>
      <c r="W11" s="184">
        <f>(Energy_slaughter_el_FR*EF_el_CO2_FR+Energy_slaughter_oil_FR*EF_oil_CO2)/Bonefree_outof_CW_FR</f>
        <v>0.35903451678686449</v>
      </c>
      <c r="Y11" s="19"/>
      <c r="Z11" s="19"/>
    </row>
    <row r="12" spans="1:26" x14ac:dyDescent="0.3">
      <c r="A12" s="12" t="s">
        <v>110</v>
      </c>
      <c r="B12" s="12" t="s">
        <v>111</v>
      </c>
      <c r="C12" s="16" t="s">
        <v>112</v>
      </c>
      <c r="D12" s="17" t="s">
        <v>50</v>
      </c>
      <c r="E12" s="17" t="s">
        <v>51</v>
      </c>
      <c r="F12" s="12" t="s">
        <v>115</v>
      </c>
      <c r="G12" s="19">
        <f t="shared" si="0"/>
        <v>4.0001887494790764E-2</v>
      </c>
      <c r="H12" s="34">
        <f>'CH4 per kg feed'!G29*FCR_bonefree_incl_parents_FR-Excreted_N_after_losses_FR*Manure_repl_factor_FR*(EF_min_fert_BAT_CH4*Frac_BAT_FR+EF_min_fert_AN_CH4*Frac_AN_FR)</f>
        <v>3.0406943917872791E-4</v>
      </c>
      <c r="I12" s="34">
        <f>'CH4 per kg feed'!H29*FCR_bonefree_incl_parents_FR</f>
        <v>5.2655736963523733E-4</v>
      </c>
      <c r="J12" s="34"/>
      <c r="K12" s="34"/>
      <c r="L12" s="34">
        <f>'CH4 per kg feed'!K29*FCR_bonefree_incl_parents_FR</f>
        <v>1.004392943763054E-4</v>
      </c>
      <c r="M12" s="34"/>
      <c r="N12" s="34">
        <f>'CH4 per kg feed'!M29*FCR_bonefree_incl_parents_FR</f>
        <v>0</v>
      </c>
      <c r="O12" s="34">
        <f>'CH4 per kg feed'!N29*FCR_bonefree_incl_parents_FR</f>
        <v>6.9538829046775685E-5</v>
      </c>
      <c r="P12" s="34">
        <f>'CH4 per kg feed'!O29*FCR_bonefree_incl_parents_FR</f>
        <v>0</v>
      </c>
      <c r="Q12" s="34">
        <f>'CH4 per kg feed'!P29*FCR_bonefree_incl_parents_FR</f>
        <v>5.0657668699911149E-3</v>
      </c>
      <c r="R12" s="4">
        <f>(Production!C37+Production!C38+Production!C39*4/12)*EF_ent_ferm_FR</f>
        <v>1.0683313974551908E-2</v>
      </c>
      <c r="S12" s="48">
        <f>SUM(T12:U12)</f>
        <v>1.1236432594966518E-2</v>
      </c>
      <c r="T12" s="63">
        <f>Manure!I32</f>
        <v>1.1236432594966518E-2</v>
      </c>
      <c r="V12" s="4">
        <f>Energy_stables_FR/Bonefree_outof_CW_FR*(Share_heating_FR*(Share_biofuels_FR*EF_biofuel_CH4+(1-Share_biofuels_FR)*EF_oil_CH4)+(1-Share_heating_FR)*EF_el_CH4_FR)</f>
        <v>2.0111985943436887E-4</v>
      </c>
      <c r="W12" s="11">
        <f>(Energy_slaughter_el_FR*EF_el_CH4_FR+Energy_slaughter_oil_FR*EF_oil_CH4)/Bonefree_outof_CW_FR</f>
        <v>5.7821666864328819E-4</v>
      </c>
      <c r="Y12" s="33"/>
      <c r="Z12" s="33"/>
    </row>
    <row r="13" spans="1:26" ht="15" thickBot="1" x14ac:dyDescent="0.35">
      <c r="A13" s="12" t="s">
        <v>110</v>
      </c>
      <c r="B13" s="12" t="s">
        <v>111</v>
      </c>
      <c r="C13" s="16" t="s">
        <v>112</v>
      </c>
      <c r="D13" s="17" t="s">
        <v>50</v>
      </c>
      <c r="E13" s="17" t="s">
        <v>51</v>
      </c>
      <c r="F13" s="35" t="s">
        <v>116</v>
      </c>
      <c r="G13" s="19">
        <f t="shared" si="0"/>
        <v>5.444157778902131E-3</v>
      </c>
      <c r="H13" s="34">
        <f>'N2O per kg feed'!G29*FCR_bonefree_incl_parents_FR-Excreted_N_after_losses_FR*Manure_repl_factor_FR*(EF_min_fert_BAT_N2O*Frac_BAT_FR+EF_min_fert_AN_N2O*Frac_AN_FR)</f>
        <v>5.7716801279593898E-4</v>
      </c>
      <c r="I13" s="33">
        <f>'N2O per kg feed'!H29*FCR_bonefree_incl_parents_FR</f>
        <v>7.6689941588987793E-5</v>
      </c>
      <c r="J13" s="33">
        <f>'N2O per kg feed'!I29*FCR_bonefree_incl_parents_FR-Excreted_N_after_losses_FR*Manure_repl_factor_FR*EF_N2O_diff_FR</f>
        <v>2.940216582379228E-3</v>
      </c>
      <c r="K13" s="33">
        <f>J13*EF_indirect_N2O_FR</f>
        <v>2.9402165823792282E-4</v>
      </c>
      <c r="L13" s="33">
        <f>'N2O per kg feed'!K29*FCR_bonefree_incl_parents_FR</f>
        <v>1.5687778739663951E-5</v>
      </c>
      <c r="M13" s="33"/>
      <c r="N13" s="33">
        <f>'N2O per kg feed'!M29*FCR_bonefree_incl_parents_FR</f>
        <v>0</v>
      </c>
      <c r="O13" s="33">
        <f>'N2O per kg feed'!N29*FCR_bonefree_incl_parents_FR</f>
        <v>1.580525584168723E-5</v>
      </c>
      <c r="P13" s="33">
        <f>'N2O per kg feed'!O29*FCR_bonefree_incl_parents_FR</f>
        <v>0</v>
      </c>
      <c r="Q13" s="33">
        <f>'N2O per kg feed'!P29*FCR_bonefree_incl_parents_FR</f>
        <v>2.1885712110817802E-4</v>
      </c>
      <c r="R13" s="4"/>
      <c r="S13" s="48">
        <f>SUM(T13:U13)</f>
        <v>6.3249264382454382E-4</v>
      </c>
      <c r="T13" s="258">
        <f>Manure!I88*44/28</f>
        <v>1.0126683780931295E-4</v>
      </c>
      <c r="U13" s="258">
        <f>NH3_per_kg_FR*17/14*Manure!F117</f>
        <v>5.3122580601523087E-4</v>
      </c>
      <c r="V13" s="4">
        <f>Energy_stables_FR/Bonefree_outof_CW_FR*(Share_heating_FR*(Share_biofuels_FR*EF_biofuel_N2O+(1-Share_biofuels_FR)*EF_oil_N2O)+(1-Share_heating_FR)*EF_el_N2O_FR)</f>
        <v>1.8542110937536822E-5</v>
      </c>
      <c r="W13" s="11">
        <f>(Energy_slaughter_el_FR*EF_el_N2O_FR+Energy_slaughter_oil_FR*EF_oil_N2O)/Bonefree_outof_CW_FR</f>
        <v>2.2184029623898308E-5</v>
      </c>
      <c r="Y13" s="33"/>
      <c r="Z13" s="33"/>
    </row>
    <row r="14" spans="1:26" ht="15.6" thickTop="1" thickBot="1" x14ac:dyDescent="0.35">
      <c r="A14" s="172" t="s">
        <v>110</v>
      </c>
      <c r="B14" s="172" t="s">
        <v>111</v>
      </c>
      <c r="C14" s="173" t="s">
        <v>112</v>
      </c>
      <c r="D14" s="38" t="s">
        <v>50</v>
      </c>
      <c r="E14" s="38" t="s">
        <v>51</v>
      </c>
      <c r="F14" s="185" t="s">
        <v>117</v>
      </c>
      <c r="G14" s="186">
        <f t="shared" si="0"/>
        <v>4.9185821371829261</v>
      </c>
      <c r="H14" s="176">
        <f>SUMPRODUCT(H11:H13,'Parameters, general'!$B$13:$B$15)</f>
        <v>0.42107209451827504</v>
      </c>
      <c r="I14" s="176">
        <f>SUMPRODUCT(I11:I13,'Parameters, general'!$B$13:$B$15)</f>
        <v>0.19094737986456639</v>
      </c>
      <c r="J14" s="176">
        <f>SUMPRODUCT(J11:J13,'Parameters, general'!$B$13:$B$15)</f>
        <v>2.0077060351700973</v>
      </c>
      <c r="K14" s="176">
        <f>SUMPRODUCT(K11:K13,'Parameters, general'!$B$13:$B$15)</f>
        <v>8.0267912698952934E-2</v>
      </c>
      <c r="L14" s="176">
        <f>SUMPRODUCT(L11:L13,'Parameters, general'!$B$13:$B$15)</f>
        <v>0.23905649199657511</v>
      </c>
      <c r="M14" s="176">
        <f>SUMPRODUCT(M11:M13,'Parameters, general'!$B$13:$B$15)</f>
        <v>0</v>
      </c>
      <c r="N14" s="176">
        <f>SUMPRODUCT(N11:N13,'Parameters, general'!$B$13:$B$15)</f>
        <v>0</v>
      </c>
      <c r="O14" s="176">
        <f>SUMPRODUCT(O11:O13,'Parameters, general'!$B$13:$B$15)</f>
        <v>0.20550283495694199</v>
      </c>
      <c r="P14" s="176">
        <f>SUMPRODUCT(P11:P13,'Parameters, general'!$B$13:$B$15)</f>
        <v>9.6183216058976104E-2</v>
      </c>
      <c r="Q14" s="176">
        <f>SUMPRODUCT(Q11:Q13,'Parameters, general'!$B$13:$B$15)</f>
        <v>0.2825690755978163</v>
      </c>
      <c r="R14" s="176">
        <f>SUMPRODUCT(R11:R13,'Parameters, general'!$B$13:$B$15)</f>
        <v>0.31836275644164685</v>
      </c>
      <c r="S14" s="176">
        <f>SUMPRODUCT(S11:S13,'Parameters, general'!$B$13:$B$15)</f>
        <v>0.50751618309410274</v>
      </c>
      <c r="T14" s="177"/>
      <c r="U14" s="177"/>
      <c r="V14" s="176">
        <f>SUMPRODUCT(V11:V13,'Parameters, general'!$B$13:$B$15)</f>
        <v>0.18707654318521744</v>
      </c>
      <c r="W14" s="176">
        <f>SUMPRODUCT(W11:W13,'Parameters, general'!$B$13:$B$15)</f>
        <v>0.38232161359975875</v>
      </c>
      <c r="Y14" s="112">
        <f>SUM(H14:Q14)</f>
        <v>3.5233050408622013</v>
      </c>
      <c r="Z14" s="211">
        <f>'CO2 per kg feed'!F29+'CH4 per kg feed'!F29*CF_GWP_CH4_fossil+'N2O per kg feed'!F29*CF_GWP_N2O</f>
        <v>0.55339912421575654</v>
      </c>
    </row>
    <row r="15" spans="1:26" ht="15" thickTop="1" x14ac:dyDescent="0.3">
      <c r="A15" s="178" t="s">
        <v>110</v>
      </c>
      <c r="B15" s="178" t="s">
        <v>111</v>
      </c>
      <c r="C15" s="179" t="s">
        <v>112</v>
      </c>
      <c r="D15" s="163" t="s">
        <v>52</v>
      </c>
      <c r="E15" s="163" t="s">
        <v>53</v>
      </c>
      <c r="F15" s="180" t="s">
        <v>114</v>
      </c>
      <c r="G15" s="181">
        <f t="shared" si="0"/>
        <v>3.6279782768329158</v>
      </c>
      <c r="H15" s="181">
        <f>'CO2 per kg feed'!G41*FCR_bonefree_incl_parents_DE-Excreted_N_after_losses_DE*Manure_repl_factor_DE*(EF_min_fert_BAT_CO2*Frac_BAT_DE+EF_min_fert_AN_CO2*Frac_AN_DE)</f>
        <v>0.25444395773745759</v>
      </c>
      <c r="I15" s="181">
        <f>'CO2 per kg feed'!H41*FCR_bonefree_incl_parents_DE</f>
        <v>0.15431961619564266</v>
      </c>
      <c r="J15" s="181">
        <f>'CO2 per kg feed'!I41*FCR_bonefree_incl_parents_DE</f>
        <v>1.205026908180568</v>
      </c>
      <c r="K15" s="181"/>
      <c r="L15" s="181">
        <f>'CO2 per kg feed'!K41*FCR_bonefree_incl_parents_DE</f>
        <v>0.23178063742823296</v>
      </c>
      <c r="M15" s="181"/>
      <c r="N15" s="181">
        <f>'CO2 per kg feed'!M41*FCR_bonefree_incl_parents_DE</f>
        <v>0</v>
      </c>
      <c r="O15" s="181">
        <f>'CO2 per kg feed'!N41*FCR_bonefree_incl_parents_DE</f>
        <v>0.19911574300656745</v>
      </c>
      <c r="P15" s="181">
        <f>'CO2 per kg feed'!O41*FCR_bonefree_incl_parents_DE</f>
        <v>9.6183216058976104E-2</v>
      </c>
      <c r="Q15" s="181">
        <f>'CO2 per kg feed'!P41*FCR_bonefree_incl_parents_DE</f>
        <v>7.1861228809548455E-2</v>
      </c>
      <c r="R15" s="183"/>
      <c r="S15" s="162"/>
      <c r="T15" s="182"/>
      <c r="U15" s="182"/>
      <c r="V15" s="183">
        <f>Energy_stables_DE/Bonefree_outof_CW_DE*(Share_heating_DE*(Share_biofuels_DE*EF_biofuels_CO2+(1-Share_biofuels_DE)*EF_oil_CO2)+(1-Share_heating_DE)*EF_el_CO2_DE)</f>
        <v>0.35446707738717692</v>
      </c>
      <c r="W15" s="184">
        <f>(Energy_slaughter_el_DE*EF_el_CO2_DE+Energy_slaughter_oil_DE*EF_oil_CO2)/Bonefree_outof_CW_DE</f>
        <v>1.0607798920287461</v>
      </c>
      <c r="Y15" s="19"/>
      <c r="Z15" s="19"/>
    </row>
    <row r="16" spans="1:26" x14ac:dyDescent="0.3">
      <c r="A16" s="12" t="s">
        <v>110</v>
      </c>
      <c r="B16" s="12" t="s">
        <v>111</v>
      </c>
      <c r="C16" s="16" t="s">
        <v>112</v>
      </c>
      <c r="D16" s="17" t="s">
        <v>52</v>
      </c>
      <c r="E16" s="17" t="s">
        <v>53</v>
      </c>
      <c r="F16" s="12" t="s">
        <v>115</v>
      </c>
      <c r="G16" s="19">
        <f t="shared" si="0"/>
        <v>4.1443703678533492E-2</v>
      </c>
      <c r="H16" s="34">
        <f>'CH4 per kg feed'!G41*FCR_bonefree_incl_parents_DE-Excreted_N_after_losses_DE*Manure_repl_factor_DE*(EF_min_fert_BAT_CH4*Frac_BAT_DE+EF_min_fert_AN_CH4*Frac_AN_DE)</f>
        <v>3.0406943917872791E-4</v>
      </c>
      <c r="I16" s="34">
        <f>'CH4 per kg feed'!H41*FCR_bonefree_incl_parents_DE</f>
        <v>5.2655736963523733E-4</v>
      </c>
      <c r="J16" s="34"/>
      <c r="K16" s="34"/>
      <c r="L16" s="34">
        <f>'CH4 per kg feed'!K41*FCR_bonefree_incl_parents_DE</f>
        <v>1.004392943763054E-4</v>
      </c>
      <c r="M16" s="34"/>
      <c r="N16" s="34">
        <f>'CH4 per kg feed'!M41*FCR_bonefree_incl_parents_DE</f>
        <v>0</v>
      </c>
      <c r="O16" s="34">
        <f>'CH4 per kg feed'!N41*FCR_bonefree_incl_parents_DE</f>
        <v>6.9538829046775685E-5</v>
      </c>
      <c r="P16" s="34">
        <f>'CH4 per kg feed'!O41*FCR_bonefree_incl_parents_DE</f>
        <v>0</v>
      </c>
      <c r="Q16" s="34">
        <f>'CH4 per kg feed'!P41*FCR_bonefree_incl_parents_DE</f>
        <v>5.0657668699911149E-3</v>
      </c>
      <c r="R16" s="4">
        <f>(Production!D37+Production!D38+Production!D39*4/12)*EF_ent_ferm_DE</f>
        <v>1.0683313974551908E-2</v>
      </c>
      <c r="S16" s="48">
        <f>SUM(T16:U16)</f>
        <v>1.1236432594966518E-2</v>
      </c>
      <c r="T16" s="63">
        <f>Manure!M32</f>
        <v>1.1236432594966518E-2</v>
      </c>
      <c r="V16" s="4">
        <f>Energy_stables_DE/Bonefree_outof_CW_DE*(Share_heating_DE*(Share_biofuels_DE*EF_biofuel_CH4+(1-Share_biofuels_DE)*EF_oil_CH4)+(1-Share_heating_DE)*EF_el_CH4_DE)</f>
        <v>4.9342699360201072E-4</v>
      </c>
      <c r="W16" s="11">
        <f>(Energy_slaughter_el_DE*EF_el_CH4_DE+Energy_slaughter_oil_DE*EF_oil_CH4)/Bonefree_outof_CW_DE</f>
        <v>1.7277257182183728E-3</v>
      </c>
      <c r="Y16" s="33"/>
      <c r="Z16" s="33"/>
    </row>
    <row r="17" spans="1:26" ht="15" thickBot="1" x14ac:dyDescent="0.35">
      <c r="A17" s="12" t="s">
        <v>110</v>
      </c>
      <c r="B17" s="12" t="s">
        <v>111</v>
      </c>
      <c r="C17" s="16" t="s">
        <v>112</v>
      </c>
      <c r="D17" s="17" t="s">
        <v>52</v>
      </c>
      <c r="E17" s="17" t="s">
        <v>53</v>
      </c>
      <c r="F17" s="35" t="s">
        <v>116</v>
      </c>
      <c r="G17" s="19">
        <f t="shared" si="0"/>
        <v>5.4736103198643237E-3</v>
      </c>
      <c r="H17" s="34">
        <f>'N2O per kg feed'!G41*FCR_bonefree_incl_parents_DE-Excreted_N_after_losses_DE*Manure_repl_factor_DE*(EF_min_fert_BAT_N2O*Frac_BAT_DE+EF_min_fert_AN_N2O*Frac_AN_DE)</f>
        <v>5.7716801279593898E-4</v>
      </c>
      <c r="I17" s="33">
        <f>'N2O per kg feed'!H41*FCR_bonefree_incl_parents_DE</f>
        <v>7.6689941588987793E-5</v>
      </c>
      <c r="J17" s="33">
        <f>'N2O per kg feed'!I41*FCR_bonefree_incl_parents_DE-Excreted_N_after_losses_DE*Manure_repl_factor_DE*EF_N2O_diff_DE</f>
        <v>2.940216582379228E-3</v>
      </c>
      <c r="K17" s="33">
        <f>J17*EF_indirect_N2O_DE</f>
        <v>2.9402165823792282E-4</v>
      </c>
      <c r="L17" s="33">
        <f>'N2O per kg feed'!K41*FCR_bonefree_incl_parents_DE</f>
        <v>1.5687778739663951E-5</v>
      </c>
      <c r="M17" s="33"/>
      <c r="N17" s="33">
        <f>'N2O per kg feed'!M41*FCR_bonefree_incl_parents_DE</f>
        <v>0</v>
      </c>
      <c r="O17" s="33">
        <f>'N2O per kg feed'!N41*FCR_bonefree_incl_parents_DE</f>
        <v>1.580525584168723E-5</v>
      </c>
      <c r="P17" s="33">
        <f>'N2O per kg feed'!O41*FCR_bonefree_incl_parents_DE</f>
        <v>0</v>
      </c>
      <c r="Q17" s="33">
        <f>'N2O per kg feed'!P41*FCR_bonefree_incl_parents_DE</f>
        <v>2.1885712110817802E-4</v>
      </c>
      <c r="R17" s="4"/>
      <c r="S17" s="48">
        <f>SUM(T17:U17)</f>
        <v>6.3249264382454382E-4</v>
      </c>
      <c r="T17" s="258">
        <f>Manure!M88*44/28</f>
        <v>1.0126683780931295E-4</v>
      </c>
      <c r="U17" s="258">
        <f>NH3_per_kg_DE*17/14*Manure!J117</f>
        <v>5.3122580601523087E-4</v>
      </c>
      <c r="V17" s="4">
        <f>Energy_stables_DE/Bonefree_outof_CW_DE*(Share_heating_DE*(Share_biofuels_DE*EF_biofuel_N2O+(1-Share_biofuels_DE)*EF_oil_N2O)+(1-Share_heating_DE)*EF_el_N2O_DE)</f>
        <v>2.4513182659221723E-5</v>
      </c>
      <c r="W17" s="11">
        <f>(Energy_slaughter_el_DE*EF_el_N2O_DE+Energy_slaughter_oil_DE*EF_oil_N2O)/Bonefree_outof_CW_DE</f>
        <v>4.5665498864406792E-5</v>
      </c>
      <c r="Y17" s="33"/>
      <c r="Z17" s="33"/>
    </row>
    <row r="18" spans="1:26" ht="15.6" thickTop="1" thickBot="1" x14ac:dyDescent="0.35">
      <c r="A18" s="172" t="s">
        <v>110</v>
      </c>
      <c r="B18" s="172" t="s">
        <v>111</v>
      </c>
      <c r="C18" s="173" t="s">
        <v>112</v>
      </c>
      <c r="D18" s="174" t="s">
        <v>52</v>
      </c>
      <c r="E18" s="174" t="s">
        <v>53</v>
      </c>
      <c r="F18" s="175" t="s">
        <v>117</v>
      </c>
      <c r="G18" s="186">
        <f t="shared" si="0"/>
        <v>5.8497800806820708</v>
      </c>
      <c r="H18" s="176">
        <f>SUMPRODUCT(H15:H17,'Parameters, general'!$B$13:$B$15)</f>
        <v>0.42107209451827504</v>
      </c>
      <c r="I18" s="176">
        <f>SUMPRODUCT(I15:I17,'Parameters, general'!$B$13:$B$15)</f>
        <v>0.19094737986456639</v>
      </c>
      <c r="J18" s="176">
        <f>SUMPRODUCT(J15:J17,'Parameters, general'!$B$13:$B$15)</f>
        <v>2.0077060351700973</v>
      </c>
      <c r="K18" s="176">
        <f>SUMPRODUCT(K15:K17,'Parameters, general'!$B$13:$B$15)</f>
        <v>8.0267912698952934E-2</v>
      </c>
      <c r="L18" s="176">
        <f>SUMPRODUCT(L15:L17,'Parameters, general'!$B$13:$B$15)</f>
        <v>0.23905649199657511</v>
      </c>
      <c r="M18" s="176">
        <f>SUMPRODUCT(M15:M17,'Parameters, general'!$B$13:$B$15)</f>
        <v>0</v>
      </c>
      <c r="N18" s="176">
        <f>SUMPRODUCT(N15:N17,'Parameters, general'!$B$13:$B$15)</f>
        <v>0</v>
      </c>
      <c r="O18" s="176">
        <f>SUMPRODUCT(O15:O17,'Parameters, general'!$B$13:$B$15)</f>
        <v>0.20550283495694199</v>
      </c>
      <c r="P18" s="176">
        <f>SUMPRODUCT(P15:P17,'Parameters, general'!$B$13:$B$15)</f>
        <v>9.6183216058976104E-2</v>
      </c>
      <c r="Q18" s="176">
        <f>SUMPRODUCT(Q15:Q17,'Parameters, general'!$B$13:$B$15)</f>
        <v>0.2825690755978163</v>
      </c>
      <c r="R18" s="176">
        <f>SUMPRODUCT(R15:R17,'Parameters, general'!$B$13:$B$15)</f>
        <v>0.31836275644164685</v>
      </c>
      <c r="S18" s="176">
        <f>SUMPRODUCT(S15:S17,'Parameters, general'!$B$13:$B$15)</f>
        <v>0.50751618309410274</v>
      </c>
      <c r="T18" s="177"/>
      <c r="U18" s="177"/>
      <c r="V18" s="176">
        <f>SUMPRODUCT(V15:V17,'Parameters, general'!$B$13:$B$15)</f>
        <v>0.37586330066248441</v>
      </c>
      <c r="W18" s="176">
        <f>SUMPRODUCT(W15:W17,'Parameters, general'!$B$13:$B$15)</f>
        <v>1.1247327996216365</v>
      </c>
      <c r="Y18" s="112">
        <f>SUM(H18:Q18)</f>
        <v>3.5233050408622013</v>
      </c>
      <c r="Z18" s="211">
        <f>'CO2 per kg feed'!F41+'CH4 per kg feed'!F41*CF_GWP_CH4_fossil+'N2O per kg feed'!F41*CF_GWP_N2O</f>
        <v>0.55339912421575654</v>
      </c>
    </row>
    <row r="19" spans="1:26" ht="15" thickTop="1" x14ac:dyDescent="0.3">
      <c r="A19" s="12" t="s">
        <v>110</v>
      </c>
      <c r="B19" s="12" t="s">
        <v>111</v>
      </c>
      <c r="C19" s="16" t="s">
        <v>112</v>
      </c>
      <c r="D19" s="17" t="s">
        <v>54</v>
      </c>
      <c r="E19" s="17" t="s">
        <v>55</v>
      </c>
      <c r="F19" s="37" t="s">
        <v>114</v>
      </c>
      <c r="G19" s="181">
        <f t="shared" si="0"/>
        <v>4.0406297737297336</v>
      </c>
      <c r="H19" s="181">
        <f>'CO2 per kg feed'!G53*FCR_bonefree_incl_parents_GR-Excreted_N_after_losses_GR*Manure_repl_factor_GR*(EF_min_fert_BAT_CO2*Frac_BAT_GR+EF_min_fert_AN_CO2*Frac_AN_GR)</f>
        <v>0.25444395773745759</v>
      </c>
      <c r="I19" s="181">
        <f>'CO2 per kg feed'!H53*FCR_bonefree_incl_parents_GR</f>
        <v>0.15431961619564266</v>
      </c>
      <c r="J19" s="181">
        <f>'CO2 per kg feed'!I53*FCR_bonefree_incl_parents_GR</f>
        <v>1.205026908180568</v>
      </c>
      <c r="K19" s="181"/>
      <c r="L19" s="181">
        <f>'CO2 per kg feed'!K53*FCR_bonefree_incl_parents_GR</f>
        <v>0.23178063742823296</v>
      </c>
      <c r="M19" s="181"/>
      <c r="N19" s="181">
        <f>'CO2 per kg feed'!M53*FCR_bonefree_incl_parents_GR</f>
        <v>0</v>
      </c>
      <c r="O19" s="181">
        <f>'CO2 per kg feed'!N53*FCR_bonefree_incl_parents_GR</f>
        <v>0.19911574300656745</v>
      </c>
      <c r="P19" s="181">
        <f>'CO2 per kg feed'!O53*FCR_bonefree_incl_parents_GR</f>
        <v>9.6183216058976104E-2</v>
      </c>
      <c r="Q19" s="181">
        <f>'CO2 per kg feed'!P53*FCR_bonefree_incl_parents_GR</f>
        <v>7.1861228809548455E-2</v>
      </c>
      <c r="R19" s="183"/>
      <c r="S19" s="162"/>
      <c r="T19" s="182"/>
      <c r="U19" s="182"/>
      <c r="V19" s="183">
        <f>Energy_stables_GR/Bonefree_outof_CW_GR*(Share_heating_GR*(Share_biofuels_GR*EF_biofuels_CO2+(1-Share_biofuels_GR)*EF_oil_CO2)+(1-Share_heating_GR)*EF_el_CO2_GR)</f>
        <v>0.43812613034272313</v>
      </c>
      <c r="W19" s="184">
        <f>(Energy_slaughter_el_GR*EF_el_CO2_GR+Energy_slaughter_oil_GR*EF_oil_CO2)/Bonefree_outof_CW_GR</f>
        <v>1.3897723359700171</v>
      </c>
      <c r="Y19" s="19"/>
      <c r="Z19" s="19"/>
    </row>
    <row r="20" spans="1:26" x14ac:dyDescent="0.3">
      <c r="A20" s="12" t="s">
        <v>110</v>
      </c>
      <c r="B20" s="12" t="s">
        <v>111</v>
      </c>
      <c r="C20" s="16" t="s">
        <v>112</v>
      </c>
      <c r="D20" s="17" t="s">
        <v>54</v>
      </c>
      <c r="E20" s="17" t="s">
        <v>55</v>
      </c>
      <c r="F20" s="12" t="s">
        <v>115</v>
      </c>
      <c r="G20" s="19">
        <f t="shared" si="0"/>
        <v>5.1070458989459597E-2</v>
      </c>
      <c r="H20" s="34">
        <f>'CH4 per kg feed'!G53*FCR_bonefree_incl_parents_GR-Excreted_N_after_losses_GR*Manure_repl_factor_GR*(EF_min_fert_BAT_CH4*Frac_BAT_GR+EF_min_fert_AN_CH4*Frac_AN_GR)</f>
        <v>3.0406943917872791E-4</v>
      </c>
      <c r="I20" s="34">
        <f>'CH4 per kg feed'!H53*FCR_bonefree_incl_parents_GR</f>
        <v>5.2655736963523733E-4</v>
      </c>
      <c r="J20" s="34"/>
      <c r="K20" s="34"/>
      <c r="L20" s="34">
        <f>'CH4 per kg feed'!K53*FCR_bonefree_incl_parents_GR</f>
        <v>1.004392943763054E-4</v>
      </c>
      <c r="M20" s="34"/>
      <c r="N20" s="34">
        <f>'CH4 per kg feed'!M53*FCR_bonefree_incl_parents_GR</f>
        <v>0</v>
      </c>
      <c r="O20" s="34">
        <f>'CH4 per kg feed'!N53*FCR_bonefree_incl_parents_GR</f>
        <v>6.9538829046775685E-5</v>
      </c>
      <c r="P20" s="34">
        <f>'CH4 per kg feed'!O53*FCR_bonefree_incl_parents_GR</f>
        <v>0</v>
      </c>
      <c r="Q20" s="34">
        <f>'CH4 per kg feed'!P53*FCR_bonefree_incl_parents_GR</f>
        <v>1.3795038931525451E-2</v>
      </c>
      <c r="R20" s="4">
        <f>(Production!E37+Production!E38+Production!E39*4/12)*EF_ent_ferm_GR</f>
        <v>1.0683313974551908E-2</v>
      </c>
      <c r="S20" s="48">
        <f>SUM(T20:U20)</f>
        <v>1.1236432594966518E-2</v>
      </c>
      <c r="T20" s="63">
        <f>Manure!Q32</f>
        <v>1.1236432594966518E-2</v>
      </c>
      <c r="V20" s="4">
        <f>Energy_stables_GR/Bonefree_outof_CW_GR*(Share_heating_GR*(Share_biofuels_GR*EF_biofuel_CH4+(1-Share_biofuels_GR)*EF_oil_CH4)+(1-Share_heating_GR)*EF_el_CH4_GR)</f>
        <v>6.7537859017250833E-4</v>
      </c>
      <c r="W20" s="11">
        <f>(Energy_slaughter_el_GR*EF_el_CH4_GR+Energy_slaughter_oil_GR*EF_oil_CH4)/Bonefree_outof_CW_GR</f>
        <v>2.4432573710396442E-3</v>
      </c>
      <c r="Y20" s="33"/>
      <c r="Z20" s="33"/>
    </row>
    <row r="21" spans="1:26" ht="15" thickBot="1" x14ac:dyDescent="0.35">
      <c r="A21" s="12" t="s">
        <v>110</v>
      </c>
      <c r="B21" s="12" t="s">
        <v>111</v>
      </c>
      <c r="C21" s="16" t="s">
        <v>112</v>
      </c>
      <c r="D21" s="17" t="s">
        <v>54</v>
      </c>
      <c r="E21" s="17" t="s">
        <v>55</v>
      </c>
      <c r="F21" s="35" t="s">
        <v>116</v>
      </c>
      <c r="G21" s="19">
        <f t="shared" si="0"/>
        <v>5.4765656372627487E-3</v>
      </c>
      <c r="H21" s="34">
        <f>'N2O per kg feed'!G53*FCR_bonefree_incl_parents_GR-Excreted_N_after_losses_GR*Manure_repl_factor_GR*(EF_min_fert_BAT_N2O*Frac_BAT_GR+EF_min_fert_AN_N2O*Frac_AN_GR)</f>
        <v>5.7716801279593898E-4</v>
      </c>
      <c r="I21" s="33">
        <f>'N2O per kg feed'!H53*FCR_bonefree_incl_parents_GR</f>
        <v>7.6689941588987793E-5</v>
      </c>
      <c r="J21" s="33">
        <f>'N2O per kg feed'!I53*FCR_bonefree_incl_parents_GR-Excreted_N_after_losses_GR*Manure_repl_factor_GR*EF_N2O_diff_GR</f>
        <v>2.940216582379228E-3</v>
      </c>
      <c r="K21" s="33">
        <f>J21*EF_indirect_N2O_GR</f>
        <v>2.9402165823792282E-4</v>
      </c>
      <c r="L21" s="33">
        <f>'N2O per kg feed'!K53*FCR_bonefree_incl_parents_GR</f>
        <v>1.5687778739663951E-5</v>
      </c>
      <c r="M21" s="33"/>
      <c r="N21" s="33">
        <f>'N2O per kg feed'!M53*FCR_bonefree_incl_parents_GR</f>
        <v>0</v>
      </c>
      <c r="O21" s="33">
        <f>'N2O per kg feed'!N53*FCR_bonefree_incl_parents_GR</f>
        <v>1.580525584168723E-5</v>
      </c>
      <c r="P21" s="33">
        <f>'N2O per kg feed'!O53*FCR_bonefree_incl_parents_GR</f>
        <v>0</v>
      </c>
      <c r="Q21" s="33">
        <f>'N2O per kg feed'!P53*FCR_bonefree_incl_parents_GR</f>
        <v>2.1885712110817802E-4</v>
      </c>
      <c r="R21" s="4"/>
      <c r="S21" s="48">
        <f>SUM(T21:U21)</f>
        <v>6.3249264382454382E-4</v>
      </c>
      <c r="T21" s="258">
        <f>Manure!Q88*44/28</f>
        <v>1.0126683780931295E-4</v>
      </c>
      <c r="U21" s="258">
        <f>NH3_per_kg_GR*17/14*Manure!N117</f>
        <v>5.3122580601523087E-4</v>
      </c>
      <c r="V21" s="4">
        <f>Energy_stables_GR/Bonefree_outof_CW_GR*(Share_heating_GR*(Share_biofuels_GR*EF_biofuel_N2O+(1-Share_biofuels_GR)*EF_oil_N2O)+(1-Share_heating_GR)*EF_el_N2O_GR)</f>
        <v>2.5112330018663021E-5</v>
      </c>
      <c r="W21" s="11">
        <f>(Energy_slaughter_el_GR*EF_el_N2O_GR+Energy_slaughter_oil_GR*EF_oil_N2O)/Bonefree_outof_CW_GR</f>
        <v>4.8021668903389838E-5</v>
      </c>
      <c r="Y21" s="33"/>
      <c r="Z21" s="33"/>
    </row>
    <row r="22" spans="1:26" ht="15.6" thickTop="1" thickBot="1" x14ac:dyDescent="0.35">
      <c r="A22" s="172" t="s">
        <v>110</v>
      </c>
      <c r="B22" s="172" t="s">
        <v>111</v>
      </c>
      <c r="C22" s="173" t="s">
        <v>112</v>
      </c>
      <c r="D22" s="38" t="s">
        <v>54</v>
      </c>
      <c r="E22" s="38" t="s">
        <v>55</v>
      </c>
      <c r="F22" s="175" t="s">
        <v>117</v>
      </c>
      <c r="G22" s="186">
        <f t="shared" si="0"/>
        <v>6.550115687494257</v>
      </c>
      <c r="H22" s="176">
        <f>SUMPRODUCT(H19:H21,'Parameters, general'!$B$13:$B$15)</f>
        <v>0.42107209451827504</v>
      </c>
      <c r="I22" s="176">
        <f>SUMPRODUCT(I19:I21,'Parameters, general'!$B$13:$B$15)</f>
        <v>0.19094737986456639</v>
      </c>
      <c r="J22" s="176">
        <f>SUMPRODUCT(J19:J21,'Parameters, general'!$B$13:$B$15)</f>
        <v>2.0077060351700973</v>
      </c>
      <c r="K22" s="176">
        <f>SUMPRODUCT(K19:K21,'Parameters, general'!$B$13:$B$15)</f>
        <v>8.0267912698952934E-2</v>
      </c>
      <c r="L22" s="176">
        <f>SUMPRODUCT(L19:L21,'Parameters, general'!$B$13:$B$15)</f>
        <v>0.23905649199657511</v>
      </c>
      <c r="M22" s="176">
        <f>SUMPRODUCT(M19:M21,'Parameters, general'!$B$13:$B$15)</f>
        <v>0</v>
      </c>
      <c r="N22" s="176">
        <f>SUMPRODUCT(N19:N21,'Parameters, general'!$B$13:$B$15)</f>
        <v>0</v>
      </c>
      <c r="O22" s="176">
        <f>SUMPRODUCT(O19:O21,'Parameters, general'!$B$13:$B$15)</f>
        <v>0.20550283495694199</v>
      </c>
      <c r="P22" s="176">
        <f>SUMPRODUCT(P19:P21,'Parameters, general'!$B$13:$B$15)</f>
        <v>9.6183216058976104E-2</v>
      </c>
      <c r="Q22" s="176">
        <f>SUMPRODUCT(Q19:Q21,'Parameters, general'!$B$13:$B$15)</f>
        <v>0.54270138303153959</v>
      </c>
      <c r="R22" s="176">
        <f>SUMPRODUCT(R19:R21,'Parameters, general'!$B$13:$B$15)</f>
        <v>0.31836275644164685</v>
      </c>
      <c r="S22" s="176">
        <f>SUMPRODUCT(S19:S21,'Parameters, general'!$B$13:$B$15)</f>
        <v>0.50751618309410274</v>
      </c>
      <c r="T22" s="177"/>
      <c r="U22" s="177"/>
      <c r="V22" s="176">
        <f>SUMPRODUCT(V19:V21,'Parameters, general'!$B$13:$B$15)</f>
        <v>0.46510807842495888</v>
      </c>
      <c r="W22" s="176">
        <f>SUMPRODUCT(W19:W21,'Parameters, general'!$B$13:$B$15)</f>
        <v>1.4756913212376239</v>
      </c>
      <c r="Y22" s="112">
        <f>SUM(H22:Q22)</f>
        <v>3.7834373482959243</v>
      </c>
      <c r="Z22" s="211">
        <f>'CO2 per kg feed'!F53+'CH4 per kg feed'!F53*CF_GWP_CH4_fossil+'N2O per kg feed'!F53*CF_GWP_N2O</f>
        <v>0.59225411066627098</v>
      </c>
    </row>
    <row r="23" spans="1:26" ht="15" thickTop="1" x14ac:dyDescent="0.3">
      <c r="A23" s="178" t="s">
        <v>110</v>
      </c>
      <c r="B23" s="178" t="s">
        <v>111</v>
      </c>
      <c r="C23" s="179" t="s">
        <v>112</v>
      </c>
      <c r="D23" s="163" t="s">
        <v>118</v>
      </c>
      <c r="E23" s="163" t="s">
        <v>57</v>
      </c>
      <c r="F23" s="180" t="s">
        <v>114</v>
      </c>
      <c r="G23" s="181">
        <f t="shared" si="0"/>
        <v>3.5663550662844949</v>
      </c>
      <c r="H23" s="181">
        <f>'CO2 per kg feed'!G65*FCR_bonefree_incl_parents_HU-Excreted_N_after_losses_HU*Manure_repl_factor_HU*(EF_min_fert_BAT_CO2*Frac_BAT_HU+EF_min_fert_AN_CO2*Frac_AN_HU)</f>
        <v>0.25444395773745759</v>
      </c>
      <c r="I23" s="181">
        <f>'CO2 per kg feed'!H65*FCR_bonefree_incl_parents_HU</f>
        <v>0.15431961619564266</v>
      </c>
      <c r="J23" s="181">
        <f>'CO2 per kg feed'!I65*FCR_bonefree_incl_parents_HU</f>
        <v>1.205026908180568</v>
      </c>
      <c r="K23" s="181"/>
      <c r="L23" s="181">
        <f>'CO2 per kg feed'!K65*FCR_bonefree_incl_parents_HU</f>
        <v>0.23178063742823296</v>
      </c>
      <c r="M23" s="181"/>
      <c r="N23" s="181">
        <f>'CO2 per kg feed'!M65*FCR_bonefree_incl_parents_HU</f>
        <v>0</v>
      </c>
      <c r="O23" s="181">
        <f>'CO2 per kg feed'!N65*FCR_bonefree_incl_parents_HU</f>
        <v>0.19911574300656745</v>
      </c>
      <c r="P23" s="181">
        <f>'CO2 per kg feed'!O65*FCR_bonefree_incl_parents_HU</f>
        <v>9.6183216058976104E-2</v>
      </c>
      <c r="Q23" s="181">
        <f>'CO2 per kg feed'!P65*FCR_bonefree_incl_parents_HU</f>
        <v>7.1861228809548455E-2</v>
      </c>
      <c r="R23" s="183"/>
      <c r="S23" s="162"/>
      <c r="T23" s="182"/>
      <c r="U23" s="182"/>
      <c r="V23" s="183">
        <f>Energy_stables_HU/Bonefree_outof_CW_HU*(Share_heating_HU*(Share_biofuels_HU*EF_biofuels_CO2+(1-Share_biofuels_HU)*EF_oil_CO2)+(1-Share_heating_HU)*EF_el_CO2_HU)</f>
        <v>0.34197387313775635</v>
      </c>
      <c r="W23" s="184">
        <f>(Energy_slaughter_el_HU*EF_el_CO2_HU+Energy_slaughter_oil_HU*EF_oil_CO2)/Bonefree_outof_CW_HU</f>
        <v>1.0116498857297458</v>
      </c>
      <c r="Y23" s="19"/>
      <c r="Z23" s="19"/>
    </row>
    <row r="24" spans="1:26" x14ac:dyDescent="0.3">
      <c r="A24" s="12" t="s">
        <v>110</v>
      </c>
      <c r="B24" s="12" t="s">
        <v>111</v>
      </c>
      <c r="C24" s="16" t="s">
        <v>112</v>
      </c>
      <c r="D24" s="17" t="s">
        <v>118</v>
      </c>
      <c r="E24" s="17" t="s">
        <v>57</v>
      </c>
      <c r="F24" s="12" t="s">
        <v>115</v>
      </c>
      <c r="G24" s="19">
        <f t="shared" si="0"/>
        <v>4.1951437212985734E-2</v>
      </c>
      <c r="H24" s="34">
        <f>'CH4 per kg feed'!G65*FCR_bonefree_incl_parents_HU-Excreted_N_after_losses_HU*Manure_repl_factor_HU*(EF_min_fert_BAT_CH4*Frac_BAT_HU+EF_min_fert_AN_CH4*Frac_AN_HU)</f>
        <v>3.0406943917872791E-4</v>
      </c>
      <c r="I24" s="34">
        <f>'CH4 per kg feed'!H65*FCR_bonefree_incl_parents_HU</f>
        <v>5.2655736963523733E-4</v>
      </c>
      <c r="J24" s="34"/>
      <c r="K24" s="34"/>
      <c r="L24" s="34">
        <f>'CH4 per kg feed'!K65*FCR_bonefree_incl_parents_HU</f>
        <v>1.004392943763054E-4</v>
      </c>
      <c r="M24" s="34"/>
      <c r="N24" s="34">
        <f>'CH4 per kg feed'!M65*FCR_bonefree_incl_parents_HU</f>
        <v>0</v>
      </c>
      <c r="O24" s="34">
        <f>'CH4 per kg feed'!N65*FCR_bonefree_incl_parents_HU</f>
        <v>6.9538829046775685E-5</v>
      </c>
      <c r="P24" s="34">
        <f>'CH4 per kg feed'!O65*FCR_bonefree_incl_parents_HU</f>
        <v>0</v>
      </c>
      <c r="Q24" s="34">
        <f>'CH4 per kg feed'!P65*FCR_bonefree_incl_parents_HU</f>
        <v>5.0657668699911149E-3</v>
      </c>
      <c r="R24" s="4">
        <f>(Production!F37+Production!F38+Production!F39*4/12)*EF_ent_ferm_HU</f>
        <v>1.0683313974551908E-2</v>
      </c>
      <c r="S24" s="48">
        <f>SUM(T24:U24)</f>
        <v>1.1236432594966518E-2</v>
      </c>
      <c r="T24" s="63">
        <f>Manure!U32</f>
        <v>1.1236432594966518E-2</v>
      </c>
      <c r="V24" s="4">
        <f>Energy_stables_HU/Bonefree_outof_CW_HU*(Share_heating_HU*(Share_biofuels_HU*EF_biofuel_CH4+(1-Share_biofuels_HU)*EF_oil_CH4)+(1-Share_heating_HU)*EF_el_CH4_HU)</f>
        <v>5.963625384030715E-4</v>
      </c>
      <c r="W24" s="11">
        <f>(Energy_slaughter_el_HU*EF_el_CH4_HU+Energy_slaughter_oil_HU*EF_oil_CH4)/Bonefree_outof_CW_HU</f>
        <v>2.1325237078695589E-3</v>
      </c>
      <c r="Y24" s="33"/>
      <c r="Z24" s="33"/>
    </row>
    <row r="25" spans="1:26" ht="15" thickBot="1" x14ac:dyDescent="0.35">
      <c r="A25" s="12" t="s">
        <v>110</v>
      </c>
      <c r="B25" s="12" t="s">
        <v>111</v>
      </c>
      <c r="C25" s="16" t="s">
        <v>112</v>
      </c>
      <c r="D25" s="17" t="s">
        <v>118</v>
      </c>
      <c r="E25" s="17" t="s">
        <v>57</v>
      </c>
      <c r="F25" s="35" t="s">
        <v>116</v>
      </c>
      <c r="G25" s="19">
        <f t="shared" si="0"/>
        <v>5.4608822469572977E-3</v>
      </c>
      <c r="H25" s="34">
        <f>'N2O per kg feed'!G65*FCR_bonefree_incl_parents_HU-Excreted_N_after_losses_HU*Manure_repl_factor_HU*(EF_min_fert_BAT_N2O*Frac_BAT_HU+EF_min_fert_AN_N2O*Frac_AN_HU)</f>
        <v>5.7716801279593898E-4</v>
      </c>
      <c r="I25" s="33">
        <f>'N2O per kg feed'!H65*FCR_bonefree_incl_parents_HU</f>
        <v>7.6689941588987793E-5</v>
      </c>
      <c r="J25" s="33">
        <f>'N2O per kg feed'!I65*FCR_bonefree_incl_parents_HU-Excreted_N_after_losses_HU*Manure_repl_factor_HU*EF_N2O_diff_HU</f>
        <v>2.940216582379228E-3</v>
      </c>
      <c r="K25" s="33">
        <f>J25*EF_indirect_N2O_HU</f>
        <v>2.9402165823792282E-4</v>
      </c>
      <c r="L25" s="33">
        <f>'N2O per kg feed'!K65*FCR_bonefree_incl_parents_HU</f>
        <v>1.5687778739663951E-5</v>
      </c>
      <c r="M25" s="33"/>
      <c r="N25" s="33">
        <f>'N2O per kg feed'!M65*FCR_bonefree_incl_parents_HU</f>
        <v>0</v>
      </c>
      <c r="O25" s="33">
        <f>'N2O per kg feed'!N65*FCR_bonefree_incl_parents_HU</f>
        <v>1.580525584168723E-5</v>
      </c>
      <c r="P25" s="33">
        <f>'N2O per kg feed'!O65*FCR_bonefree_incl_parents_HU</f>
        <v>0</v>
      </c>
      <c r="Q25" s="33">
        <f>'N2O per kg feed'!P65*FCR_bonefree_incl_parents_HU</f>
        <v>2.1885712110817802E-4</v>
      </c>
      <c r="R25" s="4"/>
      <c r="S25" s="48">
        <f>SUM(T25:U25)</f>
        <v>6.3249264382454382E-4</v>
      </c>
      <c r="T25" s="258">
        <f>Manure!U88*44/28</f>
        <v>1.0126683780931295E-4</v>
      </c>
      <c r="U25" s="258">
        <f>NH3_per_kg_HU*17/14*Manure!R117</f>
        <v>5.3122580601523087E-4</v>
      </c>
      <c r="V25" s="4">
        <f>Energy_stables_HU/Bonefree_outof_CW_HU*(Share_heating_HU*(Share_biofuels_HU*EF_biofuel_N2O+(1-Share_biofuels_HU)*EF_oil_N2O)+(1-Share_heating_HU)*EF_el_N2O_HU)</f>
        <v>2.1932752118296618E-5</v>
      </c>
      <c r="W25" s="11">
        <f>(Energy_slaughter_el_HU*EF_el_N2O_HU+Energy_slaughter_oil_HU*EF_oil_N2O)/Bonefree_outof_CW_HU</f>
        <v>3.5517856498305092E-5</v>
      </c>
      <c r="Y25" s="33"/>
      <c r="Z25" s="33"/>
    </row>
    <row r="26" spans="1:26" ht="15.6" thickTop="1" thickBot="1" x14ac:dyDescent="0.35">
      <c r="A26" s="172" t="s">
        <v>110</v>
      </c>
      <c r="B26" s="172" t="s">
        <v>111</v>
      </c>
      <c r="C26" s="173" t="s">
        <v>112</v>
      </c>
      <c r="D26" s="174" t="s">
        <v>118</v>
      </c>
      <c r="E26" s="174" t="s">
        <v>57</v>
      </c>
      <c r="F26" s="175" t="s">
        <v>117</v>
      </c>
      <c r="G26" s="186">
        <f t="shared" si="0"/>
        <v>5.7998125655567101</v>
      </c>
      <c r="H26" s="176">
        <f>SUMPRODUCT(H23:H25,'Parameters, general'!$B$13:$B$15)</f>
        <v>0.42107209451827504</v>
      </c>
      <c r="I26" s="176">
        <f>SUMPRODUCT(I23:I25,'Parameters, general'!$B$13:$B$15)</f>
        <v>0.19094737986456639</v>
      </c>
      <c r="J26" s="176">
        <f>SUMPRODUCT(J23:J25,'Parameters, general'!$B$13:$B$15)</f>
        <v>2.0077060351700973</v>
      </c>
      <c r="K26" s="176">
        <f>SUMPRODUCT(K23:K25,'Parameters, general'!$B$13:$B$15)</f>
        <v>8.0267912698952934E-2</v>
      </c>
      <c r="L26" s="176">
        <f>SUMPRODUCT(L23:L25,'Parameters, general'!$B$13:$B$15)</f>
        <v>0.23905649199657511</v>
      </c>
      <c r="M26" s="176">
        <f>SUMPRODUCT(M23:M25,'Parameters, general'!$B$13:$B$15)</f>
        <v>0</v>
      </c>
      <c r="N26" s="176">
        <f>SUMPRODUCT(N23:N25,'Parameters, general'!$B$13:$B$15)</f>
        <v>0</v>
      </c>
      <c r="O26" s="176">
        <f>SUMPRODUCT(O23:O25,'Parameters, general'!$B$13:$B$15)</f>
        <v>0.20550283495694199</v>
      </c>
      <c r="P26" s="176">
        <f>SUMPRODUCT(P23:P25,'Parameters, general'!$B$13:$B$15)</f>
        <v>9.6183216058976104E-2</v>
      </c>
      <c r="Q26" s="176">
        <f>SUMPRODUCT(Q23:Q25,'Parameters, general'!$B$13:$B$15)</f>
        <v>0.2825690755978163</v>
      </c>
      <c r="R26" s="176">
        <f>SUMPRODUCT(R23:R25,'Parameters, general'!$B$13:$B$15)</f>
        <v>0.31836275644164685</v>
      </c>
      <c r="S26" s="176">
        <f>SUMPRODUCT(S23:S25,'Parameters, general'!$B$13:$B$15)</f>
        <v>0.50751618309410274</v>
      </c>
      <c r="T26" s="177"/>
      <c r="U26" s="177"/>
      <c r="V26" s="176">
        <f>SUMPRODUCT(V23:V25,'Parameters, general'!$B$13:$B$15)</f>
        <v>0.36573311811046288</v>
      </c>
      <c r="W26" s="176">
        <f>SUMPRODUCT(W23:W25,'Parameters, general'!$B$13:$B$15)</f>
        <v>1.084895467048296</v>
      </c>
      <c r="Y26" s="112">
        <f>SUM(H26:Q26)</f>
        <v>3.5233050408622013</v>
      </c>
      <c r="Z26" s="211">
        <f>'CO2 per kg feed'!F65+'CH4 per kg feed'!F65*CF_GWP_CH4_fossil+'N2O per kg feed'!F65*CF_GWP_N2O</f>
        <v>0.55339912421575654</v>
      </c>
    </row>
    <row r="27" spans="1:26" ht="15" thickTop="1" x14ac:dyDescent="0.3">
      <c r="A27" s="178" t="s">
        <v>110</v>
      </c>
      <c r="B27" s="178" t="s">
        <v>111</v>
      </c>
      <c r="C27" s="179" t="s">
        <v>112</v>
      </c>
      <c r="D27" s="163" t="s">
        <v>119</v>
      </c>
      <c r="E27" s="163" t="s">
        <v>59</v>
      </c>
      <c r="F27" s="180" t="s">
        <v>114</v>
      </c>
      <c r="G27" s="181">
        <f t="shared" si="0"/>
        <v>3.4604679706771662</v>
      </c>
      <c r="H27" s="181">
        <f>'CO2 per kg feed'!G77*FCR_bonefree_incl_parents_IE-Excreted_N_after_losses_IE*Manure_repl_factor_IE*(EF_min_fert_BAT_CO2*Frac_BAT_IE+EF_min_fert_AN_CO2*Frac_AN_IE)</f>
        <v>0.25444395773745759</v>
      </c>
      <c r="I27" s="181">
        <f>'CO2 per kg feed'!H77*FCR_bonefree_incl_parents_IE</f>
        <v>0.15431961619564266</v>
      </c>
      <c r="J27" s="181">
        <f>'CO2 per kg feed'!I77*FCR_bonefree_incl_parents_IE</f>
        <v>1.205026908180568</v>
      </c>
      <c r="K27" s="181"/>
      <c r="L27" s="181">
        <f>'CO2 per kg feed'!K77*FCR_bonefree_incl_parents_IE</f>
        <v>0.23178063742823296</v>
      </c>
      <c r="M27" s="181"/>
      <c r="N27" s="181">
        <f>'CO2 per kg feed'!M77*FCR_bonefree_incl_parents_IE</f>
        <v>0</v>
      </c>
      <c r="O27" s="181">
        <f>'CO2 per kg feed'!N77*FCR_bonefree_incl_parents_IE</f>
        <v>0.19911574300656745</v>
      </c>
      <c r="P27" s="181">
        <f>'CO2 per kg feed'!O77*FCR_bonefree_incl_parents_IE</f>
        <v>9.6183216058976104E-2</v>
      </c>
      <c r="Q27" s="181">
        <f>'CO2 per kg feed'!P77*FCR_bonefree_incl_parents_IE</f>
        <v>7.1861228809548455E-2</v>
      </c>
      <c r="R27" s="183"/>
      <c r="S27" s="162"/>
      <c r="T27" s="182"/>
      <c r="U27" s="182"/>
      <c r="V27" s="183">
        <f>Energy_stables_IE/Bonefree_outof_CW_IE*(Share_heating_IE*(Share_biofuels_IE*EF_biofuels_CO2+(1-Share_biofuels_IE)*EF_oil_CO2)+(1-Share_heating_IE)*EF_el_CO2_IE)</f>
        <v>0.32050681387506436</v>
      </c>
      <c r="W27" s="184">
        <f>(Energy_slaughter_el_IE*EF_el_CO2_IE+Energy_slaughter_oil_IE*EF_oil_CO2)/Bonefree_outof_CW_IE</f>
        <v>0.92722984938510888</v>
      </c>
      <c r="Y27" s="19"/>
      <c r="Z27" s="19"/>
    </row>
    <row r="28" spans="1:26" x14ac:dyDescent="0.3">
      <c r="A28" s="12" t="s">
        <v>110</v>
      </c>
      <c r="B28" s="12" t="s">
        <v>111</v>
      </c>
      <c r="C28" s="16" t="s">
        <v>112</v>
      </c>
      <c r="D28" s="17" t="s">
        <v>119</v>
      </c>
      <c r="E28" s="17" t="s">
        <v>59</v>
      </c>
      <c r="F28" s="12" t="s">
        <v>115</v>
      </c>
      <c r="G28" s="19">
        <f t="shared" si="0"/>
        <v>4.0357896325702636E-2</v>
      </c>
      <c r="H28" s="34">
        <f>'CH4 per kg feed'!G77*FCR_bonefree_incl_parents_IE-Excreted_N_after_losses_IE*Manure_repl_factor_IE*(EF_min_fert_BAT_CH4*Frac_BAT_IE+EF_min_fert_AN_CH4*Frac_AN_IE)</f>
        <v>3.0406943917872791E-4</v>
      </c>
      <c r="I28" s="34">
        <f>'CH4 per kg feed'!H77*FCR_bonefree_incl_parents_IE</f>
        <v>5.2655736963523733E-4</v>
      </c>
      <c r="J28" s="34"/>
      <c r="K28" s="34"/>
      <c r="L28" s="34">
        <f>'CH4 per kg feed'!K77*FCR_bonefree_incl_parents_IE</f>
        <v>1.004392943763054E-4</v>
      </c>
      <c r="M28" s="34"/>
      <c r="N28" s="34">
        <f>'CH4 per kg feed'!M77*FCR_bonefree_incl_parents_IE</f>
        <v>0</v>
      </c>
      <c r="O28" s="34">
        <f>'CH4 per kg feed'!N77*FCR_bonefree_incl_parents_IE</f>
        <v>6.9538829046775685E-5</v>
      </c>
      <c r="P28" s="34">
        <f>'CH4 per kg feed'!O77*FCR_bonefree_incl_parents_IE</f>
        <v>0</v>
      </c>
      <c r="Q28" s="34">
        <f>'CH4 per kg feed'!P77*FCR_bonefree_incl_parents_IE</f>
        <v>5.0657668699911149E-3</v>
      </c>
      <c r="R28" s="4">
        <f>(Production!G37+Production!G38+Production!G39*4/12)*EF_ent_ferm_IE</f>
        <v>1.0683313974551908E-2</v>
      </c>
      <c r="S28" s="48">
        <f>SUM(T28:U28)</f>
        <v>1.1236432594966518E-2</v>
      </c>
      <c r="T28" s="63">
        <f>Manure!Y32</f>
        <v>1.1236432594966518E-2</v>
      </c>
      <c r="V28" s="4">
        <f>Energy_stables_IE/Bonefree_outof_CW_IE*(Share_heating_IE*(Share_biofuels_IE*EF_biofuel_CH4+(1-Share_biofuels_IE)*EF_oil_CH4)+(1-Share_heating_IE)*EF_el_CH4_IE)</f>
        <v>2.7329544067391929E-4</v>
      </c>
      <c r="W28" s="11">
        <f>(Energy_slaughter_el_IE*EF_el_CH4_IE+Energy_slaughter_oil_IE*EF_oil_CH4)/Bonefree_outof_CW_IE</f>
        <v>8.6204991831560925E-4</v>
      </c>
      <c r="Y28" s="33"/>
      <c r="Z28" s="33"/>
    </row>
    <row r="29" spans="1:26" ht="15" thickBot="1" x14ac:dyDescent="0.35">
      <c r="A29" s="12" t="s">
        <v>110</v>
      </c>
      <c r="B29" s="12" t="s">
        <v>111</v>
      </c>
      <c r="C29" s="16" t="s">
        <v>112</v>
      </c>
      <c r="D29" s="17" t="s">
        <v>119</v>
      </c>
      <c r="E29" s="17" t="s">
        <v>59</v>
      </c>
      <c r="F29" s="35" t="s">
        <v>116</v>
      </c>
      <c r="G29" s="19">
        <f t="shared" si="0"/>
        <v>5.458730488374571E-3</v>
      </c>
      <c r="H29" s="34">
        <f>'N2O per kg feed'!G77*FCR_bonefree_incl_parents_IE-Excreted_N_after_losses_IE*Manure_repl_factor_IE*(EF_min_fert_BAT_N2O*Frac_BAT_IE+EF_min_fert_AN_N2O*Frac_AN_IE)</f>
        <v>5.7716801279593898E-4</v>
      </c>
      <c r="I29" s="33">
        <f>'N2O per kg feed'!H77*FCR_bonefree_incl_parents_IE</f>
        <v>7.6689941588987793E-5</v>
      </c>
      <c r="J29" s="33">
        <f>'N2O per kg feed'!I77*FCR_bonefree_incl_parents_IE-Excreted_N_after_losses_IE*Manure_repl_factor_IE*EF_N2O_diff_IE</f>
        <v>2.940216582379228E-3</v>
      </c>
      <c r="K29" s="33">
        <f>J29*EF_indirect_N2O_IE</f>
        <v>2.9402165823792282E-4</v>
      </c>
      <c r="L29" s="33">
        <f>'N2O per kg feed'!K77*FCR_bonefree_incl_parents_IE</f>
        <v>1.5687778739663951E-5</v>
      </c>
      <c r="M29" s="33"/>
      <c r="N29" s="33">
        <f>'N2O per kg feed'!M77*FCR_bonefree_incl_parents_IE</f>
        <v>0</v>
      </c>
      <c r="O29" s="33">
        <f>'N2O per kg feed'!N77*FCR_bonefree_incl_parents_IE</f>
        <v>1.580525584168723E-5</v>
      </c>
      <c r="P29" s="33">
        <f>'N2O per kg feed'!O77*FCR_bonefree_incl_parents_IE</f>
        <v>0</v>
      </c>
      <c r="Q29" s="33">
        <f>'N2O per kg feed'!P77*FCR_bonefree_incl_parents_IE</f>
        <v>2.1885712110817802E-4</v>
      </c>
      <c r="R29" s="4"/>
      <c r="S29" s="48">
        <f>SUM(T29:U29)</f>
        <v>6.3249264382454382E-4</v>
      </c>
      <c r="T29" s="258">
        <f>Manure!Y88*44/28</f>
        <v>1.0126683780931295E-4</v>
      </c>
      <c r="U29" s="258">
        <f>NH3_per_kg_IE*17/14*Manure!V117</f>
        <v>5.3122580601523087E-4</v>
      </c>
      <c r="V29" s="4">
        <f>Energy_stables_IE/Bonefree_outof_CW_IE*(Share_heating_IE*(Share_biofuels_IE*EF_biofuel_N2O+(1-Share_biofuels_IE)*EF_oil_N2O)+(1-Share_heating_IE)*EF_el_N2O_IE)</f>
        <v>2.1496514550824924E-5</v>
      </c>
      <c r="W29" s="11">
        <f>(Energy_slaughter_el_IE*EF_el_N2O_IE+Energy_slaughter_oil_IE*EF_oil_N2O)/Bonefree_outof_CW_IE</f>
        <v>3.3802335483050851E-5</v>
      </c>
      <c r="Y29" s="33"/>
      <c r="Z29" s="33"/>
    </row>
    <row r="30" spans="1:26" ht="15.6" thickTop="1" thickBot="1" x14ac:dyDescent="0.35">
      <c r="A30" s="172" t="s">
        <v>110</v>
      </c>
      <c r="B30" s="172" t="s">
        <v>111</v>
      </c>
      <c r="C30" s="173" t="s">
        <v>112</v>
      </c>
      <c r="D30" s="38" t="s">
        <v>119</v>
      </c>
      <c r="E30" s="38" t="s">
        <v>59</v>
      </c>
      <c r="F30" s="175" t="s">
        <v>117</v>
      </c>
      <c r="G30" s="186">
        <f t="shared" si="0"/>
        <v>5.6458505214152597</v>
      </c>
      <c r="H30" s="176">
        <f>SUMPRODUCT(H27:H29,'Parameters, general'!$B$13:$B$15)</f>
        <v>0.42107209451827504</v>
      </c>
      <c r="I30" s="176">
        <f>SUMPRODUCT(I27:I29,'Parameters, general'!$B$13:$B$15)</f>
        <v>0.19094737986456639</v>
      </c>
      <c r="J30" s="176">
        <f>SUMPRODUCT(J27:J29,'Parameters, general'!$B$13:$B$15)</f>
        <v>2.0077060351700973</v>
      </c>
      <c r="K30" s="176">
        <f>SUMPRODUCT(K27:K29,'Parameters, general'!$B$13:$B$15)</f>
        <v>8.0267912698952934E-2</v>
      </c>
      <c r="L30" s="176">
        <f>SUMPRODUCT(L27:L29,'Parameters, general'!$B$13:$B$15)</f>
        <v>0.23905649199657511</v>
      </c>
      <c r="M30" s="176">
        <f>SUMPRODUCT(M27:M29,'Parameters, general'!$B$13:$B$15)</f>
        <v>0</v>
      </c>
      <c r="N30" s="176">
        <f>SUMPRODUCT(N27:N29,'Parameters, general'!$B$13:$B$15)</f>
        <v>0</v>
      </c>
      <c r="O30" s="176">
        <f>SUMPRODUCT(O27:O29,'Parameters, general'!$B$13:$B$15)</f>
        <v>0.20550283495694199</v>
      </c>
      <c r="P30" s="176">
        <f>SUMPRODUCT(P27:P29,'Parameters, general'!$B$13:$B$15)</f>
        <v>9.6183216058976104E-2</v>
      </c>
      <c r="Q30" s="176">
        <f>SUMPRODUCT(Q27:Q29,'Parameters, general'!$B$13:$B$15)</f>
        <v>0.2825690755978163</v>
      </c>
      <c r="R30" s="176">
        <f>SUMPRODUCT(R27:R29,'Parameters, general'!$B$13:$B$15)</f>
        <v>0.31836275644164685</v>
      </c>
      <c r="S30" s="176">
        <f>SUMPRODUCT(S27:S29,'Parameters, general'!$B$13:$B$15)</f>
        <v>0.50751618309410274</v>
      </c>
      <c r="T30" s="177"/>
      <c r="U30" s="177"/>
      <c r="V30" s="176">
        <f>SUMPRODUCT(V27:V29,'Parameters, general'!$B$13:$B$15)</f>
        <v>0.33451956647952236</v>
      </c>
      <c r="W30" s="176">
        <f>SUMPRODUCT(W27:W29,'Parameters, general'!$B$13:$B$15)</f>
        <v>0.96214697453778686</v>
      </c>
      <c r="Y30" s="112">
        <f>SUM(H30:Q30)</f>
        <v>3.5233050408622013</v>
      </c>
      <c r="Z30" s="211">
        <f>'CO2 per kg feed'!F77+'CH4 per kg feed'!F77*CF_GWP_CH4_fossil+'N2O per kg feed'!F77*CF_GWP_N2O</f>
        <v>0.55339912421575654</v>
      </c>
    </row>
    <row r="31" spans="1:26" ht="15" thickTop="1" x14ac:dyDescent="0.3">
      <c r="A31" s="178" t="s">
        <v>110</v>
      </c>
      <c r="B31" s="178" t="s">
        <v>111</v>
      </c>
      <c r="C31" s="179" t="s">
        <v>112</v>
      </c>
      <c r="D31" s="163" t="s">
        <v>60</v>
      </c>
      <c r="E31" s="163" t="s">
        <v>61</v>
      </c>
      <c r="F31" s="180" t="s">
        <v>114</v>
      </c>
      <c r="G31" s="181">
        <f t="shared" si="0"/>
        <v>3.4279728729924903</v>
      </c>
      <c r="H31" s="181">
        <f>'CO2 per kg feed'!G89*FCR_bonefree_incl_parents_IT-Excreted_N_after_losses_IT*Manure_repl_factor_IT*(EF_min_fert_BAT_CO2*Frac_BAT_IT+EF_min_fert_AN_CO2*Frac_AN_IT)</f>
        <v>0.25444395773745759</v>
      </c>
      <c r="I31" s="181">
        <f>'CO2 per kg feed'!H89*FCR_bonefree_incl_parents_IT</f>
        <v>0.15431961619564266</v>
      </c>
      <c r="J31" s="181">
        <f>'CO2 per kg feed'!I89*FCR_bonefree_incl_parents_IT</f>
        <v>1.205026908180568</v>
      </c>
      <c r="K31" s="181"/>
      <c r="L31" s="181">
        <f>'CO2 per kg feed'!K89*FCR_bonefree_incl_parents_IT</f>
        <v>0.23178063742823296</v>
      </c>
      <c r="M31" s="181"/>
      <c r="N31" s="181">
        <f>'CO2 per kg feed'!M89*FCR_bonefree_incl_parents_IT</f>
        <v>0</v>
      </c>
      <c r="O31" s="181">
        <f>'CO2 per kg feed'!N89*FCR_bonefree_incl_parents_IT</f>
        <v>0.19911574300656745</v>
      </c>
      <c r="P31" s="181">
        <f>'CO2 per kg feed'!O89*FCR_bonefree_incl_parents_IT</f>
        <v>9.6183216058976104E-2</v>
      </c>
      <c r="Q31" s="181">
        <f>'CO2 per kg feed'!P89*FCR_bonefree_incl_parents_IT</f>
        <v>7.1861228809548455E-2</v>
      </c>
      <c r="R31" s="183"/>
      <c r="S31" s="162"/>
      <c r="T31" s="182"/>
      <c r="U31" s="182"/>
      <c r="V31" s="183">
        <f>Energy_stables_IT/Bonefree_outof_CW_IT*(Share_heating_IT*(Share_biofuels_IT*EF_biofuels_CO2+(1-Share_biofuels_IT)*EF_oil_CO2)+(1-Share_heating_IT)*EF_el_CO2_IT)</f>
        <v>0.31391890829749736</v>
      </c>
      <c r="W31" s="184">
        <f>(Energy_slaughter_el_IT*EF_el_CO2_IT+Energy_slaughter_oil_IT*EF_oil_CO2)/Bonefree_outof_CW_IT</f>
        <v>0.90132265727800009</v>
      </c>
      <c r="Y31" s="19"/>
      <c r="Z31" s="19"/>
    </row>
    <row r="32" spans="1:26" x14ac:dyDescent="0.3">
      <c r="A32" s="12" t="s">
        <v>110</v>
      </c>
      <c r="B32" s="12" t="s">
        <v>111</v>
      </c>
      <c r="C32" s="16" t="s">
        <v>112</v>
      </c>
      <c r="D32" s="17" t="s">
        <v>60</v>
      </c>
      <c r="E32" s="17" t="s">
        <v>61</v>
      </c>
      <c r="F32" s="12" t="s">
        <v>115</v>
      </c>
      <c r="G32" s="19">
        <f t="shared" si="0"/>
        <v>5.1942094878342768E-2</v>
      </c>
      <c r="H32" s="34">
        <f>'CH4 per kg feed'!G89*FCR_bonefree_incl_parents_IT-Excreted_N_after_losses_IT*Manure_repl_factor_IT*(EF_min_fert_BAT_CH4*Frac_BAT_IT+EF_min_fert_AN_CH4*Frac_AN_IT)</f>
        <v>3.0406943917872791E-4</v>
      </c>
      <c r="I32" s="34">
        <f>'CH4 per kg feed'!H89*FCR_bonefree_incl_parents_IT</f>
        <v>5.2655736963523733E-4</v>
      </c>
      <c r="J32" s="34"/>
      <c r="K32" s="34"/>
      <c r="L32" s="34">
        <f>'CH4 per kg feed'!K89*FCR_bonefree_incl_parents_IT</f>
        <v>1.004392943763054E-4</v>
      </c>
      <c r="M32" s="34"/>
      <c r="N32" s="34">
        <f>'CH4 per kg feed'!M89*FCR_bonefree_incl_parents_IT</f>
        <v>0</v>
      </c>
      <c r="O32" s="34">
        <f>'CH4 per kg feed'!N89*FCR_bonefree_incl_parents_IT</f>
        <v>6.9538829046775685E-5</v>
      </c>
      <c r="P32" s="34">
        <f>'CH4 per kg feed'!O89*FCR_bonefree_incl_parents_IT</f>
        <v>0</v>
      </c>
      <c r="Q32" s="34">
        <f>'CH4 per kg feed'!P89*FCR_bonefree_incl_parents_IT</f>
        <v>1.3795038931525451E-2</v>
      </c>
      <c r="R32" s="4">
        <f>(Production!H37+Production!H38+Production!H39*4/12)*EF_ent_ferm_IT</f>
        <v>1.0683313974551908E-2</v>
      </c>
      <c r="S32" s="48">
        <f>SUM(T32:U32)</f>
        <v>1.1236432594966518E-2</v>
      </c>
      <c r="T32" s="63">
        <f>Manure!AC32</f>
        <v>1.1236432594966518E-2</v>
      </c>
      <c r="V32" s="4">
        <f>Energy_stables_IT/Bonefree_outof_CW_IT*(Share_heating_IT*(Share_biofuels_IT*EF_biofuel_CH4+(1-Share_biofuels_IT)*EF_oil_CH4)+(1-Share_heating_IT)*EF_el_CH4_IT)</f>
        <v>8.5209001260620797E-4</v>
      </c>
      <c r="W32" s="11">
        <f>(Energy_slaughter_el_IT*EF_el_CH4_IT+Energy_slaughter_oil_IT*EF_oil_CH4)/Bonefree_outof_CW_IT</f>
        <v>3.1381818374891183E-3</v>
      </c>
      <c r="Y32" s="33"/>
      <c r="Z32" s="33"/>
    </row>
    <row r="33" spans="1:26" ht="15" thickBot="1" x14ac:dyDescent="0.35">
      <c r="A33" s="12" t="s">
        <v>110</v>
      </c>
      <c r="B33" s="12" t="s">
        <v>111</v>
      </c>
      <c r="C33" s="16" t="s">
        <v>112</v>
      </c>
      <c r="D33" s="17" t="s">
        <v>60</v>
      </c>
      <c r="E33" s="17" t="s">
        <v>61</v>
      </c>
      <c r="F33" s="35" t="s">
        <v>116</v>
      </c>
      <c r="G33" s="19">
        <f t="shared" si="0"/>
        <v>5.463529952190245E-3</v>
      </c>
      <c r="H33" s="34">
        <f>'N2O per kg feed'!G89*FCR_bonefree_incl_parents_IT-Excreted_N_after_losses_IT*Manure_repl_factor_IT*(EF_min_fert_BAT_N2O*Frac_BAT_IT+EF_min_fert_AN_N2O*Frac_AN_IT)</f>
        <v>5.7716801279593898E-4</v>
      </c>
      <c r="I33" s="33">
        <f>'N2O per kg feed'!H89*FCR_bonefree_incl_parents_IT</f>
        <v>7.6689941588987793E-5</v>
      </c>
      <c r="J33" s="33">
        <f>'N2O per kg feed'!I89*FCR_bonefree_incl_parents_IT-Excreted_N_after_losses_IT*Manure_repl_factor_IT*EF_N2O_diff_IT</f>
        <v>2.940216582379228E-3</v>
      </c>
      <c r="K33" s="33">
        <f>J33*EF_indirect_N2O_IT</f>
        <v>2.9402165823792282E-4</v>
      </c>
      <c r="L33" s="33">
        <f>'N2O per kg feed'!K89*FCR_bonefree_incl_parents_IT</f>
        <v>1.5687778739663951E-5</v>
      </c>
      <c r="M33" s="33"/>
      <c r="N33" s="33">
        <f>'N2O per kg feed'!M89*FCR_bonefree_incl_parents_IT</f>
        <v>0</v>
      </c>
      <c r="O33" s="33">
        <f>'N2O per kg feed'!N89*FCR_bonefree_incl_parents_IT</f>
        <v>1.580525584168723E-5</v>
      </c>
      <c r="P33" s="33">
        <f>'N2O per kg feed'!O89*FCR_bonefree_incl_parents_IT</f>
        <v>0</v>
      </c>
      <c r="Q33" s="33">
        <f>'N2O per kg feed'!P89*FCR_bonefree_incl_parents_IT</f>
        <v>2.1885712110817802E-4</v>
      </c>
      <c r="R33" s="4"/>
      <c r="S33" s="48">
        <f>SUM(T33:U33)</f>
        <v>6.3249264382454382E-4</v>
      </c>
      <c r="T33" s="258">
        <f>Manure!AC88*44/28</f>
        <v>1.0126683780931295E-4</v>
      </c>
      <c r="U33" s="258">
        <f>NH3_per_kg_IT*17/14*Manure!Z117</f>
        <v>5.3122580601523087E-4</v>
      </c>
      <c r="V33" s="4">
        <f>Energy_stables_IT/Bonefree_outof_CW_IT*(Share_heating_IT*(Share_biofuels_IT*EF_biofuel_N2O+(1-Share_biofuels_IT)*EF_oil_N2O)+(1-Share_heating_IT)*EF_el_N2O_IT)</f>
        <v>2.2469535612260755E-5</v>
      </c>
      <c r="W33" s="11">
        <f>(Energy_slaughter_el_IT*EF_el_N2O_IT+Energy_slaughter_oil_IT*EF_oil_N2O)/Bonefree_outof_CW_IT</f>
        <v>3.7628778237288143E-5</v>
      </c>
      <c r="Y33" s="33"/>
      <c r="Z33" s="33"/>
    </row>
    <row r="34" spans="1:26" ht="15.6" thickTop="1" thickBot="1" x14ac:dyDescent="0.35">
      <c r="A34" s="172" t="s">
        <v>110</v>
      </c>
      <c r="B34" s="172" t="s">
        <v>111</v>
      </c>
      <c r="C34" s="173" t="s">
        <v>112</v>
      </c>
      <c r="D34" s="174" t="s">
        <v>60</v>
      </c>
      <c r="E34" s="174" t="s">
        <v>61</v>
      </c>
      <c r="F34" s="175" t="s">
        <v>117</v>
      </c>
      <c r="G34" s="186">
        <f t="shared" si="0"/>
        <v>5.9598747942209389</v>
      </c>
      <c r="H34" s="176">
        <f>SUMPRODUCT(H31:H33,'Parameters, general'!$B$13:$B$15)</f>
        <v>0.42107209451827504</v>
      </c>
      <c r="I34" s="176">
        <f>SUMPRODUCT(I31:I33,'Parameters, general'!$B$13:$B$15)</f>
        <v>0.19094737986456639</v>
      </c>
      <c r="J34" s="176">
        <f>SUMPRODUCT(J31:J33,'Parameters, general'!$B$13:$B$15)</f>
        <v>2.0077060351700973</v>
      </c>
      <c r="K34" s="176">
        <f>SUMPRODUCT(K31:K33,'Parameters, general'!$B$13:$B$15)</f>
        <v>8.0267912698952934E-2</v>
      </c>
      <c r="L34" s="176">
        <f>SUMPRODUCT(L31:L33,'Parameters, general'!$B$13:$B$15)</f>
        <v>0.23905649199657511</v>
      </c>
      <c r="M34" s="176">
        <f>SUMPRODUCT(M31:M33,'Parameters, general'!$B$13:$B$15)</f>
        <v>0</v>
      </c>
      <c r="N34" s="176">
        <f>SUMPRODUCT(N31:N33,'Parameters, general'!$B$13:$B$15)</f>
        <v>0</v>
      </c>
      <c r="O34" s="176">
        <f>SUMPRODUCT(O31:O33,'Parameters, general'!$B$13:$B$15)</f>
        <v>0.20550283495694199</v>
      </c>
      <c r="P34" s="176">
        <f>SUMPRODUCT(P31:P33,'Parameters, general'!$B$13:$B$15)</f>
        <v>9.6183216058976104E-2</v>
      </c>
      <c r="Q34" s="176">
        <f>SUMPRODUCT(Q31:Q33,'Parameters, general'!$B$13:$B$15)</f>
        <v>0.54270138303153959</v>
      </c>
      <c r="R34" s="176">
        <f>SUMPRODUCT(R31:R33,'Parameters, general'!$B$13:$B$15)</f>
        <v>0.31836275644164685</v>
      </c>
      <c r="S34" s="176">
        <f>SUMPRODUCT(S31:S33,'Parameters, general'!$B$13:$B$15)</f>
        <v>0.50751618309410274</v>
      </c>
      <c r="T34" s="177"/>
      <c r="U34" s="177"/>
      <c r="V34" s="176">
        <f>SUMPRODUCT(V31:V33,'Parameters, general'!$B$13:$B$15)</f>
        <v>0.34544537389530955</v>
      </c>
      <c r="W34" s="176">
        <f>SUMPRODUCT(W31:W33,'Parameters, general'!$B$13:$B$15)</f>
        <v>1.0051131324939555</v>
      </c>
      <c r="Y34" s="112">
        <f>SUM(H34:Q34)</f>
        <v>3.7834373482959243</v>
      </c>
      <c r="Z34" s="211">
        <f>'CO2 per kg feed'!F89+'CH4 per kg feed'!F89*CF_GWP_CH4_fossil+'N2O per kg feed'!F89*CF_GWP_N2O</f>
        <v>0.59225411066627098</v>
      </c>
    </row>
    <row r="35" spans="1:26" ht="15" thickTop="1" x14ac:dyDescent="0.3">
      <c r="A35" s="178" t="s">
        <v>110</v>
      </c>
      <c r="B35" s="178" t="s">
        <v>111</v>
      </c>
      <c r="C35" s="179" t="s">
        <v>112</v>
      </c>
      <c r="D35" t="s">
        <v>120</v>
      </c>
      <c r="E35" s="17" t="s">
        <v>63</v>
      </c>
      <c r="F35" s="180" t="s">
        <v>114</v>
      </c>
      <c r="G35" s="181">
        <f t="shared" si="0"/>
        <v>3.7056832593290192</v>
      </c>
      <c r="H35" s="181">
        <f>'CO2 per kg feed'!G101*FCR_bonefree_incl_parents_NL-Excreted_N_after_losses_NL*Manure_repl_factor_NL*(EF_min_fert_BAT_CO2*Frac_BAT_NL+EF_min_fert_AN_CO2*Frac_AN_NL)</f>
        <v>0.25444395773745759</v>
      </c>
      <c r="I35" s="181">
        <f>'CO2 per kg feed'!H101*FCR_bonefree_incl_parents_NL</f>
        <v>0.15431961619564266</v>
      </c>
      <c r="J35" s="181">
        <f>'CO2 per kg feed'!I101*FCR_bonefree_incl_parents_NL</f>
        <v>1.205026908180568</v>
      </c>
      <c r="K35" s="181"/>
      <c r="L35" s="181">
        <f>'CO2 per kg feed'!K101*FCR_bonefree_incl_parents_NL</f>
        <v>0.23178063742823296</v>
      </c>
      <c r="M35" s="181"/>
      <c r="N35" s="181">
        <f>'CO2 per kg feed'!M101*FCR_bonefree_incl_parents_NL</f>
        <v>0</v>
      </c>
      <c r="O35" s="181">
        <f>'CO2 per kg feed'!N101*FCR_bonefree_incl_parents_NL</f>
        <v>0.19911574300656745</v>
      </c>
      <c r="P35" s="181">
        <f>'CO2 per kg feed'!O101*FCR_bonefree_incl_parents_NL</f>
        <v>9.6183216058976104E-2</v>
      </c>
      <c r="Q35" s="181">
        <f>'CO2 per kg feed'!P101*FCR_bonefree_incl_parents_NL</f>
        <v>7.1861228809548455E-2</v>
      </c>
      <c r="R35" s="183"/>
      <c r="S35" s="162"/>
      <c r="T35" s="182"/>
      <c r="U35" s="182"/>
      <c r="V35" s="183">
        <f>Energy_stables_NL/Bonefree_outof_CW_NL*(Share_heating_NL*(Share_biofuels_NL*EF_biofuels_CO2+(1-Share_biofuels_NL)*EF_oil_CO2)+(1-Share_heating_NL)*EF_el_CO2_NL)</f>
        <v>0.3702206255856868</v>
      </c>
      <c r="W35" s="184">
        <f>(Energy_slaughter_el_NL*EF_el_CO2_NL+Energy_slaughter_oil_NL*EF_oil_CO2)/Bonefree_outof_CW_NL</f>
        <v>1.122731326326339</v>
      </c>
      <c r="Y35" s="19"/>
      <c r="Z35" s="19"/>
    </row>
    <row r="36" spans="1:26" x14ac:dyDescent="0.3">
      <c r="A36" s="12" t="s">
        <v>110</v>
      </c>
      <c r="B36" s="12" t="s">
        <v>111</v>
      </c>
      <c r="C36" s="16" t="s">
        <v>112</v>
      </c>
      <c r="D36" t="s">
        <v>120</v>
      </c>
      <c r="E36" s="17" t="s">
        <v>63</v>
      </c>
      <c r="F36" s="12" t="s">
        <v>115</v>
      </c>
      <c r="G36" s="19">
        <f t="shared" si="0"/>
        <v>4.1670167677363104E-2</v>
      </c>
      <c r="H36" s="34">
        <f>'CH4 per kg feed'!G101*FCR_bonefree_incl_parents_NL-Excreted_N_after_losses_NL*Manure_repl_factor_NL*(EF_min_fert_BAT_CH4*Frac_BAT_NL+EF_min_fert_AN_CH4*Frac_AN_NL)</f>
        <v>3.0406943917872791E-4</v>
      </c>
      <c r="I36" s="34">
        <f>'CH4 per kg feed'!H101*FCR_bonefree_incl_parents_NL</f>
        <v>5.2655736963523733E-4</v>
      </c>
      <c r="J36" s="34"/>
      <c r="K36" s="34"/>
      <c r="L36" s="34">
        <f>'CH4 per kg feed'!K101*FCR_bonefree_incl_parents_NL</f>
        <v>1.004392943763054E-4</v>
      </c>
      <c r="M36" s="34"/>
      <c r="N36" s="34">
        <f>'CH4 per kg feed'!M101*FCR_bonefree_incl_parents_NL</f>
        <v>0</v>
      </c>
      <c r="O36" s="34">
        <f>'CH4 per kg feed'!N101*FCR_bonefree_incl_parents_NL</f>
        <v>6.9538829046775685E-5</v>
      </c>
      <c r="P36" s="34">
        <f>'CH4 per kg feed'!O101*FCR_bonefree_incl_parents_NL</f>
        <v>0</v>
      </c>
      <c r="Q36" s="34">
        <f>'CH4 per kg feed'!P101*FCR_bonefree_incl_parents_NL</f>
        <v>5.0657668699911149E-3</v>
      </c>
      <c r="R36" s="4">
        <f>(Production!I37+Production!I38+Production!I39*4/12)*EF_ent_ferm_NL</f>
        <v>1.0683313974551908E-2</v>
      </c>
      <c r="S36" s="48">
        <f>SUM(T36:U36)</f>
        <v>1.1236432594966518E-2</v>
      </c>
      <c r="T36" s="63">
        <f>Manure!AG32</f>
        <v>1.1236432594966518E-2</v>
      </c>
      <c r="V36" s="4">
        <f>Energy_stables_NL/Bonefree_outof_CW_NL*(Share_heating_NL*(Share_biofuels_NL*EF_biofuel_CH4+(1-Share_biofuels_NL)*EF_oil_CH4)+(1-Share_heating_NL)*EF_el_CH4_NL)</f>
        <v>5.393392556756637E-4</v>
      </c>
      <c r="W36" s="11">
        <f>(Energy_slaughter_el_NL*EF_el_CH4_NL+Energy_slaughter_oil_NL*EF_oil_CH4)/Bonefree_outof_CW_NL</f>
        <v>1.9082774549743389E-3</v>
      </c>
      <c r="Y36" s="33"/>
      <c r="Z36" s="33"/>
    </row>
    <row r="37" spans="1:26" ht="15" thickBot="1" x14ac:dyDescent="0.35">
      <c r="A37" s="12" t="s">
        <v>110</v>
      </c>
      <c r="B37" s="12" t="s">
        <v>111</v>
      </c>
      <c r="C37" s="16" t="s">
        <v>112</v>
      </c>
      <c r="D37" t="s">
        <v>120</v>
      </c>
      <c r="E37" s="17" t="s">
        <v>63</v>
      </c>
      <c r="F37" s="35" t="s">
        <v>116</v>
      </c>
      <c r="G37" s="19">
        <f t="shared" si="0"/>
        <v>5.4717007714914527E-3</v>
      </c>
      <c r="H37" s="34">
        <f>'N2O per kg feed'!G101*FCR_bonefree_incl_parents_NL-Excreted_N_after_losses_NL*Manure_repl_factor_NL*(EF_min_fert_BAT_N2O*Frac_BAT_NL+EF_min_fert_AN_N2O*Frac_AN_NL)</f>
        <v>5.7716801279593898E-4</v>
      </c>
      <c r="I37" s="33">
        <f>'N2O per kg feed'!H101*FCR_bonefree_incl_parents_NL</f>
        <v>7.6689941588987793E-5</v>
      </c>
      <c r="J37" s="33">
        <f>'N2O per kg feed'!I101*FCR_bonefree_incl_parents_NL-Excreted_N_after_losses_NL*Manure_repl_factor_NL*EF_N2O_diff_NL</f>
        <v>2.940216582379228E-3</v>
      </c>
      <c r="K37" s="33">
        <f>J37*EF_indirect_N2O_NL</f>
        <v>2.9402165823792282E-4</v>
      </c>
      <c r="L37" s="33">
        <f>'N2O per kg feed'!K101*FCR_bonefree_incl_parents_NL</f>
        <v>1.5687778739663951E-5</v>
      </c>
      <c r="M37" s="33"/>
      <c r="N37" s="33">
        <f>'N2O per kg feed'!M101*FCR_bonefree_incl_parents_NL</f>
        <v>0</v>
      </c>
      <c r="O37" s="33">
        <f>'N2O per kg feed'!N101*FCR_bonefree_incl_parents_NL</f>
        <v>1.580525584168723E-5</v>
      </c>
      <c r="P37" s="33">
        <f>'N2O per kg feed'!O101*FCR_bonefree_incl_parents_NL</f>
        <v>0</v>
      </c>
      <c r="Q37" s="33">
        <f>'N2O per kg feed'!P101*FCR_bonefree_incl_parents_NL</f>
        <v>2.1885712110817802E-4</v>
      </c>
      <c r="R37" s="4"/>
      <c r="S37" s="48">
        <f>SUM(T37:U37)</f>
        <v>6.3249264382454382E-4</v>
      </c>
      <c r="T37" s="258">
        <f>Manure!AG88*44/28</f>
        <v>1.0126683780931295E-4</v>
      </c>
      <c r="U37" s="258">
        <f>NH3_per_kg_NL*17/14*Manure!AD117</f>
        <v>5.3122580601523087E-4</v>
      </c>
      <c r="V37" s="4">
        <f>Energy_stables_NL/Bonefree_outof_CW_NL*(Share_heating_NL*(Share_biofuels_NL*EF_biofuel_N2O+(1-Share_biofuels_NL)*EF_oil_N2O)+(1-Share_heating_NL)*EF_el_N2O_NL)</f>
        <v>2.4126049667705566E-5</v>
      </c>
      <c r="W37" s="11">
        <f>(Energy_slaughter_el_NL*EF_el_N2O_NL+Energy_slaughter_oil_NL*EF_oil_N2O)/Bonefree_outof_CW_NL</f>
        <v>4.4143083483050856E-5</v>
      </c>
      <c r="Y37" s="33"/>
      <c r="Z37" s="33"/>
    </row>
    <row r="38" spans="1:26" ht="15.6" thickTop="1" thickBot="1" x14ac:dyDescent="0.35">
      <c r="A38" s="172" t="s">
        <v>110</v>
      </c>
      <c r="B38" s="172" t="s">
        <v>111</v>
      </c>
      <c r="C38" s="173" t="s">
        <v>112</v>
      </c>
      <c r="D38" s="212" t="s">
        <v>120</v>
      </c>
      <c r="E38" s="174" t="s">
        <v>63</v>
      </c>
      <c r="F38" s="175" t="s">
        <v>117</v>
      </c>
      <c r="G38" s="186">
        <f t="shared" si="0"/>
        <v>5.933712383637503</v>
      </c>
      <c r="H38" s="176">
        <f>SUMPRODUCT(H35:H37,'Parameters, general'!$B$13:$B$15)</f>
        <v>0.42107209451827504</v>
      </c>
      <c r="I38" s="176">
        <f>SUMPRODUCT(I35:I37,'Parameters, general'!$B$13:$B$15)</f>
        <v>0.19094737986456639</v>
      </c>
      <c r="J38" s="176">
        <f>SUMPRODUCT(J35:J37,'Parameters, general'!$B$13:$B$15)</f>
        <v>2.0077060351700973</v>
      </c>
      <c r="K38" s="176">
        <f>SUMPRODUCT(K35:K37,'Parameters, general'!$B$13:$B$15)</f>
        <v>8.0267912698952934E-2</v>
      </c>
      <c r="L38" s="176">
        <f>SUMPRODUCT(L35:L37,'Parameters, general'!$B$13:$B$15)</f>
        <v>0.23905649199657511</v>
      </c>
      <c r="M38" s="176">
        <f>SUMPRODUCT(M35:M37,'Parameters, general'!$B$13:$B$15)</f>
        <v>0</v>
      </c>
      <c r="N38" s="176">
        <f>SUMPRODUCT(N35:N37,'Parameters, general'!$B$13:$B$15)</f>
        <v>0</v>
      </c>
      <c r="O38" s="176">
        <f>SUMPRODUCT(O35:O37,'Parameters, general'!$B$13:$B$15)</f>
        <v>0.20550283495694199</v>
      </c>
      <c r="P38" s="176">
        <f>SUMPRODUCT(P35:P37,'Parameters, general'!$B$13:$B$15)</f>
        <v>9.6183216058976104E-2</v>
      </c>
      <c r="Q38" s="176">
        <f>SUMPRODUCT(Q35:Q37,'Parameters, general'!$B$13:$B$15)</f>
        <v>0.2825690755978163</v>
      </c>
      <c r="R38" s="176">
        <f>SUMPRODUCT(R35:R37,'Parameters, general'!$B$13:$B$15)</f>
        <v>0.31836275644164685</v>
      </c>
      <c r="S38" s="176">
        <f>SUMPRODUCT(S35:S37,'Parameters, general'!$B$13:$B$15)</f>
        <v>0.50751618309410274</v>
      </c>
      <c r="T38" s="177"/>
      <c r="U38" s="177"/>
      <c r="V38" s="176">
        <f>SUMPRODUCT(V35:V37,'Parameters, general'!$B$13:$B$15)</f>
        <v>0.3928793469641052</v>
      </c>
      <c r="W38" s="176">
        <f>SUMPRODUCT(W35:W37,'Parameters, general'!$B$13:$B$15)</f>
        <v>1.1916490562754471</v>
      </c>
      <c r="Y38" s="112">
        <f>SUM(H38:Q38)</f>
        <v>3.5233050408622013</v>
      </c>
      <c r="Z38" s="211">
        <f>'CO2 per kg feed'!F101+'CH4 per kg feed'!F101*CF_GWP_CH4_fossil+'N2O per kg feed'!F101*CF_GWP_N2O</f>
        <v>0.55339912421575654</v>
      </c>
    </row>
    <row r="39" spans="1:26" ht="15" thickTop="1" x14ac:dyDescent="0.3">
      <c r="A39" s="178" t="s">
        <v>110</v>
      </c>
      <c r="B39" s="178" t="s">
        <v>111</v>
      </c>
      <c r="C39" s="179" t="s">
        <v>112</v>
      </c>
      <c r="D39" t="s">
        <v>64</v>
      </c>
      <c r="E39" s="17" t="s">
        <v>65</v>
      </c>
      <c r="F39" s="180" t="s">
        <v>114</v>
      </c>
      <c r="G39" s="181">
        <f t="shared" si="0"/>
        <v>4.8251700960650048</v>
      </c>
      <c r="H39" s="181">
        <f>'CO2 per kg feed'!G113*FCR_bonefree_incl_parents_PL-Excreted_N_after_losses_PL*Manure_repl_factor_PL*(EF_min_fert_BAT_CO2*Frac_BAT_PL+EF_min_fert_AN_CO2*Frac_AN_PL)</f>
        <v>0.25444395773745759</v>
      </c>
      <c r="I39" s="181">
        <f>'CO2 per kg feed'!H113*FCR_bonefree_incl_parents_PL</f>
        <v>0.15431961619564266</v>
      </c>
      <c r="J39" s="181">
        <f>'CO2 per kg feed'!I113*FCR_bonefree_incl_parents_PL</f>
        <v>1.205026908180568</v>
      </c>
      <c r="K39" s="181"/>
      <c r="L39" s="181">
        <f>'CO2 per kg feed'!K113*FCR_bonefree_incl_parents_PL</f>
        <v>0.23178063742823296</v>
      </c>
      <c r="M39" s="181"/>
      <c r="N39" s="181">
        <f>'CO2 per kg feed'!M113*FCR_bonefree_incl_parents_PL</f>
        <v>0</v>
      </c>
      <c r="O39" s="181">
        <f>'CO2 per kg feed'!N113*FCR_bonefree_incl_parents_PL</f>
        <v>0.19911574300656745</v>
      </c>
      <c r="P39" s="181">
        <f>'CO2 per kg feed'!O113*FCR_bonefree_incl_parents_PL</f>
        <v>9.6183216058976104E-2</v>
      </c>
      <c r="Q39" s="181">
        <f>'CO2 per kg feed'!P113*FCR_bonefree_incl_parents_PL</f>
        <v>7.1861228809548455E-2</v>
      </c>
      <c r="R39" s="183"/>
      <c r="S39" s="162"/>
      <c r="T39" s="182"/>
      <c r="U39" s="182"/>
      <c r="V39" s="183">
        <f>Energy_stables_PL/Bonefree_outof_CW_PL*(Share_heating_PL*(Share_biofuels_PL*EF_biofuels_CO2+(1-Share_biofuels_PL)*EF_oil_CO2)+(1-Share_heating_PL)*EF_el_CO2_PL)</f>
        <v>0.59718020106724867</v>
      </c>
      <c r="W39" s="184">
        <f>(Energy_slaughter_el_PL*EF_el_CO2_PL+Energy_slaughter_oil_PL*EF_oil_CO2)/Bonefree_outof_CW_PL</f>
        <v>2.0152585875807634</v>
      </c>
      <c r="Y39" s="19"/>
      <c r="Z39" s="19"/>
    </row>
    <row r="40" spans="1:26" x14ac:dyDescent="0.3">
      <c r="A40" s="12" t="s">
        <v>110</v>
      </c>
      <c r="B40" s="12" t="s">
        <v>111</v>
      </c>
      <c r="C40" s="16" t="s">
        <v>112</v>
      </c>
      <c r="D40" t="s">
        <v>64</v>
      </c>
      <c r="E40" s="17" t="s">
        <v>65</v>
      </c>
      <c r="F40" s="12" t="s">
        <v>115</v>
      </c>
      <c r="G40" s="19">
        <f t="shared" si="0"/>
        <v>5.2494572084085783E-2</v>
      </c>
      <c r="H40" s="34">
        <f>'CH4 per kg feed'!G113*FCR_bonefree_incl_parents_PL-Excreted_N_after_losses_PL*Manure_repl_factor_PL*(EF_min_fert_BAT_CH4*Frac_BAT_PL+EF_min_fert_AN_CH4*Frac_AN_PL)</f>
        <v>3.0406943917872791E-4</v>
      </c>
      <c r="I40" s="34">
        <f>'CH4 per kg feed'!H113*FCR_bonefree_incl_parents_PL</f>
        <v>5.2655736963523733E-4</v>
      </c>
      <c r="J40" s="34"/>
      <c r="K40" s="34"/>
      <c r="L40" s="34">
        <f>'CH4 per kg feed'!K113*FCR_bonefree_incl_parents_PL</f>
        <v>1.004392943763054E-4</v>
      </c>
      <c r="M40" s="34"/>
      <c r="N40" s="34">
        <f>'CH4 per kg feed'!M113*FCR_bonefree_incl_parents_PL</f>
        <v>0</v>
      </c>
      <c r="O40" s="34">
        <f>'CH4 per kg feed'!N113*FCR_bonefree_incl_parents_PL</f>
        <v>6.9538829046775685E-5</v>
      </c>
      <c r="P40" s="34">
        <f>'CH4 per kg feed'!O113*FCR_bonefree_incl_parents_PL</f>
        <v>0</v>
      </c>
      <c r="Q40" s="34">
        <f>'CH4 per kg feed'!P113*FCR_bonefree_incl_parents_PL</f>
        <v>1.3795038931525451E-2</v>
      </c>
      <c r="R40" s="4">
        <f>(Production!J37+Production!J38+Production!J39*4/12)*EF_ent_ferm_PL</f>
        <v>1.0683313974551908E-2</v>
      </c>
      <c r="S40" s="48">
        <f>SUM(T40:U40)</f>
        <v>1.1236432594966518E-2</v>
      </c>
      <c r="T40" s="63">
        <f>Manure!AK32</f>
        <v>1.1236432594966518E-2</v>
      </c>
      <c r="V40" s="4">
        <f>Energy_stables_PL/Bonefree_outof_CW_PL*(Share_heating_PL*(Share_biofuels_PL*EF_biofuel_CH4+(1-Share_biofuels_PL)*EF_oil_CH4)+(1-Share_heating_PL)*EF_el_CH4_PL)</f>
        <v>9.6409668205867398E-4</v>
      </c>
      <c r="W40" s="11">
        <f>(Energy_slaughter_el_PL*EF_el_CH4_PL+Energy_slaughter_oil_PL*EF_oil_CH4)/Bonefree_outof_CW_PL</f>
        <v>3.5786523737796681E-3</v>
      </c>
      <c r="Y40" s="33"/>
      <c r="Z40" s="33"/>
    </row>
    <row r="41" spans="1:26" ht="15" thickBot="1" x14ac:dyDescent="0.35">
      <c r="A41" s="12" t="s">
        <v>110</v>
      </c>
      <c r="B41" s="12" t="s">
        <v>111</v>
      </c>
      <c r="C41" s="16" t="s">
        <v>112</v>
      </c>
      <c r="D41" t="s">
        <v>64</v>
      </c>
      <c r="E41" s="17" t="s">
        <v>65</v>
      </c>
      <c r="F41" s="35" t="s">
        <v>116</v>
      </c>
      <c r="G41" s="19">
        <f t="shared" si="0"/>
        <v>5.4662241369502519E-3</v>
      </c>
      <c r="H41" s="34">
        <f>'N2O per kg feed'!G113*FCR_bonefree_incl_parents_PL-Excreted_N_after_losses_PL*Manure_repl_factor_PL*(EF_min_fert_BAT_N2O*Frac_BAT_PL+EF_min_fert_AN_N2O*Frac_AN_PL)</f>
        <v>5.7716801279593898E-4</v>
      </c>
      <c r="I41" s="33">
        <f>'N2O per kg feed'!H113*FCR_bonefree_incl_parents_PL</f>
        <v>7.6689941588987793E-5</v>
      </c>
      <c r="J41" s="33">
        <f>'N2O per kg feed'!I113*FCR_bonefree_incl_parents_PL-Excreted_N_after_losses_PL*Manure_repl_factor_PL*EF_N2O_diff_PL</f>
        <v>2.940216582379228E-3</v>
      </c>
      <c r="K41" s="33">
        <f>J41*EF_indirect_N2O_PL</f>
        <v>2.9402165823792282E-4</v>
      </c>
      <c r="L41" s="33">
        <f>'N2O per kg feed'!K113*FCR_bonefree_incl_parents_PL</f>
        <v>1.5687778739663951E-5</v>
      </c>
      <c r="M41" s="33"/>
      <c r="N41" s="33">
        <f>'N2O per kg feed'!M113*FCR_bonefree_incl_parents_PL</f>
        <v>0</v>
      </c>
      <c r="O41" s="33">
        <f>'N2O per kg feed'!N113*FCR_bonefree_incl_parents_PL</f>
        <v>1.580525584168723E-5</v>
      </c>
      <c r="P41" s="33">
        <f>'N2O per kg feed'!O113*FCR_bonefree_incl_parents_PL</f>
        <v>0</v>
      </c>
      <c r="Q41" s="33">
        <f>'N2O per kg feed'!P113*FCR_bonefree_incl_parents_PL</f>
        <v>2.1885712110817802E-4</v>
      </c>
      <c r="R41" s="4"/>
      <c r="S41" s="48">
        <f>SUM(T41:U41)</f>
        <v>6.3249264382454382E-4</v>
      </c>
      <c r="T41" s="258">
        <f>Manure!AK88*44/28</f>
        <v>1.0126683780931295E-4</v>
      </c>
      <c r="U41" s="258">
        <f>NH3_per_kg_PL*17/14*Manure!AH117</f>
        <v>5.3122580601523087E-4</v>
      </c>
      <c r="V41" s="4">
        <f>Energy_stables_PL/Bonefree_outof_CW_PL*(Share_heating_PL*(Share_biofuels_PL*EF_biofuel_N2O+(1-Share_biofuels_PL)*EF_oil_N2O)+(1-Share_heating_PL)*EF_el_N2O_PL)</f>
        <v>2.3015742150233926E-5</v>
      </c>
      <c r="W41" s="11">
        <f>(Energy_slaughter_el_PL*EF_el_N2O_PL+Energy_slaughter_oil_PL*EF_oil_N2O)/Bonefree_outof_CW_PL</f>
        <v>3.9776756459322042E-5</v>
      </c>
      <c r="Y41" s="33"/>
      <c r="Z41" s="33"/>
    </row>
    <row r="42" spans="1:26" ht="15.6" thickTop="1" thickBot="1" x14ac:dyDescent="0.35">
      <c r="A42" s="172" t="s">
        <v>110</v>
      </c>
      <c r="B42" s="172" t="s">
        <v>111</v>
      </c>
      <c r="C42" s="173" t="s">
        <v>112</v>
      </c>
      <c r="D42" s="212" t="s">
        <v>64</v>
      </c>
      <c r="E42" s="38" t="s">
        <v>65</v>
      </c>
      <c r="F42" s="175" t="s">
        <v>117</v>
      </c>
      <c r="G42" s="186">
        <f t="shared" si="0"/>
        <v>7.3742713504640776</v>
      </c>
      <c r="H42" s="176">
        <f>SUMPRODUCT(H39:H41,'Parameters, general'!$B$13:$B$15)</f>
        <v>0.42107209451827504</v>
      </c>
      <c r="I42" s="176">
        <f>SUMPRODUCT(I39:I41,'Parameters, general'!$B$13:$B$15)</f>
        <v>0.19094737986456639</v>
      </c>
      <c r="J42" s="176">
        <f>SUMPRODUCT(J39:J41,'Parameters, general'!$B$13:$B$15)</f>
        <v>2.0077060351700973</v>
      </c>
      <c r="K42" s="176">
        <f>SUMPRODUCT(K39:K41,'Parameters, general'!$B$13:$B$15)</f>
        <v>8.0267912698952934E-2</v>
      </c>
      <c r="L42" s="176">
        <f>SUMPRODUCT(L39:L41,'Parameters, general'!$B$13:$B$15)</f>
        <v>0.23905649199657511</v>
      </c>
      <c r="M42" s="176">
        <f>SUMPRODUCT(M39:M41,'Parameters, general'!$B$13:$B$15)</f>
        <v>0</v>
      </c>
      <c r="N42" s="176">
        <f>SUMPRODUCT(N39:N41,'Parameters, general'!$B$13:$B$15)</f>
        <v>0</v>
      </c>
      <c r="O42" s="176">
        <f>SUMPRODUCT(O39:O41,'Parameters, general'!$B$13:$B$15)</f>
        <v>0.20550283495694199</v>
      </c>
      <c r="P42" s="176">
        <f>SUMPRODUCT(P39:P41,'Parameters, general'!$B$13:$B$15)</f>
        <v>9.6183216058976104E-2</v>
      </c>
      <c r="Q42" s="176">
        <f>SUMPRODUCT(Q39:Q41,'Parameters, general'!$B$13:$B$15)</f>
        <v>0.54270138303153959</v>
      </c>
      <c r="R42" s="176">
        <f>SUMPRODUCT(R39:R41,'Parameters, general'!$B$13:$B$15)</f>
        <v>0.31836275644164685</v>
      </c>
      <c r="S42" s="176">
        <f>SUMPRODUCT(S39:S41,'Parameters, general'!$B$13:$B$15)</f>
        <v>0.50751618309410274</v>
      </c>
      <c r="T42" s="177"/>
      <c r="U42" s="177"/>
      <c r="V42" s="176">
        <f>SUMPRODUCT(V39:V41,'Parameters, general'!$B$13:$B$15)</f>
        <v>0.63219357979961099</v>
      </c>
      <c r="W42" s="176">
        <f>SUMPRODUCT(W39:W41,'Parameters, general'!$B$13:$B$15)</f>
        <v>2.1327614828327928</v>
      </c>
      <c r="Y42" s="112">
        <f>SUM(H42:Q42)</f>
        <v>3.7834373482959243</v>
      </c>
      <c r="Z42" s="211">
        <f>'CO2 per kg feed'!F113+'CH4 per kg feed'!F113*CF_GWP_CH4_fossil+'N2O per kg feed'!F113*CF_GWP_N2O</f>
        <v>0.59225411066627098</v>
      </c>
    </row>
    <row r="43" spans="1:26" ht="15" thickTop="1" x14ac:dyDescent="0.3">
      <c r="A43" s="178" t="s">
        <v>110</v>
      </c>
      <c r="B43" s="178" t="s">
        <v>111</v>
      </c>
      <c r="C43" s="179" t="s">
        <v>112</v>
      </c>
      <c r="D43" t="s">
        <v>66</v>
      </c>
      <c r="E43" s="163" t="s">
        <v>67</v>
      </c>
      <c r="F43" s="180" t="s">
        <v>114</v>
      </c>
      <c r="G43" s="181">
        <f t="shared" si="0"/>
        <v>3.171061859325417</v>
      </c>
      <c r="H43" s="181">
        <f>'CO2 per kg feed'!G125*FCR_bonefree_incl_parents_ES-Excreted_N_after_losses_ES*Manure_repl_factor_ES*(EF_min_fert_BAT_CO2*Frac_BAT_ES+EF_min_fert_AN_CO2*Frac_AN_ES)</f>
        <v>0.25444395773745759</v>
      </c>
      <c r="I43" s="181">
        <f>'CO2 per kg feed'!H125*FCR_bonefree_incl_parents_ES</f>
        <v>0.15431961619564266</v>
      </c>
      <c r="J43" s="181">
        <f>'CO2 per kg feed'!I125*FCR_bonefree_incl_parents_ES</f>
        <v>1.205026908180568</v>
      </c>
      <c r="K43" s="181"/>
      <c r="L43" s="181">
        <f>'CO2 per kg feed'!K125*FCR_bonefree_incl_parents_ES</f>
        <v>0.23178063742823296</v>
      </c>
      <c r="M43" s="181"/>
      <c r="N43" s="181">
        <f>'CO2 per kg feed'!M125*FCR_bonefree_incl_parents_ES</f>
        <v>0</v>
      </c>
      <c r="O43" s="181">
        <f>'CO2 per kg feed'!N125*FCR_bonefree_incl_parents_ES</f>
        <v>0.19911574300656745</v>
      </c>
      <c r="P43" s="181">
        <f>'CO2 per kg feed'!O125*FCR_bonefree_incl_parents_ES</f>
        <v>9.6183216058976104E-2</v>
      </c>
      <c r="Q43" s="181">
        <f>'CO2 per kg feed'!P125*FCR_bonefree_incl_parents_ES</f>
        <v>7.1861228809548455E-2</v>
      </c>
      <c r="R43" s="183"/>
      <c r="S43" s="162"/>
      <c r="T43" s="182"/>
      <c r="U43" s="182"/>
      <c r="V43" s="183">
        <f>Energy_stables_ES/Bonefree_outof_CW_ES*(Share_heating_ES*(Share_biofuels_ES*EF_biofuels_CO2+(1-Share_biofuels_ES)*EF_oil_CO2)+(1-Share_heating_ES)*EF_el_CO2_ES)</f>
        <v>0.2618339594753899</v>
      </c>
      <c r="W43" s="184">
        <f>(Energy_slaughter_el_ES*EF_el_CO2_ES+Energy_slaughter_oil_ES*EF_oil_CO2)/Bonefree_outof_CW_ES</f>
        <v>0.69649659243303408</v>
      </c>
      <c r="Y43" s="19"/>
      <c r="Z43" s="19"/>
    </row>
    <row r="44" spans="1:26" x14ac:dyDescent="0.3">
      <c r="A44" s="12" t="s">
        <v>110</v>
      </c>
      <c r="B44" s="12" t="s">
        <v>111</v>
      </c>
      <c r="C44" s="16" t="s">
        <v>112</v>
      </c>
      <c r="D44" t="s">
        <v>66</v>
      </c>
      <c r="E44" s="17" t="s">
        <v>67</v>
      </c>
      <c r="F44" s="12" t="s">
        <v>115</v>
      </c>
      <c r="G44" s="19">
        <f t="shared" si="0"/>
        <v>4.1308429991658943E-2</v>
      </c>
      <c r="H44" s="34">
        <f>'CH4 per kg feed'!G125*FCR_bonefree_incl_parents_ES-Excreted_N_after_losses_ES*Manure_repl_factor_ES*(EF_min_fert_BAT_CH4*Frac_BAT_ES+EF_min_fert_AN_CH4*Frac_AN_ES)</f>
        <v>3.0406943917872791E-4</v>
      </c>
      <c r="I44" s="34">
        <f>'CH4 per kg feed'!H125*FCR_bonefree_incl_parents_ES</f>
        <v>5.2655736963523733E-4</v>
      </c>
      <c r="J44" s="34"/>
      <c r="K44" s="34"/>
      <c r="L44" s="34">
        <f>'CH4 per kg feed'!K125*FCR_bonefree_incl_parents_ES</f>
        <v>1.004392943763054E-4</v>
      </c>
      <c r="M44" s="34"/>
      <c r="N44" s="34">
        <f>'CH4 per kg feed'!M125*FCR_bonefree_incl_parents_ES</f>
        <v>0</v>
      </c>
      <c r="O44" s="34">
        <f>'CH4 per kg feed'!N125*FCR_bonefree_incl_parents_ES</f>
        <v>6.9538829046775685E-5</v>
      </c>
      <c r="P44" s="34">
        <f>'CH4 per kg feed'!O125*FCR_bonefree_incl_parents_ES</f>
        <v>0</v>
      </c>
      <c r="Q44" s="34">
        <f>'CH4 per kg feed'!P125*FCR_bonefree_incl_parents_ES</f>
        <v>5.0657668699911149E-3</v>
      </c>
      <c r="R44" s="4">
        <f>(Production!K37+Production!K38+Production!K39*4/12)*EF_ent_ferm_ES</f>
        <v>1.0683313974551908E-2</v>
      </c>
      <c r="S44" s="48">
        <f>SUM(T44:U44)</f>
        <v>1.1236432594966518E-2</v>
      </c>
      <c r="T44" s="63">
        <f>Manure!AO32</f>
        <v>1.1236432594966518E-2</v>
      </c>
      <c r="V44" s="4">
        <f>Energy_stables_ES/Bonefree_outof_CW_ES*(Share_heating_ES*(Share_biofuels_ES*EF_biofuel_CH4+(1-Share_biofuels_ES)*EF_oil_CH4)+(1-Share_heating_ES)*EF_el_CH4_ES)</f>
        <v>4.6600223295329454E-4</v>
      </c>
      <c r="W44" s="11">
        <f>(Energy_slaughter_el_ES*EF_el_CH4_ES+Energy_slaughter_oil_ES*EF_oil_CH4)/Bonefree_outof_CW_ES</f>
        <v>1.6198767919925426E-3</v>
      </c>
      <c r="Y44" s="33"/>
      <c r="Z44" s="33"/>
    </row>
    <row r="45" spans="1:26" ht="15" thickBot="1" x14ac:dyDescent="0.35">
      <c r="A45" s="12" t="s">
        <v>110</v>
      </c>
      <c r="B45" s="12" t="s">
        <v>111</v>
      </c>
      <c r="C45" s="16" t="s">
        <v>112</v>
      </c>
      <c r="D45" t="s">
        <v>66</v>
      </c>
      <c r="E45" s="17" t="s">
        <v>67</v>
      </c>
      <c r="F45" s="35" t="s">
        <v>116</v>
      </c>
      <c r="G45" s="19">
        <f t="shared" si="0"/>
        <v>5.4534502883591919E-3</v>
      </c>
      <c r="H45" s="34">
        <f>'N2O per kg feed'!G125*FCR_bonefree_incl_parents_ES-Excreted_N_after_losses_ES*Manure_repl_factor_ES*(EF_min_fert_BAT_N2O*Frac_BAT_ES+EF_min_fert_AN_N2O*Frac_AN_ES)</f>
        <v>5.7716801279593898E-4</v>
      </c>
      <c r="I45" s="33">
        <f>'N2O per kg feed'!H125*FCR_bonefree_incl_parents_ES</f>
        <v>7.6689941588987793E-5</v>
      </c>
      <c r="J45" s="33">
        <f>'N2O per kg feed'!I125*FCR_bonefree_incl_parents_ES-Excreted_N_after_losses_ES*Manure_repl_factor_ES*EF_N2O_diff_ES</f>
        <v>2.940216582379228E-3</v>
      </c>
      <c r="K45" s="33">
        <f>J45*EF_indirect_N2O_ES</f>
        <v>2.9402165823792282E-4</v>
      </c>
      <c r="L45" s="33">
        <f>'N2O per kg feed'!K125*FCR_bonefree_incl_parents_ES</f>
        <v>1.5687778739663951E-5</v>
      </c>
      <c r="M45" s="33"/>
      <c r="N45" s="33">
        <f>'N2O per kg feed'!M125*FCR_bonefree_incl_parents_ES</f>
        <v>0</v>
      </c>
      <c r="O45" s="33">
        <f>'N2O per kg feed'!N125*FCR_bonefree_incl_parents_ES</f>
        <v>1.580525584168723E-5</v>
      </c>
      <c r="P45" s="33">
        <f>'N2O per kg feed'!O125*FCR_bonefree_incl_parents_ES</f>
        <v>0</v>
      </c>
      <c r="Q45" s="33">
        <f>'N2O per kg feed'!P125*FCR_bonefree_incl_parents_ES</f>
        <v>2.1885712110817802E-4</v>
      </c>
      <c r="S45" s="48">
        <f>SUM(T45:U45)</f>
        <v>6.3249264382454382E-4</v>
      </c>
      <c r="T45" s="258">
        <f>Manure!AO88*44/28</f>
        <v>1.0126683780931295E-4</v>
      </c>
      <c r="U45" s="258">
        <f>NH3_per_kg_ES*17/14*Manure!AL117</f>
        <v>5.3122580601523087E-4</v>
      </c>
      <c r="V45" s="4">
        <f>Energy_stables_ES/Bonefree_outof_CW_ES*(Share_heating_ES*(Share_biofuels_ES*EF_biofuel_N2O+(1-Share_biofuels_ES)*EF_oil_N2O)+(1-Share_heating_ES)*EF_el_N2O_ES)</f>
        <v>2.0426031259174784E-5</v>
      </c>
      <c r="W45" s="11">
        <f>(Energy_slaughter_el_ES*EF_el_N2O_ES+Energy_slaughter_oil_ES*EF_oil_N2O)/Bonefree_outof_CW_ES</f>
        <v>2.959261875932204E-5</v>
      </c>
      <c r="Y45" s="33"/>
      <c r="Z45" s="33"/>
    </row>
    <row r="46" spans="1:26" ht="15.6" thickTop="1" thickBot="1" x14ac:dyDescent="0.35">
      <c r="A46" s="172" t="s">
        <v>110</v>
      </c>
      <c r="B46" s="172" t="s">
        <v>111</v>
      </c>
      <c r="C46" s="173" t="s">
        <v>112</v>
      </c>
      <c r="D46" s="212" t="s">
        <v>66</v>
      </c>
      <c r="E46" s="174" t="s">
        <v>67</v>
      </c>
      <c r="F46" s="175" t="s">
        <v>117</v>
      </c>
      <c r="G46" s="186">
        <f t="shared" si="0"/>
        <v>5.3833288187048094</v>
      </c>
      <c r="H46" s="176">
        <f>SUMPRODUCT(H43:H45,'Parameters, general'!$B$13:$B$15)</f>
        <v>0.42107209451827504</v>
      </c>
      <c r="I46" s="176">
        <f>SUMPRODUCT(I43:I45,'Parameters, general'!$B$13:$B$15)</f>
        <v>0.19094737986456639</v>
      </c>
      <c r="J46" s="176">
        <f>SUMPRODUCT(J43:J45,'Parameters, general'!$B$13:$B$15)</f>
        <v>2.0077060351700973</v>
      </c>
      <c r="K46" s="176">
        <f>SUMPRODUCT(K43:K45,'Parameters, general'!$B$13:$B$15)</f>
        <v>8.0267912698952934E-2</v>
      </c>
      <c r="L46" s="176">
        <f>SUMPRODUCT(L43:L45,'Parameters, general'!$B$13:$B$15)</f>
        <v>0.23905649199657511</v>
      </c>
      <c r="M46" s="176">
        <f>SUMPRODUCT(M43:M45,'Parameters, general'!$B$13:$B$15)</f>
        <v>0</v>
      </c>
      <c r="N46" s="176">
        <f>SUMPRODUCT(N43:N45,'Parameters, general'!$B$13:$B$15)</f>
        <v>0</v>
      </c>
      <c r="O46" s="176">
        <f>SUMPRODUCT(O43:O45,'Parameters, general'!$B$13:$B$15)</f>
        <v>0.20550283495694199</v>
      </c>
      <c r="P46" s="176">
        <f>SUMPRODUCT(P43:P45,'Parameters, general'!$B$13:$B$15)</f>
        <v>9.6183216058976104E-2</v>
      </c>
      <c r="Q46" s="176">
        <f>SUMPRODUCT(Q43:Q45,'Parameters, general'!$B$13:$B$15)</f>
        <v>0.2825690755978163</v>
      </c>
      <c r="R46" s="176">
        <f>SUMPRODUCT(R43:R45,'Parameters, general'!$B$13:$B$15)</f>
        <v>0.31836275644164685</v>
      </c>
      <c r="S46" s="176">
        <f>SUMPRODUCT(S43:S45,'Parameters, general'!$B$13:$B$15)</f>
        <v>0.50751618309410274</v>
      </c>
      <c r="T46" s="176"/>
      <c r="U46" s="176"/>
      <c r="V46" s="176">
        <f>SUMPRODUCT(V43:V45,'Parameters, general'!$B$13:$B$15)</f>
        <v>0.2812971325511528</v>
      </c>
      <c r="W46" s="176">
        <f>SUMPRODUCT(W43:W45,'Parameters, general'!$B$13:$B$15)</f>
        <v>0.7528477057557067</v>
      </c>
      <c r="Y46" s="112">
        <f>SUM(H46:Q46)</f>
        <v>3.5233050408622013</v>
      </c>
      <c r="Z46" s="211">
        <f>'CO2 per kg feed'!F125+'CH4 per kg feed'!F125*CF_GWP_CH4_fossil+'N2O per kg feed'!F125*CF_GWP_N2O</f>
        <v>0.55339912421575654</v>
      </c>
    </row>
    <row r="47" spans="1:26" ht="15" thickTop="1" x14ac:dyDescent="0.3">
      <c r="A47" s="12" t="s">
        <v>110</v>
      </c>
      <c r="B47" s="12" t="s">
        <v>111</v>
      </c>
      <c r="C47" s="16" t="s">
        <v>112</v>
      </c>
      <c r="D47" s="17" t="s">
        <v>68</v>
      </c>
      <c r="E47" s="17" t="s">
        <v>69</v>
      </c>
      <c r="F47" s="37" t="s">
        <v>114</v>
      </c>
      <c r="G47" s="181">
        <f t="shared" si="0"/>
        <v>2.6788552054567281</v>
      </c>
      <c r="H47" s="19">
        <f>'CO2 per kg feed'!G137*FCR_bonefree_incl_parents_SE-Excreted_N_after_losses_SE*Manure_repl_factor_SE*(EF_min_fert_BAT_CO2*Frac_BAT_SE+EF_min_fert_AN_CO2*Frac_AN_SE)</f>
        <v>0.25481276987825308</v>
      </c>
      <c r="I47" s="19">
        <f>'CO2 per kg feed'!H137*FCR_bonefree_incl_parents_SE</f>
        <v>0.15431961619564266</v>
      </c>
      <c r="J47" s="19">
        <f>'CO2 per kg feed'!I137*FCR_bonefree_incl_parents_SE</f>
        <v>1.205026908180568</v>
      </c>
      <c r="K47" s="19"/>
      <c r="L47" s="19">
        <f>'CO2 per kg feed'!K137*FCR_bonefree_incl_parents_SE</f>
        <v>0.23178063742823296</v>
      </c>
      <c r="M47" s="19"/>
      <c r="N47" s="19">
        <f>'CO2 per kg feed'!M137*FCR_bonefree_incl_parents_SE</f>
        <v>0</v>
      </c>
      <c r="O47" s="19">
        <f>'CO2 per kg feed'!N137*FCR_bonefree_incl_parents_SE</f>
        <v>0.19911574300656745</v>
      </c>
      <c r="P47" s="19">
        <f>'CO2 per kg feed'!O137*FCR_bonefree_incl_parents_SE</f>
        <v>9.6183216058976104E-2</v>
      </c>
      <c r="Q47" s="19">
        <f>'CO2 per kg feed'!P137*FCR_bonefree_incl_parents_SE</f>
        <v>7.1861228809548455E-2</v>
      </c>
      <c r="V47" s="4">
        <f>Energy_stables_SE*(Share_heating_SE*(Share_biofuels_SE*EF_biofuels_CO2+(1-Share_biofuels_SE)*EF_oil_CO2)+(1-Share_heating_SE)*EF_el_CO2_SE)</f>
        <v>0.10422665589672578</v>
      </c>
      <c r="W47" s="11">
        <f>(Energy_slaughter_el_SE*EF_el_CO2_SE+Energy_slaughter_oil_SE*EF_oil_CO2)/Bonefree_outof_CW_SE</f>
        <v>0.36152843000221363</v>
      </c>
    </row>
    <row r="48" spans="1:26" x14ac:dyDescent="0.3">
      <c r="A48" s="12" t="s">
        <v>110</v>
      </c>
      <c r="B48" s="12" t="s">
        <v>111</v>
      </c>
      <c r="C48" s="16" t="s">
        <v>112</v>
      </c>
      <c r="D48" s="17" t="s">
        <v>68</v>
      </c>
      <c r="E48" s="17" t="s">
        <v>69</v>
      </c>
      <c r="F48" s="12" t="s">
        <v>115</v>
      </c>
      <c r="G48" s="19">
        <f t="shared" si="0"/>
        <v>3.9551536785140486E-2</v>
      </c>
      <c r="H48" s="34">
        <f>'CH4 per kg feed'!G137*FCR_bonefree_incl_parents_SE-Excreted_N_after_losses_SE*Manure_repl_factor_SE*(EF_min_fert_BAT_CH4*Frac_BAT_SE+EF_min_fert_AN_CH4*Frac_AN_SE)</f>
        <v>3.0453342306876904E-4</v>
      </c>
      <c r="I48" s="34">
        <f>'CH4 per kg feed'!H137*FCR_bonefree_incl_parents_SE</f>
        <v>5.2655736963523733E-4</v>
      </c>
      <c r="J48" s="34"/>
      <c r="K48" s="34"/>
      <c r="L48" s="34">
        <f>'CH4 per kg feed'!K137*FCR_bonefree_incl_parents_SE</f>
        <v>1.004392943763054E-4</v>
      </c>
      <c r="M48" s="34"/>
      <c r="N48" s="34">
        <f>'CH4 per kg feed'!M137*FCR_bonefree_incl_parents_SE</f>
        <v>0</v>
      </c>
      <c r="O48" s="34">
        <f>'CH4 per kg feed'!N137*FCR_bonefree_incl_parents_SE</f>
        <v>6.9538829046775685E-5</v>
      </c>
      <c r="P48" s="34">
        <f>'CH4 per kg feed'!O137*FCR_bonefree_incl_parents_SE</f>
        <v>0</v>
      </c>
      <c r="Q48" s="34">
        <f>'CH4 per kg feed'!P137*FCR_bonefree_incl_parents_SE</f>
        <v>5.0657668699911149E-3</v>
      </c>
      <c r="R48" s="4">
        <f>(Production!L37+Production!L38+Production!L39*4/12)*EF_ent_ferm_SE</f>
        <v>1.0683313974551908E-2</v>
      </c>
      <c r="S48" s="108">
        <f>SUM(T48:U48)</f>
        <v>1.1236432594966518E-2</v>
      </c>
      <c r="T48" s="255">
        <f>Manure!AS32</f>
        <v>1.1236432594966518E-2</v>
      </c>
      <c r="V48" s="4">
        <f>Energy_stables_SE*(Share_heating_SE*(Share_biofuels_SE*EF_biofuel_CH4+(1-Share_biofuels_SE)*EF_oil_CH4)+(1-Share_heating_SE)*EF_el_CH4_SE)</f>
        <v>7.0605896365245733E-5</v>
      </c>
      <c r="W48" s="11">
        <f>(Energy_slaughter_el_SE*EF_el_CH4_SE+Energy_slaughter_oil_SE*EF_oil_CH4)/Bonefree_outof_CW_SE</f>
        <v>2.5791593817209155E-4</v>
      </c>
    </row>
    <row r="49" spans="1:26" ht="15" thickBot="1" x14ac:dyDescent="0.35">
      <c r="A49" s="12" t="s">
        <v>110</v>
      </c>
      <c r="B49" s="12" t="s">
        <v>111</v>
      </c>
      <c r="C49" s="16" t="s">
        <v>112</v>
      </c>
      <c r="D49" s="17" t="s">
        <v>68</v>
      </c>
      <c r="E49" s="17" t="s">
        <v>69</v>
      </c>
      <c r="F49" s="35" t="s">
        <v>116</v>
      </c>
      <c r="G49" s="19">
        <f t="shared" si="0"/>
        <v>6.6085405515193636E-3</v>
      </c>
      <c r="H49" s="34">
        <f>'N2O per kg feed'!G137*FCR_bonefree_incl_parents_SE-Excreted_N_after_losses_SE*Manure_repl_factor_SE*(EF_min_fert_BAT_N2O*Frac_BAT_SE+EF_min_fert_AN_N2O*Frac_AN_SE)</f>
        <v>5.7794354019798544E-4</v>
      </c>
      <c r="I49" s="33">
        <f>'N2O per kg feed'!H137*FCR_bonefree_incl_parents_SE</f>
        <v>7.6689941588987793E-5</v>
      </c>
      <c r="J49" s="33">
        <f>'N2O per kg feed'!I137*FCR_bonefree_incl_parents_SE-Excreted_N_after_losses_SE*Manure_repl_factor_SE*EF_N2O_diff_SE</f>
        <v>2.9413922184288155E-3</v>
      </c>
      <c r="K49" s="33">
        <f>J49*EF_indirect_N2O_SE</f>
        <v>2.9413922184288159E-4</v>
      </c>
      <c r="L49" s="33">
        <f>'N2O per kg feed'!K137*FCR_bonefree_incl_parents_SE</f>
        <v>1.5687778739663951E-5</v>
      </c>
      <c r="M49" s="33"/>
      <c r="N49" s="33">
        <f>'N2O per kg feed'!M137*FCR_bonefree_incl_parents_SE</f>
        <v>0</v>
      </c>
      <c r="O49" s="33">
        <f>'N2O per kg feed'!N137*FCR_bonefree_incl_parents_SE</f>
        <v>1.580525584168723E-5</v>
      </c>
      <c r="P49" s="33">
        <f>'N2O per kg feed'!O137*FCR_bonefree_incl_parents_SE</f>
        <v>0</v>
      </c>
      <c r="Q49" s="33">
        <f>'N2O per kg feed'!P137*FCR_bonefree_incl_parents_SE</f>
        <v>2.1885712110817802E-4</v>
      </c>
      <c r="S49" s="48">
        <f>SUM(T49:U49)</f>
        <v>1.2174422156144196E-3</v>
      </c>
      <c r="T49" s="258">
        <f>Manure!AS88*44/28</f>
        <v>6.8825728283649051E-4</v>
      </c>
      <c r="U49" s="258">
        <f>NH3_per_kg_SE*17/14*Manure!AP117</f>
        <v>5.2918493277792893E-4</v>
      </c>
      <c r="V49" s="4">
        <f>Energy_stables_SE*(Share_heating_SE*(Share_biofuels_SE*EF_biofuel_N2O+(1-Share_biofuels_SE)*EF_oil_N2O)+(1-Share_heating_SE)*EF_el_N2O_SE)</f>
        <v>1.094208508130847E-5</v>
      </c>
      <c r="W49" s="11">
        <f>(Energy_slaughter_el_SE*EF_el_N2O_SE+Energy_slaughter_oil_SE*EF_oil_N2O)/Bonefree_outof_CW_SE</f>
        <v>2.2198957461016948E-5</v>
      </c>
    </row>
    <row r="50" spans="1:26" ht="15" thickTop="1" x14ac:dyDescent="0.3">
      <c r="A50" s="172" t="s">
        <v>110</v>
      </c>
      <c r="B50" s="172" t="s">
        <v>111</v>
      </c>
      <c r="C50" s="173" t="s">
        <v>112</v>
      </c>
      <c r="D50" s="174" t="s">
        <v>68</v>
      </c>
      <c r="E50" s="174" t="s">
        <v>69</v>
      </c>
      <c r="F50" s="175" t="s">
        <v>117</v>
      </c>
      <c r="G50" s="213">
        <f t="shared" si="0"/>
        <v>4.9944151560259629</v>
      </c>
      <c r="H50" s="227">
        <f>SUMPRODUCT(H47:H49,'Parameters, general'!$B$13:$B$15)</f>
        <v>0.42166645235975242</v>
      </c>
      <c r="I50" s="176">
        <f>SUMPRODUCT(I47:I49,'Parameters, general'!$B$13:$B$15)</f>
        <v>0.19094737986456639</v>
      </c>
      <c r="J50" s="176">
        <f>SUMPRODUCT(J47:J49,'Parameters, general'!$B$13:$B$15)</f>
        <v>2.0080269838116349</v>
      </c>
      <c r="K50" s="176">
        <f>SUMPRODUCT(K47:K49,'Parameters, general'!$B$13:$B$15)</f>
        <v>8.0300007563106679E-2</v>
      </c>
      <c r="L50" s="176">
        <f>SUMPRODUCT(L47:L49,'Parameters, general'!$B$13:$B$15)</f>
        <v>0.23905649199657511</v>
      </c>
      <c r="M50" s="176">
        <f>SUMPRODUCT(M47:M49,'Parameters, general'!$B$13:$B$15)</f>
        <v>0</v>
      </c>
      <c r="N50" s="176">
        <f>SUMPRODUCT(N47:N49,'Parameters, general'!$B$13:$B$15)</f>
        <v>0</v>
      </c>
      <c r="O50" s="176">
        <f>SUMPRODUCT(O47:O49,'Parameters, general'!$B$13:$B$15)</f>
        <v>0.20550283495694199</v>
      </c>
      <c r="P50" s="176">
        <f>SUMPRODUCT(P47:P49,'Parameters, general'!$B$13:$B$15)</f>
        <v>9.6183216058976104E-2</v>
      </c>
      <c r="Q50" s="176">
        <f>SUMPRODUCT(Q47:Q49,'Parameters, general'!$B$13:$B$15)</f>
        <v>0.2825690755978163</v>
      </c>
      <c r="R50" s="176">
        <f>SUMPRODUCT(R47:R49,'Parameters, general'!$B$13:$B$15)</f>
        <v>0.31836275644164685</v>
      </c>
      <c r="S50" s="176">
        <f>SUMPRODUCT(S47:S49,'Parameters, general'!$B$13:$B$15)</f>
        <v>0.66720741619273882</v>
      </c>
      <c r="T50" s="177"/>
      <c r="U50" s="177"/>
      <c r="V50" s="176">
        <f>SUMPRODUCT(V47:V49,'Parameters, general'!$B$13:$B$15)</f>
        <v>0.1093179008356073</v>
      </c>
      <c r="W50" s="176">
        <f>SUMPRODUCT(W47:W49,'Parameters, general'!$B$13:$B$15)</f>
        <v>0.37527464034659958</v>
      </c>
      <c r="Y50" s="112">
        <f>SUM(H50:Q50)</f>
        <v>3.5242524422093702</v>
      </c>
      <c r="Z50" s="211">
        <f>'CO2 per kg feed'!F137+'CH4 per kg feed'!F137*CF_GWP_CH4_fossil+'N2O per kg feed'!F137*CF_GWP_N2O</f>
        <v>0.55339912421575654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41"/>
  <sheetViews>
    <sheetView topLeftCell="K4" zoomScale="92" zoomScaleNormal="110" workbookViewId="0">
      <selection activeCell="M4" sqref="M4"/>
    </sheetView>
  </sheetViews>
  <sheetFormatPr defaultRowHeight="14.4" x14ac:dyDescent="0.3"/>
  <cols>
    <col min="1" max="1" width="59.44140625" customWidth="1"/>
    <col min="2" max="11" width="10.6640625" customWidth="1"/>
    <col min="12" max="13" width="10.6640625" style="239" customWidth="1"/>
  </cols>
  <sheetData>
    <row r="2" spans="1:22" ht="18" x14ac:dyDescent="0.35">
      <c r="A2" s="1" t="s">
        <v>121</v>
      </c>
      <c r="B2" t="s">
        <v>49</v>
      </c>
      <c r="C2" t="s">
        <v>51</v>
      </c>
      <c r="D2" t="s">
        <v>53</v>
      </c>
      <c r="E2" t="s">
        <v>55</v>
      </c>
      <c r="F2" t="s">
        <v>57</v>
      </c>
      <c r="G2" t="s">
        <v>59</v>
      </c>
      <c r="H2" t="s">
        <v>61</v>
      </c>
      <c r="I2" t="s">
        <v>63</v>
      </c>
      <c r="J2" t="s">
        <v>65</v>
      </c>
      <c r="K2" t="s">
        <v>67</v>
      </c>
      <c r="L2" s="251" t="s">
        <v>69</v>
      </c>
      <c r="M2" s="251" t="s">
        <v>71</v>
      </c>
    </row>
    <row r="3" spans="1:22" ht="18" x14ac:dyDescent="0.35">
      <c r="A3" s="1"/>
      <c r="B3" s="130" t="s">
        <v>48</v>
      </c>
      <c r="C3" s="130" t="s">
        <v>50</v>
      </c>
      <c r="D3" s="130" t="s">
        <v>52</v>
      </c>
      <c r="E3" s="130" t="s">
        <v>54</v>
      </c>
      <c r="F3" s="130" t="s">
        <v>56</v>
      </c>
      <c r="G3" s="130" t="s">
        <v>58</v>
      </c>
      <c r="H3" s="130" t="s">
        <v>60</v>
      </c>
      <c r="I3" s="130" t="s">
        <v>62</v>
      </c>
      <c r="J3" s="130" t="s">
        <v>64</v>
      </c>
      <c r="K3" s="130" t="s">
        <v>66</v>
      </c>
      <c r="L3" s="260" t="s">
        <v>68</v>
      </c>
      <c r="M3" s="260" t="s">
        <v>70</v>
      </c>
      <c r="V3" s="259"/>
    </row>
    <row r="4" spans="1:22" x14ac:dyDescent="0.3">
      <c r="A4" s="118" t="s">
        <v>122</v>
      </c>
      <c r="B4" s="171"/>
      <c r="C4" s="171"/>
      <c r="D4" s="171"/>
      <c r="E4" s="171"/>
      <c r="F4" s="171"/>
      <c r="G4" s="171"/>
      <c r="H4" s="171"/>
      <c r="I4" s="171"/>
      <c r="J4" s="171"/>
      <c r="K4" s="171"/>
      <c r="L4" s="252"/>
      <c r="M4" s="252"/>
      <c r="V4" s="259"/>
    </row>
    <row r="5" spans="1:22" x14ac:dyDescent="0.3">
      <c r="A5" s="3" t="s">
        <v>123</v>
      </c>
      <c r="B5" s="256">
        <v>1</v>
      </c>
      <c r="C5" s="256">
        <v>1</v>
      </c>
      <c r="D5" s="256">
        <v>1</v>
      </c>
      <c r="E5" s="256">
        <v>1</v>
      </c>
      <c r="F5" s="256">
        <v>1</v>
      </c>
      <c r="G5" s="256">
        <v>1</v>
      </c>
      <c r="H5" s="256">
        <v>1</v>
      </c>
      <c r="I5" s="256">
        <v>1</v>
      </c>
      <c r="J5" s="256">
        <v>1</v>
      </c>
      <c r="K5" s="256">
        <v>1</v>
      </c>
      <c r="L5" s="256">
        <v>1</v>
      </c>
      <c r="M5" s="256">
        <v>1</v>
      </c>
      <c r="O5" s="95" t="s">
        <v>124</v>
      </c>
      <c r="V5" s="259"/>
    </row>
    <row r="6" spans="1:22" x14ac:dyDescent="0.3">
      <c r="A6" s="3" t="s">
        <v>125</v>
      </c>
      <c r="B6" s="233">
        <f>B5*'Parameters, country spec'!B12/100</f>
        <v>0.55000000000000004</v>
      </c>
      <c r="C6" s="233">
        <f>C5*'Parameters, country spec'!C12/100</f>
        <v>0.55000000000000004</v>
      </c>
      <c r="D6" s="233">
        <f>D5*'Parameters, country spec'!D12/100</f>
        <v>0.55000000000000004</v>
      </c>
      <c r="E6" s="233">
        <f>E5*'Parameters, country spec'!E12/100</f>
        <v>0.55000000000000004</v>
      </c>
      <c r="F6" s="233">
        <f>F5*'Parameters, country spec'!F12/100</f>
        <v>0.55000000000000004</v>
      </c>
      <c r="G6" s="233">
        <f>G5*'Parameters, country spec'!G12/100</f>
        <v>0.55000000000000004</v>
      </c>
      <c r="H6" s="233">
        <f>H5*'Parameters, country spec'!H12/100</f>
        <v>0.55000000000000004</v>
      </c>
      <c r="I6" s="233">
        <f>I5*'Parameters, country spec'!I12/100</f>
        <v>0.55000000000000004</v>
      </c>
      <c r="J6" s="233">
        <f>J5*'Parameters, country spec'!J12/100</f>
        <v>0.55000000000000004</v>
      </c>
      <c r="K6" s="233">
        <f>K5*'Parameters, country spec'!K12/100</f>
        <v>0.55000000000000004</v>
      </c>
      <c r="L6" s="233">
        <f>L5*'Parameters, country spec'!L12/100</f>
        <v>0.55000000000000004</v>
      </c>
      <c r="M6" s="233">
        <f>M5*'Parameters, country spec'!M12/100</f>
        <v>0.55000000000000004</v>
      </c>
      <c r="O6" s="95" t="s">
        <v>126</v>
      </c>
      <c r="V6" s="259"/>
    </row>
    <row r="7" spans="1:22" x14ac:dyDescent="0.3">
      <c r="A7" s="3" t="s">
        <v>127</v>
      </c>
      <c r="B7" s="233">
        <f t="shared" ref="B7:L7" si="0">B5*Boars_per_sow</f>
        <v>1.2143013015902067E-2</v>
      </c>
      <c r="C7" s="233">
        <f t="shared" si="0"/>
        <v>1.2143013015902067E-2</v>
      </c>
      <c r="D7" s="233">
        <f t="shared" si="0"/>
        <v>1.2143013015902067E-2</v>
      </c>
      <c r="E7" s="233">
        <f t="shared" si="0"/>
        <v>1.2143013015902067E-2</v>
      </c>
      <c r="F7" s="233">
        <f t="shared" si="0"/>
        <v>1.2143013015902067E-2</v>
      </c>
      <c r="G7" s="233">
        <f t="shared" si="0"/>
        <v>1.2143013015902067E-2</v>
      </c>
      <c r="H7" s="233">
        <f t="shared" si="0"/>
        <v>1.2143013015902067E-2</v>
      </c>
      <c r="I7" s="233">
        <f t="shared" si="0"/>
        <v>1.2143013015902067E-2</v>
      </c>
      <c r="J7" s="233">
        <f t="shared" si="0"/>
        <v>1.2143013015902067E-2</v>
      </c>
      <c r="K7" s="233">
        <f t="shared" si="0"/>
        <v>1.2143013015902067E-2</v>
      </c>
      <c r="L7" s="233">
        <f t="shared" si="0"/>
        <v>1.2143013015902067E-2</v>
      </c>
      <c r="M7" s="233">
        <f t="shared" ref="M7" si="1">M5*Boars_per_sow</f>
        <v>1.2143013015902067E-2</v>
      </c>
      <c r="O7" s="95"/>
      <c r="V7" s="259"/>
    </row>
    <row r="8" spans="1:22" x14ac:dyDescent="0.3">
      <c r="A8" s="3" t="s">
        <v>128</v>
      </c>
      <c r="B8" s="251">
        <f>B5*'Parameters, country spec'!B16-B6</f>
        <v>22</v>
      </c>
      <c r="C8" s="251">
        <f>C5*'Parameters, country spec'!C16-C6</f>
        <v>22</v>
      </c>
      <c r="D8" s="251">
        <f>D5*'Parameters, country spec'!D16-D6</f>
        <v>22</v>
      </c>
      <c r="E8" s="251">
        <f>E5*'Parameters, country spec'!E16-E6</f>
        <v>22</v>
      </c>
      <c r="F8" s="251">
        <f>F5*'Parameters, country spec'!F16-F6</f>
        <v>22</v>
      </c>
      <c r="G8" s="251">
        <f>G5*'Parameters, country spec'!G16-G6</f>
        <v>22</v>
      </c>
      <c r="H8" s="251">
        <f>H5*'Parameters, country spec'!H16-H6</f>
        <v>22</v>
      </c>
      <c r="I8" s="251">
        <f>I5*'Parameters, country spec'!I16-I6</f>
        <v>22</v>
      </c>
      <c r="J8" s="251">
        <f>J5*'Parameters, country spec'!J16-J6</f>
        <v>22</v>
      </c>
      <c r="K8" s="251">
        <f>K5*'Parameters, country spec'!K16-K6</f>
        <v>22</v>
      </c>
      <c r="L8" s="251">
        <f>L5*'Parameters, country spec'!L16-L6</f>
        <v>22</v>
      </c>
      <c r="M8" s="251">
        <f>M5*'Parameters, country spec'!M16-M6</f>
        <v>22</v>
      </c>
      <c r="O8" s="95" t="s">
        <v>129</v>
      </c>
      <c r="V8" s="259"/>
    </row>
    <row r="9" spans="1:22" x14ac:dyDescent="0.3">
      <c r="A9" s="3" t="s">
        <v>130</v>
      </c>
      <c r="B9" s="251">
        <f>B5*'Parameters, country spec'!B16</f>
        <v>22.55</v>
      </c>
      <c r="C9" s="251">
        <f>C5*'Parameters, country spec'!C16</f>
        <v>22.55</v>
      </c>
      <c r="D9" s="251">
        <f>D5*'Parameters, country spec'!D16</f>
        <v>22.55</v>
      </c>
      <c r="E9" s="251">
        <f>E5*'Parameters, country spec'!E16</f>
        <v>22.55</v>
      </c>
      <c r="F9" s="251">
        <f>F5*'Parameters, country spec'!F16</f>
        <v>22.55</v>
      </c>
      <c r="G9" s="251">
        <f>G5*'Parameters, country spec'!G16</f>
        <v>22.55</v>
      </c>
      <c r="H9" s="251">
        <f>H5*'Parameters, country spec'!H16</f>
        <v>22.55</v>
      </c>
      <c r="I9" s="251">
        <f>I5*'Parameters, country spec'!I16</f>
        <v>22.55</v>
      </c>
      <c r="J9" s="251">
        <f>J5*'Parameters, country spec'!J16</f>
        <v>22.55</v>
      </c>
      <c r="K9" s="251">
        <f>K5*'Parameters, country spec'!K16</f>
        <v>22.55</v>
      </c>
      <c r="L9" s="251">
        <f>L5*'Parameters, country spec'!L16</f>
        <v>22.55</v>
      </c>
      <c r="M9" s="251">
        <f>M5*'Parameters, country spec'!M16</f>
        <v>22.55</v>
      </c>
      <c r="O9" s="95" t="s">
        <v>131</v>
      </c>
      <c r="V9" s="259"/>
    </row>
    <row r="10" spans="1:22" x14ac:dyDescent="0.3">
      <c r="A10" s="6" t="s">
        <v>132</v>
      </c>
      <c r="B10" s="253">
        <f>SUM(B5:B8)</f>
        <v>23.562143013015902</v>
      </c>
      <c r="C10" s="253">
        <f t="shared" ref="C10:K10" si="2">SUM(C5:C8)</f>
        <v>23.562143013015902</v>
      </c>
      <c r="D10" s="253">
        <f t="shared" si="2"/>
        <v>23.562143013015902</v>
      </c>
      <c r="E10" s="253">
        <f t="shared" si="2"/>
        <v>23.562143013015902</v>
      </c>
      <c r="F10" s="253">
        <f t="shared" si="2"/>
        <v>23.562143013015902</v>
      </c>
      <c r="G10" s="253">
        <f t="shared" si="2"/>
        <v>23.562143013015902</v>
      </c>
      <c r="H10" s="253">
        <f t="shared" si="2"/>
        <v>23.562143013015902</v>
      </c>
      <c r="I10" s="253">
        <f t="shared" si="2"/>
        <v>23.562143013015902</v>
      </c>
      <c r="J10" s="253">
        <f t="shared" si="2"/>
        <v>23.562143013015902</v>
      </c>
      <c r="K10" s="253">
        <f t="shared" si="2"/>
        <v>23.562143013015902</v>
      </c>
      <c r="L10" s="253">
        <f>SUM(L5:L8)</f>
        <v>23.562143013015902</v>
      </c>
      <c r="M10" s="253">
        <f>SUM(M5:M8)</f>
        <v>23.562143013015902</v>
      </c>
      <c r="O10" s="95"/>
      <c r="V10" s="259"/>
    </row>
    <row r="11" spans="1:22" x14ac:dyDescent="0.3">
      <c r="A11" s="118" t="s">
        <v>133</v>
      </c>
      <c r="B11" s="72"/>
      <c r="C11" s="72"/>
      <c r="D11" s="72"/>
      <c r="E11" s="72"/>
      <c r="F11" s="72"/>
      <c r="G11" s="72"/>
      <c r="H11" s="72"/>
      <c r="I11" s="72"/>
      <c r="J11" s="72"/>
      <c r="K11" s="72"/>
      <c r="L11" s="72"/>
      <c r="M11" s="72"/>
      <c r="O11" s="95"/>
      <c r="V11" s="259"/>
    </row>
    <row r="12" spans="1:22" x14ac:dyDescent="0.3">
      <c r="A12" s="3" t="s">
        <v>123</v>
      </c>
      <c r="B12" s="251">
        <f>B5*'Parameters, country spec'!B12/100*(1-'Parameters, country spec'!B18/100)</f>
        <v>0.53113946994562289</v>
      </c>
      <c r="C12" s="251">
        <f>C5*'Parameters, country spec'!C12/100*(1-'Parameters, country spec'!C18/100)</f>
        <v>0.53113946994562289</v>
      </c>
      <c r="D12" s="251">
        <f>D5*'Parameters, country spec'!D12/100*(1-'Parameters, country spec'!D18/100)</f>
        <v>0.53113946994562289</v>
      </c>
      <c r="E12" s="251">
        <f>E5*'Parameters, country spec'!E12/100*(1-'Parameters, country spec'!E18/100)</f>
        <v>0.53113946994562289</v>
      </c>
      <c r="F12" s="251">
        <f>F5*'Parameters, country spec'!F12/100*(1-'Parameters, country spec'!F18/100)</f>
        <v>0.53113946994562289</v>
      </c>
      <c r="G12" s="251">
        <f>G5*'Parameters, country spec'!G12/100*(1-'Parameters, country spec'!G18/100)</f>
        <v>0.53113946994562289</v>
      </c>
      <c r="H12" s="251">
        <f>H5*'Parameters, country spec'!H12/100*(1-'Parameters, country spec'!H18/100)</f>
        <v>0.53113946994562289</v>
      </c>
      <c r="I12" s="251">
        <f>I5*'Parameters, country spec'!I12/100*(1-'Parameters, country spec'!I18/100)</f>
        <v>0.53113946994562289</v>
      </c>
      <c r="J12" s="251">
        <f>J5*'Parameters, country spec'!J12/100*(1-'Parameters, country spec'!J18/100)</f>
        <v>0.53113946994562289</v>
      </c>
      <c r="K12" s="251">
        <f>K5*'Parameters, country spec'!K12/100*(1-'Parameters, country spec'!K18/100)</f>
        <v>0.53113946994562289</v>
      </c>
      <c r="L12" s="233">
        <f>L5*'Parameters, country spec'!L12/100*(1-'Parameters, country spec'!L18/100)</f>
        <v>0.53113946994562289</v>
      </c>
      <c r="M12" s="233">
        <f>M5*'Parameters, country spec'!M12/100*(1-'Parameters, country spec'!M18/100)</f>
        <v>0.53113946994562289</v>
      </c>
      <c r="N12" s="16"/>
      <c r="O12" s="247" t="s">
        <v>134</v>
      </c>
      <c r="V12" s="259"/>
    </row>
    <row r="13" spans="1:22" x14ac:dyDescent="0.3">
      <c r="A13" s="3" t="s">
        <v>127</v>
      </c>
      <c r="B13" s="233">
        <f>B7*(1-'Parameters, country spec'!B18/100)</f>
        <v>1.1726606357834589E-2</v>
      </c>
      <c r="C13" s="233">
        <f>C7*(1-'Parameters, country spec'!C18/100)</f>
        <v>1.1726606357834589E-2</v>
      </c>
      <c r="D13" s="233">
        <f>D7*(1-'Parameters, country spec'!D18/100)</f>
        <v>1.1726606357834589E-2</v>
      </c>
      <c r="E13" s="233">
        <f>E7*(1-'Parameters, country spec'!E18/100)</f>
        <v>1.1726606357834589E-2</v>
      </c>
      <c r="F13" s="233">
        <f>F7*(1-'Parameters, country spec'!F18/100)</f>
        <v>1.1726606357834589E-2</v>
      </c>
      <c r="G13" s="233">
        <f>G7*(1-'Parameters, country spec'!G18/100)</f>
        <v>1.1726606357834589E-2</v>
      </c>
      <c r="H13" s="233">
        <f>H7*(1-'Parameters, country spec'!H18/100)</f>
        <v>1.1726606357834589E-2</v>
      </c>
      <c r="I13" s="233">
        <f>I7*(1-'Parameters, country spec'!I18/100)</f>
        <v>1.1726606357834589E-2</v>
      </c>
      <c r="J13" s="233">
        <f>J7*(1-'Parameters, country spec'!J18/100)</f>
        <v>1.1726606357834589E-2</v>
      </c>
      <c r="K13" s="233">
        <f>K7*(1-'Parameters, country spec'!K18/100)</f>
        <v>1.1726606357834589E-2</v>
      </c>
      <c r="L13" s="233">
        <f>L7*(1-'Parameters, country spec'!L18/100)</f>
        <v>1.1726606357834589E-2</v>
      </c>
      <c r="M13" s="233">
        <f>M7*(1-'Parameters, country spec'!M18/100)</f>
        <v>1.1726606357834589E-2</v>
      </c>
      <c r="N13" s="16"/>
      <c r="O13" s="247"/>
      <c r="V13" s="259"/>
    </row>
    <row r="14" spans="1:22" x14ac:dyDescent="0.3">
      <c r="A14" s="3" t="s">
        <v>128</v>
      </c>
      <c r="B14" s="251">
        <f>B8*(1-'Parameters, country spec'!B6/100)*(1-'Parameters, country spec'!B7/100)</f>
        <v>21.497475999999999</v>
      </c>
      <c r="C14" s="251">
        <f>C8*(1-'Parameters, country spec'!C6/100)*(1-'Parameters, country spec'!C7/100)</f>
        <v>21.497475999999999</v>
      </c>
      <c r="D14" s="251">
        <f>D8*(1-'Parameters, country spec'!D6/100)*(1-'Parameters, country spec'!D7/100)</f>
        <v>21.497475999999999</v>
      </c>
      <c r="E14" s="251">
        <f>E8*(1-'Parameters, country spec'!E6/100)*(1-'Parameters, country spec'!E7/100)</f>
        <v>21.497475999999999</v>
      </c>
      <c r="F14" s="251">
        <f>F8*(1-'Parameters, country spec'!F6/100)*(1-'Parameters, country spec'!F7/100)</f>
        <v>21.497475999999999</v>
      </c>
      <c r="G14" s="251">
        <f>G8*(1-'Parameters, country spec'!G6/100)*(1-'Parameters, country spec'!G7/100)</f>
        <v>21.497475999999999</v>
      </c>
      <c r="H14" s="251">
        <f>H8*(1-'Parameters, country spec'!H6/100)*(1-'Parameters, country spec'!H7/100)</f>
        <v>21.497475999999999</v>
      </c>
      <c r="I14" s="251">
        <f>I8*(1-'Parameters, country spec'!I6/100)*(1-'Parameters, country spec'!I7/100)</f>
        <v>21.497475999999999</v>
      </c>
      <c r="J14" s="251">
        <f>J8*(1-'Parameters, country spec'!J6/100)*(1-'Parameters, country spec'!J7/100)</f>
        <v>21.497475999999999</v>
      </c>
      <c r="K14" s="251">
        <f>K8*(1-'Parameters, country spec'!K6/100)*(1-'Parameters, country spec'!K7/100)</f>
        <v>21.497475999999999</v>
      </c>
      <c r="L14" s="251">
        <f>L8*(1-'Parameters, country spec'!L6/100)*(1-'Parameters, country spec'!L7/100)</f>
        <v>21.497475999999999</v>
      </c>
      <c r="M14" s="251">
        <f>M8*(1-'Parameters, country spec'!M6/100)*(1-'Parameters, country spec'!M7/100)</f>
        <v>21.497475999999999</v>
      </c>
      <c r="O14" s="247" t="s">
        <v>135</v>
      </c>
    </row>
    <row r="15" spans="1:22" x14ac:dyDescent="0.3">
      <c r="A15" s="6" t="s">
        <v>132</v>
      </c>
      <c r="B15" s="253">
        <f>SUM(B12:B14)</f>
        <v>22.040342076303457</v>
      </c>
      <c r="C15" s="253">
        <f t="shared" ref="C15:K15" si="3">SUM(C12:C14)</f>
        <v>22.040342076303457</v>
      </c>
      <c r="D15" s="253">
        <f t="shared" si="3"/>
        <v>22.040342076303457</v>
      </c>
      <c r="E15" s="253">
        <f t="shared" si="3"/>
        <v>22.040342076303457</v>
      </c>
      <c r="F15" s="253">
        <f t="shared" si="3"/>
        <v>22.040342076303457</v>
      </c>
      <c r="G15" s="253">
        <f t="shared" si="3"/>
        <v>22.040342076303457</v>
      </c>
      <c r="H15" s="253">
        <f t="shared" si="3"/>
        <v>22.040342076303457</v>
      </c>
      <c r="I15" s="253">
        <f t="shared" si="3"/>
        <v>22.040342076303457</v>
      </c>
      <c r="J15" s="253">
        <f t="shared" si="3"/>
        <v>22.040342076303457</v>
      </c>
      <c r="K15" s="253">
        <f t="shared" si="3"/>
        <v>22.040342076303457</v>
      </c>
      <c r="L15" s="253">
        <f>SUM(L12:L14)</f>
        <v>22.040342076303457</v>
      </c>
      <c r="M15" s="253">
        <f>SUM(M12:M14)</f>
        <v>22.040342076303457</v>
      </c>
      <c r="O15" s="95"/>
    </row>
    <row r="16" spans="1:22" x14ac:dyDescent="0.3">
      <c r="A16" s="118" t="s">
        <v>136</v>
      </c>
      <c r="B16" s="254"/>
      <c r="C16" s="254"/>
      <c r="D16" s="254"/>
      <c r="E16" s="254"/>
      <c r="F16" s="254"/>
      <c r="G16" s="254"/>
      <c r="H16" s="254"/>
      <c r="I16" s="254"/>
      <c r="J16" s="254"/>
      <c r="K16" s="254"/>
      <c r="L16" s="254"/>
      <c r="M16" s="254"/>
      <c r="O16" s="95"/>
    </row>
    <row r="17" spans="1:15" x14ac:dyDescent="0.3">
      <c r="A17" s="3" t="s">
        <v>123</v>
      </c>
      <c r="B17" s="251">
        <f>B12*'Parameters, country spec'!B10</f>
        <v>95.339534855239307</v>
      </c>
      <c r="C17" s="251">
        <f>C12*'Parameters, country spec'!C10</f>
        <v>95.339534855239307</v>
      </c>
      <c r="D17" s="251">
        <f>D12*'Parameters, country spec'!D10</f>
        <v>95.339534855239307</v>
      </c>
      <c r="E17" s="251">
        <f>E12*'Parameters, country spec'!E10</f>
        <v>95.339534855239307</v>
      </c>
      <c r="F17" s="251">
        <f>F12*'Parameters, country spec'!F10</f>
        <v>95.339534855239307</v>
      </c>
      <c r="G17" s="251">
        <f>G12*'Parameters, country spec'!G10</f>
        <v>95.339534855239307</v>
      </c>
      <c r="H17" s="251">
        <f>H12*'Parameters, country spec'!H10</f>
        <v>95.339534855239307</v>
      </c>
      <c r="I17" s="251">
        <f>I12*'Parameters, country spec'!I10</f>
        <v>95.339534855239307</v>
      </c>
      <c r="J17" s="251">
        <f>J12*'Parameters, country spec'!J10</f>
        <v>95.339534855239307</v>
      </c>
      <c r="K17" s="251">
        <f>K12*'Parameters, country spec'!K10</f>
        <v>95.339534855239307</v>
      </c>
      <c r="L17" s="251">
        <f>L12*'Parameters, country spec'!L10</f>
        <v>95.339534855239307</v>
      </c>
      <c r="M17" s="251">
        <f>M12*'Parameters, country spec'!M10</f>
        <v>95.339534855239307</v>
      </c>
      <c r="O17" s="95" t="s">
        <v>137</v>
      </c>
    </row>
    <row r="18" spans="1:15" x14ac:dyDescent="0.3">
      <c r="A18" s="3" t="s">
        <v>127</v>
      </c>
      <c r="B18" s="256">
        <f>B13*'Parameters, country spec'!B9</f>
        <v>1.0741571423776484</v>
      </c>
      <c r="C18" s="256">
        <f>C13*'Parameters, country spec'!C9</f>
        <v>1.0741571423776484</v>
      </c>
      <c r="D18" s="256">
        <f>D13*'Parameters, country spec'!D9</f>
        <v>1.0741571423776484</v>
      </c>
      <c r="E18" s="256">
        <f>E13*'Parameters, country spec'!E9</f>
        <v>1.0741571423776484</v>
      </c>
      <c r="F18" s="256">
        <f>F13*'Parameters, country spec'!F9</f>
        <v>1.0741571423776484</v>
      </c>
      <c r="G18" s="256">
        <f>G13*'Parameters, country spec'!G9</f>
        <v>1.0741571423776484</v>
      </c>
      <c r="H18" s="256">
        <f>H13*'Parameters, country spec'!H9</f>
        <v>1.0741571423776484</v>
      </c>
      <c r="I18" s="256">
        <f>I13*'Parameters, country spec'!I9</f>
        <v>1.0741571423776484</v>
      </c>
      <c r="J18" s="256">
        <f>J13*'Parameters, country spec'!J9</f>
        <v>1.0741571423776484</v>
      </c>
      <c r="K18" s="256">
        <f>K13*'Parameters, country spec'!K9</f>
        <v>1.0741571423776484</v>
      </c>
      <c r="L18" s="256">
        <f>L13*'Parameters, country spec'!L9</f>
        <v>1.0741571423776484</v>
      </c>
      <c r="M18" s="256">
        <f>M13*'Parameters, country spec'!M9</f>
        <v>1.0741571423776484</v>
      </c>
    </row>
    <row r="19" spans="1:15" x14ac:dyDescent="0.3">
      <c r="A19" s="3" t="s">
        <v>128</v>
      </c>
      <c r="B19" s="251">
        <f>B14*'Parameters, country spec'!B9</f>
        <v>1969.1688015999998</v>
      </c>
      <c r="C19" s="251">
        <f>C14*'Parameters, country spec'!C9</f>
        <v>1969.1688015999998</v>
      </c>
      <c r="D19" s="251">
        <f>D14*'Parameters, country spec'!D9</f>
        <v>1969.1688015999998</v>
      </c>
      <c r="E19" s="251">
        <f>E14*'Parameters, country spec'!E9</f>
        <v>1969.1688015999998</v>
      </c>
      <c r="F19" s="251">
        <f>F14*'Parameters, country spec'!F9</f>
        <v>1969.1688015999998</v>
      </c>
      <c r="G19" s="251">
        <f>G14*'Parameters, country spec'!G9</f>
        <v>1969.1688015999998</v>
      </c>
      <c r="H19" s="251">
        <f>H14*'Parameters, country spec'!H9</f>
        <v>1969.1688015999998</v>
      </c>
      <c r="I19" s="251">
        <f>I14*'Parameters, country spec'!I9</f>
        <v>1969.1688015999998</v>
      </c>
      <c r="J19" s="251">
        <f>J14*'Parameters, country spec'!J9</f>
        <v>1969.1688015999998</v>
      </c>
      <c r="K19" s="251">
        <f>K14*'Parameters, country spec'!K9</f>
        <v>1969.1688015999998</v>
      </c>
      <c r="L19" s="251">
        <f>L14*'Parameters, country spec'!L9</f>
        <v>1969.1688015999998</v>
      </c>
      <c r="M19" s="251">
        <f>M14*'Parameters, country spec'!M9</f>
        <v>1969.1688015999998</v>
      </c>
    </row>
    <row r="20" spans="1:15" x14ac:dyDescent="0.3">
      <c r="A20" s="6" t="s">
        <v>132</v>
      </c>
      <c r="B20" s="253">
        <f>SUM(B17:B19)</f>
        <v>2065.5824935976166</v>
      </c>
      <c r="C20" s="253">
        <f t="shared" ref="C20:K20" si="4">SUM(C17:C19)</f>
        <v>2065.5824935976166</v>
      </c>
      <c r="D20" s="253">
        <f t="shared" si="4"/>
        <v>2065.5824935976166</v>
      </c>
      <c r="E20" s="253">
        <f t="shared" si="4"/>
        <v>2065.5824935976166</v>
      </c>
      <c r="F20" s="253">
        <f t="shared" si="4"/>
        <v>2065.5824935976166</v>
      </c>
      <c r="G20" s="253">
        <f t="shared" si="4"/>
        <v>2065.5824935976166</v>
      </c>
      <c r="H20" s="253">
        <f t="shared" si="4"/>
        <v>2065.5824935976166</v>
      </c>
      <c r="I20" s="253">
        <f t="shared" si="4"/>
        <v>2065.5824935976166</v>
      </c>
      <c r="J20" s="253">
        <f t="shared" si="4"/>
        <v>2065.5824935976166</v>
      </c>
      <c r="K20" s="253">
        <f t="shared" si="4"/>
        <v>2065.5824935976166</v>
      </c>
      <c r="L20" s="253">
        <f>SUM(L17:L19)</f>
        <v>2065.5824935976166</v>
      </c>
      <c r="M20" s="253">
        <f>SUM(M17:M19)</f>
        <v>2065.5824935976166</v>
      </c>
    </row>
    <row r="21" spans="1:15" x14ac:dyDescent="0.3">
      <c r="A21" s="118" t="s">
        <v>138</v>
      </c>
      <c r="B21" s="252"/>
      <c r="C21" s="252"/>
      <c r="D21" s="252"/>
      <c r="E21" s="252"/>
      <c r="F21" s="252"/>
      <c r="G21" s="252"/>
      <c r="H21" s="252"/>
      <c r="I21" s="252"/>
      <c r="J21" s="252"/>
      <c r="K21" s="252"/>
      <c r="L21" s="252"/>
      <c r="M21" s="252"/>
    </row>
    <row r="22" spans="1:15" x14ac:dyDescent="0.3">
      <c r="A22" s="3" t="s">
        <v>123</v>
      </c>
      <c r="B22" s="251">
        <f t="shared" ref="B22:L22" si="5">B17*Bonefree_outof_CW_SE</f>
        <v>56.250325564591186</v>
      </c>
      <c r="C22" s="251">
        <f t="shared" si="5"/>
        <v>56.250325564591186</v>
      </c>
      <c r="D22" s="251">
        <f t="shared" si="5"/>
        <v>56.250325564591186</v>
      </c>
      <c r="E22" s="251">
        <f t="shared" si="5"/>
        <v>56.250325564591186</v>
      </c>
      <c r="F22" s="251">
        <f t="shared" si="5"/>
        <v>56.250325564591186</v>
      </c>
      <c r="G22" s="251">
        <f t="shared" si="5"/>
        <v>56.250325564591186</v>
      </c>
      <c r="H22" s="251">
        <f t="shared" si="5"/>
        <v>56.250325564591186</v>
      </c>
      <c r="I22" s="251">
        <f t="shared" si="5"/>
        <v>56.250325564591186</v>
      </c>
      <c r="J22" s="251">
        <f t="shared" si="5"/>
        <v>56.250325564591186</v>
      </c>
      <c r="K22" s="251">
        <f t="shared" si="5"/>
        <v>56.250325564591186</v>
      </c>
      <c r="L22" s="251">
        <f t="shared" si="5"/>
        <v>56.250325564591186</v>
      </c>
      <c r="M22" s="251">
        <f t="shared" ref="M22" si="6">M17*Bonefree_outof_CW_SE</f>
        <v>56.250325564591186</v>
      </c>
    </row>
    <row r="23" spans="1:15" x14ac:dyDescent="0.3">
      <c r="A23" s="3" t="s">
        <v>127</v>
      </c>
      <c r="B23" s="251">
        <f t="shared" ref="B23:L23" si="7">B18*Bonefree_outof_CW_SE</f>
        <v>0.63375271400281252</v>
      </c>
      <c r="C23" s="251">
        <f t="shared" si="7"/>
        <v>0.63375271400281252</v>
      </c>
      <c r="D23" s="251">
        <f t="shared" si="7"/>
        <v>0.63375271400281252</v>
      </c>
      <c r="E23" s="251">
        <f t="shared" si="7"/>
        <v>0.63375271400281252</v>
      </c>
      <c r="F23" s="251">
        <f t="shared" si="7"/>
        <v>0.63375271400281252</v>
      </c>
      <c r="G23" s="251">
        <f t="shared" si="7"/>
        <v>0.63375271400281252</v>
      </c>
      <c r="H23" s="251">
        <f t="shared" si="7"/>
        <v>0.63375271400281252</v>
      </c>
      <c r="I23" s="251">
        <f t="shared" si="7"/>
        <v>0.63375271400281252</v>
      </c>
      <c r="J23" s="251">
        <f t="shared" si="7"/>
        <v>0.63375271400281252</v>
      </c>
      <c r="K23" s="251">
        <f t="shared" si="7"/>
        <v>0.63375271400281252</v>
      </c>
      <c r="L23" s="251">
        <f t="shared" si="7"/>
        <v>0.63375271400281252</v>
      </c>
      <c r="M23" s="251">
        <f t="shared" ref="M23" si="8">M18*Bonefree_outof_CW_SE</f>
        <v>0.63375271400281252</v>
      </c>
    </row>
    <row r="24" spans="1:15" x14ac:dyDescent="0.3">
      <c r="A24" s="3" t="s">
        <v>128</v>
      </c>
      <c r="B24" s="251">
        <f t="shared" ref="B24:L24" si="9">B19*Bonefree_outof_CW_SE</f>
        <v>1161.8095929439999</v>
      </c>
      <c r="C24" s="251">
        <f t="shared" si="9"/>
        <v>1161.8095929439999</v>
      </c>
      <c r="D24" s="251">
        <f t="shared" si="9"/>
        <v>1161.8095929439999</v>
      </c>
      <c r="E24" s="251">
        <f t="shared" si="9"/>
        <v>1161.8095929439999</v>
      </c>
      <c r="F24" s="251">
        <f t="shared" si="9"/>
        <v>1161.8095929439999</v>
      </c>
      <c r="G24" s="251">
        <f t="shared" si="9"/>
        <v>1161.8095929439999</v>
      </c>
      <c r="H24" s="251">
        <f t="shared" si="9"/>
        <v>1161.8095929439999</v>
      </c>
      <c r="I24" s="251">
        <f t="shared" si="9"/>
        <v>1161.8095929439999</v>
      </c>
      <c r="J24" s="251">
        <f t="shared" si="9"/>
        <v>1161.8095929439999</v>
      </c>
      <c r="K24" s="251">
        <f t="shared" si="9"/>
        <v>1161.8095929439999</v>
      </c>
      <c r="L24" s="251">
        <f t="shared" si="9"/>
        <v>1161.8095929439999</v>
      </c>
      <c r="M24" s="251">
        <f t="shared" ref="M24" si="10">M19*Bonefree_outof_CW_SE</f>
        <v>1161.8095929439999</v>
      </c>
    </row>
    <row r="25" spans="1:15" x14ac:dyDescent="0.3">
      <c r="A25" s="6" t="s">
        <v>132</v>
      </c>
      <c r="B25" s="253">
        <f>SUM(B22:B24)</f>
        <v>1218.6936712225938</v>
      </c>
      <c r="C25" s="253">
        <f t="shared" ref="C25:K25" si="11">SUM(C22:C24)</f>
        <v>1218.6936712225938</v>
      </c>
      <c r="D25" s="253">
        <f t="shared" si="11"/>
        <v>1218.6936712225938</v>
      </c>
      <c r="E25" s="253">
        <f t="shared" si="11"/>
        <v>1218.6936712225938</v>
      </c>
      <c r="F25" s="253">
        <f t="shared" si="11"/>
        <v>1218.6936712225938</v>
      </c>
      <c r="G25" s="253">
        <f t="shared" si="11"/>
        <v>1218.6936712225938</v>
      </c>
      <c r="H25" s="253">
        <f t="shared" si="11"/>
        <v>1218.6936712225938</v>
      </c>
      <c r="I25" s="253">
        <f t="shared" si="11"/>
        <v>1218.6936712225938</v>
      </c>
      <c r="J25" s="253">
        <f t="shared" si="11"/>
        <v>1218.6936712225938</v>
      </c>
      <c r="K25" s="253">
        <f t="shared" si="11"/>
        <v>1218.6936712225938</v>
      </c>
      <c r="L25" s="253">
        <f>SUM(L22:L24)</f>
        <v>1218.6936712225938</v>
      </c>
      <c r="M25" s="253">
        <f>SUM(M22:M24)</f>
        <v>1218.6936712225938</v>
      </c>
    </row>
    <row r="26" spans="1:15" x14ac:dyDescent="0.3">
      <c r="A26" s="118" t="s">
        <v>139</v>
      </c>
      <c r="B26" s="252"/>
      <c r="C26" s="252"/>
      <c r="D26" s="252"/>
      <c r="E26" s="252"/>
      <c r="F26" s="252"/>
      <c r="G26" s="252"/>
      <c r="H26" s="252"/>
      <c r="I26" s="252"/>
      <c r="J26" s="252"/>
      <c r="K26" s="252"/>
      <c r="L26" s="252"/>
      <c r="M26" s="252"/>
    </row>
    <row r="27" spans="1:15" x14ac:dyDescent="0.3">
      <c r="A27" s="3" t="s">
        <v>123</v>
      </c>
      <c r="B27" s="256">
        <f>B12*'Parameters, country spec'!B11</f>
        <v>0.72978563170528576</v>
      </c>
      <c r="C27" s="256">
        <f>C12*'Parameters, country spec'!C11</f>
        <v>0.72978563170528576</v>
      </c>
      <c r="D27" s="256">
        <f>D12*'Parameters, country spec'!D11</f>
        <v>0.72978563170528576</v>
      </c>
      <c r="E27" s="256">
        <f>E12*'Parameters, country spec'!E11</f>
        <v>0.72978563170528576</v>
      </c>
      <c r="F27" s="256">
        <f>F12*'Parameters, country spec'!F11</f>
        <v>0.72978563170528576</v>
      </c>
      <c r="G27" s="256">
        <f>G12*'Parameters, country spec'!G11</f>
        <v>0.72978563170528576</v>
      </c>
      <c r="H27" s="256">
        <f>H12*'Parameters, country spec'!H11</f>
        <v>0.72978563170528576</v>
      </c>
      <c r="I27" s="256">
        <f>I12*'Parameters, country spec'!I11</f>
        <v>0.72978563170528576</v>
      </c>
      <c r="J27" s="256">
        <f>J12*'Parameters, country spec'!J11</f>
        <v>0.72978563170528576</v>
      </c>
      <c r="K27" s="256">
        <f>K12*'Parameters, country spec'!K11</f>
        <v>0.72978563170528576</v>
      </c>
      <c r="L27" s="256">
        <f>L12*'Parameters, country spec'!L11</f>
        <v>0.72978563170528576</v>
      </c>
      <c r="M27" s="256">
        <f>M12*'Parameters, country spec'!M11</f>
        <v>0.72978563170528576</v>
      </c>
    </row>
    <row r="28" spans="1:15" x14ac:dyDescent="0.3">
      <c r="A28" s="3" t="s">
        <v>127</v>
      </c>
      <c r="B28" s="256">
        <f>B13*'Parameters, country spec'!B11</f>
        <v>1.6112357135664723E-2</v>
      </c>
      <c r="C28" s="256">
        <f>C13*'Parameters, country spec'!C11</f>
        <v>1.6112357135664723E-2</v>
      </c>
      <c r="D28" s="256">
        <f>D13*'Parameters, country spec'!D11</f>
        <v>1.6112357135664723E-2</v>
      </c>
      <c r="E28" s="256">
        <f>E13*'Parameters, country spec'!E11</f>
        <v>1.6112357135664723E-2</v>
      </c>
      <c r="F28" s="256">
        <f>F13*'Parameters, country spec'!F11</f>
        <v>1.6112357135664723E-2</v>
      </c>
      <c r="G28" s="256">
        <f>G13*'Parameters, country spec'!G11</f>
        <v>1.6112357135664723E-2</v>
      </c>
      <c r="H28" s="256">
        <f>H13*'Parameters, country spec'!H11</f>
        <v>1.6112357135664723E-2</v>
      </c>
      <c r="I28" s="256">
        <f>I13*'Parameters, country spec'!I11</f>
        <v>1.6112357135664723E-2</v>
      </c>
      <c r="J28" s="256">
        <f>J13*'Parameters, country spec'!J11</f>
        <v>1.6112357135664723E-2</v>
      </c>
      <c r="K28" s="256">
        <f>K13*'Parameters, country spec'!K11</f>
        <v>1.6112357135664723E-2</v>
      </c>
      <c r="L28" s="256">
        <f>L13*'Parameters, country spec'!L11</f>
        <v>1.6112357135664723E-2</v>
      </c>
      <c r="M28" s="256">
        <f>M13*'Parameters, country spec'!M11</f>
        <v>1.6112357135664723E-2</v>
      </c>
    </row>
    <row r="29" spans="1:15" x14ac:dyDescent="0.3">
      <c r="A29" s="3" t="s">
        <v>128</v>
      </c>
      <c r="B29" s="251">
        <f>B14*'Parameters, country spec'!B11</f>
        <v>29.537532023999997</v>
      </c>
      <c r="C29" s="251">
        <f>C14*'Parameters, country spec'!C11</f>
        <v>29.537532023999997</v>
      </c>
      <c r="D29" s="251">
        <f>D14*'Parameters, country spec'!D11</f>
        <v>29.537532023999997</v>
      </c>
      <c r="E29" s="251">
        <f>E14*'Parameters, country spec'!E11</f>
        <v>29.537532023999997</v>
      </c>
      <c r="F29" s="251">
        <f>F14*'Parameters, country spec'!F11</f>
        <v>29.537532023999997</v>
      </c>
      <c r="G29" s="251">
        <f>G14*'Parameters, country spec'!G11</f>
        <v>29.537532023999997</v>
      </c>
      <c r="H29" s="251">
        <f>H14*'Parameters, country spec'!H11</f>
        <v>29.537532023999997</v>
      </c>
      <c r="I29" s="251">
        <f>I14*'Parameters, country spec'!I11</f>
        <v>29.537532023999997</v>
      </c>
      <c r="J29" s="251">
        <f>J14*'Parameters, country spec'!J11</f>
        <v>29.537532023999997</v>
      </c>
      <c r="K29" s="251">
        <f>K14*'Parameters, country spec'!K11</f>
        <v>29.537532023999997</v>
      </c>
      <c r="L29" s="251">
        <f>L14*'Parameters, country spec'!L11</f>
        <v>29.537532023999997</v>
      </c>
      <c r="M29" s="251">
        <f>M14*'Parameters, country spec'!M11</f>
        <v>29.537532023999997</v>
      </c>
    </row>
    <row r="30" spans="1:15" x14ac:dyDescent="0.3">
      <c r="A30" s="6" t="s">
        <v>132</v>
      </c>
      <c r="B30" s="253">
        <f>SUM(B27:B29)</f>
        <v>30.283430012840949</v>
      </c>
      <c r="C30" s="253">
        <f t="shared" ref="C30:K30" si="12">SUM(C27:C29)</f>
        <v>30.283430012840949</v>
      </c>
      <c r="D30" s="253">
        <f t="shared" si="12"/>
        <v>30.283430012840949</v>
      </c>
      <c r="E30" s="253">
        <f t="shared" si="12"/>
        <v>30.283430012840949</v>
      </c>
      <c r="F30" s="253">
        <f t="shared" si="12"/>
        <v>30.283430012840949</v>
      </c>
      <c r="G30" s="253">
        <f t="shared" si="12"/>
        <v>30.283430012840949</v>
      </c>
      <c r="H30" s="253">
        <f t="shared" si="12"/>
        <v>30.283430012840949</v>
      </c>
      <c r="I30" s="253">
        <f t="shared" si="12"/>
        <v>30.283430012840949</v>
      </c>
      <c r="J30" s="253">
        <f t="shared" si="12"/>
        <v>30.283430012840949</v>
      </c>
      <c r="K30" s="253">
        <f t="shared" si="12"/>
        <v>30.283430012840949</v>
      </c>
      <c r="L30" s="253">
        <f>SUM(L27:L29)</f>
        <v>30.283430012840949</v>
      </c>
      <c r="M30" s="253">
        <f>SUM(M27:M29)</f>
        <v>30.283430012840949</v>
      </c>
    </row>
    <row r="31" spans="1:15" x14ac:dyDescent="0.3">
      <c r="A31" s="118" t="s">
        <v>140</v>
      </c>
      <c r="B31" s="252"/>
      <c r="C31" s="252"/>
      <c r="D31" s="252"/>
      <c r="E31" s="252"/>
      <c r="F31" s="252"/>
      <c r="G31" s="252"/>
      <c r="H31" s="252"/>
      <c r="I31" s="252"/>
      <c r="J31" s="252"/>
      <c r="K31" s="252"/>
      <c r="L31" s="252"/>
      <c r="M31" s="252"/>
    </row>
    <row r="32" spans="1:15" x14ac:dyDescent="0.3">
      <c r="A32" s="3" t="s">
        <v>123</v>
      </c>
      <c r="B32" s="251">
        <f>B22+B27</f>
        <v>56.98011119629647</v>
      </c>
      <c r="C32" s="251">
        <f t="shared" ref="C32:K32" si="13">C22+C27</f>
        <v>56.98011119629647</v>
      </c>
      <c r="D32" s="251">
        <f t="shared" si="13"/>
        <v>56.98011119629647</v>
      </c>
      <c r="E32" s="251">
        <f t="shared" si="13"/>
        <v>56.98011119629647</v>
      </c>
      <c r="F32" s="251">
        <f t="shared" si="13"/>
        <v>56.98011119629647</v>
      </c>
      <c r="G32" s="251">
        <f t="shared" si="13"/>
        <v>56.98011119629647</v>
      </c>
      <c r="H32" s="251">
        <f t="shared" si="13"/>
        <v>56.98011119629647</v>
      </c>
      <c r="I32" s="251">
        <f t="shared" si="13"/>
        <v>56.98011119629647</v>
      </c>
      <c r="J32" s="251">
        <f t="shared" si="13"/>
        <v>56.98011119629647</v>
      </c>
      <c r="K32" s="251">
        <f t="shared" si="13"/>
        <v>56.98011119629647</v>
      </c>
      <c r="L32" s="251">
        <f>L22+L27</f>
        <v>56.98011119629647</v>
      </c>
      <c r="M32" s="251">
        <f>M22+M27</f>
        <v>56.98011119629647</v>
      </c>
    </row>
    <row r="33" spans="1:13" x14ac:dyDescent="0.3">
      <c r="A33" s="3" t="s">
        <v>127</v>
      </c>
      <c r="B33" s="251">
        <f t="shared" ref="B33:K34" si="14">B23+B28</f>
        <v>0.64986507113847725</v>
      </c>
      <c r="C33" s="251">
        <f t="shared" si="14"/>
        <v>0.64986507113847725</v>
      </c>
      <c r="D33" s="251">
        <f t="shared" si="14"/>
        <v>0.64986507113847725</v>
      </c>
      <c r="E33" s="251">
        <f t="shared" si="14"/>
        <v>0.64986507113847725</v>
      </c>
      <c r="F33" s="251">
        <f t="shared" si="14"/>
        <v>0.64986507113847725</v>
      </c>
      <c r="G33" s="251">
        <f t="shared" si="14"/>
        <v>0.64986507113847725</v>
      </c>
      <c r="H33" s="251">
        <f t="shared" si="14"/>
        <v>0.64986507113847725</v>
      </c>
      <c r="I33" s="251">
        <f t="shared" si="14"/>
        <v>0.64986507113847725</v>
      </c>
      <c r="J33" s="251">
        <f t="shared" si="14"/>
        <v>0.64986507113847725</v>
      </c>
      <c r="K33" s="251">
        <f t="shared" si="14"/>
        <v>0.64986507113847725</v>
      </c>
      <c r="L33" s="251">
        <f t="shared" ref="L33:M33" si="15">L23+L28</f>
        <v>0.64986507113847725</v>
      </c>
      <c r="M33" s="251">
        <f t="shared" si="15"/>
        <v>0.64986507113847725</v>
      </c>
    </row>
    <row r="34" spans="1:13" x14ac:dyDescent="0.3">
      <c r="A34" s="3" t="s">
        <v>128</v>
      </c>
      <c r="B34" s="251">
        <f t="shared" si="14"/>
        <v>1191.3471249679999</v>
      </c>
      <c r="C34" s="251">
        <f t="shared" si="14"/>
        <v>1191.3471249679999</v>
      </c>
      <c r="D34" s="251">
        <f t="shared" si="14"/>
        <v>1191.3471249679999</v>
      </c>
      <c r="E34" s="251">
        <f t="shared" si="14"/>
        <v>1191.3471249679999</v>
      </c>
      <c r="F34" s="251">
        <f t="shared" si="14"/>
        <v>1191.3471249679999</v>
      </c>
      <c r="G34" s="251">
        <f t="shared" si="14"/>
        <v>1191.3471249679999</v>
      </c>
      <c r="H34" s="251">
        <f t="shared" si="14"/>
        <v>1191.3471249679999</v>
      </c>
      <c r="I34" s="251">
        <f t="shared" si="14"/>
        <v>1191.3471249679999</v>
      </c>
      <c r="J34" s="251">
        <f t="shared" si="14"/>
        <v>1191.3471249679999</v>
      </c>
      <c r="K34" s="251">
        <f t="shared" si="14"/>
        <v>1191.3471249679999</v>
      </c>
      <c r="L34" s="251">
        <f t="shared" ref="L34:M34" si="16">L24+L29</f>
        <v>1191.3471249679999</v>
      </c>
      <c r="M34" s="251">
        <f t="shared" si="16"/>
        <v>1191.3471249679999</v>
      </c>
    </row>
    <row r="35" spans="1:13" x14ac:dyDescent="0.3">
      <c r="A35" s="6" t="s">
        <v>132</v>
      </c>
      <c r="B35" s="253">
        <f>SUM(B32:B34)</f>
        <v>1248.9771012354349</v>
      </c>
      <c r="C35" s="253">
        <f t="shared" ref="C35:K35" si="17">SUM(C32:C34)</f>
        <v>1248.9771012354349</v>
      </c>
      <c r="D35" s="253">
        <f t="shared" si="17"/>
        <v>1248.9771012354349</v>
      </c>
      <c r="E35" s="253">
        <f t="shared" si="17"/>
        <v>1248.9771012354349</v>
      </c>
      <c r="F35" s="253">
        <f t="shared" si="17"/>
        <v>1248.9771012354349</v>
      </c>
      <c r="G35" s="253">
        <f t="shared" si="17"/>
        <v>1248.9771012354349</v>
      </c>
      <c r="H35" s="253">
        <f t="shared" si="17"/>
        <v>1248.9771012354349</v>
      </c>
      <c r="I35" s="253">
        <f t="shared" si="17"/>
        <v>1248.9771012354349</v>
      </c>
      <c r="J35" s="253">
        <f t="shared" si="17"/>
        <v>1248.9771012354349</v>
      </c>
      <c r="K35" s="253">
        <f t="shared" si="17"/>
        <v>1248.9771012354349</v>
      </c>
      <c r="L35" s="253">
        <f>SUM(L32:L34)</f>
        <v>1248.9771012354349</v>
      </c>
      <c r="M35" s="253">
        <f>SUM(M32:M34)</f>
        <v>1248.9771012354349</v>
      </c>
    </row>
    <row r="36" spans="1:13" x14ac:dyDescent="0.3">
      <c r="A36" s="118" t="s">
        <v>141</v>
      </c>
      <c r="B36" s="252"/>
      <c r="C36" s="252"/>
      <c r="D36" s="252"/>
      <c r="E36" s="252"/>
      <c r="F36" s="252"/>
      <c r="G36" s="252"/>
      <c r="H36" s="252"/>
      <c r="I36" s="252"/>
      <c r="J36" s="252"/>
      <c r="K36" s="252"/>
      <c r="L36" s="252"/>
      <c r="M36" s="252"/>
    </row>
    <row r="37" spans="1:13" x14ac:dyDescent="0.3">
      <c r="A37" s="3" t="s">
        <v>142</v>
      </c>
      <c r="B37" s="19">
        <f>(B5+B6)/B35</f>
        <v>1.2410155466155513E-3</v>
      </c>
      <c r="C37" s="19">
        <f t="shared" ref="C37:K37" si="18">(C5+C6)/C35</f>
        <v>1.2410155466155513E-3</v>
      </c>
      <c r="D37" s="19">
        <f t="shared" si="18"/>
        <v>1.2410155466155513E-3</v>
      </c>
      <c r="E37" s="19">
        <f t="shared" si="18"/>
        <v>1.2410155466155513E-3</v>
      </c>
      <c r="F37" s="19">
        <f t="shared" si="18"/>
        <v>1.2410155466155513E-3</v>
      </c>
      <c r="G37" s="19">
        <f t="shared" si="18"/>
        <v>1.2410155466155513E-3</v>
      </c>
      <c r="H37" s="19">
        <f t="shared" si="18"/>
        <v>1.2410155466155513E-3</v>
      </c>
      <c r="I37" s="19">
        <f t="shared" si="18"/>
        <v>1.2410155466155513E-3</v>
      </c>
      <c r="J37" s="19">
        <f t="shared" si="18"/>
        <v>1.2410155466155513E-3</v>
      </c>
      <c r="K37" s="19">
        <f t="shared" si="18"/>
        <v>1.2410155466155513E-3</v>
      </c>
      <c r="L37" s="19">
        <f>(L5+L6)/L35</f>
        <v>1.2410155466155513E-3</v>
      </c>
      <c r="M37" s="19">
        <f>(M5+M6)/M35</f>
        <v>1.2410155466155513E-3</v>
      </c>
    </row>
    <row r="38" spans="1:13" x14ac:dyDescent="0.3">
      <c r="A38" s="3" t="s">
        <v>127</v>
      </c>
      <c r="B38" s="19">
        <f>B7/B35</f>
        <v>9.7223664099931985E-6</v>
      </c>
      <c r="C38" s="19">
        <f t="shared" ref="C38:K38" si="19">C7/C35</f>
        <v>9.7223664099931985E-6</v>
      </c>
      <c r="D38" s="19">
        <f t="shared" si="19"/>
        <v>9.7223664099931985E-6</v>
      </c>
      <c r="E38" s="19">
        <f t="shared" si="19"/>
        <v>9.7223664099931985E-6</v>
      </c>
      <c r="F38" s="19">
        <f t="shared" si="19"/>
        <v>9.7223664099931985E-6</v>
      </c>
      <c r="G38" s="19">
        <f t="shared" si="19"/>
        <v>9.7223664099931985E-6</v>
      </c>
      <c r="H38" s="19">
        <f t="shared" si="19"/>
        <v>9.7223664099931985E-6</v>
      </c>
      <c r="I38" s="19">
        <f t="shared" si="19"/>
        <v>9.7223664099931985E-6</v>
      </c>
      <c r="J38" s="19">
        <f t="shared" si="19"/>
        <v>9.7223664099931985E-6</v>
      </c>
      <c r="K38" s="19">
        <f t="shared" si="19"/>
        <v>9.7223664099931985E-6</v>
      </c>
      <c r="L38" s="19">
        <f>L7/L35</f>
        <v>9.7223664099931985E-6</v>
      </c>
      <c r="M38" s="19">
        <f>M7/M35</f>
        <v>9.7223664099931985E-6</v>
      </c>
    </row>
    <row r="39" spans="1:13" x14ac:dyDescent="0.3">
      <c r="A39" s="3" t="s">
        <v>128</v>
      </c>
      <c r="B39" s="19">
        <f>B8/B35</f>
        <v>1.7614414210027178E-2</v>
      </c>
      <c r="C39" s="19">
        <f t="shared" ref="C39:K39" si="20">C8/C35</f>
        <v>1.7614414210027178E-2</v>
      </c>
      <c r="D39" s="19">
        <f t="shared" si="20"/>
        <v>1.7614414210027178E-2</v>
      </c>
      <c r="E39" s="19">
        <f t="shared" si="20"/>
        <v>1.7614414210027178E-2</v>
      </c>
      <c r="F39" s="19">
        <f t="shared" si="20"/>
        <v>1.7614414210027178E-2</v>
      </c>
      <c r="G39" s="19">
        <f t="shared" si="20"/>
        <v>1.7614414210027178E-2</v>
      </c>
      <c r="H39" s="19">
        <f t="shared" si="20"/>
        <v>1.7614414210027178E-2</v>
      </c>
      <c r="I39" s="19">
        <f t="shared" si="20"/>
        <v>1.7614414210027178E-2</v>
      </c>
      <c r="J39" s="19">
        <f t="shared" si="20"/>
        <v>1.7614414210027178E-2</v>
      </c>
      <c r="K39" s="19">
        <f t="shared" si="20"/>
        <v>1.7614414210027178E-2</v>
      </c>
      <c r="L39" s="19">
        <f>L8/L35</f>
        <v>1.7614414210027178E-2</v>
      </c>
      <c r="M39" s="19">
        <f>M8/M35</f>
        <v>1.7614414210027178E-2</v>
      </c>
    </row>
    <row r="40" spans="1:13" x14ac:dyDescent="0.3">
      <c r="A40" s="6" t="s">
        <v>132</v>
      </c>
      <c r="B40" s="257">
        <f>SUM(B37:B39)</f>
        <v>1.8865152123052724E-2</v>
      </c>
      <c r="C40" s="257">
        <f t="shared" ref="C40:K40" si="21">SUM(C37:C39)</f>
        <v>1.8865152123052724E-2</v>
      </c>
      <c r="D40" s="257">
        <f t="shared" si="21"/>
        <v>1.8865152123052724E-2</v>
      </c>
      <c r="E40" s="257">
        <f t="shared" si="21"/>
        <v>1.8865152123052724E-2</v>
      </c>
      <c r="F40" s="257">
        <f t="shared" si="21"/>
        <v>1.8865152123052724E-2</v>
      </c>
      <c r="G40" s="257">
        <f t="shared" si="21"/>
        <v>1.8865152123052724E-2</v>
      </c>
      <c r="H40" s="257">
        <f t="shared" si="21"/>
        <v>1.8865152123052724E-2</v>
      </c>
      <c r="I40" s="257">
        <f t="shared" si="21"/>
        <v>1.8865152123052724E-2</v>
      </c>
      <c r="J40" s="257">
        <f t="shared" si="21"/>
        <v>1.8865152123052724E-2</v>
      </c>
      <c r="K40" s="257">
        <f t="shared" si="21"/>
        <v>1.8865152123052724E-2</v>
      </c>
      <c r="L40" s="257">
        <f>SUM(L37:L39)</f>
        <v>1.8865152123052724E-2</v>
      </c>
      <c r="M40" s="257">
        <f>SUM(M37:M39)</f>
        <v>1.8865152123052724E-2</v>
      </c>
    </row>
    <row r="41" spans="1:13" x14ac:dyDescent="0.3">
      <c r="L41" s="16"/>
      <c r="M41" s="16"/>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tint="0.39997558519241921"/>
  </sheetPr>
  <dimension ref="A2:Q95"/>
  <sheetViews>
    <sheetView topLeftCell="A63" zoomScale="80" zoomScaleNormal="80" workbookViewId="0">
      <selection activeCell="D96" sqref="D96"/>
    </sheetView>
  </sheetViews>
  <sheetFormatPr defaultRowHeight="14.4" x14ac:dyDescent="0.3"/>
  <cols>
    <col min="1" max="1" width="55.88671875" customWidth="1"/>
    <col min="2" max="11" width="10.6640625" customWidth="1"/>
    <col min="12" max="13" width="10.6640625" style="239" customWidth="1"/>
    <col min="15" max="15" width="29.33203125" customWidth="1"/>
    <col min="16" max="16" width="24.33203125" customWidth="1"/>
  </cols>
  <sheetData>
    <row r="2" spans="1:17" ht="18" x14ac:dyDescent="0.35">
      <c r="A2" s="1" t="s">
        <v>143</v>
      </c>
    </row>
    <row r="3" spans="1:17" x14ac:dyDescent="0.3">
      <c r="B3" t="s">
        <v>49</v>
      </c>
      <c r="C3" t="s">
        <v>51</v>
      </c>
      <c r="D3" t="s">
        <v>53</v>
      </c>
      <c r="E3" t="s">
        <v>55</v>
      </c>
      <c r="F3" t="s">
        <v>57</v>
      </c>
      <c r="G3" t="s">
        <v>59</v>
      </c>
      <c r="H3" t="s">
        <v>61</v>
      </c>
      <c r="I3" t="s">
        <v>63</v>
      </c>
      <c r="J3" t="s">
        <v>65</v>
      </c>
      <c r="K3" t="s">
        <v>67</v>
      </c>
      <c r="L3" s="17" t="s">
        <v>69</v>
      </c>
      <c r="M3" s="17" t="s">
        <v>71</v>
      </c>
      <c r="O3" t="s">
        <v>144</v>
      </c>
    </row>
    <row r="4" spans="1:17" x14ac:dyDescent="0.3">
      <c r="A4" s="170" t="s">
        <v>145</v>
      </c>
      <c r="B4" s="170" t="s">
        <v>48</v>
      </c>
      <c r="C4" s="170" t="s">
        <v>50</v>
      </c>
      <c r="D4" s="170" t="s">
        <v>52</v>
      </c>
      <c r="E4" s="170" t="s">
        <v>54</v>
      </c>
      <c r="F4" s="170" t="s">
        <v>56</v>
      </c>
      <c r="G4" s="170" t="s">
        <v>58</v>
      </c>
      <c r="H4" s="170" t="s">
        <v>60</v>
      </c>
      <c r="I4" s="170" t="s">
        <v>62</v>
      </c>
      <c r="J4" s="170" t="s">
        <v>64</v>
      </c>
      <c r="K4" s="170" t="s">
        <v>66</v>
      </c>
      <c r="L4" s="170" t="s">
        <v>68</v>
      </c>
      <c r="M4" s="170" t="s">
        <v>70</v>
      </c>
      <c r="O4" s="170" t="s">
        <v>68</v>
      </c>
      <c r="P4" s="170" t="s">
        <v>146</v>
      </c>
      <c r="Q4" s="170" t="s">
        <v>113</v>
      </c>
    </row>
    <row r="5" spans="1:17" x14ac:dyDescent="0.3">
      <c r="A5" s="3" t="s">
        <v>147</v>
      </c>
      <c r="B5" s="13">
        <v>97</v>
      </c>
      <c r="C5" s="13">
        <v>97</v>
      </c>
      <c r="D5" s="13">
        <v>97</v>
      </c>
      <c r="E5" s="13">
        <v>97</v>
      </c>
      <c r="F5" s="13">
        <v>97</v>
      </c>
      <c r="G5" s="13">
        <v>97</v>
      </c>
      <c r="H5" s="13">
        <v>97</v>
      </c>
      <c r="I5" s="13">
        <v>97</v>
      </c>
      <c r="J5" s="13">
        <v>97</v>
      </c>
      <c r="K5" s="13">
        <v>97</v>
      </c>
      <c r="L5" s="13">
        <v>97</v>
      </c>
      <c r="M5" s="13">
        <v>97</v>
      </c>
      <c r="O5" s="95" t="s">
        <v>148</v>
      </c>
      <c r="P5" s="94"/>
    </row>
    <row r="6" spans="1:17" x14ac:dyDescent="0.3">
      <c r="A6" s="3" t="s">
        <v>149</v>
      </c>
      <c r="B6" s="14">
        <v>2</v>
      </c>
      <c r="C6" s="14">
        <v>2</v>
      </c>
      <c r="D6" s="14">
        <v>2</v>
      </c>
      <c r="E6" s="14">
        <v>2</v>
      </c>
      <c r="F6" s="14">
        <v>2</v>
      </c>
      <c r="G6" s="14">
        <v>2</v>
      </c>
      <c r="H6" s="14">
        <v>2</v>
      </c>
      <c r="I6" s="14">
        <v>2</v>
      </c>
      <c r="J6" s="14">
        <v>2</v>
      </c>
      <c r="K6" s="14">
        <v>2</v>
      </c>
      <c r="L6" s="14">
        <v>2</v>
      </c>
      <c r="M6" s="14">
        <v>2</v>
      </c>
      <c r="O6" s="95" t="s">
        <v>150</v>
      </c>
      <c r="P6" s="94"/>
    </row>
    <row r="7" spans="1:17" x14ac:dyDescent="0.3">
      <c r="A7" s="3" t="s">
        <v>151</v>
      </c>
      <c r="B7" s="13">
        <v>0.28999999999999998</v>
      </c>
      <c r="C7" s="13">
        <v>0.28999999999999998</v>
      </c>
      <c r="D7" s="13">
        <v>0.28999999999999998</v>
      </c>
      <c r="E7" s="13">
        <v>0.28999999999999998</v>
      </c>
      <c r="F7" s="13">
        <v>0.28999999999999998</v>
      </c>
      <c r="G7" s="13">
        <v>0.28999999999999998</v>
      </c>
      <c r="H7" s="13">
        <v>0.28999999999999998</v>
      </c>
      <c r="I7" s="13">
        <v>0.28999999999999998</v>
      </c>
      <c r="J7" s="13">
        <v>0.28999999999999998</v>
      </c>
      <c r="K7" s="13">
        <v>0.28999999999999998</v>
      </c>
      <c r="L7" s="13">
        <v>0.28999999999999998</v>
      </c>
      <c r="M7" s="13">
        <v>0.28999999999999998</v>
      </c>
      <c r="O7" s="240" t="s">
        <v>152</v>
      </c>
      <c r="P7" s="94"/>
    </row>
    <row r="8" spans="1:17" x14ac:dyDescent="0.3">
      <c r="A8" s="3" t="s">
        <v>153</v>
      </c>
      <c r="B8" s="13">
        <v>0.59</v>
      </c>
      <c r="C8" s="13">
        <v>0.59</v>
      </c>
      <c r="D8" s="13">
        <v>0.59</v>
      </c>
      <c r="E8" s="13">
        <v>0.59</v>
      </c>
      <c r="F8" s="13">
        <v>0.59</v>
      </c>
      <c r="G8" s="13">
        <v>0.59</v>
      </c>
      <c r="H8" s="13">
        <v>0.59</v>
      </c>
      <c r="I8" s="13">
        <v>0.59</v>
      </c>
      <c r="J8" s="13">
        <v>0.59</v>
      </c>
      <c r="K8" s="13">
        <v>0.59</v>
      </c>
      <c r="L8" s="13">
        <v>0.59</v>
      </c>
      <c r="M8" s="13">
        <v>0.59</v>
      </c>
      <c r="O8" s="95" t="s">
        <v>154</v>
      </c>
      <c r="P8" s="94"/>
    </row>
    <row r="9" spans="1:17" x14ac:dyDescent="0.3">
      <c r="A9" s="3" t="s">
        <v>155</v>
      </c>
      <c r="B9" s="14">
        <v>91.6</v>
      </c>
      <c r="C9" s="14">
        <v>91.6</v>
      </c>
      <c r="D9" s="14">
        <v>91.6</v>
      </c>
      <c r="E9" s="14">
        <v>91.6</v>
      </c>
      <c r="F9" s="14">
        <v>91.6</v>
      </c>
      <c r="G9" s="14">
        <v>91.6</v>
      </c>
      <c r="H9" s="14">
        <v>91.6</v>
      </c>
      <c r="I9" s="14">
        <v>91.6</v>
      </c>
      <c r="J9" s="14">
        <v>91.6</v>
      </c>
      <c r="K9" s="14">
        <v>91.6</v>
      </c>
      <c r="L9" s="14">
        <v>91.6</v>
      </c>
      <c r="M9" s="14">
        <v>91.6</v>
      </c>
      <c r="O9" s="95" t="s">
        <v>156</v>
      </c>
      <c r="P9" s="94"/>
    </row>
    <row r="10" spans="1:17" x14ac:dyDescent="0.3">
      <c r="A10" s="3" t="s">
        <v>157</v>
      </c>
      <c r="B10" s="14">
        <v>179.5</v>
      </c>
      <c r="C10" s="14">
        <v>179.5</v>
      </c>
      <c r="D10" s="14">
        <v>179.5</v>
      </c>
      <c r="E10" s="14">
        <v>179.5</v>
      </c>
      <c r="F10" s="14">
        <v>179.5</v>
      </c>
      <c r="G10" s="14">
        <v>179.5</v>
      </c>
      <c r="H10" s="14">
        <v>179.5</v>
      </c>
      <c r="I10" s="14">
        <v>179.5</v>
      </c>
      <c r="J10" s="14">
        <v>179.5</v>
      </c>
      <c r="K10" s="14">
        <v>179.5</v>
      </c>
      <c r="L10" s="14">
        <v>179.5</v>
      </c>
      <c r="M10" s="14">
        <v>179.5</v>
      </c>
      <c r="O10" s="95" t="s">
        <v>156</v>
      </c>
      <c r="P10" s="94"/>
    </row>
    <row r="11" spans="1:17" x14ac:dyDescent="0.3">
      <c r="A11" s="3" t="s">
        <v>158</v>
      </c>
      <c r="B11" s="14">
        <f>B9*0.015</f>
        <v>1.3739999999999999</v>
      </c>
      <c r="C11" s="14">
        <f t="shared" ref="C11:K11" si="0">C9*0.015</f>
        <v>1.3739999999999999</v>
      </c>
      <c r="D11" s="14">
        <f t="shared" si="0"/>
        <v>1.3739999999999999</v>
      </c>
      <c r="E11" s="14">
        <f t="shared" si="0"/>
        <v>1.3739999999999999</v>
      </c>
      <c r="F11" s="14">
        <f t="shared" si="0"/>
        <v>1.3739999999999999</v>
      </c>
      <c r="G11" s="14">
        <f t="shared" si="0"/>
        <v>1.3739999999999999</v>
      </c>
      <c r="H11" s="14">
        <f t="shared" si="0"/>
        <v>1.3739999999999999</v>
      </c>
      <c r="I11" s="14">
        <f t="shared" si="0"/>
        <v>1.3739999999999999</v>
      </c>
      <c r="J11" s="14">
        <f t="shared" si="0"/>
        <v>1.3739999999999999</v>
      </c>
      <c r="K11" s="14">
        <f t="shared" si="0"/>
        <v>1.3739999999999999</v>
      </c>
      <c r="L11" s="14">
        <f>L9*0.015</f>
        <v>1.3739999999999999</v>
      </c>
      <c r="M11" s="14">
        <f>M9*0.015</f>
        <v>1.3739999999999999</v>
      </c>
      <c r="O11" s="240" t="s">
        <v>159</v>
      </c>
      <c r="P11" s="94" t="s">
        <v>160</v>
      </c>
    </row>
    <row r="12" spans="1:17" x14ac:dyDescent="0.3">
      <c r="A12" s="3" t="s">
        <v>161</v>
      </c>
      <c r="B12" s="14">
        <v>55</v>
      </c>
      <c r="C12" s="14">
        <v>55</v>
      </c>
      <c r="D12" s="14">
        <v>55</v>
      </c>
      <c r="E12" s="14">
        <v>55</v>
      </c>
      <c r="F12" s="14">
        <v>55</v>
      </c>
      <c r="G12" s="14">
        <v>55</v>
      </c>
      <c r="H12" s="14">
        <v>55</v>
      </c>
      <c r="I12" s="14">
        <v>55</v>
      </c>
      <c r="J12" s="14">
        <v>55</v>
      </c>
      <c r="K12" s="14">
        <v>55</v>
      </c>
      <c r="L12" s="14">
        <v>55</v>
      </c>
      <c r="M12" s="14">
        <v>55</v>
      </c>
      <c r="O12" s="95" t="s">
        <v>156</v>
      </c>
      <c r="P12" s="94"/>
    </row>
    <row r="13" spans="1:17" x14ac:dyDescent="0.3">
      <c r="A13" s="3" t="s">
        <v>162</v>
      </c>
      <c r="B13" s="14">
        <v>27.5</v>
      </c>
      <c r="C13" s="14">
        <v>27.5</v>
      </c>
      <c r="D13" s="14">
        <v>27.5</v>
      </c>
      <c r="E13" s="14">
        <v>27.5</v>
      </c>
      <c r="F13" s="14">
        <v>27.5</v>
      </c>
      <c r="G13" s="14">
        <v>27.5</v>
      </c>
      <c r="H13" s="14">
        <v>27.5</v>
      </c>
      <c r="I13" s="14">
        <v>27.5</v>
      </c>
      <c r="J13" s="14">
        <v>27.5</v>
      </c>
      <c r="K13" s="14">
        <v>27.5</v>
      </c>
      <c r="L13" s="14">
        <v>27.5</v>
      </c>
      <c r="M13" s="14">
        <v>27.5</v>
      </c>
      <c r="O13" s="95" t="s">
        <v>163</v>
      </c>
      <c r="P13" s="94"/>
    </row>
    <row r="14" spans="1:17" x14ac:dyDescent="0.3">
      <c r="A14" s="3" t="s">
        <v>164</v>
      </c>
      <c r="B14" s="13">
        <v>79</v>
      </c>
      <c r="C14" s="13">
        <v>79</v>
      </c>
      <c r="D14" s="13">
        <v>79</v>
      </c>
      <c r="E14" s="13">
        <v>79</v>
      </c>
      <c r="F14" s="13">
        <v>79</v>
      </c>
      <c r="G14" s="13">
        <v>79</v>
      </c>
      <c r="H14" s="13">
        <v>79</v>
      </c>
      <c r="I14" s="13">
        <v>79</v>
      </c>
      <c r="J14" s="13">
        <v>79</v>
      </c>
      <c r="K14" s="13">
        <v>79</v>
      </c>
      <c r="L14" s="13">
        <v>79</v>
      </c>
      <c r="M14" s="13">
        <v>79</v>
      </c>
      <c r="O14" s="95" t="s">
        <v>148</v>
      </c>
      <c r="P14" s="94"/>
    </row>
    <row r="15" spans="1:17" x14ac:dyDescent="0.3">
      <c r="A15" s="3" t="s">
        <v>165</v>
      </c>
      <c r="B15" s="14">
        <v>18</v>
      </c>
      <c r="C15" s="14">
        <v>18</v>
      </c>
      <c r="D15" s="14">
        <v>18</v>
      </c>
      <c r="E15" s="14">
        <v>18</v>
      </c>
      <c r="F15" s="14">
        <v>18</v>
      </c>
      <c r="G15" s="14">
        <v>18</v>
      </c>
      <c r="H15" s="14">
        <v>18</v>
      </c>
      <c r="I15" s="14">
        <v>18</v>
      </c>
      <c r="J15" s="14">
        <v>18</v>
      </c>
      <c r="K15" s="14">
        <v>18</v>
      </c>
      <c r="L15" s="14">
        <v>18</v>
      </c>
      <c r="M15" s="14">
        <v>18</v>
      </c>
      <c r="O15" s="95" t="s">
        <v>166</v>
      </c>
      <c r="P15" s="94"/>
    </row>
    <row r="16" spans="1:17" x14ac:dyDescent="0.3">
      <c r="A16" s="3" t="s">
        <v>167</v>
      </c>
      <c r="B16" s="127">
        <f>B13*(100-B15)/100</f>
        <v>22.55</v>
      </c>
      <c r="C16" s="127">
        <f t="shared" ref="C16:K16" si="1">C13*(100-C15)/100</f>
        <v>22.55</v>
      </c>
      <c r="D16" s="127">
        <f t="shared" si="1"/>
        <v>22.55</v>
      </c>
      <c r="E16" s="127">
        <f t="shared" si="1"/>
        <v>22.55</v>
      </c>
      <c r="F16" s="127">
        <f t="shared" si="1"/>
        <v>22.55</v>
      </c>
      <c r="G16" s="127">
        <f t="shared" si="1"/>
        <v>22.55</v>
      </c>
      <c r="H16" s="127">
        <f t="shared" si="1"/>
        <v>22.55</v>
      </c>
      <c r="I16" s="127">
        <f t="shared" si="1"/>
        <v>22.55</v>
      </c>
      <c r="J16" s="127">
        <f t="shared" si="1"/>
        <v>22.55</v>
      </c>
      <c r="K16" s="127">
        <f t="shared" si="1"/>
        <v>22.55</v>
      </c>
      <c r="L16" s="127">
        <f>L13*(100-L15)/100</f>
        <v>22.55</v>
      </c>
      <c r="M16" s="127">
        <f>M13*(100-M15)/100</f>
        <v>22.55</v>
      </c>
      <c r="O16" s="95"/>
      <c r="P16" s="94"/>
    </row>
    <row r="17" spans="1:16" x14ac:dyDescent="0.3">
      <c r="A17" s="3" t="s">
        <v>168</v>
      </c>
      <c r="B17" s="15">
        <f>1725/142057</f>
        <v>1.2143013015902067E-2</v>
      </c>
      <c r="C17" s="15">
        <f t="shared" ref="C17:K17" si="2">1725/142057</f>
        <v>1.2143013015902067E-2</v>
      </c>
      <c r="D17" s="15">
        <f t="shared" si="2"/>
        <v>1.2143013015902067E-2</v>
      </c>
      <c r="E17" s="15">
        <f t="shared" si="2"/>
        <v>1.2143013015902067E-2</v>
      </c>
      <c r="F17" s="15">
        <f t="shared" si="2"/>
        <v>1.2143013015902067E-2</v>
      </c>
      <c r="G17" s="15">
        <f t="shared" si="2"/>
        <v>1.2143013015902067E-2</v>
      </c>
      <c r="H17" s="15">
        <f t="shared" si="2"/>
        <v>1.2143013015902067E-2</v>
      </c>
      <c r="I17" s="15">
        <f t="shared" si="2"/>
        <v>1.2143013015902067E-2</v>
      </c>
      <c r="J17" s="15">
        <f t="shared" si="2"/>
        <v>1.2143013015902067E-2</v>
      </c>
      <c r="K17" s="15">
        <f t="shared" si="2"/>
        <v>1.2143013015902067E-2</v>
      </c>
      <c r="L17" s="15">
        <f>1725/142057</f>
        <v>1.2143013015902067E-2</v>
      </c>
      <c r="M17" s="15">
        <f>1725/142057</f>
        <v>1.2143013015902067E-2</v>
      </c>
      <c r="O17" s="95" t="s">
        <v>169</v>
      </c>
      <c r="P17" s="94"/>
    </row>
    <row r="18" spans="1:16" x14ac:dyDescent="0.3">
      <c r="A18" s="3" t="s">
        <v>170</v>
      </c>
      <c r="B18" s="14">
        <f>3500/102065*100</f>
        <v>3.4291872826140204</v>
      </c>
      <c r="C18" s="14">
        <f t="shared" ref="C18:K18" si="3">3500/102065*100</f>
        <v>3.4291872826140204</v>
      </c>
      <c r="D18" s="14">
        <f t="shared" si="3"/>
        <v>3.4291872826140204</v>
      </c>
      <c r="E18" s="14">
        <f t="shared" si="3"/>
        <v>3.4291872826140204</v>
      </c>
      <c r="F18" s="14">
        <f t="shared" si="3"/>
        <v>3.4291872826140204</v>
      </c>
      <c r="G18" s="14">
        <f t="shared" si="3"/>
        <v>3.4291872826140204</v>
      </c>
      <c r="H18" s="14">
        <f t="shared" si="3"/>
        <v>3.4291872826140204</v>
      </c>
      <c r="I18" s="14">
        <f t="shared" si="3"/>
        <v>3.4291872826140204</v>
      </c>
      <c r="J18" s="14">
        <f t="shared" si="3"/>
        <v>3.4291872826140204</v>
      </c>
      <c r="K18" s="14">
        <f t="shared" si="3"/>
        <v>3.4291872826140204</v>
      </c>
      <c r="L18" s="14">
        <f>3500/102065*100</f>
        <v>3.4291872826140204</v>
      </c>
      <c r="M18" s="14">
        <f>3500/102065*100</f>
        <v>3.4291872826140204</v>
      </c>
      <c r="O18" s="95" t="s">
        <v>156</v>
      </c>
      <c r="P18" s="94"/>
    </row>
    <row r="19" spans="1:16" x14ac:dyDescent="0.3">
      <c r="O19" s="95"/>
      <c r="P19" s="94"/>
    </row>
    <row r="20" spans="1:16" x14ac:dyDescent="0.3">
      <c r="A20" s="170" t="s">
        <v>171</v>
      </c>
      <c r="B20" s="170"/>
      <c r="C20" s="170"/>
      <c r="D20" s="170"/>
      <c r="E20" s="170"/>
      <c r="F20" s="170"/>
      <c r="G20" s="170"/>
      <c r="H20" s="170"/>
      <c r="I20" s="170"/>
      <c r="J20" s="170"/>
      <c r="K20" s="170"/>
      <c r="L20" s="244"/>
      <c r="M20" s="244"/>
      <c r="O20" s="95"/>
      <c r="P20" s="94"/>
    </row>
    <row r="21" spans="1:16" x14ac:dyDescent="0.3">
      <c r="A21" s="90" t="s">
        <v>172</v>
      </c>
      <c r="B21" s="79">
        <v>0.24551366744057773</v>
      </c>
      <c r="C21" s="79">
        <v>0.24551366744057773</v>
      </c>
      <c r="D21" s="79">
        <v>0.24551366744057773</v>
      </c>
      <c r="E21" s="79">
        <v>0.24551366744057773</v>
      </c>
      <c r="F21" s="79">
        <v>0.24551366744057773</v>
      </c>
      <c r="G21" s="79">
        <v>0.24551366744057773</v>
      </c>
      <c r="H21" s="79">
        <v>0.24551366744057773</v>
      </c>
      <c r="I21" s="79">
        <v>0.24551366744057773</v>
      </c>
      <c r="J21" s="79">
        <v>0.24551366744057773</v>
      </c>
      <c r="K21" s="79">
        <v>0.24551366744057773</v>
      </c>
      <c r="L21" s="79">
        <v>0.24551366744057773</v>
      </c>
      <c r="M21" s="79">
        <v>0.24551366744057773</v>
      </c>
      <c r="O21" s="95" t="s">
        <v>173</v>
      </c>
      <c r="P21" s="94"/>
    </row>
    <row r="22" spans="1:16" x14ac:dyDescent="0.3">
      <c r="A22" s="91" t="s">
        <v>174</v>
      </c>
      <c r="B22" s="79">
        <v>2.5654510704344589E-3</v>
      </c>
      <c r="C22" s="79">
        <v>2.5654510704344589E-3</v>
      </c>
      <c r="D22" s="79">
        <v>2.5654510704344589E-3</v>
      </c>
      <c r="E22" s="79">
        <v>2.5654510704344589E-3</v>
      </c>
      <c r="F22" s="79">
        <v>2.5654510704344589E-3</v>
      </c>
      <c r="G22" s="79">
        <v>2.5654510704344589E-3</v>
      </c>
      <c r="H22" s="79">
        <v>2.5654510704344589E-3</v>
      </c>
      <c r="I22" s="79">
        <v>2.5654510704344589E-3</v>
      </c>
      <c r="J22" s="79">
        <v>2.5654510704344589E-3</v>
      </c>
      <c r="K22" s="79">
        <v>2.5654510704344589E-3</v>
      </c>
      <c r="L22" s="79">
        <v>2.5654510704344589E-3</v>
      </c>
      <c r="M22" s="79">
        <v>2.5654510704344589E-3</v>
      </c>
      <c r="O22" s="95"/>
      <c r="P22" s="94"/>
    </row>
    <row r="23" spans="1:16" x14ac:dyDescent="0.3">
      <c r="A23" s="91" t="s">
        <v>175</v>
      </c>
      <c r="B23" s="79">
        <v>4.1303762233994797E-2</v>
      </c>
      <c r="C23" s="79">
        <v>4.1303762233994797E-2</v>
      </c>
      <c r="D23" s="79">
        <v>4.1303762233994797E-2</v>
      </c>
      <c r="E23" s="79">
        <v>4.1303762233994797E-2</v>
      </c>
      <c r="F23" s="79">
        <v>4.1303762233994797E-2</v>
      </c>
      <c r="G23" s="79">
        <v>4.1303762233994797E-2</v>
      </c>
      <c r="H23" s="79">
        <v>4.1303762233994797E-2</v>
      </c>
      <c r="I23" s="79">
        <v>4.1303762233994797E-2</v>
      </c>
      <c r="J23" s="79">
        <v>4.1303762233994797E-2</v>
      </c>
      <c r="K23" s="79">
        <v>4.1303762233994797E-2</v>
      </c>
      <c r="L23" s="79">
        <v>4.1303762233994797E-2</v>
      </c>
      <c r="M23" s="79">
        <v>4.1303762233994797E-2</v>
      </c>
      <c r="O23" s="95"/>
      <c r="P23" s="94"/>
    </row>
    <row r="24" spans="1:16" x14ac:dyDescent="0.3">
      <c r="A24" s="91" t="s">
        <v>176</v>
      </c>
      <c r="B24" s="79">
        <v>2.6167600918431479E-2</v>
      </c>
      <c r="C24" s="79">
        <v>2.6167600918431479E-2</v>
      </c>
      <c r="D24" s="79">
        <v>2.6167600918431479E-2</v>
      </c>
      <c r="E24" s="79">
        <v>2.6167600918431479E-2</v>
      </c>
      <c r="F24" s="79">
        <v>2.6167600918431479E-2</v>
      </c>
      <c r="G24" s="79">
        <v>2.6167600918431479E-2</v>
      </c>
      <c r="H24" s="79">
        <v>2.6167600918431479E-2</v>
      </c>
      <c r="I24" s="79">
        <v>2.6167600918431479E-2</v>
      </c>
      <c r="J24" s="79">
        <v>2.6167600918431479E-2</v>
      </c>
      <c r="K24" s="79">
        <v>2.6167600918431479E-2</v>
      </c>
      <c r="L24" s="79">
        <v>2.6167600918431479E-2</v>
      </c>
      <c r="M24" s="79">
        <v>2.6167600918431479E-2</v>
      </c>
      <c r="O24" s="95"/>
      <c r="P24" s="94"/>
    </row>
    <row r="25" spans="1:16" x14ac:dyDescent="0.3">
      <c r="A25" s="92" t="s">
        <v>177</v>
      </c>
      <c r="B25" s="79">
        <v>0.30682794802396129</v>
      </c>
      <c r="C25" s="79">
        <v>0.30682794802396129</v>
      </c>
      <c r="D25" s="79">
        <v>0.30682794802396129</v>
      </c>
      <c r="E25" s="79">
        <v>0.30682794802396129</v>
      </c>
      <c r="F25" s="79">
        <v>0.30682794802396129</v>
      </c>
      <c r="G25" s="79">
        <v>0.30682794802396129</v>
      </c>
      <c r="H25" s="79">
        <v>0.30682794802396129</v>
      </c>
      <c r="I25" s="79">
        <v>0.30682794802396129</v>
      </c>
      <c r="J25" s="79">
        <v>0.30682794802396129</v>
      </c>
      <c r="K25" s="79">
        <v>0.30682794802396129</v>
      </c>
      <c r="L25" s="79">
        <v>0.30682794802396129</v>
      </c>
      <c r="M25" s="79">
        <v>0.30682794802396129</v>
      </c>
      <c r="O25" s="95"/>
      <c r="P25" s="94"/>
    </row>
    <row r="26" spans="1:16" x14ac:dyDescent="0.3">
      <c r="A26" s="91" t="s">
        <v>178</v>
      </c>
      <c r="B26" s="79">
        <v>4.6178119267820264E-3</v>
      </c>
      <c r="C26" s="79">
        <v>4.6178119267820264E-3</v>
      </c>
      <c r="D26" s="79">
        <v>4.6178119267820264E-3</v>
      </c>
      <c r="E26" s="79">
        <v>4.6178119267820264E-3</v>
      </c>
      <c r="F26" s="79">
        <v>4.6178119267820264E-3</v>
      </c>
      <c r="G26" s="79">
        <v>4.6178119267820264E-3</v>
      </c>
      <c r="H26" s="79">
        <v>4.6178119267820264E-3</v>
      </c>
      <c r="I26" s="79">
        <v>4.6178119267820264E-3</v>
      </c>
      <c r="J26" s="79">
        <v>4.6178119267820264E-3</v>
      </c>
      <c r="K26" s="79">
        <v>4.6178119267820264E-3</v>
      </c>
      <c r="L26" s="79">
        <v>4.6178119267820264E-3</v>
      </c>
      <c r="M26" s="79">
        <v>4.6178119267820264E-3</v>
      </c>
      <c r="O26" s="94"/>
      <c r="P26" s="94"/>
    </row>
    <row r="27" spans="1:16" x14ac:dyDescent="0.3">
      <c r="A27" s="91" t="s">
        <v>179</v>
      </c>
      <c r="B27" s="79">
        <v>5.3104837157993301E-2</v>
      </c>
      <c r="C27" s="79">
        <v>5.3104837157993301E-2</v>
      </c>
      <c r="D27" s="79">
        <v>5.3104837157993301E-2</v>
      </c>
      <c r="E27" s="79">
        <v>5.3104837157993301E-2</v>
      </c>
      <c r="F27" s="79">
        <v>5.3104837157993301E-2</v>
      </c>
      <c r="G27" s="79">
        <v>5.3104837157993301E-2</v>
      </c>
      <c r="H27" s="79">
        <v>5.3104837157993301E-2</v>
      </c>
      <c r="I27" s="79">
        <v>5.3104837157993301E-2</v>
      </c>
      <c r="J27" s="79">
        <v>5.3104837157993301E-2</v>
      </c>
      <c r="K27" s="79">
        <v>5.3104837157993301E-2</v>
      </c>
      <c r="L27" s="79">
        <v>5.3104837157993301E-2</v>
      </c>
      <c r="M27" s="79">
        <v>5.3104837157993301E-2</v>
      </c>
      <c r="O27" s="94"/>
      <c r="P27" s="94"/>
    </row>
    <row r="28" spans="1:16" x14ac:dyDescent="0.3">
      <c r="A28" s="91" t="s">
        <v>180</v>
      </c>
      <c r="B28" s="79">
        <v>2.7193781346605266E-2</v>
      </c>
      <c r="C28" s="79">
        <v>2.7193781346605266E-2</v>
      </c>
      <c r="D28" s="79">
        <v>2.7193781346605266E-2</v>
      </c>
      <c r="E28" s="79">
        <v>2.7193781346605266E-2</v>
      </c>
      <c r="F28" s="79">
        <v>2.7193781346605266E-2</v>
      </c>
      <c r="G28" s="79">
        <v>2.7193781346605266E-2</v>
      </c>
      <c r="H28" s="79">
        <v>2.7193781346605266E-2</v>
      </c>
      <c r="I28" s="79">
        <v>2.7193781346605266E-2</v>
      </c>
      <c r="J28" s="79">
        <v>2.7193781346605266E-2</v>
      </c>
      <c r="K28" s="79">
        <v>2.7193781346605266E-2</v>
      </c>
      <c r="L28" s="79">
        <v>2.7193781346605266E-2</v>
      </c>
      <c r="M28" s="79">
        <v>2.7193781346605266E-2</v>
      </c>
      <c r="O28" s="94"/>
      <c r="P28" s="94"/>
    </row>
    <row r="29" spans="1:16" x14ac:dyDescent="0.3">
      <c r="A29" s="91" t="s">
        <v>181</v>
      </c>
      <c r="B29" s="79">
        <v>3.5916314986082429E-2</v>
      </c>
      <c r="C29" s="79">
        <v>3.5916314986082429E-2</v>
      </c>
      <c r="D29" s="79">
        <v>3.5916314986082429E-2</v>
      </c>
      <c r="E29" s="79">
        <v>3.5916314986082429E-2</v>
      </c>
      <c r="F29" s="79">
        <v>3.5916314986082429E-2</v>
      </c>
      <c r="G29" s="79">
        <v>3.5916314986082429E-2</v>
      </c>
      <c r="H29" s="79">
        <v>3.5916314986082429E-2</v>
      </c>
      <c r="I29" s="79">
        <v>3.5916314986082429E-2</v>
      </c>
      <c r="J29" s="79">
        <v>3.5916314986082429E-2</v>
      </c>
      <c r="K29" s="79">
        <v>3.5916314986082429E-2</v>
      </c>
      <c r="L29" s="79">
        <v>3.5916314986082429E-2</v>
      </c>
      <c r="M29" s="79">
        <v>3.5916314986082429E-2</v>
      </c>
    </row>
    <row r="30" spans="1:16" x14ac:dyDescent="0.3">
      <c r="A30" s="91" t="s">
        <v>182</v>
      </c>
      <c r="B30" s="79">
        <v>0.13313408330019627</v>
      </c>
      <c r="C30" s="79">
        <v>0.13313408330019627</v>
      </c>
      <c r="D30" s="79">
        <v>0.13313408330019627</v>
      </c>
      <c r="E30" s="79">
        <v>0.13313408330019627</v>
      </c>
      <c r="F30" s="79">
        <v>0.13313408330019627</v>
      </c>
      <c r="G30" s="79">
        <v>0.13313408330019627</v>
      </c>
      <c r="H30" s="79">
        <v>0.13313408330019627</v>
      </c>
      <c r="I30" s="79">
        <v>0.13313408330019627</v>
      </c>
      <c r="J30" s="79">
        <v>0.13313408330019627</v>
      </c>
      <c r="K30" s="79">
        <v>0.13313408330019627</v>
      </c>
      <c r="L30" s="79">
        <v>0.13313408330019627</v>
      </c>
      <c r="M30" s="79">
        <v>0.13313408330019627</v>
      </c>
      <c r="P30" s="4"/>
    </row>
    <row r="31" spans="1:16" x14ac:dyDescent="0.3">
      <c r="A31" s="91" t="s">
        <v>183</v>
      </c>
      <c r="B31" s="79">
        <v>0.1236547415949409</v>
      </c>
      <c r="C31" s="79">
        <v>0.1236547415949409</v>
      </c>
      <c r="D31" s="79">
        <v>0.1236547415949409</v>
      </c>
      <c r="E31" s="79">
        <v>0.1236547415949409</v>
      </c>
      <c r="F31" s="79">
        <v>0.1236547415949409</v>
      </c>
      <c r="G31" s="79">
        <v>0.1236547415949409</v>
      </c>
      <c r="H31" s="79">
        <v>0.1236547415949409</v>
      </c>
      <c r="I31" s="79">
        <v>0.1236547415949409</v>
      </c>
      <c r="J31" s="79">
        <v>0.1236547415949409</v>
      </c>
      <c r="K31" s="79">
        <v>0.1236547415949409</v>
      </c>
      <c r="L31" s="79">
        <v>0.1236547415949409</v>
      </c>
      <c r="M31" s="79">
        <v>0.1236547415949409</v>
      </c>
      <c r="P31" s="4"/>
    </row>
    <row r="32" spans="1:16" x14ac:dyDescent="0.3">
      <c r="A32" s="3"/>
      <c r="B32" s="13"/>
      <c r="C32" s="13"/>
      <c r="D32" s="13"/>
      <c r="E32" s="13"/>
      <c r="F32" s="13"/>
      <c r="G32" s="13"/>
      <c r="H32" s="13"/>
      <c r="I32" s="13"/>
      <c r="J32" s="13"/>
      <c r="K32" s="13"/>
    </row>
    <row r="33" spans="1:16" x14ac:dyDescent="0.3">
      <c r="A33" s="91" t="s">
        <v>184</v>
      </c>
      <c r="B33" s="11">
        <f t="shared" ref="B33:I33" si="4">SUM(B21:B25)</f>
        <v>0.62237842968739976</v>
      </c>
      <c r="C33" s="11">
        <f t="shared" si="4"/>
        <v>0.62237842968739976</v>
      </c>
      <c r="D33" s="11">
        <f t="shared" si="4"/>
        <v>0.62237842968739976</v>
      </c>
      <c r="E33" s="11">
        <f t="shared" si="4"/>
        <v>0.62237842968739976</v>
      </c>
      <c r="F33" s="11">
        <f t="shared" si="4"/>
        <v>0.62237842968739976</v>
      </c>
      <c r="G33" s="11">
        <f t="shared" si="4"/>
        <v>0.62237842968739976</v>
      </c>
      <c r="H33" s="11">
        <f t="shared" si="4"/>
        <v>0.62237842968739976</v>
      </c>
      <c r="I33" s="11">
        <f t="shared" si="4"/>
        <v>0.62237842968739976</v>
      </c>
      <c r="J33" s="11">
        <f>SUM(J21:J25)</f>
        <v>0.62237842968739976</v>
      </c>
      <c r="K33" s="11">
        <f>SUM(K21:K25)</f>
        <v>0.62237842968739976</v>
      </c>
      <c r="L33" s="18">
        <f>SUM(L21:L25)</f>
        <v>0.62237842968739976</v>
      </c>
      <c r="M33" s="18">
        <f>SUM(M21:M25)</f>
        <v>0.62237842968739976</v>
      </c>
    </row>
    <row r="34" spans="1:16" x14ac:dyDescent="0.3">
      <c r="L34" s="241"/>
      <c r="M34" s="241"/>
    </row>
    <row r="35" spans="1:16" x14ac:dyDescent="0.3">
      <c r="A35" s="170" t="s">
        <v>185</v>
      </c>
      <c r="B35" s="170"/>
      <c r="C35" s="170"/>
      <c r="D35" s="170"/>
      <c r="E35" s="170"/>
      <c r="F35" s="170"/>
      <c r="G35" s="170"/>
      <c r="H35" s="170"/>
      <c r="I35" s="170"/>
      <c r="J35" s="170"/>
      <c r="K35" s="170"/>
      <c r="L35" s="244"/>
      <c r="M35" s="244"/>
      <c r="O35" s="242" t="s">
        <v>186</v>
      </c>
      <c r="P35" s="242" t="s">
        <v>146</v>
      </c>
    </row>
    <row r="36" spans="1:16" x14ac:dyDescent="0.3">
      <c r="A36" s="3" t="s">
        <v>187</v>
      </c>
      <c r="B36" s="13">
        <v>1400</v>
      </c>
      <c r="C36" s="13">
        <v>1400</v>
      </c>
      <c r="D36" s="13">
        <v>1400</v>
      </c>
      <c r="E36" s="13">
        <v>1400</v>
      </c>
      <c r="F36" s="13">
        <v>1400</v>
      </c>
      <c r="G36" s="13">
        <v>1400</v>
      </c>
      <c r="H36" s="13">
        <v>1400</v>
      </c>
      <c r="I36" s="13">
        <v>1400</v>
      </c>
      <c r="J36" s="13">
        <v>1400</v>
      </c>
      <c r="K36" s="13">
        <v>1400</v>
      </c>
      <c r="L36" s="13">
        <v>1400</v>
      </c>
      <c r="M36" s="13">
        <v>1400</v>
      </c>
      <c r="O36" s="95" t="s">
        <v>188</v>
      </c>
      <c r="P36" s="95"/>
    </row>
    <row r="37" spans="1:16" x14ac:dyDescent="0.3">
      <c r="A37" s="3" t="s">
        <v>189</v>
      </c>
      <c r="B37" s="13">
        <v>720</v>
      </c>
      <c r="C37" s="13">
        <v>720</v>
      </c>
      <c r="D37" s="13">
        <v>720</v>
      </c>
      <c r="E37" s="13">
        <v>720</v>
      </c>
      <c r="F37" s="13">
        <v>720</v>
      </c>
      <c r="G37" s="13">
        <v>720</v>
      </c>
      <c r="H37" s="13">
        <v>720</v>
      </c>
      <c r="I37" s="13">
        <v>720</v>
      </c>
      <c r="J37" s="13">
        <v>720</v>
      </c>
      <c r="K37" s="13">
        <v>720</v>
      </c>
      <c r="L37" s="13">
        <v>720</v>
      </c>
      <c r="M37" s="13">
        <v>720</v>
      </c>
      <c r="O37" s="95" t="s">
        <v>188</v>
      </c>
      <c r="P37" s="95"/>
    </row>
    <row r="38" spans="1:16" x14ac:dyDescent="0.3">
      <c r="A38" s="3" t="s">
        <v>190</v>
      </c>
      <c r="B38" s="13">
        <v>720</v>
      </c>
      <c r="C38" s="13">
        <v>720</v>
      </c>
      <c r="D38" s="13">
        <v>720</v>
      </c>
      <c r="E38" s="13">
        <v>720</v>
      </c>
      <c r="F38" s="13">
        <v>720</v>
      </c>
      <c r="G38" s="13">
        <v>720</v>
      </c>
      <c r="H38" s="13">
        <v>720</v>
      </c>
      <c r="I38" s="13">
        <v>720</v>
      </c>
      <c r="J38" s="13">
        <v>720</v>
      </c>
      <c r="K38" s="13">
        <v>720</v>
      </c>
      <c r="L38" s="13">
        <v>720</v>
      </c>
      <c r="M38" s="13">
        <v>720</v>
      </c>
      <c r="O38" s="95" t="s">
        <v>188</v>
      </c>
    </row>
    <row r="39" spans="1:16" x14ac:dyDescent="0.3">
      <c r="A39" s="3" t="s">
        <v>191</v>
      </c>
      <c r="B39" s="13">
        <v>255</v>
      </c>
      <c r="C39" s="13">
        <v>255</v>
      </c>
      <c r="D39" s="13">
        <v>255</v>
      </c>
      <c r="E39" s="13">
        <v>255</v>
      </c>
      <c r="F39" s="13">
        <v>255</v>
      </c>
      <c r="G39" s="13">
        <v>255</v>
      </c>
      <c r="H39" s="13">
        <v>255</v>
      </c>
      <c r="I39" s="13">
        <v>255</v>
      </c>
      <c r="J39" s="13">
        <v>255</v>
      </c>
      <c r="K39" s="13">
        <v>255</v>
      </c>
      <c r="L39" s="13">
        <v>255</v>
      </c>
      <c r="M39" s="13">
        <v>255</v>
      </c>
      <c r="O39" s="95"/>
    </row>
    <row r="40" spans="1:16" x14ac:dyDescent="0.3">
      <c r="A40" s="3" t="s">
        <v>192</v>
      </c>
      <c r="B40" s="13">
        <v>42</v>
      </c>
      <c r="C40" s="13">
        <v>42</v>
      </c>
      <c r="D40" s="13">
        <v>42</v>
      </c>
      <c r="E40" s="13">
        <v>42</v>
      </c>
      <c r="F40" s="13">
        <v>42</v>
      </c>
      <c r="G40" s="13">
        <v>42</v>
      </c>
      <c r="H40" s="13">
        <v>42</v>
      </c>
      <c r="I40" s="13">
        <v>42</v>
      </c>
      <c r="J40" s="13">
        <v>42</v>
      </c>
      <c r="K40" s="13">
        <v>42</v>
      </c>
      <c r="L40" s="13">
        <v>42</v>
      </c>
      <c r="M40" s="13">
        <v>42</v>
      </c>
      <c r="O40" s="95"/>
    </row>
    <row r="41" spans="1:16" x14ac:dyDescent="0.3">
      <c r="A41" s="3" t="s">
        <v>193</v>
      </c>
      <c r="B41" s="5">
        <f>SUMPRODUCT(Production!$L$5:$L$9,B36:B40)/Production!$L$35</f>
        <v>6.6949529828051055</v>
      </c>
      <c r="C41" s="5">
        <f>SUMPRODUCT(Production!$L$5:$L$9,C36:C40)/Production!$L$35</f>
        <v>6.6949529828051055</v>
      </c>
      <c r="D41" s="5">
        <f>SUMPRODUCT(Production!$L$5:$L$9,D36:D40)/Production!$L$35</f>
        <v>6.6949529828051055</v>
      </c>
      <c r="E41" s="5">
        <f>SUMPRODUCT(Production!$L$5:$L$9,E36:E40)/Production!$L$35</f>
        <v>6.6949529828051055</v>
      </c>
      <c r="F41" s="5">
        <f>SUMPRODUCT(Production!$L$5:$L$9,F36:F40)/Production!$L$35</f>
        <v>6.6949529828051055</v>
      </c>
      <c r="G41" s="5">
        <f>SUMPRODUCT(Production!$L$5:$L$9,G36:G40)/Production!$L$35</f>
        <v>6.6949529828051055</v>
      </c>
      <c r="H41" s="5">
        <f>SUMPRODUCT(Production!$L$5:$L$9,H36:H40)/Production!$L$35</f>
        <v>6.6949529828051055</v>
      </c>
      <c r="I41" s="5">
        <f>SUMPRODUCT(Production!$L$5:$L$9,I36:I40)/Production!$L$35</f>
        <v>6.6949529828051055</v>
      </c>
      <c r="J41" s="5">
        <f>SUMPRODUCT(Production!$L$5:$L$9,J36:J40)/Production!$L$35</f>
        <v>6.6949529828051055</v>
      </c>
      <c r="K41" s="5">
        <f>SUMPRODUCT(Production!$L$5:$L$9,K36:K40)/Production!$L$35</f>
        <v>6.6949529828051055</v>
      </c>
      <c r="L41" s="5">
        <f>SUMPRODUCT(Production!$L$5:$L$9,L36:L40)/Production!$L$35</f>
        <v>6.6949529828051055</v>
      </c>
      <c r="M41" s="5">
        <f>SUMPRODUCT(Production!$L$5:$L$9,M36:M40)/Production!$L$35</f>
        <v>6.6949529828051055</v>
      </c>
      <c r="O41" s="243"/>
      <c r="P41" s="95"/>
    </row>
    <row r="42" spans="1:16" x14ac:dyDescent="0.3">
      <c r="L42" s="241"/>
      <c r="M42" s="241"/>
      <c r="O42" s="95"/>
      <c r="P42" s="95"/>
    </row>
    <row r="43" spans="1:16" x14ac:dyDescent="0.3">
      <c r="A43" s="170" t="s">
        <v>194</v>
      </c>
      <c r="B43" s="170"/>
      <c r="C43" s="170"/>
      <c r="D43" s="170"/>
      <c r="E43" s="170"/>
      <c r="F43" s="170"/>
      <c r="G43" s="170"/>
      <c r="H43" s="170"/>
      <c r="I43" s="170"/>
      <c r="J43" s="170"/>
      <c r="K43" s="170"/>
      <c r="L43" s="244"/>
      <c r="M43" s="244"/>
      <c r="O43" s="95"/>
      <c r="P43" s="95"/>
    </row>
    <row r="44" spans="1:16" x14ac:dyDescent="0.3">
      <c r="A44" s="3" t="s">
        <v>195</v>
      </c>
      <c r="B44">
        <v>1.5</v>
      </c>
      <c r="C44">
        <v>1.5</v>
      </c>
      <c r="D44">
        <v>1.5</v>
      </c>
      <c r="E44">
        <v>1.5</v>
      </c>
      <c r="F44">
        <v>1.5</v>
      </c>
      <c r="G44">
        <v>1.5</v>
      </c>
      <c r="H44">
        <v>1.5</v>
      </c>
      <c r="I44">
        <v>1.5</v>
      </c>
      <c r="J44">
        <v>1.5</v>
      </c>
      <c r="K44">
        <v>1.5</v>
      </c>
      <c r="L44">
        <v>1.5</v>
      </c>
      <c r="M44">
        <v>1.5</v>
      </c>
      <c r="O44" s="95"/>
      <c r="P44" s="95"/>
    </row>
    <row r="45" spans="1:16" x14ac:dyDescent="0.3">
      <c r="L45" s="17"/>
      <c r="M45" s="17"/>
    </row>
    <row r="46" spans="1:16" x14ac:dyDescent="0.3">
      <c r="A46" s="170" t="s">
        <v>196</v>
      </c>
      <c r="B46" s="170"/>
      <c r="C46" s="170"/>
      <c r="D46" s="170"/>
      <c r="E46" s="170"/>
      <c r="F46" s="170"/>
      <c r="G46" s="170"/>
      <c r="H46" s="170"/>
      <c r="I46" s="170"/>
      <c r="J46" s="170"/>
      <c r="K46" s="170"/>
      <c r="L46" s="244"/>
      <c r="M46" s="244"/>
      <c r="O46" s="95"/>
    </row>
    <row r="47" spans="1:16" x14ac:dyDescent="0.3">
      <c r="A47" s="3" t="s">
        <v>197</v>
      </c>
      <c r="B47" s="13">
        <v>0.4</v>
      </c>
      <c r="C47" s="13">
        <v>0.4</v>
      </c>
      <c r="D47" s="13">
        <v>0.4</v>
      </c>
      <c r="E47" s="13">
        <v>0.4</v>
      </c>
      <c r="F47" s="13">
        <v>0.4</v>
      </c>
      <c r="G47" s="13">
        <v>0.4</v>
      </c>
      <c r="H47" s="13">
        <v>0.4</v>
      </c>
      <c r="I47" s="13">
        <v>0.4</v>
      </c>
      <c r="J47" s="13">
        <v>0.4</v>
      </c>
      <c r="K47" s="13">
        <v>0.4</v>
      </c>
      <c r="L47" s="13">
        <v>0.4</v>
      </c>
      <c r="M47" s="13">
        <v>0.4</v>
      </c>
      <c r="O47" s="95" t="s">
        <v>198</v>
      </c>
    </row>
    <row r="48" spans="1:16" x14ac:dyDescent="0.3">
      <c r="A48" s="3" t="s">
        <v>199</v>
      </c>
      <c r="B48" s="13">
        <v>50</v>
      </c>
      <c r="C48" s="13">
        <v>50</v>
      </c>
      <c r="D48" s="13">
        <v>50</v>
      </c>
      <c r="E48" s="13">
        <v>50</v>
      </c>
      <c r="F48" s="13">
        <v>50</v>
      </c>
      <c r="G48" s="13">
        <v>50</v>
      </c>
      <c r="H48" s="13">
        <v>50</v>
      </c>
      <c r="I48" s="13">
        <v>50</v>
      </c>
      <c r="J48" s="13">
        <v>50</v>
      </c>
      <c r="K48" s="13">
        <v>50</v>
      </c>
      <c r="L48" s="13">
        <v>50</v>
      </c>
      <c r="M48" s="13">
        <v>50</v>
      </c>
      <c r="O48" s="95" t="s">
        <v>198</v>
      </c>
    </row>
    <row r="49" spans="1:15" x14ac:dyDescent="0.3">
      <c r="A49" s="3" t="s">
        <v>200</v>
      </c>
      <c r="B49" s="18">
        <f>(No_fattening_pigs_DK*B47+No_piglets_DK*B48)/Production!B25</f>
        <v>0.93239181168477181</v>
      </c>
      <c r="C49" s="18">
        <f>(No_fattening_pigs_FR*C47+No_piglets_FR*C48)/Production!C25</f>
        <v>0.93239181168477181</v>
      </c>
      <c r="D49" s="18">
        <f>(No_fattening_pigs_DE*D47+No_piglets_DE*D48)/Production!D25</f>
        <v>0.93239181168477181</v>
      </c>
      <c r="E49" s="18">
        <f>(No_fattening_pigs_GR*E47+No_piglets_GR*E48)/Production!E25</f>
        <v>0.93239181168477181</v>
      </c>
      <c r="F49" s="18">
        <f>(No_fattening_pigs_HU*F47+No_piglets_HU*F48)/Production!F25</f>
        <v>0.93239181168477181</v>
      </c>
      <c r="G49" s="18">
        <f>(No_fattening_pigs_IE*G47+No_piglets_IE*G48)/Production!G25</f>
        <v>0.93239181168477181</v>
      </c>
      <c r="H49" s="18">
        <f>(No_fattening_pigs_IT*H47+No_piglets_IT*H48)/Production!H25</f>
        <v>0.93239181168477181</v>
      </c>
      <c r="I49" s="18">
        <f>(No_fattening_pigs_NL*I47+No_piglets_NL*I48)/Production!I25</f>
        <v>0.93239181168477181</v>
      </c>
      <c r="J49" s="18">
        <f>(No_fattening_pigs_PL*J47+No_piglets_PL*J48)/Production!J25</f>
        <v>0.93239181168477181</v>
      </c>
      <c r="K49" s="18">
        <f>(No_fattening_pigs_ES*K47+No_piglets_ES*K48)/Production!K25</f>
        <v>0.93239181168477181</v>
      </c>
      <c r="L49" s="18">
        <f>(No_fattening_pigs_SE*L47+No_piglets_SE*L48)/Production!L25</f>
        <v>0.93239181168477181</v>
      </c>
      <c r="M49" s="18">
        <f>(No_fattening_pigs_SE*M47+No_piglets_SE*M48)/Production!K25</f>
        <v>0.93239181168477181</v>
      </c>
      <c r="O49" s="243"/>
    </row>
    <row r="50" spans="1:15" x14ac:dyDescent="0.3">
      <c r="A50" s="3" t="s">
        <v>201</v>
      </c>
      <c r="B50" s="13">
        <v>0.7</v>
      </c>
      <c r="C50" s="13">
        <v>0.7</v>
      </c>
      <c r="D50" s="13">
        <v>0.7</v>
      </c>
      <c r="E50" s="13">
        <v>0.7</v>
      </c>
      <c r="F50" s="13">
        <v>0.7</v>
      </c>
      <c r="G50" s="13">
        <v>0.7</v>
      </c>
      <c r="H50" s="13">
        <v>0.7</v>
      </c>
      <c r="I50" s="13">
        <v>0.7</v>
      </c>
      <c r="J50" s="13">
        <v>0.7</v>
      </c>
      <c r="K50" s="13">
        <v>0.7</v>
      </c>
      <c r="L50" s="13">
        <v>0.7</v>
      </c>
      <c r="M50" s="13">
        <v>0.7</v>
      </c>
      <c r="O50" s="262" t="s">
        <v>202</v>
      </c>
    </row>
    <row r="51" spans="1:15" x14ac:dyDescent="0.3">
      <c r="A51" s="3" t="s">
        <v>203</v>
      </c>
      <c r="B51" s="13">
        <v>0.6</v>
      </c>
      <c r="C51" s="13">
        <v>0.6</v>
      </c>
      <c r="D51" s="13">
        <v>0.6</v>
      </c>
      <c r="E51" s="13">
        <v>0.6</v>
      </c>
      <c r="F51" s="13">
        <v>0.6</v>
      </c>
      <c r="G51" s="13">
        <v>0.6</v>
      </c>
      <c r="H51" s="13">
        <v>0.6</v>
      </c>
      <c r="I51" s="13">
        <v>0.6</v>
      </c>
      <c r="J51" s="13">
        <v>0.6</v>
      </c>
      <c r="K51" s="13">
        <v>0.6</v>
      </c>
      <c r="L51" s="13">
        <v>0.6</v>
      </c>
      <c r="M51" s="13">
        <v>0.6</v>
      </c>
      <c r="O51" s="262" t="s">
        <v>202</v>
      </c>
    </row>
    <row r="52" spans="1:15" x14ac:dyDescent="0.3">
      <c r="O52" s="95"/>
    </row>
    <row r="53" spans="1:15" x14ac:dyDescent="0.3">
      <c r="A53" s="170" t="s">
        <v>204</v>
      </c>
      <c r="B53" s="170"/>
      <c r="C53" s="170"/>
      <c r="D53" s="170"/>
      <c r="E53" s="170"/>
      <c r="F53" s="170"/>
      <c r="G53" s="170"/>
      <c r="H53" s="170"/>
      <c r="I53" s="170"/>
      <c r="J53" s="170"/>
      <c r="K53" s="170"/>
      <c r="L53" s="244"/>
      <c r="M53" s="244"/>
    </row>
    <row r="54" spans="1:15" x14ac:dyDescent="0.3">
      <c r="A54" s="3" t="s">
        <v>205</v>
      </c>
      <c r="B54" s="14">
        <v>1.1000000000000001</v>
      </c>
      <c r="C54" s="14">
        <v>1.1000000000000001</v>
      </c>
      <c r="D54" s="14">
        <v>1.1000000000000001</v>
      </c>
      <c r="E54" s="14">
        <v>1.1000000000000001</v>
      </c>
      <c r="F54" s="14">
        <v>1.1000000000000001</v>
      </c>
      <c r="G54" s="14">
        <v>1.1000000000000001</v>
      </c>
      <c r="H54" s="14">
        <v>1.1000000000000001</v>
      </c>
      <c r="I54" s="14">
        <v>1.1000000000000001</v>
      </c>
      <c r="J54" s="14">
        <v>1.1000000000000001</v>
      </c>
      <c r="K54" s="14">
        <v>1.1000000000000001</v>
      </c>
      <c r="L54" s="14">
        <v>1.1000000000000001</v>
      </c>
      <c r="M54" s="14">
        <v>1.1000000000000001</v>
      </c>
      <c r="O54" s="335" t="s">
        <v>206</v>
      </c>
    </row>
    <row r="55" spans="1:15" x14ac:dyDescent="0.3">
      <c r="A55" s="3" t="s">
        <v>207</v>
      </c>
      <c r="B55" s="13">
        <v>0.4</v>
      </c>
      <c r="C55" s="13">
        <v>0.4</v>
      </c>
      <c r="D55" s="13">
        <v>0.4</v>
      </c>
      <c r="E55" s="13">
        <v>0.4</v>
      </c>
      <c r="F55" s="13">
        <v>0.4</v>
      </c>
      <c r="G55" s="13">
        <v>0.4</v>
      </c>
      <c r="H55" s="13">
        <v>0.4</v>
      </c>
      <c r="I55" s="13">
        <v>0.4</v>
      </c>
      <c r="J55" s="13">
        <v>0.4</v>
      </c>
      <c r="K55" s="13">
        <v>0.4</v>
      </c>
      <c r="L55" s="13">
        <v>0.4</v>
      </c>
      <c r="M55" s="13">
        <v>0.4</v>
      </c>
      <c r="O55" s="335"/>
    </row>
    <row r="56" spans="1:15" x14ac:dyDescent="0.3">
      <c r="L56" s="241"/>
      <c r="M56" s="241"/>
    </row>
    <row r="57" spans="1:15" x14ac:dyDescent="0.3">
      <c r="A57" s="170" t="s">
        <v>208</v>
      </c>
      <c r="B57" s="170"/>
      <c r="C57" s="170"/>
      <c r="D57" s="170"/>
      <c r="E57" s="170"/>
      <c r="F57" s="170"/>
      <c r="G57" s="170"/>
      <c r="H57" s="170"/>
      <c r="I57" s="170"/>
      <c r="J57" s="170"/>
      <c r="K57" s="170"/>
      <c r="L57" s="244"/>
      <c r="M57" s="244"/>
      <c r="O57" s="95"/>
    </row>
    <row r="58" spans="1:15" x14ac:dyDescent="0.3">
      <c r="A58" s="3" t="s">
        <v>209</v>
      </c>
      <c r="B58" s="19">
        <f>SUMPRODUCT(B59:B61,'Parameters, general'!$B$13:$B$15)</f>
        <v>0.39096643315116797</v>
      </c>
      <c r="C58" s="19">
        <f>SUMPRODUCT(C59:C61,'Parameters, general'!$B$13:$B$15)</f>
        <v>9.7389846101688715E-2</v>
      </c>
      <c r="D58" s="19">
        <f>SUMPRODUCT(D59:D61,'Parameters, general'!$B$13:$B$15)</f>
        <v>0.49559220951342314</v>
      </c>
      <c r="E58" s="19">
        <f>SUMPRODUCT(E59:E61,'Parameters, general'!$B$13:$B$15)</f>
        <v>0.68383359838017999</v>
      </c>
      <c r="F58" s="19">
        <f>SUMPRODUCT(F59:F61,'Parameters, general'!$B$13:$B$15)</f>
        <v>0.47422491295135871</v>
      </c>
      <c r="G58" s="19">
        <f>SUMPRODUCT(G59:G61,'Parameters, general'!$B$13:$B$15)</f>
        <v>0.40838708515026739</v>
      </c>
      <c r="H58" s="19">
        <f>SUMPRODUCT(H59:H61,'Parameters, general'!$B$13:$B$15)</f>
        <v>0.43143256987221246</v>
      </c>
      <c r="I58" s="19">
        <f>SUMPRODUCT(I59:I61,'Parameters, general'!$B$13:$B$15)</f>
        <v>0.53148365626410343</v>
      </c>
      <c r="J58" s="19">
        <f>SUMPRODUCT(J59:J61,'Parameters, general'!$B$13:$B$15)</f>
        <v>1.0362621395994065</v>
      </c>
      <c r="K58" s="19">
        <f>SUMPRODUCT(K59:K61,'Parameters, general'!$B$13:$B$15)</f>
        <v>0.29612656825806077</v>
      </c>
      <c r="L58" s="19">
        <f>SUMPRODUCT(L59:L61,'Parameters, general'!$B$13:$B$15)</f>
        <v>9.361010590226701E-2</v>
      </c>
      <c r="M58" s="19">
        <f>SUMPRODUCT(M59:M61,'Parameters, general'!$B$13:$B$15)</f>
        <v>9.361010590226701E-2</v>
      </c>
      <c r="O58" s="95" t="s">
        <v>210</v>
      </c>
    </row>
    <row r="59" spans="1:15" x14ac:dyDescent="0.3">
      <c r="A59" s="3" t="s">
        <v>211</v>
      </c>
      <c r="B59" s="79">
        <v>0.37053203522740003</v>
      </c>
      <c r="C59" s="188">
        <v>8.7112695367499993E-2</v>
      </c>
      <c r="D59" s="79">
        <v>0.46350339663360002</v>
      </c>
      <c r="E59" s="79">
        <v>0.63996298020209996</v>
      </c>
      <c r="F59" s="79">
        <v>0.43715184780049998</v>
      </c>
      <c r="G59" s="79">
        <v>0.3918720101247401</v>
      </c>
      <c r="H59" s="79">
        <v>0.37797633435819999</v>
      </c>
      <c r="I59" s="79">
        <v>0.49673189321139988</v>
      </c>
      <c r="J59" s="79">
        <v>0.9754510606115</v>
      </c>
      <c r="K59" s="79">
        <v>0.26811508139590001</v>
      </c>
      <c r="L59" s="79">
        <v>8.8450339728460003E-2</v>
      </c>
      <c r="M59" s="79">
        <v>8.8450339728460003E-2</v>
      </c>
      <c r="O59" s="95"/>
    </row>
    <row r="60" spans="1:15" x14ac:dyDescent="0.3">
      <c r="A60" s="3" t="s">
        <v>212</v>
      </c>
      <c r="B60" s="187">
        <v>5.1107441647039987E-4</v>
      </c>
      <c r="C60" s="187">
        <v>2.700762131814E-4</v>
      </c>
      <c r="D60" s="187">
        <v>8.866310670443999E-4</v>
      </c>
      <c r="E60" s="187">
        <v>1.2704162262849E-3</v>
      </c>
      <c r="F60" s="187">
        <v>1.1037499887663997E-3</v>
      </c>
      <c r="G60" s="187">
        <v>4.22314047096554E-4</v>
      </c>
      <c r="H60" s="187">
        <v>1.6431484401077997E-3</v>
      </c>
      <c r="I60" s="187">
        <v>9.8347245312259998E-4</v>
      </c>
      <c r="J60" s="187">
        <v>1.8794008186636402E-3</v>
      </c>
      <c r="K60" s="187">
        <v>8.28784824796E-4</v>
      </c>
      <c r="L60" s="187">
        <v>9.8278548655939986E-5</v>
      </c>
      <c r="M60" s="187">
        <v>9.8278548655939986E-5</v>
      </c>
      <c r="O60" s="95"/>
    </row>
    <row r="61" spans="1:15" x14ac:dyDescent="0.3">
      <c r="A61" s="3" t="s">
        <v>213</v>
      </c>
      <c r="B61" s="98">
        <v>1.9063664150000001E-5</v>
      </c>
      <c r="C61" s="98">
        <v>8.1643940709999986E-6</v>
      </c>
      <c r="D61" s="98">
        <v>2.0759000300000004E-5</v>
      </c>
      <c r="E61" s="98">
        <v>2.2022764229999999E-5</v>
      </c>
      <c r="F61" s="98">
        <v>1.5316173940000001E-5</v>
      </c>
      <c r="G61" s="98">
        <v>1.439603085E-5</v>
      </c>
      <c r="H61" s="98">
        <v>1.6448395599999999E-5</v>
      </c>
      <c r="I61" s="98">
        <v>1.9942432050000001E-5</v>
      </c>
      <c r="J61" s="98">
        <v>1.7600493009999999E-5</v>
      </c>
      <c r="K61" s="98">
        <v>1.213809188E-5</v>
      </c>
      <c r="L61" s="98">
        <v>8.172400819999999E-6</v>
      </c>
      <c r="M61" s="98">
        <v>8.172400819999999E-6</v>
      </c>
    </row>
    <row r="62" spans="1:15" x14ac:dyDescent="0.3">
      <c r="A62" s="3"/>
    </row>
    <row r="63" spans="1:15" x14ac:dyDescent="0.3">
      <c r="A63" s="170" t="s">
        <v>214</v>
      </c>
      <c r="B63" s="170"/>
      <c r="C63" s="170"/>
      <c r="D63" s="170"/>
      <c r="E63" s="170"/>
      <c r="F63" s="170"/>
      <c r="G63" s="170"/>
      <c r="H63" s="170"/>
      <c r="I63" s="170"/>
      <c r="J63" s="170"/>
      <c r="K63" s="170"/>
      <c r="L63" s="244"/>
      <c r="M63" s="244"/>
      <c r="O63" s="95"/>
    </row>
    <row r="64" spans="1:15" x14ac:dyDescent="0.3">
      <c r="A64" s="3" t="s">
        <v>215</v>
      </c>
      <c r="B64" s="15">
        <v>0.19</v>
      </c>
      <c r="C64" s="15">
        <v>0.19</v>
      </c>
      <c r="D64" s="15">
        <v>0.19</v>
      </c>
      <c r="E64" s="15">
        <v>0.19</v>
      </c>
      <c r="F64" s="15">
        <v>0.19</v>
      </c>
      <c r="G64" s="15">
        <v>0.19</v>
      </c>
      <c r="H64" s="15">
        <v>0.19</v>
      </c>
      <c r="I64" s="15">
        <v>0.19</v>
      </c>
      <c r="J64" s="15">
        <v>0.19</v>
      </c>
      <c r="K64" s="15">
        <v>0.19</v>
      </c>
      <c r="L64" s="15">
        <v>0.19</v>
      </c>
      <c r="M64" s="15">
        <v>0.19</v>
      </c>
      <c r="O64" s="95" t="s">
        <v>148</v>
      </c>
    </row>
    <row r="65" spans="1:15" x14ac:dyDescent="0.3">
      <c r="L65" s="13"/>
      <c r="M65" s="13"/>
      <c r="O65" s="95"/>
    </row>
    <row r="66" spans="1:15" x14ac:dyDescent="0.3">
      <c r="A66" s="170" t="s">
        <v>216</v>
      </c>
      <c r="B66" s="170"/>
      <c r="C66" s="170"/>
      <c r="D66" s="170"/>
      <c r="E66" s="170"/>
      <c r="F66" s="170"/>
      <c r="G66" s="170"/>
      <c r="H66" s="170"/>
      <c r="I66" s="170"/>
      <c r="J66" s="170"/>
      <c r="K66" s="170"/>
      <c r="L66" s="261"/>
      <c r="M66" s="261"/>
      <c r="O66" s="95"/>
    </row>
    <row r="67" spans="1:15" x14ac:dyDescent="0.3">
      <c r="A67" s="3" t="s">
        <v>217</v>
      </c>
      <c r="B67" s="114">
        <v>0.6</v>
      </c>
      <c r="C67" s="114">
        <v>0.6</v>
      </c>
      <c r="D67" s="114">
        <v>0.6</v>
      </c>
      <c r="E67" s="114">
        <v>0.6</v>
      </c>
      <c r="F67" s="114">
        <v>0.6</v>
      </c>
      <c r="G67" s="114">
        <v>0.6</v>
      </c>
      <c r="H67" s="114">
        <v>0.6</v>
      </c>
      <c r="I67" s="114">
        <v>0.6</v>
      </c>
      <c r="J67" s="114">
        <v>0.6</v>
      </c>
      <c r="K67" s="114">
        <v>0.6</v>
      </c>
      <c r="L67" s="114">
        <v>0.6</v>
      </c>
      <c r="M67" s="114">
        <v>0.6</v>
      </c>
    </row>
    <row r="68" spans="1:15" x14ac:dyDescent="0.3">
      <c r="A68" s="3" t="s">
        <v>218</v>
      </c>
      <c r="B68" s="115">
        <v>0.4</v>
      </c>
      <c r="C68" s="115">
        <v>0.4</v>
      </c>
      <c r="D68" s="115">
        <v>0.4</v>
      </c>
      <c r="E68" s="115">
        <v>0.4</v>
      </c>
      <c r="F68" s="115">
        <v>0.4</v>
      </c>
      <c r="G68" s="115">
        <v>0.4</v>
      </c>
      <c r="H68" s="115">
        <v>0.4</v>
      </c>
      <c r="I68" s="115">
        <v>0.4</v>
      </c>
      <c r="J68" s="115">
        <v>0.4</v>
      </c>
      <c r="K68" s="115">
        <v>0.4</v>
      </c>
      <c r="L68" s="115">
        <v>0.4</v>
      </c>
      <c r="M68" s="115">
        <v>0.4</v>
      </c>
    </row>
    <row r="69" spans="1:15" x14ac:dyDescent="0.3">
      <c r="L69" s="13"/>
      <c r="M69" s="13"/>
    </row>
    <row r="70" spans="1:15" x14ac:dyDescent="0.3">
      <c r="A70" s="170" t="s">
        <v>219</v>
      </c>
      <c r="B70" s="170"/>
      <c r="C70" s="170"/>
      <c r="D70" s="170"/>
      <c r="E70" s="170"/>
      <c r="F70" s="170"/>
      <c r="G70" s="170"/>
      <c r="H70" s="170"/>
      <c r="I70" s="170"/>
      <c r="J70" s="170"/>
      <c r="K70" s="170"/>
      <c r="L70" s="244"/>
      <c r="M70" s="244"/>
    </row>
    <row r="71" spans="1:15" x14ac:dyDescent="0.3">
      <c r="A71" s="93" t="s">
        <v>220</v>
      </c>
      <c r="B71" s="31">
        <v>1.6E-2</v>
      </c>
      <c r="C71" s="31">
        <v>1.6E-2</v>
      </c>
      <c r="D71" s="31">
        <v>1.6E-2</v>
      </c>
      <c r="E71" s="31">
        <v>1.6E-2</v>
      </c>
      <c r="F71" s="31">
        <v>1.6E-2</v>
      </c>
      <c r="G71" s="31">
        <v>1.6E-2</v>
      </c>
      <c r="H71" s="31">
        <v>1.6E-2</v>
      </c>
      <c r="I71" s="31">
        <v>1.6E-2</v>
      </c>
      <c r="J71" s="31">
        <v>1.6E-2</v>
      </c>
      <c r="K71" s="31">
        <v>1.6E-2</v>
      </c>
      <c r="L71" s="31">
        <v>1.6E-2</v>
      </c>
      <c r="M71" s="31">
        <v>1.6E-2</v>
      </c>
    </row>
    <row r="72" spans="1:15" x14ac:dyDescent="0.3">
      <c r="A72" s="93" t="s">
        <v>221</v>
      </c>
      <c r="B72" s="31">
        <v>6.0000000000000001E-3</v>
      </c>
      <c r="C72" s="31">
        <v>6.0000000000000001E-3</v>
      </c>
      <c r="D72" s="31">
        <v>6.0000000000000001E-3</v>
      </c>
      <c r="E72" s="31">
        <v>6.0000000000000001E-3</v>
      </c>
      <c r="F72" s="31">
        <v>6.0000000000000001E-3</v>
      </c>
      <c r="G72" s="31">
        <v>6.0000000000000001E-3</v>
      </c>
      <c r="H72" s="31">
        <v>6.0000000000000001E-3</v>
      </c>
      <c r="I72" s="31">
        <v>6.0000000000000001E-3</v>
      </c>
      <c r="J72" s="31">
        <v>6.0000000000000001E-3</v>
      </c>
      <c r="K72" s="31">
        <v>6.0000000000000001E-3</v>
      </c>
      <c r="L72" s="31">
        <v>6.0000000000000001E-3</v>
      </c>
      <c r="M72" s="31">
        <v>6.0000000000000001E-3</v>
      </c>
    </row>
    <row r="73" spans="1:15" x14ac:dyDescent="0.3">
      <c r="A73" s="3" t="s">
        <v>222</v>
      </c>
      <c r="B73" s="4">
        <f t="shared" ref="B73:L73" si="5">B71-B72</f>
        <v>0.01</v>
      </c>
      <c r="C73" s="4">
        <f t="shared" si="5"/>
        <v>0.01</v>
      </c>
      <c r="D73" s="4">
        <f t="shared" si="5"/>
        <v>0.01</v>
      </c>
      <c r="E73" s="4">
        <f t="shared" si="5"/>
        <v>0.01</v>
      </c>
      <c r="F73" s="4">
        <f t="shared" si="5"/>
        <v>0.01</v>
      </c>
      <c r="G73" s="4">
        <f t="shared" si="5"/>
        <v>0.01</v>
      </c>
      <c r="H73" s="4">
        <f t="shared" si="5"/>
        <v>0.01</v>
      </c>
      <c r="I73" s="4">
        <f t="shared" ref="I73" si="6">I71-I72</f>
        <v>0.01</v>
      </c>
      <c r="J73" s="4">
        <f t="shared" si="5"/>
        <v>0.01</v>
      </c>
      <c r="K73" s="4">
        <f t="shared" si="5"/>
        <v>0.01</v>
      </c>
      <c r="L73" s="79">
        <f t="shared" si="5"/>
        <v>0.01</v>
      </c>
      <c r="M73" s="79">
        <f t="shared" ref="M73" si="7">M71-M72</f>
        <v>0.01</v>
      </c>
    </row>
    <row r="74" spans="1:15" x14ac:dyDescent="0.3">
      <c r="A74" s="93" t="s">
        <v>223</v>
      </c>
      <c r="B74" s="32">
        <v>0.1</v>
      </c>
      <c r="C74" s="32">
        <v>0.1</v>
      </c>
      <c r="D74" s="32">
        <v>0.1</v>
      </c>
      <c r="E74" s="32">
        <v>0.1</v>
      </c>
      <c r="F74" s="32">
        <v>0.1</v>
      </c>
      <c r="G74" s="32">
        <v>0.1</v>
      </c>
      <c r="H74" s="32">
        <v>0.1</v>
      </c>
      <c r="I74" s="32">
        <v>0.1</v>
      </c>
      <c r="J74" s="32">
        <v>0.1</v>
      </c>
      <c r="K74" s="32">
        <v>0.1</v>
      </c>
      <c r="L74" s="116">
        <v>0.1</v>
      </c>
      <c r="M74" s="116">
        <v>0.1</v>
      </c>
    </row>
    <row r="75" spans="1:15" x14ac:dyDescent="0.3">
      <c r="A75" s="3"/>
      <c r="L75" s="13"/>
      <c r="M75" s="13"/>
    </row>
    <row r="76" spans="1:15" x14ac:dyDescent="0.3">
      <c r="A76" s="170" t="s">
        <v>224</v>
      </c>
      <c r="B76" s="170"/>
      <c r="C76" s="170"/>
      <c r="D76" s="170"/>
      <c r="E76" s="170"/>
      <c r="F76" s="170"/>
      <c r="G76" s="170"/>
      <c r="H76" s="170"/>
      <c r="I76" s="170"/>
      <c r="J76" s="170"/>
      <c r="K76" s="170"/>
      <c r="L76" s="261"/>
      <c r="M76" s="261"/>
      <c r="O76" s="95"/>
    </row>
    <row r="77" spans="1:15" x14ac:dyDescent="0.3">
      <c r="A77" s="93" t="s">
        <v>224</v>
      </c>
      <c r="B77" s="36">
        <v>0.5</v>
      </c>
      <c r="C77" s="36">
        <v>0.5</v>
      </c>
      <c r="D77" s="36">
        <v>0.5</v>
      </c>
      <c r="E77" s="36">
        <v>0.5</v>
      </c>
      <c r="F77" s="36">
        <v>0.5</v>
      </c>
      <c r="G77" s="36">
        <v>0.5</v>
      </c>
      <c r="H77" s="36">
        <v>0.5</v>
      </c>
      <c r="I77" s="36">
        <v>0.5</v>
      </c>
      <c r="J77" s="36">
        <v>0.5</v>
      </c>
      <c r="K77" s="36">
        <v>0.5</v>
      </c>
      <c r="L77" s="36">
        <v>0.5</v>
      </c>
      <c r="M77" s="36">
        <v>0.5</v>
      </c>
      <c r="O77" s="95" t="s">
        <v>225</v>
      </c>
    </row>
    <row r="78" spans="1:15" x14ac:dyDescent="0.3">
      <c r="L78" s="13"/>
      <c r="M78" s="13"/>
      <c r="O78" s="95"/>
    </row>
    <row r="79" spans="1:15" x14ac:dyDescent="0.3">
      <c r="A79" s="170" t="s">
        <v>226</v>
      </c>
      <c r="B79" s="170"/>
      <c r="C79" s="170"/>
      <c r="D79" s="170"/>
      <c r="E79" s="170"/>
      <c r="F79" s="170"/>
      <c r="G79" s="170"/>
      <c r="H79" s="170"/>
      <c r="I79" s="170"/>
      <c r="J79" s="170"/>
      <c r="K79" s="170"/>
      <c r="L79" s="244"/>
      <c r="M79" s="244"/>
      <c r="O79" s="95"/>
    </row>
    <row r="80" spans="1:15" x14ac:dyDescent="0.3">
      <c r="A80" s="93" t="s">
        <v>227</v>
      </c>
      <c r="B80" s="116">
        <v>0.19</v>
      </c>
      <c r="C80" s="116">
        <v>0.19</v>
      </c>
      <c r="D80" s="116">
        <v>0.19</v>
      </c>
      <c r="E80" s="116">
        <v>0.19</v>
      </c>
      <c r="F80" s="116">
        <v>0.19</v>
      </c>
      <c r="G80" s="116">
        <v>0.19</v>
      </c>
      <c r="H80" s="116">
        <v>0.19</v>
      </c>
      <c r="I80" s="116">
        <v>0.19</v>
      </c>
      <c r="J80" s="116">
        <v>0.19</v>
      </c>
      <c r="K80" s="116">
        <v>0.19</v>
      </c>
      <c r="L80" s="116">
        <v>0.19</v>
      </c>
      <c r="M80" s="116">
        <v>0.19</v>
      </c>
      <c r="O80" s="95" t="s">
        <v>228</v>
      </c>
    </row>
    <row r="81" spans="1:15" x14ac:dyDescent="0.3">
      <c r="O81" s="95"/>
    </row>
    <row r="82" spans="1:15" x14ac:dyDescent="0.3">
      <c r="A82" s="170" t="s">
        <v>229</v>
      </c>
      <c r="B82" s="170"/>
      <c r="C82" s="170"/>
      <c r="D82" s="170"/>
      <c r="E82" s="170"/>
      <c r="F82" s="170"/>
      <c r="G82" s="170"/>
      <c r="H82" s="170"/>
      <c r="I82" s="170"/>
      <c r="J82" s="170"/>
      <c r="K82" s="170"/>
      <c r="L82" s="244"/>
      <c r="M82" s="244"/>
      <c r="O82" s="95"/>
    </row>
    <row r="83" spans="1:15" x14ac:dyDescent="0.3">
      <c r="A83" s="93" t="s">
        <v>230</v>
      </c>
      <c r="B83" s="303">
        <f>No_sows_DK*11.48+No_recruit_sows_DK*1.025+No_boars_DK*1.025+No_fattening_pigs_DK*1.025+No_piglets_DK*0.082</f>
        <v>36.455296588341298</v>
      </c>
      <c r="C83" s="303">
        <f>No_sows_FR*17.36+No_recruit_sows_FR*1.55+No_boars_FR*1.55+No_fattening_pigs_FR*1.55+No_piglets_FR*0.124</f>
        <v>55.127521670174644</v>
      </c>
      <c r="D83" s="303">
        <f>No_sows_DE*19.6+No_recruit_sows_DE*1.75+No_boars_DE*1.75+No_fattening_pigs_DE*1.75+No_piglets_DE*0.14</f>
        <v>62.240750272777831</v>
      </c>
      <c r="E83" s="303">
        <f>No_sows_GR*12.88+No_recruit_sows_GR*1.15+No_boars_GR*1.15+No_fattening_pigs_GR*1.15+No_piglets_GR*0.092</f>
        <v>40.901064464968286</v>
      </c>
      <c r="F83" s="303">
        <f>No_sows_HU*56.28+No_recruit_sows_HU*5.025+No_boars_HU*5.025+No_fattening_pigs_HU*5.025+No_piglets_HU*0.402</f>
        <v>178.71986864040494</v>
      </c>
      <c r="G83" s="303">
        <f>No_sows_IE*37.52+No_recruit_sows_IE*3.35+No_boars_IE*3.35+No_fattening_pigs_IE*3.35+No_piglets_IE*0.268</f>
        <v>119.14657909360328</v>
      </c>
      <c r="H83" s="303">
        <f>No_sows_IT*18.2+No_recruit_sows_IT*1.625+No_boars_IT*1.625+No_fattening_pigs_IT*1.625+No_piglets_IT*0.13</f>
        <v>57.794982396150843</v>
      </c>
      <c r="I83" s="303">
        <f>No_sows_NL*23.52+No_recruit_sows_NL*2.1+No_boars_NL*2.1+No_fattening_pigs_NL*2.1+No_piglets_NL*0.168</f>
        <v>74.688900327333386</v>
      </c>
      <c r="J83" s="303">
        <f>No_sows_PL*59.36+No_recruit_sows_PL*5.3+No_boars_PL*5.3+No_fattening_pigs_PL*5.3+No_piglets_PL*0.424</f>
        <v>188.50055796898425</v>
      </c>
      <c r="K83" s="303">
        <f>No_sows_ES*5.6+No_recruit_sows_ES*0.5+No_boars_ES*0.5+No_fattening_pigs_ES*0.5+No_piglets_ES*0.04</f>
        <v>17.783071506507952</v>
      </c>
      <c r="L83" s="303">
        <f>No_sows_SE*11.48+No_recruit_sows_SE*1.025+No_boars_SE*1.025+No_fattening_pigs_SE*1.025+No_piglets_SE*0.082</f>
        <v>36.455296588341298</v>
      </c>
      <c r="M83" s="303">
        <f>No_sows_SE*11.48+No_recruit_sows_SE*1.025+No_boars_SE*1.025+No_fattening_pigs_SE*1.025+No_piglets_SE*0.082</f>
        <v>36.455296588341298</v>
      </c>
      <c r="O83" s="95"/>
    </row>
    <row r="84" spans="1:15" x14ac:dyDescent="0.3">
      <c r="L84" s="241"/>
      <c r="M84" s="241"/>
      <c r="O84" s="95"/>
    </row>
    <row r="85" spans="1:15" x14ac:dyDescent="0.3">
      <c r="A85" s="170" t="s">
        <v>25</v>
      </c>
      <c r="B85" s="170"/>
      <c r="C85" s="170"/>
      <c r="D85" s="170"/>
      <c r="E85" s="170"/>
      <c r="F85" s="170"/>
      <c r="G85" s="170"/>
      <c r="H85" s="170"/>
      <c r="I85" s="170"/>
      <c r="J85" s="170"/>
      <c r="K85" s="170"/>
      <c r="L85" s="244"/>
      <c r="M85" s="244"/>
      <c r="O85" s="95"/>
    </row>
    <row r="86" spans="1:15" x14ac:dyDescent="0.3">
      <c r="A86" s="93" t="s">
        <v>231</v>
      </c>
      <c r="B86" s="13">
        <v>0.05</v>
      </c>
      <c r="C86" s="13">
        <v>0.05</v>
      </c>
      <c r="D86" s="13">
        <v>0.05</v>
      </c>
      <c r="E86" s="13">
        <v>0.05</v>
      </c>
      <c r="F86" s="13">
        <v>0.05</v>
      </c>
      <c r="G86" s="13">
        <v>0.05</v>
      </c>
      <c r="H86" s="13">
        <v>0.05</v>
      </c>
      <c r="I86" s="13">
        <v>0.05</v>
      </c>
      <c r="J86" s="13">
        <v>0.05</v>
      </c>
      <c r="K86" s="13">
        <v>0.05</v>
      </c>
      <c r="L86" s="13">
        <v>0.05</v>
      </c>
      <c r="M86" s="13">
        <v>0.05</v>
      </c>
      <c r="O86" s="240" t="s">
        <v>232</v>
      </c>
    </row>
    <row r="87" spans="1:15" x14ac:dyDescent="0.3">
      <c r="A87" s="3" t="s">
        <v>233</v>
      </c>
      <c r="B87" s="13">
        <v>0.05</v>
      </c>
      <c r="C87" s="13">
        <v>0.05</v>
      </c>
      <c r="D87" s="13">
        <v>0.05</v>
      </c>
      <c r="E87" s="13">
        <v>0.05</v>
      </c>
      <c r="F87" s="13">
        <v>0.05</v>
      </c>
      <c r="G87" s="13">
        <v>0.05</v>
      </c>
      <c r="H87" s="13">
        <v>0.05</v>
      </c>
      <c r="I87" s="13">
        <v>0.05</v>
      </c>
      <c r="J87" s="13">
        <v>0.05</v>
      </c>
      <c r="K87" s="13">
        <v>0.05</v>
      </c>
      <c r="L87" s="13">
        <v>0.05</v>
      </c>
      <c r="M87" s="13">
        <v>0.05</v>
      </c>
      <c r="O87" s="95" t="s">
        <v>234</v>
      </c>
    </row>
    <row r="88" spans="1:15" x14ac:dyDescent="0.3">
      <c r="A88" s="3" t="s">
        <v>235</v>
      </c>
      <c r="B88" s="13">
        <v>1</v>
      </c>
      <c r="C88" s="13">
        <v>1</v>
      </c>
      <c r="D88" s="13">
        <v>1</v>
      </c>
      <c r="E88" s="13">
        <v>1</v>
      </c>
      <c r="F88" s="13">
        <v>1</v>
      </c>
      <c r="G88" s="13">
        <v>1</v>
      </c>
      <c r="H88" s="13">
        <v>1</v>
      </c>
      <c r="I88" s="13">
        <v>1</v>
      </c>
      <c r="J88" s="13">
        <v>1</v>
      </c>
      <c r="K88" s="13">
        <v>1</v>
      </c>
      <c r="L88" s="13">
        <v>1</v>
      </c>
      <c r="M88" s="13">
        <v>1</v>
      </c>
      <c r="O88" s="240"/>
    </row>
    <row r="89" spans="1:15" x14ac:dyDescent="0.3">
      <c r="A89" s="3" t="s">
        <v>236</v>
      </c>
      <c r="B89" s="13">
        <v>1</v>
      </c>
      <c r="C89" s="13">
        <v>1</v>
      </c>
      <c r="D89" s="13">
        <v>1</v>
      </c>
      <c r="E89" s="13">
        <v>1</v>
      </c>
      <c r="F89" s="13">
        <v>1</v>
      </c>
      <c r="G89" s="13">
        <v>1</v>
      </c>
      <c r="H89" s="13">
        <v>1</v>
      </c>
      <c r="I89" s="13">
        <v>1</v>
      </c>
      <c r="J89" s="13">
        <v>1</v>
      </c>
      <c r="K89" s="13">
        <v>1</v>
      </c>
      <c r="L89" s="13">
        <v>1</v>
      </c>
      <c r="M89" s="13">
        <v>1</v>
      </c>
      <c r="O89" s="240"/>
    </row>
    <row r="90" spans="1:15" x14ac:dyDescent="0.3">
      <c r="A90" s="3" t="s">
        <v>237</v>
      </c>
      <c r="B90" s="238">
        <f t="shared" ref="B90:L90" si="8">B6/100*Weight_mortality+B86*Weight_diseases+B88*Weight_space+Slaughter_duration_class*Weight_slaughter_duration_class</f>
        <v>2.14</v>
      </c>
      <c r="C90" s="238">
        <f t="shared" si="8"/>
        <v>2.14</v>
      </c>
      <c r="D90" s="238">
        <f t="shared" si="8"/>
        <v>2.14</v>
      </c>
      <c r="E90" s="238">
        <f t="shared" si="8"/>
        <v>2.14</v>
      </c>
      <c r="F90" s="238">
        <f t="shared" si="8"/>
        <v>2.14</v>
      </c>
      <c r="G90" s="238">
        <f t="shared" si="8"/>
        <v>2.14</v>
      </c>
      <c r="H90" s="238">
        <f t="shared" si="8"/>
        <v>2.14</v>
      </c>
      <c r="I90" s="238">
        <f t="shared" si="8"/>
        <v>2.14</v>
      </c>
      <c r="J90" s="238">
        <f t="shared" si="8"/>
        <v>2.14</v>
      </c>
      <c r="K90" s="238">
        <f t="shared" si="8"/>
        <v>2.14</v>
      </c>
      <c r="L90" s="331">
        <f t="shared" si="8"/>
        <v>2.14</v>
      </c>
      <c r="M90" s="331">
        <f t="shared" ref="M90" si="9">M6/100*Weight_mortality+M86*Weight_diseases+M88*Weight_space+Slaughter_duration_class*Weight_slaughter_duration_class</f>
        <v>2.14</v>
      </c>
      <c r="O90" s="95"/>
    </row>
    <row r="91" spans="1:15" x14ac:dyDescent="0.3">
      <c r="A91" s="3" t="s">
        <v>238</v>
      </c>
      <c r="B91" s="332">
        <f t="shared" ref="B91:L91" si="10">B18/100*Weight_mortality+B87*Weight_diseases+B89*Weight_space+Slaughter_duration_class*Weight_slaughter_duration_class</f>
        <v>2.1685837456522803</v>
      </c>
      <c r="C91" s="332">
        <f t="shared" si="10"/>
        <v>2.1685837456522803</v>
      </c>
      <c r="D91" s="332">
        <f t="shared" si="10"/>
        <v>2.1685837456522803</v>
      </c>
      <c r="E91" s="332">
        <f t="shared" si="10"/>
        <v>2.1685837456522803</v>
      </c>
      <c r="F91" s="332">
        <f t="shared" si="10"/>
        <v>2.1685837456522803</v>
      </c>
      <c r="G91" s="332">
        <f t="shared" si="10"/>
        <v>2.1685837456522803</v>
      </c>
      <c r="H91" s="332">
        <f t="shared" si="10"/>
        <v>2.1685837456522803</v>
      </c>
      <c r="I91" s="332">
        <f t="shared" si="10"/>
        <v>2.1685837456522803</v>
      </c>
      <c r="J91" s="332">
        <f t="shared" si="10"/>
        <v>2.1685837456522803</v>
      </c>
      <c r="K91" s="332">
        <f t="shared" si="10"/>
        <v>2.1685837456522803</v>
      </c>
      <c r="L91" s="121">
        <f t="shared" si="10"/>
        <v>2.1685837456522803</v>
      </c>
      <c r="M91" s="121">
        <f t="shared" ref="M91" si="11">M18/100*Weight_mortality+M87*Weight_diseases+M89*Weight_space+Slaughter_duration_class*Weight_slaughter_duration_class</f>
        <v>2.1685837456522803</v>
      </c>
      <c r="O91" s="95"/>
    </row>
    <row r="92" spans="1:15" x14ac:dyDescent="0.3">
      <c r="A92" s="3" t="s">
        <v>239</v>
      </c>
      <c r="B92" s="334">
        <f>Ability_to_perceive_handling*(Weight_no_of_animal*SUM(Production!B37:B38)*'Parameters, country spec'!B90+Weight_no_of_animal*Production!B39*'Parameters, country spec'!B91)*100</f>
        <v>0.16153311544436971</v>
      </c>
      <c r="C92" s="334">
        <f>Ability_to_perceive_handling*(Weight_no_of_animal*SUM(Production!C37:C38)*'Parameters, country spec'!C90+Weight_no_of_animal*Production!C39*'Parameters, country spec'!C91)*100</f>
        <v>0.16153311544436971</v>
      </c>
      <c r="D92" s="334">
        <f>Ability_to_perceive_handling*(Weight_no_of_animal*SUM(Production!D37:D38)*'Parameters, country spec'!D90+Weight_no_of_animal*Production!D39*'Parameters, country spec'!D91)*100</f>
        <v>0.16153311544436971</v>
      </c>
      <c r="E92" s="334">
        <f>Ability_to_perceive_handling*(Weight_no_of_animal*SUM(Production!E37:E38)*'Parameters, country spec'!E90+Weight_no_of_animal*Production!E39*'Parameters, country spec'!E91)*100</f>
        <v>0.16153311544436971</v>
      </c>
      <c r="F92" s="334">
        <f>Ability_to_perceive_handling*(Weight_no_of_animal*SUM(Production!F37:F38)*'Parameters, country spec'!F90+Weight_no_of_animal*Production!F39*'Parameters, country spec'!F91)*100</f>
        <v>0.16153311544436971</v>
      </c>
      <c r="G92" s="334">
        <f>Ability_to_perceive_handling*(Weight_no_of_animal*SUM(Production!G37:G38)*'Parameters, country spec'!G90+Weight_no_of_animal*Production!G39*'Parameters, country spec'!G91)*100</f>
        <v>0.16153311544436971</v>
      </c>
      <c r="H92" s="334">
        <f>Ability_to_perceive_handling*(Weight_no_of_animal*SUM(Production!H37:H38)*'Parameters, country spec'!H90+Weight_no_of_animal*Production!H39*'Parameters, country spec'!H91)*100</f>
        <v>0.16153311544436971</v>
      </c>
      <c r="I92" s="334">
        <f>Ability_to_perceive_handling*(Weight_no_of_animal*SUM(Production!I37:I38)*'Parameters, country spec'!I90+Weight_no_of_animal*Production!I39*'Parameters, country spec'!I91)*100</f>
        <v>0.16153311544436971</v>
      </c>
      <c r="J92" s="334">
        <f>Ability_to_perceive_handling*(Weight_no_of_animal*SUM(Production!J37:J38)*'Parameters, country spec'!J90+Weight_no_of_animal*Production!J39*'Parameters, country spec'!J91)*100</f>
        <v>0.16153311544436971</v>
      </c>
      <c r="K92" s="334">
        <f>Ability_to_perceive_handling*(Weight_no_of_animal*SUM(Production!K37:K38)*'Parameters, country spec'!K90+Weight_no_of_animal*Production!K39*'Parameters, country spec'!K91)*100</f>
        <v>0.16153311544436971</v>
      </c>
      <c r="L92" s="334">
        <f>Ability_to_perceive_handling*(Weight_no_of_animal*SUM(Production!L37:L38)*'Parameters, country spec'!L90+Weight_no_of_animal*Production!L39*'Parameters, country spec'!L91)*100</f>
        <v>0.16153311544436971</v>
      </c>
      <c r="M92" s="334">
        <f>Ability_to_perceive_handling*(Weight_no_of_animal*SUM(Production!N37:N38)*'Parameters, country spec'!M90+Weight_no_of_animal*Production!N39*'Parameters, country spec'!M91)*100</f>
        <v>0</v>
      </c>
      <c r="O92" s="95"/>
    </row>
    <row r="93" spans="1:15" x14ac:dyDescent="0.3">
      <c r="G93" s="189"/>
      <c r="H93" s="190"/>
      <c r="I93" s="190"/>
      <c r="O93" s="95"/>
    </row>
    <row r="94" spans="1:15" x14ac:dyDescent="0.3">
      <c r="L94" s="17"/>
      <c r="M94" s="17"/>
      <c r="O94" s="95"/>
    </row>
    <row r="95" spans="1:15" x14ac:dyDescent="0.3">
      <c r="A95" t="s">
        <v>240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Z145"/>
  <sheetViews>
    <sheetView topLeftCell="A78" zoomScale="74" zoomScaleNormal="80" workbookViewId="0">
      <selection activeCell="AU101" sqref="AU101"/>
    </sheetView>
  </sheetViews>
  <sheetFormatPr defaultRowHeight="14.4" x14ac:dyDescent="0.3"/>
  <cols>
    <col min="1" max="1" width="65.44140625" customWidth="1"/>
    <col min="2" max="41" width="8.6640625" hidden="1" customWidth="1"/>
    <col min="42" max="44" width="8.6640625" customWidth="1"/>
    <col min="45" max="45" width="10.5546875" customWidth="1"/>
    <col min="46" max="48" width="8.6640625" customWidth="1"/>
  </cols>
  <sheetData>
    <row r="2" spans="1:48" ht="18" x14ac:dyDescent="0.35">
      <c r="A2" s="1" t="s">
        <v>241</v>
      </c>
      <c r="B2" s="239"/>
      <c r="C2" s="239"/>
      <c r="D2" s="239"/>
      <c r="E2" s="7" t="s">
        <v>242</v>
      </c>
    </row>
    <row r="3" spans="1:48" x14ac:dyDescent="0.3">
      <c r="B3" t="s">
        <v>49</v>
      </c>
      <c r="F3" t="s">
        <v>51</v>
      </c>
      <c r="J3" t="s">
        <v>53</v>
      </c>
      <c r="N3" t="s">
        <v>55</v>
      </c>
      <c r="R3" t="s">
        <v>57</v>
      </c>
      <c r="V3" t="s">
        <v>59</v>
      </c>
      <c r="Z3" t="s">
        <v>61</v>
      </c>
      <c r="AD3" t="s">
        <v>63</v>
      </c>
      <c r="AH3" t="s">
        <v>65</v>
      </c>
      <c r="AL3" t="s">
        <v>67</v>
      </c>
      <c r="AP3" s="17" t="s">
        <v>69</v>
      </c>
    </row>
    <row r="4" spans="1:48" x14ac:dyDescent="0.3">
      <c r="A4" s="317"/>
      <c r="B4" s="263" t="s">
        <v>48</v>
      </c>
      <c r="C4" s="264"/>
      <c r="D4" s="264"/>
      <c r="E4" s="265"/>
      <c r="F4" s="263" t="s">
        <v>50</v>
      </c>
      <c r="G4" s="264"/>
      <c r="H4" s="264"/>
      <c r="I4" s="265"/>
      <c r="J4" s="170" t="s">
        <v>52</v>
      </c>
      <c r="K4" s="170"/>
      <c r="L4" s="170"/>
      <c r="M4" s="170"/>
      <c r="N4" s="170" t="s">
        <v>54</v>
      </c>
      <c r="O4" s="170"/>
      <c r="P4" s="170"/>
      <c r="Q4" s="170"/>
      <c r="R4" s="170" t="s">
        <v>56</v>
      </c>
      <c r="S4" s="170"/>
      <c r="T4" s="170"/>
      <c r="U4" s="170"/>
      <c r="V4" s="170" t="s">
        <v>58</v>
      </c>
      <c r="W4" s="170"/>
      <c r="X4" s="170"/>
      <c r="Y4" s="170"/>
      <c r="Z4" s="170" t="s">
        <v>60</v>
      </c>
      <c r="AA4" s="170"/>
      <c r="AB4" s="170"/>
      <c r="AC4" s="170"/>
      <c r="AD4" s="170" t="s">
        <v>62</v>
      </c>
      <c r="AE4" s="170"/>
      <c r="AF4" s="170"/>
      <c r="AG4" s="170"/>
      <c r="AH4" s="170" t="s">
        <v>64</v>
      </c>
      <c r="AI4" s="170"/>
      <c r="AJ4" s="170"/>
      <c r="AK4" s="170"/>
      <c r="AL4" s="170" t="s">
        <v>66</v>
      </c>
      <c r="AM4" s="170"/>
      <c r="AN4" s="170"/>
      <c r="AO4" s="170"/>
      <c r="AP4" s="263" t="s">
        <v>68</v>
      </c>
      <c r="AQ4" s="264"/>
      <c r="AR4" s="264"/>
      <c r="AS4" s="265"/>
      <c r="AU4" s="95" t="s">
        <v>144</v>
      </c>
    </row>
    <row r="5" spans="1:48" x14ac:dyDescent="0.3">
      <c r="A5" s="318"/>
      <c r="B5" s="245" t="s">
        <v>123</v>
      </c>
      <c r="C5" s="248" t="s">
        <v>127</v>
      </c>
      <c r="D5" s="248" t="s">
        <v>128</v>
      </c>
      <c r="E5" s="266" t="s">
        <v>130</v>
      </c>
      <c r="F5" s="245" t="s">
        <v>123</v>
      </c>
      <c r="G5" s="248" t="s">
        <v>127</v>
      </c>
      <c r="H5" s="248" t="s">
        <v>128</v>
      </c>
      <c r="I5" s="266" t="s">
        <v>130</v>
      </c>
      <c r="J5" s="245" t="s">
        <v>123</v>
      </c>
      <c r="K5" s="248" t="s">
        <v>127</v>
      </c>
      <c r="L5" s="248" t="s">
        <v>128</v>
      </c>
      <c r="M5" s="266" t="s">
        <v>130</v>
      </c>
      <c r="N5" s="245" t="s">
        <v>123</v>
      </c>
      <c r="O5" s="248" t="s">
        <v>127</v>
      </c>
      <c r="P5" s="248" t="s">
        <v>128</v>
      </c>
      <c r="Q5" s="266" t="s">
        <v>130</v>
      </c>
      <c r="R5" s="245" t="s">
        <v>123</v>
      </c>
      <c r="S5" s="248" t="s">
        <v>127</v>
      </c>
      <c r="T5" s="248" t="s">
        <v>128</v>
      </c>
      <c r="U5" s="266" t="s">
        <v>130</v>
      </c>
      <c r="V5" s="245" t="s">
        <v>123</v>
      </c>
      <c r="W5" s="248" t="s">
        <v>127</v>
      </c>
      <c r="X5" s="248" t="s">
        <v>128</v>
      </c>
      <c r="Y5" s="266" t="s">
        <v>130</v>
      </c>
      <c r="Z5" s="245" t="s">
        <v>123</v>
      </c>
      <c r="AA5" s="248" t="s">
        <v>127</v>
      </c>
      <c r="AB5" s="248" t="s">
        <v>128</v>
      </c>
      <c r="AC5" s="266" t="s">
        <v>130</v>
      </c>
      <c r="AD5" s="245" t="s">
        <v>123</v>
      </c>
      <c r="AE5" s="248" t="s">
        <v>127</v>
      </c>
      <c r="AF5" s="248" t="s">
        <v>128</v>
      </c>
      <c r="AG5" s="266" t="s">
        <v>130</v>
      </c>
      <c r="AH5" s="245" t="s">
        <v>123</v>
      </c>
      <c r="AI5" s="248" t="s">
        <v>127</v>
      </c>
      <c r="AJ5" s="248" t="s">
        <v>128</v>
      </c>
      <c r="AK5" s="266" t="s">
        <v>130</v>
      </c>
      <c r="AL5" s="245" t="s">
        <v>123</v>
      </c>
      <c r="AM5" s="248" t="s">
        <v>127</v>
      </c>
      <c r="AN5" s="248" t="s">
        <v>128</v>
      </c>
      <c r="AO5" s="248" t="s">
        <v>130</v>
      </c>
      <c r="AP5" s="245" t="s">
        <v>123</v>
      </c>
      <c r="AQ5" s="248" t="s">
        <v>127</v>
      </c>
      <c r="AR5" s="248" t="s">
        <v>128</v>
      </c>
      <c r="AS5" s="266" t="s">
        <v>130</v>
      </c>
    </row>
    <row r="6" spans="1:48" x14ac:dyDescent="0.3">
      <c r="A6" s="319" t="s">
        <v>243</v>
      </c>
      <c r="B6" s="267">
        <v>0.2</v>
      </c>
      <c r="C6" s="268">
        <v>0.2</v>
      </c>
      <c r="D6" s="268">
        <v>0</v>
      </c>
      <c r="E6" s="269">
        <v>0.2</v>
      </c>
      <c r="F6" s="267">
        <v>0.2</v>
      </c>
      <c r="G6" s="268">
        <v>0.2</v>
      </c>
      <c r="H6" s="268">
        <v>0</v>
      </c>
      <c r="I6" s="269">
        <v>0.2</v>
      </c>
      <c r="J6" s="267">
        <v>0.2</v>
      </c>
      <c r="K6" s="268">
        <v>0.2</v>
      </c>
      <c r="L6" s="268">
        <v>0</v>
      </c>
      <c r="M6" s="269">
        <v>0.2</v>
      </c>
      <c r="N6" s="267">
        <v>0.2</v>
      </c>
      <c r="O6" s="268">
        <v>0.2</v>
      </c>
      <c r="P6" s="268">
        <v>0</v>
      </c>
      <c r="Q6" s="269">
        <v>0.2</v>
      </c>
      <c r="R6" s="267">
        <v>0.2</v>
      </c>
      <c r="S6" s="268">
        <v>0.2</v>
      </c>
      <c r="T6" s="268">
        <v>0</v>
      </c>
      <c r="U6" s="269">
        <v>0.2</v>
      </c>
      <c r="V6" s="267">
        <v>0.2</v>
      </c>
      <c r="W6" s="268">
        <v>0.2</v>
      </c>
      <c r="X6" s="268">
        <v>0</v>
      </c>
      <c r="Y6" s="269">
        <v>0.2</v>
      </c>
      <c r="Z6" s="267">
        <v>0.2</v>
      </c>
      <c r="AA6" s="268">
        <v>0.2</v>
      </c>
      <c r="AB6" s="268">
        <v>0</v>
      </c>
      <c r="AC6" s="269">
        <v>0.2</v>
      </c>
      <c r="AD6" s="267">
        <v>0.2</v>
      </c>
      <c r="AE6" s="268">
        <v>0.2</v>
      </c>
      <c r="AF6" s="268">
        <v>0</v>
      </c>
      <c r="AG6" s="269">
        <v>0.2</v>
      </c>
      <c r="AH6" s="267">
        <v>0.2</v>
      </c>
      <c r="AI6" s="268">
        <v>0.2</v>
      </c>
      <c r="AJ6" s="268">
        <v>0</v>
      </c>
      <c r="AK6" s="269">
        <v>0.2</v>
      </c>
      <c r="AL6" s="267">
        <v>0.2</v>
      </c>
      <c r="AM6" s="268">
        <v>0.2</v>
      </c>
      <c r="AN6" s="268">
        <v>0</v>
      </c>
      <c r="AO6" s="268">
        <v>0.2</v>
      </c>
      <c r="AP6" s="267">
        <v>0.2</v>
      </c>
      <c r="AQ6" s="268">
        <v>0.2</v>
      </c>
      <c r="AR6" s="268">
        <v>0</v>
      </c>
      <c r="AS6" s="269">
        <v>0.2</v>
      </c>
      <c r="AU6" s="95" t="s">
        <v>244</v>
      </c>
    </row>
    <row r="7" spans="1:48" x14ac:dyDescent="0.3">
      <c r="A7" s="320" t="s">
        <v>245</v>
      </c>
      <c r="B7" s="267">
        <v>0.63</v>
      </c>
      <c r="C7" s="268">
        <v>0.63</v>
      </c>
      <c r="D7" s="268">
        <v>1</v>
      </c>
      <c r="E7" s="269">
        <v>0.63</v>
      </c>
      <c r="F7" s="267">
        <v>0.63</v>
      </c>
      <c r="G7" s="268">
        <v>0.63</v>
      </c>
      <c r="H7" s="268">
        <v>1</v>
      </c>
      <c r="I7" s="269">
        <v>0.63</v>
      </c>
      <c r="J7" s="267">
        <v>0.63</v>
      </c>
      <c r="K7" s="268">
        <v>0.63</v>
      </c>
      <c r="L7" s="268">
        <v>1</v>
      </c>
      <c r="M7" s="269">
        <v>0.63</v>
      </c>
      <c r="N7" s="267">
        <v>0.63</v>
      </c>
      <c r="O7" s="268">
        <v>0.63</v>
      </c>
      <c r="P7" s="268">
        <v>1</v>
      </c>
      <c r="Q7" s="269">
        <v>0.63</v>
      </c>
      <c r="R7" s="267">
        <v>0.63</v>
      </c>
      <c r="S7" s="268">
        <v>0.63</v>
      </c>
      <c r="T7" s="268">
        <v>1</v>
      </c>
      <c r="U7" s="269">
        <v>0.63</v>
      </c>
      <c r="V7" s="267">
        <v>0.63</v>
      </c>
      <c r="W7" s="268">
        <v>0.63</v>
      </c>
      <c r="X7" s="268">
        <v>1</v>
      </c>
      <c r="Y7" s="269">
        <v>0.63</v>
      </c>
      <c r="Z7" s="267">
        <v>0.63</v>
      </c>
      <c r="AA7" s="268">
        <v>0.63</v>
      </c>
      <c r="AB7" s="268">
        <v>1</v>
      </c>
      <c r="AC7" s="269">
        <v>0.63</v>
      </c>
      <c r="AD7" s="267">
        <v>0.63</v>
      </c>
      <c r="AE7" s="268">
        <v>0.63</v>
      </c>
      <c r="AF7" s="268">
        <v>1</v>
      </c>
      <c r="AG7" s="269">
        <v>0.63</v>
      </c>
      <c r="AH7" s="267">
        <v>0.63</v>
      </c>
      <c r="AI7" s="268">
        <v>0.63</v>
      </c>
      <c r="AJ7" s="268">
        <v>1</v>
      </c>
      <c r="AK7" s="269">
        <v>0.63</v>
      </c>
      <c r="AL7" s="267">
        <v>0.63</v>
      </c>
      <c r="AM7" s="268">
        <v>0.63</v>
      </c>
      <c r="AN7" s="268">
        <v>1</v>
      </c>
      <c r="AO7" s="268">
        <v>0.63</v>
      </c>
      <c r="AP7" s="267">
        <v>0.63</v>
      </c>
      <c r="AQ7" s="268">
        <v>0.63</v>
      </c>
      <c r="AR7" s="268">
        <v>1</v>
      </c>
      <c r="AS7" s="269">
        <v>0.63</v>
      </c>
    </row>
    <row r="8" spans="1:48" x14ac:dyDescent="0.3">
      <c r="A8" s="320" t="s">
        <v>246</v>
      </c>
      <c r="B8" s="267">
        <f>0.17</f>
        <v>0.17</v>
      </c>
      <c r="C8" s="268">
        <f>0.17</f>
        <v>0.17</v>
      </c>
      <c r="D8" s="268">
        <v>0</v>
      </c>
      <c r="E8" s="269">
        <f>0.17</f>
        <v>0.17</v>
      </c>
      <c r="F8" s="267">
        <f>0.17</f>
        <v>0.17</v>
      </c>
      <c r="G8" s="268">
        <f>0.17</f>
        <v>0.17</v>
      </c>
      <c r="H8" s="268">
        <v>0</v>
      </c>
      <c r="I8" s="269">
        <f>0.17</f>
        <v>0.17</v>
      </c>
      <c r="J8" s="267">
        <f>0.17</f>
        <v>0.17</v>
      </c>
      <c r="K8" s="268">
        <f>0.17</f>
        <v>0.17</v>
      </c>
      <c r="L8" s="268">
        <v>0</v>
      </c>
      <c r="M8" s="269">
        <f>0.17</f>
        <v>0.17</v>
      </c>
      <c r="N8" s="267">
        <f>0.17</f>
        <v>0.17</v>
      </c>
      <c r="O8" s="268">
        <f>0.17</f>
        <v>0.17</v>
      </c>
      <c r="P8" s="268">
        <v>0</v>
      </c>
      <c r="Q8" s="269">
        <f>0.17</f>
        <v>0.17</v>
      </c>
      <c r="R8" s="267">
        <f>0.17</f>
        <v>0.17</v>
      </c>
      <c r="S8" s="268">
        <f>0.17</f>
        <v>0.17</v>
      </c>
      <c r="T8" s="268">
        <v>0</v>
      </c>
      <c r="U8" s="269">
        <f>0.17</f>
        <v>0.17</v>
      </c>
      <c r="V8" s="267">
        <f>0.17</f>
        <v>0.17</v>
      </c>
      <c r="W8" s="268">
        <f>0.17</f>
        <v>0.17</v>
      </c>
      <c r="X8" s="268">
        <v>0</v>
      </c>
      <c r="Y8" s="269">
        <f>0.17</f>
        <v>0.17</v>
      </c>
      <c r="Z8" s="267">
        <f>0.17</f>
        <v>0.17</v>
      </c>
      <c r="AA8" s="268">
        <f>0.17</f>
        <v>0.17</v>
      </c>
      <c r="AB8" s="268">
        <v>0</v>
      </c>
      <c r="AC8" s="269">
        <f>0.17</f>
        <v>0.17</v>
      </c>
      <c r="AD8" s="267">
        <f>0.17</f>
        <v>0.17</v>
      </c>
      <c r="AE8" s="268">
        <f>0.17</f>
        <v>0.17</v>
      </c>
      <c r="AF8" s="268">
        <v>0</v>
      </c>
      <c r="AG8" s="269">
        <f>0.17</f>
        <v>0.17</v>
      </c>
      <c r="AH8" s="267">
        <f>0.17</f>
        <v>0.17</v>
      </c>
      <c r="AI8" s="268">
        <f>0.17</f>
        <v>0.17</v>
      </c>
      <c r="AJ8" s="268">
        <v>0</v>
      </c>
      <c r="AK8" s="269">
        <f>0.17</f>
        <v>0.17</v>
      </c>
      <c r="AL8" s="267">
        <f>0.17</f>
        <v>0.17</v>
      </c>
      <c r="AM8" s="268">
        <f>0.17</f>
        <v>0.17</v>
      </c>
      <c r="AN8" s="268">
        <v>0</v>
      </c>
      <c r="AO8" s="268">
        <f>0.17</f>
        <v>0.17</v>
      </c>
      <c r="AP8" s="267">
        <f>0.17</f>
        <v>0.17</v>
      </c>
      <c r="AQ8" s="268">
        <f>0.17</f>
        <v>0.17</v>
      </c>
      <c r="AR8" s="268">
        <v>0</v>
      </c>
      <c r="AS8" s="269">
        <f>0.17</f>
        <v>0.17</v>
      </c>
    </row>
    <row r="9" spans="1:48" x14ac:dyDescent="0.3">
      <c r="A9" s="320"/>
      <c r="B9" s="267"/>
      <c r="C9" s="268"/>
      <c r="D9" s="268"/>
      <c r="E9" s="269"/>
      <c r="F9" s="267"/>
      <c r="G9" s="268"/>
      <c r="H9" s="268"/>
      <c r="I9" s="269"/>
      <c r="J9" s="267"/>
      <c r="K9" s="268"/>
      <c r="L9" s="268"/>
      <c r="M9" s="269"/>
      <c r="N9" s="267"/>
      <c r="O9" s="268"/>
      <c r="P9" s="268"/>
      <c r="Q9" s="269"/>
      <c r="R9" s="267"/>
      <c r="S9" s="268"/>
      <c r="T9" s="268"/>
      <c r="U9" s="269"/>
      <c r="V9" s="267"/>
      <c r="W9" s="268"/>
      <c r="X9" s="268"/>
      <c r="Y9" s="269"/>
      <c r="Z9" s="267"/>
      <c r="AA9" s="268"/>
      <c r="AB9" s="268"/>
      <c r="AC9" s="269"/>
      <c r="AD9" s="267"/>
      <c r="AE9" s="268"/>
      <c r="AF9" s="268"/>
      <c r="AG9" s="269"/>
      <c r="AH9" s="267"/>
      <c r="AI9" s="268"/>
      <c r="AJ9" s="268"/>
      <c r="AK9" s="269"/>
      <c r="AL9" s="267"/>
      <c r="AM9" s="268"/>
      <c r="AN9" s="268"/>
      <c r="AO9" s="268"/>
      <c r="AP9" s="267"/>
      <c r="AQ9" s="268"/>
      <c r="AR9" s="268"/>
      <c r="AS9" s="269"/>
    </row>
    <row r="10" spans="1:48" x14ac:dyDescent="0.3">
      <c r="A10" s="321" t="s">
        <v>247</v>
      </c>
      <c r="B10" s="333"/>
      <c r="C10" s="215"/>
      <c r="D10" s="215"/>
      <c r="E10" s="215"/>
      <c r="F10" s="333"/>
      <c r="G10" s="215"/>
      <c r="H10" s="215"/>
      <c r="I10" s="215"/>
      <c r="J10" s="333"/>
      <c r="K10" s="215"/>
      <c r="L10" s="215"/>
      <c r="M10" s="215"/>
      <c r="N10" s="333"/>
      <c r="O10" s="215"/>
      <c r="P10" s="215"/>
      <c r="Q10" s="215"/>
      <c r="R10" s="333"/>
      <c r="S10" s="215"/>
      <c r="T10" s="215"/>
      <c r="U10" s="215"/>
      <c r="V10" s="333"/>
      <c r="W10" s="215"/>
      <c r="X10" s="215"/>
      <c r="Y10" s="215"/>
      <c r="Z10" s="333"/>
      <c r="AA10" s="215"/>
      <c r="AB10" s="215"/>
      <c r="AC10" s="215"/>
      <c r="AD10" s="333"/>
      <c r="AE10" s="215"/>
      <c r="AF10" s="215"/>
      <c r="AG10" s="215"/>
      <c r="AH10" s="333"/>
      <c r="AI10" s="215"/>
      <c r="AJ10" s="215"/>
      <c r="AK10" s="215"/>
      <c r="AL10" s="333"/>
      <c r="AM10" s="215"/>
      <c r="AN10" s="215"/>
      <c r="AO10" s="215"/>
      <c r="AP10" s="333"/>
      <c r="AQ10" s="215"/>
      <c r="AR10" s="215"/>
      <c r="AS10" s="215"/>
    </row>
    <row r="11" spans="1:48" x14ac:dyDescent="0.3">
      <c r="A11" s="322" t="s">
        <v>248</v>
      </c>
      <c r="B11" s="272"/>
      <c r="C11" s="273"/>
      <c r="D11" s="273"/>
      <c r="E11" s="274"/>
      <c r="F11" s="272"/>
      <c r="G11" s="273"/>
      <c r="H11" s="273"/>
      <c r="I11" s="274"/>
      <c r="J11" s="272"/>
      <c r="K11" s="273"/>
      <c r="L11" s="273"/>
      <c r="M11" s="274"/>
      <c r="N11" s="272"/>
      <c r="O11" s="273"/>
      <c r="P11" s="273"/>
      <c r="Q11" s="274"/>
      <c r="R11" s="272"/>
      <c r="S11" s="273"/>
      <c r="T11" s="273"/>
      <c r="U11" s="274"/>
      <c r="V11" s="272"/>
      <c r="W11" s="273"/>
      <c r="X11" s="273"/>
      <c r="Y11" s="274"/>
      <c r="Z11" s="272"/>
      <c r="AA11" s="273"/>
      <c r="AB11" s="273"/>
      <c r="AC11" s="274"/>
      <c r="AD11" s="272"/>
      <c r="AE11" s="273"/>
      <c r="AF11" s="273"/>
      <c r="AG11" s="274"/>
      <c r="AH11" s="272"/>
      <c r="AI11" s="273"/>
      <c r="AJ11" s="273"/>
      <c r="AK11" s="274"/>
      <c r="AL11" s="272"/>
      <c r="AM11" s="273"/>
      <c r="AN11" s="273"/>
      <c r="AO11" s="273"/>
      <c r="AP11" s="272"/>
      <c r="AQ11" s="273"/>
      <c r="AR11" s="273"/>
      <c r="AS11" s="274"/>
    </row>
    <row r="12" spans="1:48" x14ac:dyDescent="0.3">
      <c r="A12" s="323" t="s">
        <v>249</v>
      </c>
      <c r="B12" s="275">
        <v>0.02</v>
      </c>
      <c r="E12" s="271"/>
      <c r="F12" s="275">
        <v>0.02</v>
      </c>
      <c r="I12" s="271"/>
      <c r="J12" s="275">
        <v>0.02</v>
      </c>
      <c r="M12" s="271"/>
      <c r="N12" s="275">
        <v>0.02</v>
      </c>
      <c r="Q12" s="271"/>
      <c r="R12" s="275">
        <v>0.02</v>
      </c>
      <c r="U12" s="271"/>
      <c r="V12" s="275">
        <v>0.02</v>
      </c>
      <c r="Y12" s="271"/>
      <c r="Z12" s="275">
        <v>0.02</v>
      </c>
      <c r="AC12" s="271"/>
      <c r="AD12" s="275">
        <v>0.02</v>
      </c>
      <c r="AG12" s="271"/>
      <c r="AH12" s="275">
        <v>0.02</v>
      </c>
      <c r="AK12" s="271"/>
      <c r="AL12" s="275">
        <v>0.02</v>
      </c>
      <c r="AP12" s="275">
        <v>0.02</v>
      </c>
      <c r="AS12" s="271"/>
      <c r="AU12" s="249" t="s">
        <v>250</v>
      </c>
      <c r="AV12" s="247"/>
    </row>
    <row r="13" spans="1:48" x14ac:dyDescent="0.3">
      <c r="A13" s="324" t="s">
        <v>251</v>
      </c>
      <c r="B13" s="275">
        <v>3.5000000000000003E-2</v>
      </c>
      <c r="E13" s="271"/>
      <c r="F13" s="275">
        <v>3.5000000000000003E-2</v>
      </c>
      <c r="I13" s="271"/>
      <c r="J13" s="275">
        <v>3.5000000000000003E-2</v>
      </c>
      <c r="M13" s="271"/>
      <c r="N13" s="275">
        <v>3.5000000000000003E-2</v>
      </c>
      <c r="Q13" s="271"/>
      <c r="R13" s="275">
        <v>3.5000000000000003E-2</v>
      </c>
      <c r="U13" s="271"/>
      <c r="V13" s="275">
        <v>3.5000000000000003E-2</v>
      </c>
      <c r="Y13" s="271"/>
      <c r="Z13" s="275">
        <v>3.5000000000000003E-2</v>
      </c>
      <c r="AC13" s="271"/>
      <c r="AD13" s="275">
        <v>3.5000000000000003E-2</v>
      </c>
      <c r="AG13" s="271"/>
      <c r="AH13" s="275">
        <v>3.5000000000000003E-2</v>
      </c>
      <c r="AK13" s="271"/>
      <c r="AL13" s="275">
        <v>3.5000000000000003E-2</v>
      </c>
      <c r="AP13" s="275">
        <v>3.5000000000000003E-2</v>
      </c>
      <c r="AS13" s="271"/>
      <c r="AU13" s="249" t="s">
        <v>250</v>
      </c>
      <c r="AV13" s="247"/>
    </row>
    <row r="14" spans="1:48" x14ac:dyDescent="0.3">
      <c r="A14" s="323" t="s">
        <v>252</v>
      </c>
      <c r="B14" s="275">
        <v>0.17</v>
      </c>
      <c r="E14" s="271"/>
      <c r="F14" s="275">
        <v>0.17</v>
      </c>
      <c r="I14" s="271"/>
      <c r="J14" s="275">
        <v>0.17</v>
      </c>
      <c r="M14" s="271"/>
      <c r="N14" s="275">
        <v>0.17</v>
      </c>
      <c r="Q14" s="271"/>
      <c r="R14" s="275">
        <v>0.17</v>
      </c>
      <c r="U14" s="271"/>
      <c r="V14" s="275">
        <v>0.17</v>
      </c>
      <c r="Y14" s="271"/>
      <c r="Z14" s="275">
        <v>0.17</v>
      </c>
      <c r="AC14" s="271"/>
      <c r="AD14" s="275">
        <v>0.17</v>
      </c>
      <c r="AG14" s="271"/>
      <c r="AH14" s="275">
        <v>0.17</v>
      </c>
      <c r="AK14" s="271"/>
      <c r="AL14" s="275">
        <v>0.17</v>
      </c>
      <c r="AP14" s="275">
        <v>0.17</v>
      </c>
      <c r="AS14" s="271"/>
      <c r="AU14" s="249" t="s">
        <v>250</v>
      </c>
      <c r="AV14" s="247"/>
    </row>
    <row r="15" spans="1:48" x14ac:dyDescent="0.3">
      <c r="A15" s="323" t="s">
        <v>253</v>
      </c>
      <c r="B15" s="275">
        <v>0.17</v>
      </c>
      <c r="E15" s="271"/>
      <c r="F15" s="275">
        <v>0.17</v>
      </c>
      <c r="I15" s="271"/>
      <c r="J15" s="275">
        <v>0.17</v>
      </c>
      <c r="M15" s="271"/>
      <c r="N15" s="275">
        <v>0.17</v>
      </c>
      <c r="Q15" s="271"/>
      <c r="R15" s="275">
        <v>0.17</v>
      </c>
      <c r="U15" s="271"/>
      <c r="V15" s="275">
        <v>0.17</v>
      </c>
      <c r="Y15" s="271"/>
      <c r="Z15" s="275">
        <v>0.17</v>
      </c>
      <c r="AC15" s="271"/>
      <c r="AD15" s="275">
        <v>0.17</v>
      </c>
      <c r="AG15" s="271"/>
      <c r="AH15" s="275">
        <v>0.17</v>
      </c>
      <c r="AK15" s="271"/>
      <c r="AL15" s="275">
        <v>0.17</v>
      </c>
      <c r="AP15" s="275">
        <v>0.17</v>
      </c>
      <c r="AS15" s="271"/>
      <c r="AU15" s="249" t="s">
        <v>250</v>
      </c>
      <c r="AV15" s="247"/>
    </row>
    <row r="16" spans="1:48" x14ac:dyDescent="0.3">
      <c r="A16" s="323" t="s">
        <v>254</v>
      </c>
      <c r="B16" s="275">
        <v>0.17</v>
      </c>
      <c r="E16" s="271"/>
      <c r="F16" s="275">
        <v>0.17</v>
      </c>
      <c r="I16" s="271"/>
      <c r="J16" s="275">
        <v>0.17</v>
      </c>
      <c r="M16" s="271"/>
      <c r="N16" s="275">
        <v>0.17</v>
      </c>
      <c r="Q16" s="271"/>
      <c r="R16" s="275">
        <v>0.17</v>
      </c>
      <c r="U16" s="271"/>
      <c r="V16" s="275">
        <v>0.17</v>
      </c>
      <c r="Y16" s="271"/>
      <c r="Z16" s="275">
        <v>0.17</v>
      </c>
      <c r="AC16" s="271"/>
      <c r="AD16" s="275">
        <v>0.17</v>
      </c>
      <c r="AG16" s="271"/>
      <c r="AH16" s="275">
        <v>0.17</v>
      </c>
      <c r="AK16" s="271"/>
      <c r="AL16" s="275">
        <v>0.17</v>
      </c>
      <c r="AP16" s="275">
        <v>0.17</v>
      </c>
      <c r="AS16" s="271"/>
      <c r="AU16" s="249" t="s">
        <v>250</v>
      </c>
      <c r="AV16" s="247"/>
    </row>
    <row r="17" spans="1:51" x14ac:dyDescent="0.3">
      <c r="A17" s="323" t="s">
        <v>255</v>
      </c>
      <c r="B17" s="276">
        <v>0.87</v>
      </c>
      <c r="E17" s="271"/>
      <c r="F17" s="276">
        <v>0.87</v>
      </c>
      <c r="I17" s="271"/>
      <c r="J17" s="276">
        <v>0.87</v>
      </c>
      <c r="M17" s="271"/>
      <c r="N17" s="276">
        <v>0.87</v>
      </c>
      <c r="Q17" s="271"/>
      <c r="R17" s="276">
        <v>0.87</v>
      </c>
      <c r="U17" s="271"/>
      <c r="V17" s="276">
        <v>0.87</v>
      </c>
      <c r="Y17" s="271"/>
      <c r="Z17" s="276">
        <v>0.87</v>
      </c>
      <c r="AC17" s="271"/>
      <c r="AD17" s="276">
        <v>0.87</v>
      </c>
      <c r="AG17" s="271"/>
      <c r="AH17" s="276">
        <v>0.87</v>
      </c>
      <c r="AK17" s="271"/>
      <c r="AL17" s="276">
        <v>0.87</v>
      </c>
      <c r="AP17" s="276">
        <v>0.87</v>
      </c>
      <c r="AS17" s="271"/>
      <c r="AU17" s="249" t="s">
        <v>250</v>
      </c>
      <c r="AV17" s="247"/>
    </row>
    <row r="18" spans="1:51" x14ac:dyDescent="0.3">
      <c r="A18" s="323" t="s">
        <v>256</v>
      </c>
      <c r="B18" s="276">
        <v>0.45</v>
      </c>
      <c r="E18" s="271"/>
      <c r="F18" s="276">
        <v>0.45</v>
      </c>
      <c r="I18" s="271"/>
      <c r="J18" s="276">
        <v>0.45</v>
      </c>
      <c r="M18" s="271"/>
      <c r="N18" s="276">
        <v>0.45</v>
      </c>
      <c r="Q18" s="271"/>
      <c r="R18" s="276">
        <v>0.45</v>
      </c>
      <c r="U18" s="271"/>
      <c r="V18" s="276">
        <v>0.45</v>
      </c>
      <c r="Y18" s="271"/>
      <c r="Z18" s="276">
        <v>0.45</v>
      </c>
      <c r="AC18" s="271"/>
      <c r="AD18" s="276">
        <v>0.45</v>
      </c>
      <c r="AG18" s="271"/>
      <c r="AH18" s="276">
        <v>0.45</v>
      </c>
      <c r="AK18" s="271"/>
      <c r="AL18" s="276">
        <v>0.45</v>
      </c>
      <c r="AP18" s="276">
        <v>0.45</v>
      </c>
      <c r="AS18" s="271"/>
      <c r="AU18" s="249" t="s">
        <v>250</v>
      </c>
      <c r="AV18" s="247"/>
    </row>
    <row r="19" spans="1:51" x14ac:dyDescent="0.3">
      <c r="A19" s="323"/>
      <c r="B19" s="276"/>
      <c r="E19" s="271"/>
      <c r="F19" s="276"/>
      <c r="I19" s="271"/>
      <c r="J19" s="276"/>
      <c r="M19" s="271"/>
      <c r="N19" s="276"/>
      <c r="Q19" s="271"/>
      <c r="R19" s="276"/>
      <c r="U19" s="271"/>
      <c r="V19" s="276"/>
      <c r="Y19" s="271"/>
      <c r="Z19" s="276"/>
      <c r="AC19" s="271"/>
      <c r="AD19" s="276"/>
      <c r="AG19" s="271"/>
      <c r="AH19" s="276"/>
      <c r="AK19" s="271"/>
      <c r="AL19" s="276"/>
      <c r="AP19" s="276"/>
      <c r="AS19" s="271"/>
      <c r="AU19" s="247"/>
      <c r="AV19" s="247"/>
    </row>
    <row r="20" spans="1:51" x14ac:dyDescent="0.3">
      <c r="A20" s="324" t="s">
        <v>257</v>
      </c>
      <c r="B20" s="277">
        <v>0.69</v>
      </c>
      <c r="C20" s="13">
        <v>0.45</v>
      </c>
      <c r="D20" s="13">
        <v>0.37</v>
      </c>
      <c r="E20" s="278">
        <v>4.3999999999999997E-2</v>
      </c>
      <c r="F20" s="277">
        <v>0.69</v>
      </c>
      <c r="G20" s="13">
        <v>0.45</v>
      </c>
      <c r="H20" s="13">
        <v>0.37</v>
      </c>
      <c r="I20" s="278">
        <v>4.3999999999999997E-2</v>
      </c>
      <c r="J20" s="277">
        <v>0.69</v>
      </c>
      <c r="K20" s="13">
        <v>0.45</v>
      </c>
      <c r="L20" s="13">
        <v>0.37</v>
      </c>
      <c r="M20" s="278">
        <v>4.3999999999999997E-2</v>
      </c>
      <c r="N20" s="277">
        <v>0.69</v>
      </c>
      <c r="O20" s="13">
        <v>0.45</v>
      </c>
      <c r="P20" s="13">
        <v>0.37</v>
      </c>
      <c r="Q20" s="278">
        <v>4.3999999999999997E-2</v>
      </c>
      <c r="R20" s="277">
        <v>0.69</v>
      </c>
      <c r="S20" s="13">
        <v>0.45</v>
      </c>
      <c r="T20" s="13">
        <v>0.37</v>
      </c>
      <c r="U20" s="278">
        <v>4.3999999999999997E-2</v>
      </c>
      <c r="V20" s="277">
        <v>0.69</v>
      </c>
      <c r="W20" s="13">
        <v>0.45</v>
      </c>
      <c r="X20" s="13">
        <v>0.37</v>
      </c>
      <c r="Y20" s="278">
        <v>4.3999999999999997E-2</v>
      </c>
      <c r="Z20" s="277">
        <v>0.69</v>
      </c>
      <c r="AA20" s="13">
        <v>0.45</v>
      </c>
      <c r="AB20" s="13">
        <v>0.37</v>
      </c>
      <c r="AC20" s="278">
        <v>4.3999999999999997E-2</v>
      </c>
      <c r="AD20" s="277">
        <v>0.69</v>
      </c>
      <c r="AE20" s="13">
        <v>0.45</v>
      </c>
      <c r="AF20" s="13">
        <v>0.37</v>
      </c>
      <c r="AG20" s="278">
        <v>4.3999999999999997E-2</v>
      </c>
      <c r="AH20" s="277">
        <v>0.69</v>
      </c>
      <c r="AI20" s="13">
        <v>0.45</v>
      </c>
      <c r="AJ20" s="13">
        <v>0.37</v>
      </c>
      <c r="AK20" s="278">
        <v>4.3999999999999997E-2</v>
      </c>
      <c r="AL20" s="277">
        <v>0.69</v>
      </c>
      <c r="AM20" s="13">
        <v>0.45</v>
      </c>
      <c r="AN20" s="13">
        <v>0.37</v>
      </c>
      <c r="AO20" s="13">
        <v>4.3999999999999997E-2</v>
      </c>
      <c r="AP20" s="277">
        <v>0.69</v>
      </c>
      <c r="AQ20" s="13">
        <v>0.45</v>
      </c>
      <c r="AR20" s="13">
        <v>0.37</v>
      </c>
      <c r="AS20" s="278">
        <v>4.3999999999999997E-2</v>
      </c>
      <c r="AU20" s="95" t="s">
        <v>258</v>
      </c>
    </row>
    <row r="21" spans="1:51" x14ac:dyDescent="0.3">
      <c r="A21" s="318"/>
      <c r="B21" s="270"/>
      <c r="E21" s="271"/>
      <c r="F21" s="270"/>
      <c r="I21" s="271"/>
      <c r="J21" s="270"/>
      <c r="M21" s="271"/>
      <c r="N21" s="270"/>
      <c r="Q21" s="271"/>
      <c r="R21" s="270"/>
      <c r="U21" s="271"/>
      <c r="V21" s="270"/>
      <c r="Y21" s="271"/>
      <c r="Z21" s="270"/>
      <c r="AC21" s="271"/>
      <c r="AD21" s="270"/>
      <c r="AG21" s="271"/>
      <c r="AH21" s="270"/>
      <c r="AK21" s="271"/>
      <c r="AL21" s="270"/>
      <c r="AP21" s="270"/>
      <c r="AS21" s="271"/>
    </row>
    <row r="22" spans="1:51" x14ac:dyDescent="0.3">
      <c r="A22" s="325" t="s">
        <v>259</v>
      </c>
      <c r="B22" s="279"/>
      <c r="C22" s="118"/>
      <c r="D22" s="118"/>
      <c r="E22" s="280"/>
      <c r="F22" s="279"/>
      <c r="G22" s="118"/>
      <c r="H22" s="118"/>
      <c r="I22" s="280"/>
      <c r="J22" s="279"/>
      <c r="K22" s="118"/>
      <c r="L22" s="118"/>
      <c r="M22" s="280"/>
      <c r="N22" s="279"/>
      <c r="O22" s="118"/>
      <c r="P22" s="118"/>
      <c r="Q22" s="280"/>
      <c r="R22" s="279"/>
      <c r="S22" s="118"/>
      <c r="T22" s="118"/>
      <c r="U22" s="280"/>
      <c r="V22" s="279"/>
      <c r="W22" s="118"/>
      <c r="X22" s="118"/>
      <c r="Y22" s="280"/>
      <c r="Z22" s="279"/>
      <c r="AA22" s="118"/>
      <c r="AB22" s="118"/>
      <c r="AC22" s="280"/>
      <c r="AD22" s="279"/>
      <c r="AE22" s="118"/>
      <c r="AF22" s="118"/>
      <c r="AG22" s="280"/>
      <c r="AH22" s="279"/>
      <c r="AI22" s="118"/>
      <c r="AJ22" s="118"/>
      <c r="AK22" s="280"/>
      <c r="AL22" s="279"/>
      <c r="AM22" s="118"/>
      <c r="AN22" s="118"/>
      <c r="AO22" s="118"/>
      <c r="AP22" s="279"/>
      <c r="AQ22" s="118"/>
      <c r="AR22" s="118"/>
      <c r="AS22" s="280"/>
    </row>
    <row r="23" spans="1:51" x14ac:dyDescent="0.3">
      <c r="A23" s="324" t="s">
        <v>260</v>
      </c>
      <c r="B23" s="281">
        <f>(No_sows_SE+No_recruit_sows_SE)*B6*$AP$20*365</f>
        <v>78.073499999999996</v>
      </c>
      <c r="C23" s="127">
        <f>No_boars_SE*C6*$AQ$20*365</f>
        <v>0.39889797757238299</v>
      </c>
      <c r="D23">
        <f>No_fattening_pigs_SE*D6*$AR$20*Time_fattening_days_SE</f>
        <v>0</v>
      </c>
      <c r="E23" s="282">
        <f>No_piglets_SE*E6*$AS$20*Time_to_weaning_SE</f>
        <v>15.67676</v>
      </c>
      <c r="F23" s="281">
        <f>(No_sows_SE+No_recruit_sows_SE)*F6*$AP$20*365</f>
        <v>78.073499999999996</v>
      </c>
      <c r="G23" s="127">
        <f>No_boars_SE*G6*$AQ$20*365</f>
        <v>0.39889797757238299</v>
      </c>
      <c r="H23">
        <f>No_fattening_pigs_SE*H6*$AR$20*Time_fattening_days_SE</f>
        <v>0</v>
      </c>
      <c r="I23" s="282">
        <f>No_piglets_SE*I6*$AS$20*Time_to_weaning_SE</f>
        <v>15.67676</v>
      </c>
      <c r="J23" s="281">
        <f>(No_sows_SE+No_recruit_sows_SE)*J6*$AP$20*365</f>
        <v>78.073499999999996</v>
      </c>
      <c r="K23" s="127">
        <f>No_boars_SE*K6*$AQ$20*365</f>
        <v>0.39889797757238299</v>
      </c>
      <c r="L23">
        <f>No_fattening_pigs_SE*L6*$AR$20*Time_fattening_days_SE</f>
        <v>0</v>
      </c>
      <c r="M23" s="282">
        <f>No_piglets_SE*M6*$AS$20*Time_to_weaning_SE</f>
        <v>15.67676</v>
      </c>
      <c r="N23" s="281">
        <f>(No_sows_SE+No_recruit_sows_SE)*N6*$AP$20*365</f>
        <v>78.073499999999996</v>
      </c>
      <c r="O23" s="127">
        <f>No_boars_SE*O6*$AQ$20*365</f>
        <v>0.39889797757238299</v>
      </c>
      <c r="P23">
        <f>No_fattening_pigs_SE*P6*$AR$20*Time_fattening_days_SE</f>
        <v>0</v>
      </c>
      <c r="Q23" s="282">
        <f>No_piglets_SE*Q6*$AS$20*Time_to_weaning_SE</f>
        <v>15.67676</v>
      </c>
      <c r="R23" s="281">
        <f>(No_sows_SE+No_recruit_sows_SE)*R6*$AP$20*365</f>
        <v>78.073499999999996</v>
      </c>
      <c r="S23" s="127">
        <f>No_boars_SE*S6*$AQ$20*365</f>
        <v>0.39889797757238299</v>
      </c>
      <c r="T23">
        <f>No_fattening_pigs_SE*T6*$AR$20*Time_fattening_days_SE</f>
        <v>0</v>
      </c>
      <c r="U23" s="282">
        <f>No_piglets_SE*U6*$AS$20*Time_to_weaning_SE</f>
        <v>15.67676</v>
      </c>
      <c r="V23" s="281">
        <f>(No_sows_SE+No_recruit_sows_SE)*V6*$AP$20*365</f>
        <v>78.073499999999996</v>
      </c>
      <c r="W23" s="127">
        <f>No_boars_SE*W6*$AQ$20*365</f>
        <v>0.39889797757238299</v>
      </c>
      <c r="X23">
        <f>No_fattening_pigs_SE*X6*$AR$20*Time_fattening_days_SE</f>
        <v>0</v>
      </c>
      <c r="Y23" s="282">
        <f>No_piglets_SE*Y6*$AS$20*Time_to_weaning_SE</f>
        <v>15.67676</v>
      </c>
      <c r="Z23" s="281">
        <f>(No_sows_SE+No_recruit_sows_SE)*Z6*$AP$20*365</f>
        <v>78.073499999999996</v>
      </c>
      <c r="AA23" s="127">
        <f>No_boars_SE*AA6*$AQ$20*365</f>
        <v>0.39889797757238299</v>
      </c>
      <c r="AB23">
        <f>No_fattening_pigs_SE*AB6*$AR$20*Time_fattening_days_SE</f>
        <v>0</v>
      </c>
      <c r="AC23" s="282">
        <f>No_piglets_SE*AC6*$AS$20*Time_to_weaning_SE</f>
        <v>15.67676</v>
      </c>
      <c r="AD23" s="281">
        <f>(No_sows_SE+No_recruit_sows_SE)*AD6*$AP$20*365</f>
        <v>78.073499999999996</v>
      </c>
      <c r="AE23" s="127">
        <f>No_boars_SE*AE6*$AQ$20*365</f>
        <v>0.39889797757238299</v>
      </c>
      <c r="AF23">
        <f>No_fattening_pigs_SE*AF6*$AR$20*Time_fattening_days_SE</f>
        <v>0</v>
      </c>
      <c r="AG23" s="282">
        <f>No_piglets_SE*AG6*$AS$20*Time_to_weaning_SE</f>
        <v>15.67676</v>
      </c>
      <c r="AH23" s="281">
        <f>(No_sows_SE+No_recruit_sows_SE)*AH6*$AP$20*365</f>
        <v>78.073499999999996</v>
      </c>
      <c r="AI23" s="127">
        <f>No_boars_SE*AI6*$AQ$20*365</f>
        <v>0.39889797757238299</v>
      </c>
      <c r="AJ23">
        <f>No_fattening_pigs_SE*AJ6*$AR$20*Time_fattening_days_SE</f>
        <v>0</v>
      </c>
      <c r="AK23" s="282">
        <f>No_piglets_SE*AK6*$AS$20*Time_to_weaning_SE</f>
        <v>15.67676</v>
      </c>
      <c r="AL23" s="281">
        <f>(No_sows_SE+No_recruit_sows_SE)*AL6*$AP$20*365</f>
        <v>78.073499999999996</v>
      </c>
      <c r="AM23" s="127">
        <f>No_boars_SE*AM6*$AQ$20*365</f>
        <v>0.39889797757238299</v>
      </c>
      <c r="AN23">
        <f>No_fattening_pigs_SE*AN6*$AR$20*Time_fattening_days_SE</f>
        <v>0</v>
      </c>
      <c r="AO23" s="127">
        <f>No_piglets_SE*AO6*$AS$20*Time_to_weaning_SE</f>
        <v>15.67676</v>
      </c>
      <c r="AP23" s="281">
        <f>(No_sows_SE+No_recruit_sows_SE)*AP6*$AP$20*365</f>
        <v>78.073499999999996</v>
      </c>
      <c r="AQ23" s="127">
        <f>No_boars_SE*AQ6*$AQ$20*365</f>
        <v>0.39889797757238299</v>
      </c>
      <c r="AR23">
        <f>No_fattening_pigs_SE*AR6*$AR$20*Time_fattening_days_SE</f>
        <v>0</v>
      </c>
      <c r="AS23" s="282">
        <f>No_piglets_SE*AS6*$AS$20*Time_to_weaning_SE</f>
        <v>15.67676</v>
      </c>
    </row>
    <row r="24" spans="1:51" x14ac:dyDescent="0.3">
      <c r="A24" s="324" t="s">
        <v>261</v>
      </c>
      <c r="B24" s="281">
        <f>(No_sows_SE+No_recruit_sows_SE)*B7*$AP$20*365</f>
        <v>245.93152499999999</v>
      </c>
      <c r="C24" s="127">
        <f>No_boars_SE*C7*$AQ$20*365</f>
        <v>1.2565286293530062</v>
      </c>
      <c r="D24" s="127">
        <f>No_fattening_pigs_SE*D7*$AR$20*Time_fattening_days_SE</f>
        <v>789.58</v>
      </c>
      <c r="E24" s="282">
        <f>No_piglets_SE*E7*$AS$20*Time_to_weaning_SE</f>
        <v>49.381793999999992</v>
      </c>
      <c r="F24" s="281">
        <f>(No_sows_SE+No_recruit_sows_SE)*F7*$AP$20*365</f>
        <v>245.93152499999999</v>
      </c>
      <c r="G24" s="127">
        <f>No_boars_SE*G7*$AQ$20*365</f>
        <v>1.2565286293530062</v>
      </c>
      <c r="H24" s="127">
        <f>No_fattening_pigs_SE*H7*$AR$20*Time_fattening_days_SE</f>
        <v>789.58</v>
      </c>
      <c r="I24" s="282">
        <f>No_piglets_SE*I7*$AS$20*Time_to_weaning_SE</f>
        <v>49.381793999999992</v>
      </c>
      <c r="J24" s="281">
        <f>(No_sows_SE+No_recruit_sows_SE)*J7*$AP$20*365</f>
        <v>245.93152499999999</v>
      </c>
      <c r="K24" s="127">
        <f>No_boars_SE*K7*$AQ$20*365</f>
        <v>1.2565286293530062</v>
      </c>
      <c r="L24" s="127">
        <f>No_fattening_pigs_SE*L7*$AR$20*Time_fattening_days_SE</f>
        <v>789.58</v>
      </c>
      <c r="M24" s="282">
        <f>No_piglets_SE*M7*$AS$20*Time_to_weaning_SE</f>
        <v>49.381793999999992</v>
      </c>
      <c r="N24" s="281">
        <f>(No_sows_SE+No_recruit_sows_SE)*N7*$AP$20*365</f>
        <v>245.93152499999999</v>
      </c>
      <c r="O24" s="127">
        <f>No_boars_SE*O7*$AQ$20*365</f>
        <v>1.2565286293530062</v>
      </c>
      <c r="P24" s="127">
        <f>No_fattening_pigs_SE*P7*$AR$20*Time_fattening_days_SE</f>
        <v>789.58</v>
      </c>
      <c r="Q24" s="282">
        <f>No_piglets_SE*Q7*$AS$20*Time_to_weaning_SE</f>
        <v>49.381793999999992</v>
      </c>
      <c r="R24" s="281">
        <f>(No_sows_SE+No_recruit_sows_SE)*R7*$AP$20*365</f>
        <v>245.93152499999999</v>
      </c>
      <c r="S24" s="127">
        <f>No_boars_SE*S7*$AQ$20*365</f>
        <v>1.2565286293530062</v>
      </c>
      <c r="T24" s="127">
        <f>No_fattening_pigs_SE*T7*$AR$20*Time_fattening_days_SE</f>
        <v>789.58</v>
      </c>
      <c r="U24" s="282">
        <f>No_piglets_SE*U7*$AS$20*Time_to_weaning_SE</f>
        <v>49.381793999999992</v>
      </c>
      <c r="V24" s="281">
        <f>(No_sows_SE+No_recruit_sows_SE)*V7*$AP$20*365</f>
        <v>245.93152499999999</v>
      </c>
      <c r="W24" s="127">
        <f>No_boars_SE*W7*$AQ$20*365</f>
        <v>1.2565286293530062</v>
      </c>
      <c r="X24" s="127">
        <f>No_fattening_pigs_SE*X7*$AR$20*Time_fattening_days_SE</f>
        <v>789.58</v>
      </c>
      <c r="Y24" s="282">
        <f>No_piglets_SE*Y7*$AS$20*Time_to_weaning_SE</f>
        <v>49.381793999999992</v>
      </c>
      <c r="Z24" s="281">
        <f>(No_sows_SE+No_recruit_sows_SE)*Z7*$AP$20*365</f>
        <v>245.93152499999999</v>
      </c>
      <c r="AA24" s="127">
        <f>No_boars_SE*AA7*$AQ$20*365</f>
        <v>1.2565286293530062</v>
      </c>
      <c r="AB24" s="127">
        <f>No_fattening_pigs_SE*AB7*$AR$20*Time_fattening_days_SE</f>
        <v>789.58</v>
      </c>
      <c r="AC24" s="282">
        <f>No_piglets_SE*AC7*$AS$20*Time_to_weaning_SE</f>
        <v>49.381793999999992</v>
      </c>
      <c r="AD24" s="281">
        <f>(No_sows_SE+No_recruit_sows_SE)*AD7*$AP$20*365</f>
        <v>245.93152499999999</v>
      </c>
      <c r="AE24" s="127">
        <f>No_boars_SE*AE7*$AQ$20*365</f>
        <v>1.2565286293530062</v>
      </c>
      <c r="AF24" s="127">
        <f>No_fattening_pigs_SE*AF7*$AR$20*Time_fattening_days_SE</f>
        <v>789.58</v>
      </c>
      <c r="AG24" s="282">
        <f>No_piglets_SE*AG7*$AS$20*Time_to_weaning_SE</f>
        <v>49.381793999999992</v>
      </c>
      <c r="AH24" s="281">
        <f>(No_sows_SE+No_recruit_sows_SE)*AH7*$AP$20*365</f>
        <v>245.93152499999999</v>
      </c>
      <c r="AI24" s="127">
        <f>No_boars_SE*AI7*$AQ$20*365</f>
        <v>1.2565286293530062</v>
      </c>
      <c r="AJ24" s="127">
        <f>No_fattening_pigs_SE*AJ7*$AR$20*Time_fattening_days_SE</f>
        <v>789.58</v>
      </c>
      <c r="AK24" s="282">
        <f>No_piglets_SE*AK7*$AS$20*Time_to_weaning_SE</f>
        <v>49.381793999999992</v>
      </c>
      <c r="AL24" s="281">
        <f>(No_sows_SE+No_recruit_sows_SE)*AL7*$AP$20*365</f>
        <v>245.93152499999999</v>
      </c>
      <c r="AM24" s="127">
        <f>No_boars_SE*AM7*$AQ$20*365</f>
        <v>1.2565286293530062</v>
      </c>
      <c r="AN24" s="127">
        <f>No_fattening_pigs_SE*AN7*$AR$20*Time_fattening_days_SE</f>
        <v>789.58</v>
      </c>
      <c r="AO24" s="127">
        <f>No_piglets_SE*AO7*$AS$20*Time_to_weaning_SE</f>
        <v>49.381793999999992</v>
      </c>
      <c r="AP24" s="281">
        <f>(No_sows_SE+No_recruit_sows_SE)*AP7*$AP$20*365</f>
        <v>245.93152499999999</v>
      </c>
      <c r="AQ24" s="127">
        <f>No_boars_SE*AQ7*$AQ$20*365</f>
        <v>1.2565286293530062</v>
      </c>
      <c r="AR24" s="127">
        <f>No_fattening_pigs_SE*AR7*$AR$20*Time_fattening_days_SE</f>
        <v>789.58</v>
      </c>
      <c r="AS24" s="282">
        <f>No_piglets_SE*AS7*$AS$20*Time_to_weaning_SE</f>
        <v>49.381793999999992</v>
      </c>
    </row>
    <row r="25" spans="1:51" x14ac:dyDescent="0.3">
      <c r="A25" s="324" t="s">
        <v>262</v>
      </c>
      <c r="B25" s="281">
        <f>(No_sows_SE+No_recruit_sows_SE)*B8*$AP$20*365</f>
        <v>66.362475000000003</v>
      </c>
      <c r="C25" s="127">
        <f>No_boars_SE*C8*$AQ$20*365</f>
        <v>0.33906328093652549</v>
      </c>
      <c r="D25">
        <f>No_fattening_pigs_SE*D8*$AR$20*Time_fattening_days_SE</f>
        <v>0</v>
      </c>
      <c r="E25" s="282">
        <f>No_piglets_SE*E8*$AS$20*Time_to_weaning_SE</f>
        <v>13.325246000000002</v>
      </c>
      <c r="F25" s="281">
        <f>(No_sows_SE+No_recruit_sows_SE)*F8*$AP$20*365</f>
        <v>66.362475000000003</v>
      </c>
      <c r="G25" s="127">
        <f>No_boars_SE*G8*$AQ$20*365</f>
        <v>0.33906328093652549</v>
      </c>
      <c r="H25">
        <f>No_fattening_pigs_SE*H8*$AR$20*Time_fattening_days_SE</f>
        <v>0</v>
      </c>
      <c r="I25" s="282">
        <f>No_piglets_SE*I8*$AS$20*Time_to_weaning_SE</f>
        <v>13.325246000000002</v>
      </c>
      <c r="J25" s="281">
        <f>(No_sows_SE+No_recruit_sows_SE)*J8*$AP$20*365</f>
        <v>66.362475000000003</v>
      </c>
      <c r="K25" s="127">
        <f>No_boars_SE*K8*$AQ$20*365</f>
        <v>0.33906328093652549</v>
      </c>
      <c r="L25">
        <f>No_fattening_pigs_SE*L8*$AR$20*Time_fattening_days_SE</f>
        <v>0</v>
      </c>
      <c r="M25" s="282">
        <f>No_piglets_SE*M8*$AS$20*Time_to_weaning_SE</f>
        <v>13.325246000000002</v>
      </c>
      <c r="N25" s="281">
        <f>(No_sows_SE+No_recruit_sows_SE)*N8*$AP$20*365</f>
        <v>66.362475000000003</v>
      </c>
      <c r="O25" s="127">
        <f>No_boars_SE*O8*$AQ$20*365</f>
        <v>0.33906328093652549</v>
      </c>
      <c r="P25">
        <f>No_fattening_pigs_SE*P8*$AR$20*Time_fattening_days_SE</f>
        <v>0</v>
      </c>
      <c r="Q25" s="282">
        <f>No_piglets_SE*Q8*$AS$20*Time_to_weaning_SE</f>
        <v>13.325246000000002</v>
      </c>
      <c r="R25" s="281">
        <f>(No_sows_SE+No_recruit_sows_SE)*R8*$AP$20*365</f>
        <v>66.362475000000003</v>
      </c>
      <c r="S25" s="127">
        <f>No_boars_SE*S8*$AQ$20*365</f>
        <v>0.33906328093652549</v>
      </c>
      <c r="T25">
        <f>No_fattening_pigs_SE*T8*$AR$20*Time_fattening_days_SE</f>
        <v>0</v>
      </c>
      <c r="U25" s="282">
        <f>No_piglets_SE*U8*$AS$20*Time_to_weaning_SE</f>
        <v>13.325246000000002</v>
      </c>
      <c r="V25" s="281">
        <f>(No_sows_SE+No_recruit_sows_SE)*V8*$AP$20*365</f>
        <v>66.362475000000003</v>
      </c>
      <c r="W25" s="127">
        <f>No_boars_SE*W8*$AQ$20*365</f>
        <v>0.33906328093652549</v>
      </c>
      <c r="X25">
        <f>No_fattening_pigs_SE*X8*$AR$20*Time_fattening_days_SE</f>
        <v>0</v>
      </c>
      <c r="Y25" s="282">
        <f>No_piglets_SE*Y8*$AS$20*Time_to_weaning_SE</f>
        <v>13.325246000000002</v>
      </c>
      <c r="Z25" s="281">
        <f>(No_sows_SE+No_recruit_sows_SE)*Z8*$AP$20*365</f>
        <v>66.362475000000003</v>
      </c>
      <c r="AA25" s="127">
        <f>No_boars_SE*AA8*$AQ$20*365</f>
        <v>0.33906328093652549</v>
      </c>
      <c r="AB25">
        <f>No_fattening_pigs_SE*AB8*$AR$20*Time_fattening_days_SE</f>
        <v>0</v>
      </c>
      <c r="AC25" s="282">
        <f>No_piglets_SE*AC8*$AS$20*Time_to_weaning_SE</f>
        <v>13.325246000000002</v>
      </c>
      <c r="AD25" s="281">
        <f>(No_sows_SE+No_recruit_sows_SE)*AD8*$AP$20*365</f>
        <v>66.362475000000003</v>
      </c>
      <c r="AE25" s="127">
        <f>No_boars_SE*AE8*$AQ$20*365</f>
        <v>0.33906328093652549</v>
      </c>
      <c r="AF25">
        <f>No_fattening_pigs_SE*AF8*$AR$20*Time_fattening_days_SE</f>
        <v>0</v>
      </c>
      <c r="AG25" s="282">
        <f>No_piglets_SE*AG8*$AS$20*Time_to_weaning_SE</f>
        <v>13.325246000000002</v>
      </c>
      <c r="AH25" s="281">
        <f>(No_sows_SE+No_recruit_sows_SE)*AH8*$AP$20*365</f>
        <v>66.362475000000003</v>
      </c>
      <c r="AI25" s="127">
        <f>No_boars_SE*AI8*$AQ$20*365</f>
        <v>0.33906328093652549</v>
      </c>
      <c r="AJ25">
        <f>No_fattening_pigs_SE*AJ8*$AR$20*Time_fattening_days_SE</f>
        <v>0</v>
      </c>
      <c r="AK25" s="282">
        <f>No_piglets_SE*AK8*$AS$20*Time_to_weaning_SE</f>
        <v>13.325246000000002</v>
      </c>
      <c r="AL25" s="281">
        <f>(No_sows_SE+No_recruit_sows_SE)*AL8*$AP$20*365</f>
        <v>66.362475000000003</v>
      </c>
      <c r="AM25" s="127">
        <f>No_boars_SE*AM8*$AQ$20*365</f>
        <v>0.33906328093652549</v>
      </c>
      <c r="AN25">
        <f>No_fattening_pigs_SE*AN8*$AR$20*Time_fattening_days_SE</f>
        <v>0</v>
      </c>
      <c r="AO25" s="127">
        <f>No_piglets_SE*AO8*$AS$20*Time_to_weaning_SE</f>
        <v>13.325246000000002</v>
      </c>
      <c r="AP25" s="281">
        <f>(No_sows_SE+No_recruit_sows_SE)*AP8*$AP$20*365</f>
        <v>66.362475000000003</v>
      </c>
      <c r="AQ25" s="127">
        <f>No_boars_SE*AQ8*$AQ$20*365</f>
        <v>0.33906328093652549</v>
      </c>
      <c r="AR25">
        <f>No_fattening_pigs_SE*AR8*$AR$20*Time_fattening_days_SE</f>
        <v>0</v>
      </c>
      <c r="AS25" s="282">
        <f>No_piglets_SE*AS8*$AS$20*Time_to_weaning_SE</f>
        <v>13.325246000000002</v>
      </c>
    </row>
    <row r="26" spans="1:51" x14ac:dyDescent="0.3">
      <c r="A26" s="318"/>
      <c r="B26" s="270"/>
      <c r="C26" s="148"/>
      <c r="E26" s="271"/>
      <c r="F26" s="270"/>
      <c r="G26" s="148"/>
      <c r="I26" s="271"/>
      <c r="J26" s="270"/>
      <c r="K26" s="148"/>
      <c r="M26" s="271"/>
      <c r="N26" s="270"/>
      <c r="O26" s="148"/>
      <c r="Q26" s="271"/>
      <c r="R26" s="270"/>
      <c r="S26" s="148"/>
      <c r="U26" s="271"/>
      <c r="V26" s="270"/>
      <c r="W26" s="148"/>
      <c r="Y26" s="271"/>
      <c r="Z26" s="270"/>
      <c r="AA26" s="148"/>
      <c r="AC26" s="271"/>
      <c r="AD26" s="270"/>
      <c r="AE26" s="148"/>
      <c r="AG26" s="271"/>
      <c r="AH26" s="270"/>
      <c r="AI26" s="148"/>
      <c r="AK26" s="271"/>
      <c r="AL26" s="270"/>
      <c r="AM26" s="148"/>
      <c r="AP26" s="270"/>
      <c r="AQ26" s="148"/>
      <c r="AS26" s="271"/>
    </row>
    <row r="27" spans="1:51" x14ac:dyDescent="0.3">
      <c r="A27" s="326" t="s">
        <v>263</v>
      </c>
      <c r="B27" s="279"/>
      <c r="C27" s="283"/>
      <c r="D27" s="118"/>
      <c r="E27" s="280"/>
      <c r="F27" s="279"/>
      <c r="G27" s="283"/>
      <c r="H27" s="118"/>
      <c r="I27" s="280"/>
      <c r="J27" s="279"/>
      <c r="K27" s="283"/>
      <c r="L27" s="118"/>
      <c r="M27" s="280"/>
      <c r="N27" s="279"/>
      <c r="O27" s="283"/>
      <c r="P27" s="118"/>
      <c r="Q27" s="280"/>
      <c r="R27" s="279"/>
      <c r="S27" s="283"/>
      <c r="T27" s="118"/>
      <c r="U27" s="280"/>
      <c r="V27" s="279"/>
      <c r="W27" s="283"/>
      <c r="X27" s="118"/>
      <c r="Y27" s="280"/>
      <c r="Z27" s="279"/>
      <c r="AA27" s="283"/>
      <c r="AB27" s="118"/>
      <c r="AC27" s="280"/>
      <c r="AD27" s="279"/>
      <c r="AE27" s="283"/>
      <c r="AF27" s="118"/>
      <c r="AG27" s="280"/>
      <c r="AH27" s="279"/>
      <c r="AI27" s="283"/>
      <c r="AJ27" s="118"/>
      <c r="AK27" s="280"/>
      <c r="AL27" s="279"/>
      <c r="AM27" s="283"/>
      <c r="AN27" s="118"/>
      <c r="AO27" s="118"/>
      <c r="AP27" s="279"/>
      <c r="AQ27" s="283"/>
      <c r="AR27" s="118"/>
      <c r="AS27" s="280"/>
    </row>
    <row r="28" spans="1:51" x14ac:dyDescent="0.3">
      <c r="A28" s="324" t="s">
        <v>260</v>
      </c>
      <c r="B28" s="284">
        <f>B23*$AP$17*$AP$18*0.67*$AP$12</f>
        <v>0.40958138834999991</v>
      </c>
      <c r="C28" s="11">
        <f t="shared" ref="C28:E28" si="0">C23*$AP$17*$AP$18*0.67*$AP$12</f>
        <v>2.0926586801424786E-3</v>
      </c>
      <c r="D28" s="11">
        <f t="shared" si="0"/>
        <v>0</v>
      </c>
      <c r="E28" s="285">
        <f t="shared" si="0"/>
        <v>8.2241850636000022E-2</v>
      </c>
      <c r="F28" s="284">
        <f>F23*$AP$17*$AP$18*0.67*$AP$12</f>
        <v>0.40958138834999991</v>
      </c>
      <c r="G28" s="11">
        <f t="shared" ref="G28:I28" si="1">G23*$AP$17*$AP$18*0.67*$AP$12</f>
        <v>2.0926586801424786E-3</v>
      </c>
      <c r="H28" s="11">
        <f t="shared" si="1"/>
        <v>0</v>
      </c>
      <c r="I28" s="285">
        <f t="shared" si="1"/>
        <v>8.2241850636000022E-2</v>
      </c>
      <c r="J28" s="284">
        <f>J23*$AP$17*$AP$18*0.67*$AP$12</f>
        <v>0.40958138834999991</v>
      </c>
      <c r="K28" s="11">
        <f t="shared" ref="K28:M28" si="2">K23*$AP$17*$AP$18*0.67*$AP$12</f>
        <v>2.0926586801424786E-3</v>
      </c>
      <c r="L28" s="11">
        <f t="shared" si="2"/>
        <v>0</v>
      </c>
      <c r="M28" s="285">
        <f t="shared" si="2"/>
        <v>8.2241850636000022E-2</v>
      </c>
      <c r="N28" s="284">
        <f>N23*$AP$17*$AP$18*0.67*$AP$12</f>
        <v>0.40958138834999991</v>
      </c>
      <c r="O28" s="11">
        <f t="shared" ref="O28:Q28" si="3">O23*$AP$17*$AP$18*0.67*$AP$12</f>
        <v>2.0926586801424786E-3</v>
      </c>
      <c r="P28" s="11">
        <f t="shared" si="3"/>
        <v>0</v>
      </c>
      <c r="Q28" s="285">
        <f t="shared" si="3"/>
        <v>8.2241850636000022E-2</v>
      </c>
      <c r="R28" s="284">
        <f>R23*$AP$17*$AP$18*0.67*$AP$12</f>
        <v>0.40958138834999991</v>
      </c>
      <c r="S28" s="11">
        <f t="shared" ref="S28:U28" si="4">S23*$AP$17*$AP$18*0.67*$AP$12</f>
        <v>2.0926586801424786E-3</v>
      </c>
      <c r="T28" s="11">
        <f t="shared" si="4"/>
        <v>0</v>
      </c>
      <c r="U28" s="285">
        <f t="shared" si="4"/>
        <v>8.2241850636000022E-2</v>
      </c>
      <c r="V28" s="284">
        <f>V23*$AP$17*$AP$18*0.67*$AP$12</f>
        <v>0.40958138834999991</v>
      </c>
      <c r="W28" s="11">
        <f t="shared" ref="W28:Y28" si="5">W23*$AP$17*$AP$18*0.67*$AP$12</f>
        <v>2.0926586801424786E-3</v>
      </c>
      <c r="X28" s="11">
        <f t="shared" si="5"/>
        <v>0</v>
      </c>
      <c r="Y28" s="285">
        <f t="shared" si="5"/>
        <v>8.2241850636000022E-2</v>
      </c>
      <c r="Z28" s="284">
        <f>Z23*$AP$17*$AP$18*0.67*$AP$12</f>
        <v>0.40958138834999991</v>
      </c>
      <c r="AA28" s="11">
        <f t="shared" ref="AA28:AC28" si="6">AA23*$AP$17*$AP$18*0.67*$AP$12</f>
        <v>2.0926586801424786E-3</v>
      </c>
      <c r="AB28" s="11">
        <f t="shared" si="6"/>
        <v>0</v>
      </c>
      <c r="AC28" s="285">
        <f t="shared" si="6"/>
        <v>8.2241850636000022E-2</v>
      </c>
      <c r="AD28" s="284">
        <f>AD23*$AP$17*$AP$18*0.67*$AP$12</f>
        <v>0.40958138834999991</v>
      </c>
      <c r="AE28" s="11">
        <f t="shared" ref="AE28:AG28" si="7">AE23*$AP$17*$AP$18*0.67*$AP$12</f>
        <v>2.0926586801424786E-3</v>
      </c>
      <c r="AF28" s="11">
        <f t="shared" si="7"/>
        <v>0</v>
      </c>
      <c r="AG28" s="285">
        <f t="shared" si="7"/>
        <v>8.2241850636000022E-2</v>
      </c>
      <c r="AH28" s="284">
        <f>AH23*$AP$17*$AP$18*0.67*$AP$12</f>
        <v>0.40958138834999991</v>
      </c>
      <c r="AI28" s="11">
        <f t="shared" ref="AI28:AK28" si="8">AI23*$AP$17*$AP$18*0.67*$AP$12</f>
        <v>2.0926586801424786E-3</v>
      </c>
      <c r="AJ28" s="11">
        <f t="shared" si="8"/>
        <v>0</v>
      </c>
      <c r="AK28" s="285">
        <f t="shared" si="8"/>
        <v>8.2241850636000022E-2</v>
      </c>
      <c r="AL28" s="284">
        <f>AL23*$AP$17*$AP$18*0.67*$AP$12</f>
        <v>0.40958138834999991</v>
      </c>
      <c r="AM28" s="11">
        <f t="shared" ref="AM28:AO28" si="9">AM23*$AP$17*$AP$18*0.67*$AP$12</f>
        <v>2.0926586801424786E-3</v>
      </c>
      <c r="AN28" s="11">
        <f t="shared" si="9"/>
        <v>0</v>
      </c>
      <c r="AO28" s="11">
        <f t="shared" si="9"/>
        <v>8.2241850636000022E-2</v>
      </c>
      <c r="AP28" s="284">
        <f>AP23*$AP$17*$AP$18*0.67*$AP$12</f>
        <v>0.40958138834999991</v>
      </c>
      <c r="AQ28" s="11">
        <f t="shared" ref="AQ28:AS28" si="10">AQ23*$AP$17*$AP$18*0.67*$AP$12</f>
        <v>2.0926586801424786E-3</v>
      </c>
      <c r="AR28" s="11">
        <f t="shared" si="10"/>
        <v>0</v>
      </c>
      <c r="AS28" s="285">
        <f t="shared" si="10"/>
        <v>8.2241850636000022E-2</v>
      </c>
      <c r="AV28" s="11"/>
      <c r="AW28" s="11"/>
      <c r="AX28" s="11"/>
      <c r="AY28" s="11"/>
    </row>
    <row r="29" spans="1:51" x14ac:dyDescent="0.3">
      <c r="A29" s="324" t="s">
        <v>261</v>
      </c>
      <c r="B29" s="284">
        <f>B24*$AP$17*$AP$18*0.67*$AP$13</f>
        <v>2.2578174032793754</v>
      </c>
      <c r="C29" s="11">
        <f t="shared" ref="C29:E29" si="11">C24*$AP$17*$AP$18*0.67*$AP$13</f>
        <v>1.1535780974285412E-2</v>
      </c>
      <c r="D29" s="11">
        <f t="shared" si="11"/>
        <v>7.2488773665000021</v>
      </c>
      <c r="E29" s="285">
        <f t="shared" si="11"/>
        <v>0.45335820163094998</v>
      </c>
      <c r="F29" s="284">
        <f>F24*$AP$17*$AP$18*0.67*$AP$13</f>
        <v>2.2578174032793754</v>
      </c>
      <c r="G29" s="11">
        <f t="shared" ref="G29:I29" si="12">G24*$AP$17*$AP$18*0.67*$AP$13</f>
        <v>1.1535780974285412E-2</v>
      </c>
      <c r="H29" s="11">
        <f t="shared" si="12"/>
        <v>7.2488773665000021</v>
      </c>
      <c r="I29" s="285">
        <f t="shared" si="12"/>
        <v>0.45335820163094998</v>
      </c>
      <c r="J29" s="284">
        <f>J24*$AP$17*$AP$18*0.67*$AP$13</f>
        <v>2.2578174032793754</v>
      </c>
      <c r="K29" s="11">
        <f t="shared" ref="K29:M29" si="13">K24*$AP$17*$AP$18*0.67*$AP$13</f>
        <v>1.1535780974285412E-2</v>
      </c>
      <c r="L29" s="11">
        <f t="shared" si="13"/>
        <v>7.2488773665000021</v>
      </c>
      <c r="M29" s="285">
        <f t="shared" si="13"/>
        <v>0.45335820163094998</v>
      </c>
      <c r="N29" s="284">
        <f>N24*$AP$17*$AP$18*0.67*$AP$13</f>
        <v>2.2578174032793754</v>
      </c>
      <c r="O29" s="11">
        <f t="shared" ref="O29:Q29" si="14">O24*$AP$17*$AP$18*0.67*$AP$13</f>
        <v>1.1535780974285412E-2</v>
      </c>
      <c r="P29" s="11">
        <f t="shared" si="14"/>
        <v>7.2488773665000021</v>
      </c>
      <c r="Q29" s="285">
        <f t="shared" si="14"/>
        <v>0.45335820163094998</v>
      </c>
      <c r="R29" s="284">
        <f>R24*$AP$17*$AP$18*0.67*$AP$13</f>
        <v>2.2578174032793754</v>
      </c>
      <c r="S29" s="11">
        <f t="shared" ref="S29:U29" si="15">S24*$AP$17*$AP$18*0.67*$AP$13</f>
        <v>1.1535780974285412E-2</v>
      </c>
      <c r="T29" s="11">
        <f t="shared" si="15"/>
        <v>7.2488773665000021</v>
      </c>
      <c r="U29" s="285">
        <f t="shared" si="15"/>
        <v>0.45335820163094998</v>
      </c>
      <c r="V29" s="284">
        <f>V24*$AP$17*$AP$18*0.67*$AP$13</f>
        <v>2.2578174032793754</v>
      </c>
      <c r="W29" s="11">
        <f t="shared" ref="W29:Y29" si="16">W24*$AP$17*$AP$18*0.67*$AP$13</f>
        <v>1.1535780974285412E-2</v>
      </c>
      <c r="X29" s="11">
        <f t="shared" si="16"/>
        <v>7.2488773665000021</v>
      </c>
      <c r="Y29" s="285">
        <f t="shared" si="16"/>
        <v>0.45335820163094998</v>
      </c>
      <c r="Z29" s="284">
        <f>Z24*$AP$17*$AP$18*0.67*$AP$13</f>
        <v>2.2578174032793754</v>
      </c>
      <c r="AA29" s="11">
        <f t="shared" ref="AA29:AC29" si="17">AA24*$AP$17*$AP$18*0.67*$AP$13</f>
        <v>1.1535780974285412E-2</v>
      </c>
      <c r="AB29" s="11">
        <f t="shared" si="17"/>
        <v>7.2488773665000021</v>
      </c>
      <c r="AC29" s="285">
        <f t="shared" si="17"/>
        <v>0.45335820163094998</v>
      </c>
      <c r="AD29" s="284">
        <f>AD24*$AP$17*$AP$18*0.67*$AP$13</f>
        <v>2.2578174032793754</v>
      </c>
      <c r="AE29" s="11">
        <f t="shared" ref="AE29:AG29" si="18">AE24*$AP$17*$AP$18*0.67*$AP$13</f>
        <v>1.1535780974285412E-2</v>
      </c>
      <c r="AF29" s="11">
        <f t="shared" si="18"/>
        <v>7.2488773665000021</v>
      </c>
      <c r="AG29" s="285">
        <f t="shared" si="18"/>
        <v>0.45335820163094998</v>
      </c>
      <c r="AH29" s="284">
        <f>AH24*$AP$17*$AP$18*0.67*$AP$13</f>
        <v>2.2578174032793754</v>
      </c>
      <c r="AI29" s="11">
        <f t="shared" ref="AI29:AK29" si="19">AI24*$AP$17*$AP$18*0.67*$AP$13</f>
        <v>1.1535780974285412E-2</v>
      </c>
      <c r="AJ29" s="11">
        <f t="shared" si="19"/>
        <v>7.2488773665000021</v>
      </c>
      <c r="AK29" s="285">
        <f t="shared" si="19"/>
        <v>0.45335820163094998</v>
      </c>
      <c r="AL29" s="284">
        <f>AL24*$AP$17*$AP$18*0.67*$AP$13</f>
        <v>2.2578174032793754</v>
      </c>
      <c r="AM29" s="11">
        <f t="shared" ref="AM29:AO29" si="20">AM24*$AP$17*$AP$18*0.67*$AP$13</f>
        <v>1.1535780974285412E-2</v>
      </c>
      <c r="AN29" s="11">
        <f t="shared" si="20"/>
        <v>7.2488773665000021</v>
      </c>
      <c r="AO29" s="11">
        <f t="shared" si="20"/>
        <v>0.45335820163094998</v>
      </c>
      <c r="AP29" s="284">
        <f>AP24*$AP$17*$AP$18*0.67*$AP$13</f>
        <v>2.2578174032793754</v>
      </c>
      <c r="AQ29" s="11">
        <f t="shared" ref="AQ29:AS29" si="21">AQ24*$AP$17*$AP$18*0.67*$AP$13</f>
        <v>1.1535780974285412E-2</v>
      </c>
      <c r="AR29" s="11">
        <f t="shared" si="21"/>
        <v>7.2488773665000021</v>
      </c>
      <c r="AS29" s="285">
        <f t="shared" si="21"/>
        <v>0.45335820163094998</v>
      </c>
      <c r="AV29" s="11"/>
      <c r="AW29" s="11"/>
      <c r="AX29" s="11"/>
      <c r="AY29" s="11"/>
    </row>
    <row r="30" spans="1:51" x14ac:dyDescent="0.3">
      <c r="A30" s="324" t="s">
        <v>264</v>
      </c>
      <c r="B30" s="284">
        <f>B25*$AP$17*$AP$18*0.67*$AP$14</f>
        <v>2.9592255308287507</v>
      </c>
      <c r="C30" s="11">
        <f t="shared" ref="C30" si="22">C25*$AP$17*$AP$18*0.67*$AP$14</f>
        <v>1.5119458964029407E-2</v>
      </c>
      <c r="D30" s="11">
        <f>D25*$AP$17*$AP$18*0.67*$AP$15</f>
        <v>0</v>
      </c>
      <c r="E30" s="285">
        <f>E25*$AP$17*$AP$18*0.67*$AP$16</f>
        <v>0.59419737084510016</v>
      </c>
      <c r="F30" s="284">
        <f>F25*$AP$17*$AP$18*0.67*$AP$14</f>
        <v>2.9592255308287507</v>
      </c>
      <c r="G30" s="11">
        <f t="shared" ref="G30" si="23">G25*$AP$17*$AP$18*0.67*$AP$14</f>
        <v>1.5119458964029407E-2</v>
      </c>
      <c r="H30" s="11">
        <f>H25*$AP$17*$AP$18*0.67*$AP$15</f>
        <v>0</v>
      </c>
      <c r="I30" s="285">
        <f>I25*$AP$17*$AP$18*0.67*$AP$16</f>
        <v>0.59419737084510016</v>
      </c>
      <c r="J30" s="284">
        <f>J25*$AP$17*$AP$18*0.67*$AP$14</f>
        <v>2.9592255308287507</v>
      </c>
      <c r="K30" s="11">
        <f t="shared" ref="K30" si="24">K25*$AP$17*$AP$18*0.67*$AP$14</f>
        <v>1.5119458964029407E-2</v>
      </c>
      <c r="L30" s="11">
        <f>L25*$AP$17*$AP$18*0.67*$AP$15</f>
        <v>0</v>
      </c>
      <c r="M30" s="285">
        <f>M25*$AP$17*$AP$18*0.67*$AP$16</f>
        <v>0.59419737084510016</v>
      </c>
      <c r="N30" s="284">
        <f>N25*$AP$17*$AP$18*0.67*$AP$14</f>
        <v>2.9592255308287507</v>
      </c>
      <c r="O30" s="11">
        <f t="shared" ref="O30" si="25">O25*$AP$17*$AP$18*0.67*$AP$14</f>
        <v>1.5119458964029407E-2</v>
      </c>
      <c r="P30" s="11">
        <f>P25*$AP$17*$AP$18*0.67*$AP$15</f>
        <v>0</v>
      </c>
      <c r="Q30" s="285">
        <f>Q25*$AP$17*$AP$18*0.67*$AP$16</f>
        <v>0.59419737084510016</v>
      </c>
      <c r="R30" s="284">
        <f>R25*$AP$17*$AP$18*0.67*$AP$14</f>
        <v>2.9592255308287507</v>
      </c>
      <c r="S30" s="11">
        <f t="shared" ref="S30" si="26">S25*$AP$17*$AP$18*0.67*$AP$14</f>
        <v>1.5119458964029407E-2</v>
      </c>
      <c r="T30" s="11">
        <f>T25*$AP$17*$AP$18*0.67*$AP$15</f>
        <v>0</v>
      </c>
      <c r="U30" s="285">
        <f>U25*$AP$17*$AP$18*0.67*$AP$16</f>
        <v>0.59419737084510016</v>
      </c>
      <c r="V30" s="284">
        <f>V25*$AP$17*$AP$18*0.67*$AP$14</f>
        <v>2.9592255308287507</v>
      </c>
      <c r="W30" s="11">
        <f t="shared" ref="W30" si="27">W25*$AP$17*$AP$18*0.67*$AP$14</f>
        <v>1.5119458964029407E-2</v>
      </c>
      <c r="X30" s="11">
        <f>X25*$AP$17*$AP$18*0.67*$AP$15</f>
        <v>0</v>
      </c>
      <c r="Y30" s="285">
        <f>Y25*$AP$17*$AP$18*0.67*$AP$16</f>
        <v>0.59419737084510016</v>
      </c>
      <c r="Z30" s="284">
        <f>Z25*$AP$17*$AP$18*0.67*$AP$14</f>
        <v>2.9592255308287507</v>
      </c>
      <c r="AA30" s="11">
        <f t="shared" ref="AA30" si="28">AA25*$AP$17*$AP$18*0.67*$AP$14</f>
        <v>1.5119458964029407E-2</v>
      </c>
      <c r="AB30" s="11">
        <f>AB25*$AP$17*$AP$18*0.67*$AP$15</f>
        <v>0</v>
      </c>
      <c r="AC30" s="285">
        <f>AC25*$AP$17*$AP$18*0.67*$AP$16</f>
        <v>0.59419737084510016</v>
      </c>
      <c r="AD30" s="284">
        <f>AD25*$AP$17*$AP$18*0.67*$AP$14</f>
        <v>2.9592255308287507</v>
      </c>
      <c r="AE30" s="11">
        <f t="shared" ref="AE30" si="29">AE25*$AP$17*$AP$18*0.67*$AP$14</f>
        <v>1.5119458964029407E-2</v>
      </c>
      <c r="AF30" s="11">
        <f>AF25*$AP$17*$AP$18*0.67*$AP$15</f>
        <v>0</v>
      </c>
      <c r="AG30" s="285">
        <f>AG25*$AP$17*$AP$18*0.67*$AP$16</f>
        <v>0.59419737084510016</v>
      </c>
      <c r="AH30" s="284">
        <f>AH25*$AP$17*$AP$18*0.67*$AP$14</f>
        <v>2.9592255308287507</v>
      </c>
      <c r="AI30" s="11">
        <f t="shared" ref="AI30" si="30">AI25*$AP$17*$AP$18*0.67*$AP$14</f>
        <v>1.5119458964029407E-2</v>
      </c>
      <c r="AJ30" s="11">
        <f>AJ25*$AP$17*$AP$18*0.67*$AP$15</f>
        <v>0</v>
      </c>
      <c r="AK30" s="285">
        <f>AK25*$AP$17*$AP$18*0.67*$AP$16</f>
        <v>0.59419737084510016</v>
      </c>
      <c r="AL30" s="284">
        <f>AL25*$AP$17*$AP$18*0.67*$AP$14</f>
        <v>2.9592255308287507</v>
      </c>
      <c r="AM30" s="11">
        <f t="shared" ref="AM30" si="31">AM25*$AP$17*$AP$18*0.67*$AP$14</f>
        <v>1.5119458964029407E-2</v>
      </c>
      <c r="AN30" s="11">
        <f>AN25*$AP$17*$AP$18*0.67*$AP$15</f>
        <v>0</v>
      </c>
      <c r="AO30" s="11">
        <f>AO25*$AP$17*$AP$18*0.67*$AP$16</f>
        <v>0.59419737084510016</v>
      </c>
      <c r="AP30" s="284">
        <f>AP25*$AP$17*$AP$18*0.67*$AP$14</f>
        <v>2.9592255308287507</v>
      </c>
      <c r="AQ30" s="11">
        <f t="shared" ref="AQ30" si="32">AQ25*$AP$17*$AP$18*0.67*$AP$14</f>
        <v>1.5119458964029407E-2</v>
      </c>
      <c r="AR30" s="11">
        <f>AR25*$AP$17*$AP$18*0.67*$AP$15</f>
        <v>0</v>
      </c>
      <c r="AS30" s="285">
        <f>AS25*$AP$17*$AP$18*0.67*$AP$16</f>
        <v>0.59419737084510016</v>
      </c>
      <c r="AV30" s="11"/>
      <c r="AW30" s="11"/>
      <c r="AX30" s="11"/>
      <c r="AY30" s="11"/>
    </row>
    <row r="31" spans="1:51" x14ac:dyDescent="0.3">
      <c r="A31" s="324" t="s">
        <v>265</v>
      </c>
      <c r="B31" s="284"/>
      <c r="C31" s="11"/>
      <c r="D31" s="11"/>
      <c r="E31" s="285">
        <f>SUM(B28:E30)</f>
        <v>14.034047010688637</v>
      </c>
      <c r="F31" s="284"/>
      <c r="G31" s="11"/>
      <c r="H31" s="11"/>
      <c r="I31" s="285">
        <f>SUM(F28:I30)</f>
        <v>14.034047010688637</v>
      </c>
      <c r="J31" s="284"/>
      <c r="K31" s="11"/>
      <c r="L31" s="11"/>
      <c r="M31" s="285">
        <f>SUM(J28:M30)</f>
        <v>14.034047010688637</v>
      </c>
      <c r="N31" s="284"/>
      <c r="O31" s="11"/>
      <c r="P31" s="11"/>
      <c r="Q31" s="285">
        <f>SUM(N28:Q30)</f>
        <v>14.034047010688637</v>
      </c>
      <c r="R31" s="284"/>
      <c r="S31" s="11"/>
      <c r="T31" s="11"/>
      <c r="U31" s="285">
        <f>SUM(R28:U30)</f>
        <v>14.034047010688637</v>
      </c>
      <c r="V31" s="284"/>
      <c r="W31" s="11"/>
      <c r="X31" s="11"/>
      <c r="Y31" s="285">
        <f>SUM(V28:Y30)</f>
        <v>14.034047010688637</v>
      </c>
      <c r="Z31" s="284"/>
      <c r="AA31" s="11"/>
      <c r="AB31" s="11"/>
      <c r="AC31" s="285">
        <f>SUM(Z28:AC30)</f>
        <v>14.034047010688637</v>
      </c>
      <c r="AD31" s="284"/>
      <c r="AE31" s="11"/>
      <c r="AF31" s="11"/>
      <c r="AG31" s="285">
        <f>SUM(AD28:AG30)</f>
        <v>14.034047010688637</v>
      </c>
      <c r="AH31" s="284"/>
      <c r="AI31" s="11"/>
      <c r="AJ31" s="11"/>
      <c r="AK31" s="285">
        <f>SUM(AH28:AK30)</f>
        <v>14.034047010688637</v>
      </c>
      <c r="AL31" s="284"/>
      <c r="AM31" s="11"/>
      <c r="AN31" s="11"/>
      <c r="AO31" s="11">
        <f>SUM(AL28:AO30)</f>
        <v>14.034047010688637</v>
      </c>
      <c r="AP31" s="284"/>
      <c r="AQ31" s="11"/>
      <c r="AR31" s="11"/>
      <c r="AS31" s="285">
        <f>SUM(AP28:AS30)</f>
        <v>14.034047010688637</v>
      </c>
      <c r="AV31" s="11"/>
      <c r="AW31" s="11"/>
      <c r="AX31" s="11"/>
      <c r="AY31" s="11"/>
    </row>
    <row r="32" spans="1:51" x14ac:dyDescent="0.3">
      <c r="A32" s="324" t="s">
        <v>266</v>
      </c>
      <c r="B32" s="284"/>
      <c r="C32" s="11"/>
      <c r="D32" s="11"/>
      <c r="E32" s="286">
        <f>E31/Production!B35</f>
        <v>1.1236432594966518E-2</v>
      </c>
      <c r="F32" s="284"/>
      <c r="G32" s="11"/>
      <c r="H32" s="11"/>
      <c r="I32" s="286">
        <f>I31/Production!C35</f>
        <v>1.1236432594966518E-2</v>
      </c>
      <c r="J32" s="284"/>
      <c r="K32" s="11"/>
      <c r="L32" s="11"/>
      <c r="M32" s="286">
        <f>M31/Production!D35</f>
        <v>1.1236432594966518E-2</v>
      </c>
      <c r="N32" s="284"/>
      <c r="O32" s="11"/>
      <c r="P32" s="11"/>
      <c r="Q32" s="286">
        <f>Q31/Production!E35</f>
        <v>1.1236432594966518E-2</v>
      </c>
      <c r="R32" s="284"/>
      <c r="S32" s="11"/>
      <c r="T32" s="11"/>
      <c r="U32" s="286">
        <f>U31/Production!F35</f>
        <v>1.1236432594966518E-2</v>
      </c>
      <c r="V32" s="284"/>
      <c r="W32" s="11"/>
      <c r="X32" s="11"/>
      <c r="Y32" s="286">
        <f>Y31/Production!G35</f>
        <v>1.1236432594966518E-2</v>
      </c>
      <c r="Z32" s="284"/>
      <c r="AA32" s="11"/>
      <c r="AB32" s="11"/>
      <c r="AC32" s="286">
        <f>AC31/Production!H35</f>
        <v>1.1236432594966518E-2</v>
      </c>
      <c r="AD32" s="284"/>
      <c r="AE32" s="11"/>
      <c r="AF32" s="11"/>
      <c r="AG32" s="286">
        <f>AG31/Production!I35</f>
        <v>1.1236432594966518E-2</v>
      </c>
      <c r="AH32" s="284"/>
      <c r="AI32" s="11"/>
      <c r="AJ32" s="11"/>
      <c r="AK32" s="286">
        <f>AK31/Production!J35</f>
        <v>1.1236432594966518E-2</v>
      </c>
      <c r="AL32" s="284"/>
      <c r="AM32" s="11"/>
      <c r="AN32" s="11"/>
      <c r="AO32" s="4">
        <f>AO31/Production!K35</f>
        <v>1.1236432594966518E-2</v>
      </c>
      <c r="AP32" s="284"/>
      <c r="AQ32" s="11"/>
      <c r="AR32" s="11"/>
      <c r="AS32" s="286">
        <f>AS31/Production!L35</f>
        <v>1.1236432594966518E-2</v>
      </c>
      <c r="AV32" s="4"/>
      <c r="AW32" s="4"/>
      <c r="AX32" s="4"/>
      <c r="AY32" s="4"/>
    </row>
    <row r="33" spans="1:47" x14ac:dyDescent="0.3">
      <c r="A33" s="324"/>
      <c r="B33" s="270"/>
      <c r="E33" s="271"/>
      <c r="F33" s="270"/>
      <c r="I33" s="271"/>
      <c r="J33" s="270"/>
      <c r="M33" s="271"/>
      <c r="N33" s="270"/>
      <c r="Q33" s="271"/>
      <c r="R33" s="270"/>
      <c r="U33" s="271"/>
      <c r="V33" s="270"/>
      <c r="Y33" s="271"/>
      <c r="Z33" s="270"/>
      <c r="AC33" s="271"/>
      <c r="AD33" s="270"/>
      <c r="AG33" s="271"/>
      <c r="AH33" s="270"/>
      <c r="AK33" s="271"/>
      <c r="AL33" s="270"/>
      <c r="AP33" s="270"/>
      <c r="AS33" s="271"/>
    </row>
    <row r="34" spans="1:47" x14ac:dyDescent="0.3">
      <c r="A34" s="321" t="s">
        <v>267</v>
      </c>
      <c r="B34" s="333"/>
      <c r="C34" s="215"/>
      <c r="D34" s="215"/>
      <c r="E34" s="215"/>
      <c r="F34" s="333"/>
      <c r="G34" s="215"/>
      <c r="H34" s="215"/>
      <c r="I34" s="215"/>
      <c r="J34" s="333"/>
      <c r="K34" s="215"/>
      <c r="L34" s="215"/>
      <c r="M34" s="215"/>
      <c r="N34" s="333"/>
      <c r="O34" s="215"/>
      <c r="P34" s="215"/>
      <c r="Q34" s="215"/>
      <c r="R34" s="333"/>
      <c r="S34" s="215"/>
      <c r="T34" s="215"/>
      <c r="U34" s="215"/>
      <c r="V34" s="333"/>
      <c r="W34" s="215"/>
      <c r="X34" s="215"/>
      <c r="Y34" s="215"/>
      <c r="Z34" s="333"/>
      <c r="AA34" s="215"/>
      <c r="AB34" s="215"/>
      <c r="AC34" s="215"/>
      <c r="AD34" s="333"/>
      <c r="AE34" s="215"/>
      <c r="AF34" s="215"/>
      <c r="AG34" s="215"/>
      <c r="AH34" s="333"/>
      <c r="AI34" s="215"/>
      <c r="AJ34" s="215"/>
      <c r="AK34" s="215"/>
      <c r="AL34" s="333"/>
      <c r="AM34" s="215"/>
      <c r="AN34" s="215"/>
      <c r="AO34" s="215"/>
      <c r="AP34" s="333"/>
      <c r="AQ34" s="215"/>
      <c r="AR34" s="215"/>
      <c r="AS34" s="215"/>
    </row>
    <row r="35" spans="1:47" x14ac:dyDescent="0.3">
      <c r="A35" s="326" t="s">
        <v>268</v>
      </c>
      <c r="B35" s="279"/>
      <c r="C35" s="118"/>
      <c r="D35" s="118"/>
      <c r="E35" s="280"/>
      <c r="F35" s="279"/>
      <c r="G35" s="118"/>
      <c r="H35" s="118"/>
      <c r="I35" s="280"/>
      <c r="J35" s="279"/>
      <c r="K35" s="118"/>
      <c r="L35" s="118"/>
      <c r="M35" s="280"/>
      <c r="N35" s="279"/>
      <c r="O35" s="118"/>
      <c r="P35" s="118"/>
      <c r="Q35" s="280"/>
      <c r="R35" s="279"/>
      <c r="S35" s="118"/>
      <c r="T35" s="118"/>
      <c r="U35" s="280"/>
      <c r="V35" s="279"/>
      <c r="W35" s="118"/>
      <c r="X35" s="118"/>
      <c r="Y35" s="280"/>
      <c r="Z35" s="279"/>
      <c r="AA35" s="118"/>
      <c r="AB35" s="118"/>
      <c r="AC35" s="280"/>
      <c r="AD35" s="279"/>
      <c r="AE35" s="118"/>
      <c r="AF35" s="118"/>
      <c r="AG35" s="280"/>
      <c r="AH35" s="279"/>
      <c r="AI35" s="118"/>
      <c r="AJ35" s="118"/>
      <c r="AK35" s="280"/>
      <c r="AL35" s="279"/>
      <c r="AM35" s="118"/>
      <c r="AN35" s="118"/>
      <c r="AO35" s="118"/>
      <c r="AP35" s="279"/>
      <c r="AQ35" s="118"/>
      <c r="AR35" s="118"/>
      <c r="AS35" s="280"/>
    </row>
    <row r="36" spans="1:47" x14ac:dyDescent="0.3">
      <c r="A36" s="324" t="s">
        <v>269</v>
      </c>
      <c r="B36" s="267">
        <v>22.5</v>
      </c>
      <c r="C36" s="268">
        <v>13</v>
      </c>
      <c r="D36" s="268">
        <v>10.8</v>
      </c>
      <c r="E36" s="269">
        <v>1.2</v>
      </c>
      <c r="F36" s="267">
        <v>22.5</v>
      </c>
      <c r="G36" s="268">
        <v>13</v>
      </c>
      <c r="H36" s="268">
        <v>10.8</v>
      </c>
      <c r="I36" s="269">
        <v>1.2</v>
      </c>
      <c r="J36" s="267">
        <v>22.5</v>
      </c>
      <c r="K36" s="268">
        <v>13</v>
      </c>
      <c r="L36" s="268">
        <v>10.8</v>
      </c>
      <c r="M36" s="269">
        <v>1.2</v>
      </c>
      <c r="N36" s="267">
        <v>22.5</v>
      </c>
      <c r="O36" s="268">
        <v>13</v>
      </c>
      <c r="P36" s="268">
        <v>10.8</v>
      </c>
      <c r="Q36" s="269">
        <v>1.2</v>
      </c>
      <c r="R36" s="267">
        <v>22.5</v>
      </c>
      <c r="S36" s="268">
        <v>13</v>
      </c>
      <c r="T36" s="268">
        <v>10.8</v>
      </c>
      <c r="U36" s="269">
        <v>1.2</v>
      </c>
      <c r="V36" s="267">
        <v>22.5</v>
      </c>
      <c r="W36" s="268">
        <v>13</v>
      </c>
      <c r="X36" s="268">
        <v>10.8</v>
      </c>
      <c r="Y36" s="269">
        <v>1.2</v>
      </c>
      <c r="Z36" s="267">
        <v>22.5</v>
      </c>
      <c r="AA36" s="268">
        <v>13</v>
      </c>
      <c r="AB36" s="268">
        <v>10.8</v>
      </c>
      <c r="AC36" s="269">
        <v>1.2</v>
      </c>
      <c r="AD36" s="267">
        <v>22.5</v>
      </c>
      <c r="AE36" s="268">
        <v>13</v>
      </c>
      <c r="AF36" s="268">
        <v>10.8</v>
      </c>
      <c r="AG36" s="269">
        <v>1.2</v>
      </c>
      <c r="AH36" s="267">
        <v>22.5</v>
      </c>
      <c r="AI36" s="268">
        <v>13</v>
      </c>
      <c r="AJ36" s="268">
        <v>10.8</v>
      </c>
      <c r="AK36" s="269">
        <v>1.2</v>
      </c>
      <c r="AL36" s="267">
        <v>22.5</v>
      </c>
      <c r="AM36" s="268">
        <v>13</v>
      </c>
      <c r="AN36" s="268">
        <v>10.8</v>
      </c>
      <c r="AO36" s="268">
        <v>1.2</v>
      </c>
      <c r="AP36" s="267">
        <v>22.5</v>
      </c>
      <c r="AQ36" s="268">
        <v>13</v>
      </c>
      <c r="AR36" s="268">
        <v>10.8</v>
      </c>
      <c r="AS36" s="269">
        <v>1.2</v>
      </c>
      <c r="AU36" s="247" t="s">
        <v>270</v>
      </c>
    </row>
    <row r="37" spans="1:47" x14ac:dyDescent="0.3">
      <c r="A37" s="324" t="s">
        <v>271</v>
      </c>
      <c r="B37" s="287">
        <v>0.7</v>
      </c>
      <c r="C37" s="288">
        <v>0.7</v>
      </c>
      <c r="D37" s="288">
        <v>0.7</v>
      </c>
      <c r="E37" s="289">
        <v>0.7</v>
      </c>
      <c r="F37" s="287">
        <v>0.7</v>
      </c>
      <c r="G37" s="288">
        <v>0.7</v>
      </c>
      <c r="H37" s="288">
        <v>0.7</v>
      </c>
      <c r="I37" s="289">
        <v>0.7</v>
      </c>
      <c r="J37" s="287">
        <v>0.7</v>
      </c>
      <c r="K37" s="288">
        <v>0.7</v>
      </c>
      <c r="L37" s="288">
        <v>0.7</v>
      </c>
      <c r="M37" s="289">
        <v>0.7</v>
      </c>
      <c r="N37" s="287">
        <v>0.7</v>
      </c>
      <c r="O37" s="288">
        <v>0.7</v>
      </c>
      <c r="P37" s="288">
        <v>0.7</v>
      </c>
      <c r="Q37" s="289">
        <v>0.7</v>
      </c>
      <c r="R37" s="287">
        <v>0.7</v>
      </c>
      <c r="S37" s="288">
        <v>0.7</v>
      </c>
      <c r="T37" s="288">
        <v>0.7</v>
      </c>
      <c r="U37" s="289">
        <v>0.7</v>
      </c>
      <c r="V37" s="287">
        <v>0.7</v>
      </c>
      <c r="W37" s="288">
        <v>0.7</v>
      </c>
      <c r="X37" s="288">
        <v>0.7</v>
      </c>
      <c r="Y37" s="289">
        <v>0.7</v>
      </c>
      <c r="Z37" s="287">
        <v>0.7</v>
      </c>
      <c r="AA37" s="288">
        <v>0.7</v>
      </c>
      <c r="AB37" s="288">
        <v>0.7</v>
      </c>
      <c r="AC37" s="289">
        <v>0.7</v>
      </c>
      <c r="AD37" s="287">
        <v>0.7</v>
      </c>
      <c r="AE37" s="288">
        <v>0.7</v>
      </c>
      <c r="AF37" s="288">
        <v>0.7</v>
      </c>
      <c r="AG37" s="289">
        <v>0.7</v>
      </c>
      <c r="AH37" s="287">
        <v>0.7</v>
      </c>
      <c r="AI37" s="288">
        <v>0.7</v>
      </c>
      <c r="AJ37" s="288">
        <v>0.7</v>
      </c>
      <c r="AK37" s="289">
        <v>0.7</v>
      </c>
      <c r="AL37" s="287">
        <v>0.7</v>
      </c>
      <c r="AM37" s="288">
        <v>0.7</v>
      </c>
      <c r="AN37" s="288">
        <v>0.7</v>
      </c>
      <c r="AO37" s="288">
        <v>0.7</v>
      </c>
      <c r="AP37" s="287">
        <v>0.7</v>
      </c>
      <c r="AQ37" s="288">
        <v>0.7</v>
      </c>
      <c r="AR37" s="288">
        <v>0.7</v>
      </c>
      <c r="AS37" s="289">
        <v>0.7</v>
      </c>
      <c r="AU37" s="247" t="s">
        <v>272</v>
      </c>
    </row>
    <row r="38" spans="1:47" x14ac:dyDescent="0.3">
      <c r="A38" s="324"/>
      <c r="B38" s="287"/>
      <c r="C38" s="288"/>
      <c r="D38" s="288"/>
      <c r="E38" s="289"/>
      <c r="F38" s="287"/>
      <c r="G38" s="288"/>
      <c r="H38" s="288"/>
      <c r="I38" s="289"/>
      <c r="J38" s="287"/>
      <c r="K38" s="288"/>
      <c r="L38" s="288"/>
      <c r="M38" s="289"/>
      <c r="N38" s="287"/>
      <c r="O38" s="288"/>
      <c r="P38" s="288"/>
      <c r="Q38" s="289"/>
      <c r="R38" s="287"/>
      <c r="S38" s="288"/>
      <c r="T38" s="288"/>
      <c r="U38" s="289"/>
      <c r="V38" s="287"/>
      <c r="W38" s="288"/>
      <c r="X38" s="288"/>
      <c r="Y38" s="289"/>
      <c r="Z38" s="287"/>
      <c r="AA38" s="288"/>
      <c r="AB38" s="288"/>
      <c r="AC38" s="289"/>
      <c r="AD38" s="287"/>
      <c r="AE38" s="288"/>
      <c r="AF38" s="288"/>
      <c r="AG38" s="289"/>
      <c r="AH38" s="287"/>
      <c r="AI38" s="288"/>
      <c r="AJ38" s="288"/>
      <c r="AK38" s="289"/>
      <c r="AL38" s="287"/>
      <c r="AM38" s="288"/>
      <c r="AN38" s="288"/>
      <c r="AO38" s="288"/>
      <c r="AP38" s="287"/>
      <c r="AQ38" s="288"/>
      <c r="AR38" s="288"/>
      <c r="AS38" s="289"/>
      <c r="AU38" s="247"/>
    </row>
    <row r="39" spans="1:47" x14ac:dyDescent="0.3">
      <c r="A39" s="326" t="s">
        <v>273</v>
      </c>
      <c r="B39" s="279"/>
      <c r="C39" s="118"/>
      <c r="D39" s="118"/>
      <c r="E39" s="280"/>
      <c r="F39" s="279"/>
      <c r="G39" s="118"/>
      <c r="H39" s="118"/>
      <c r="I39" s="280"/>
      <c r="J39" s="279"/>
      <c r="K39" s="118"/>
      <c r="L39" s="118"/>
      <c r="M39" s="280"/>
      <c r="N39" s="279"/>
      <c r="O39" s="118"/>
      <c r="P39" s="118"/>
      <c r="Q39" s="280"/>
      <c r="R39" s="279"/>
      <c r="S39" s="118"/>
      <c r="T39" s="118"/>
      <c r="U39" s="280"/>
      <c r="V39" s="279"/>
      <c r="W39" s="118"/>
      <c r="X39" s="118"/>
      <c r="Y39" s="280"/>
      <c r="Z39" s="279"/>
      <c r="AA39" s="118"/>
      <c r="AB39" s="118"/>
      <c r="AC39" s="280"/>
      <c r="AD39" s="279"/>
      <c r="AE39" s="118"/>
      <c r="AF39" s="118"/>
      <c r="AG39" s="280"/>
      <c r="AH39" s="279"/>
      <c r="AI39" s="118"/>
      <c r="AJ39" s="118"/>
      <c r="AK39" s="280"/>
      <c r="AL39" s="279"/>
      <c r="AM39" s="118"/>
      <c r="AN39" s="118"/>
      <c r="AO39" s="118"/>
      <c r="AP39" s="279"/>
      <c r="AQ39" s="118"/>
      <c r="AR39" s="118"/>
      <c r="AS39" s="280"/>
    </row>
    <row r="40" spans="1:47" x14ac:dyDescent="0.3">
      <c r="A40" s="324" t="s">
        <v>260</v>
      </c>
      <c r="B40" s="290">
        <f>(No_sows_SE+No_recruit_sows_SE)*B6*B36</f>
        <v>6.9750000000000014</v>
      </c>
      <c r="C40" s="18">
        <f>No_boars_SE*C6*$AQ$36</f>
        <v>3.1571833841345376E-2</v>
      </c>
      <c r="D40" s="11">
        <f>No_fattening_pigs_SE*Time_fattening_days_SE/365*D6*$AR$36</f>
        <v>0</v>
      </c>
      <c r="E40" s="285">
        <f>No_piglets_SE*Time_to_weaning_SE/365*E6*$AS$36</f>
        <v>1.1713643835616436</v>
      </c>
      <c r="F40" s="290">
        <f>(No_sows_SE+No_recruit_sows_SE)*F6*F36</f>
        <v>6.9750000000000014</v>
      </c>
      <c r="G40" s="18">
        <f>No_boars_SE*G6*$AQ$36</f>
        <v>3.1571833841345376E-2</v>
      </c>
      <c r="H40" s="11">
        <f>No_fattening_pigs_SE*Time_fattening_days_SE/365*H6*$AR$36</f>
        <v>0</v>
      </c>
      <c r="I40" s="285">
        <f>No_piglets_SE*Time_to_weaning_SE/365*I6*$AS$36</f>
        <v>1.1713643835616436</v>
      </c>
      <c r="J40" s="290">
        <f>(No_sows_SE+No_recruit_sows_SE)*J6*J36</f>
        <v>6.9750000000000014</v>
      </c>
      <c r="K40" s="18">
        <f>No_boars_SE*K6*$AQ$36</f>
        <v>3.1571833841345376E-2</v>
      </c>
      <c r="L40" s="11">
        <f>No_fattening_pigs_SE*Time_fattening_days_SE/365*L6*$AR$36</f>
        <v>0</v>
      </c>
      <c r="M40" s="285">
        <f>No_piglets_SE*Time_to_weaning_SE/365*M6*$AS$36</f>
        <v>1.1713643835616436</v>
      </c>
      <c r="N40" s="290">
        <f>(No_sows_SE+No_recruit_sows_SE)*N6*N36</f>
        <v>6.9750000000000014</v>
      </c>
      <c r="O40" s="18">
        <f>No_boars_SE*O6*$AQ$36</f>
        <v>3.1571833841345376E-2</v>
      </c>
      <c r="P40" s="11">
        <f>No_fattening_pigs_SE*Time_fattening_days_SE/365*P6*$AR$36</f>
        <v>0</v>
      </c>
      <c r="Q40" s="285">
        <f>No_piglets_SE*Time_to_weaning_SE/365*Q6*$AS$36</f>
        <v>1.1713643835616436</v>
      </c>
      <c r="R40" s="290">
        <f>(No_sows_SE+No_recruit_sows_SE)*R6*R36</f>
        <v>6.9750000000000014</v>
      </c>
      <c r="S40" s="18">
        <f>No_boars_SE*S6*$AQ$36</f>
        <v>3.1571833841345376E-2</v>
      </c>
      <c r="T40" s="11">
        <f>No_fattening_pigs_SE*Time_fattening_days_SE/365*T6*$AR$36</f>
        <v>0</v>
      </c>
      <c r="U40" s="285">
        <f>No_piglets_SE*Time_to_weaning_SE/365*U6*$AS$36</f>
        <v>1.1713643835616436</v>
      </c>
      <c r="V40" s="290">
        <f>(No_sows_SE+No_recruit_sows_SE)*V6*V36</f>
        <v>6.9750000000000014</v>
      </c>
      <c r="W40" s="18">
        <f>No_boars_SE*W6*$AQ$36</f>
        <v>3.1571833841345376E-2</v>
      </c>
      <c r="X40" s="11">
        <f>No_fattening_pigs_SE*Time_fattening_days_SE/365*X6*$AR$36</f>
        <v>0</v>
      </c>
      <c r="Y40" s="285">
        <f>No_piglets_SE*Time_to_weaning_SE/365*Y6*$AS$36</f>
        <v>1.1713643835616436</v>
      </c>
      <c r="Z40" s="290">
        <f>(No_sows_SE+No_recruit_sows_SE)*Z6*Z36</f>
        <v>6.9750000000000014</v>
      </c>
      <c r="AA40" s="18">
        <f>No_boars_SE*AA6*$AQ$36</f>
        <v>3.1571833841345376E-2</v>
      </c>
      <c r="AB40" s="11">
        <f>No_fattening_pigs_SE*Time_fattening_days_SE/365*AB6*$AR$36</f>
        <v>0</v>
      </c>
      <c r="AC40" s="285">
        <f>No_piglets_SE*Time_to_weaning_SE/365*AC6*$AS$36</f>
        <v>1.1713643835616436</v>
      </c>
      <c r="AD40" s="290">
        <f>(No_sows_SE+No_recruit_sows_SE)*AD6*AD36</f>
        <v>6.9750000000000014</v>
      </c>
      <c r="AE40" s="18">
        <f>No_boars_SE*AE6*$AQ$36</f>
        <v>3.1571833841345376E-2</v>
      </c>
      <c r="AF40" s="11">
        <f>No_fattening_pigs_SE*Time_fattening_days_SE/365*AF6*$AR$36</f>
        <v>0</v>
      </c>
      <c r="AG40" s="285">
        <f>No_piglets_SE*Time_to_weaning_SE/365*AG6*$AS$36</f>
        <v>1.1713643835616436</v>
      </c>
      <c r="AH40" s="290">
        <f>(No_sows_SE+No_recruit_sows_SE)*AH6*AH36</f>
        <v>6.9750000000000014</v>
      </c>
      <c r="AI40" s="18">
        <f>No_boars_SE*AI6*$AQ$36</f>
        <v>3.1571833841345376E-2</v>
      </c>
      <c r="AJ40" s="11">
        <f>No_fattening_pigs_SE*Time_fattening_days_SE/365*AJ6*$AR$36</f>
        <v>0</v>
      </c>
      <c r="AK40" s="285">
        <f>No_piglets_SE*Time_to_weaning_SE/365*AK6*$AS$36</f>
        <v>1.1713643835616436</v>
      </c>
      <c r="AL40" s="290">
        <f>(No_sows_SE+No_recruit_sows_SE)*AL6*AL36</f>
        <v>6.9750000000000014</v>
      </c>
      <c r="AM40" s="18">
        <f>No_boars_SE*AM6*$AQ$36</f>
        <v>3.1571833841345376E-2</v>
      </c>
      <c r="AN40" s="11">
        <f>No_fattening_pigs_SE*Time_fattening_days_SE/365*AN6*$AR$36</f>
        <v>0</v>
      </c>
      <c r="AO40" s="11">
        <f>No_piglets_SE*Time_to_weaning_SE/365*AO6*$AS$36</f>
        <v>1.1713643835616436</v>
      </c>
      <c r="AP40" s="290">
        <f>(No_sows_SE+No_recruit_sows_SE)*AP6*AP36</f>
        <v>6.9750000000000014</v>
      </c>
      <c r="AQ40" s="18">
        <f>No_boars_SE*AQ6*$AQ$36</f>
        <v>3.1571833841345376E-2</v>
      </c>
      <c r="AR40" s="11">
        <f>No_fattening_pigs_SE*Time_fattening_days_SE/365*AR6*$AR$36</f>
        <v>0</v>
      </c>
      <c r="AS40" s="285">
        <f>No_piglets_SE*Time_to_weaning_SE/365*AS6*$AS$36</f>
        <v>1.1713643835616436</v>
      </c>
    </row>
    <row r="41" spans="1:47" x14ac:dyDescent="0.3">
      <c r="A41" s="324" t="s">
        <v>261</v>
      </c>
      <c r="B41" s="290">
        <f>(No_sows_SE+No_recruit_sows_SE)*B7*B36</f>
        <v>21.971250000000001</v>
      </c>
      <c r="C41" s="18">
        <f>No_boars_SE*C7*$AQ$36</f>
        <v>9.9451276600237934E-2</v>
      </c>
      <c r="D41" s="11">
        <f>No_fattening_pigs_SE*Time_fattening_days_SE/365*D7*$AR$36</f>
        <v>63.143013698630135</v>
      </c>
      <c r="E41" s="285">
        <f>No_piglets_SE*Time_to_weaning_SE/365*E7*$AS$36</f>
        <v>3.6897978082191778</v>
      </c>
      <c r="F41" s="290">
        <f>(No_sows_SE+No_recruit_sows_SE)*F7*F36</f>
        <v>21.971250000000001</v>
      </c>
      <c r="G41" s="18">
        <f>No_boars_SE*G7*$AQ$36</f>
        <v>9.9451276600237934E-2</v>
      </c>
      <c r="H41" s="11">
        <f>No_fattening_pigs_SE*Time_fattening_days_SE/365*H7*$AR$36</f>
        <v>63.143013698630135</v>
      </c>
      <c r="I41" s="285">
        <f>No_piglets_SE*Time_to_weaning_SE/365*I7*$AS$36</f>
        <v>3.6897978082191778</v>
      </c>
      <c r="J41" s="290">
        <f>(No_sows_SE+No_recruit_sows_SE)*J7*J36</f>
        <v>21.971250000000001</v>
      </c>
      <c r="K41" s="18">
        <f>No_boars_SE*K7*$AQ$36</f>
        <v>9.9451276600237934E-2</v>
      </c>
      <c r="L41" s="11">
        <f>No_fattening_pigs_SE*Time_fattening_days_SE/365*L7*$AR$36</f>
        <v>63.143013698630135</v>
      </c>
      <c r="M41" s="285">
        <f>No_piglets_SE*Time_to_weaning_SE/365*M7*$AS$36</f>
        <v>3.6897978082191778</v>
      </c>
      <c r="N41" s="290">
        <f>(No_sows_SE+No_recruit_sows_SE)*N7*N36</f>
        <v>21.971250000000001</v>
      </c>
      <c r="O41" s="18">
        <f>No_boars_SE*O7*$AQ$36</f>
        <v>9.9451276600237934E-2</v>
      </c>
      <c r="P41" s="11">
        <f>No_fattening_pigs_SE*Time_fattening_days_SE/365*P7*$AR$36</f>
        <v>63.143013698630135</v>
      </c>
      <c r="Q41" s="285">
        <f>No_piglets_SE*Time_to_weaning_SE/365*Q7*$AS$36</f>
        <v>3.6897978082191778</v>
      </c>
      <c r="R41" s="290">
        <f>(No_sows_SE+No_recruit_sows_SE)*R7*R36</f>
        <v>21.971250000000001</v>
      </c>
      <c r="S41" s="18">
        <f>No_boars_SE*S7*$AQ$36</f>
        <v>9.9451276600237934E-2</v>
      </c>
      <c r="T41" s="11">
        <f>No_fattening_pigs_SE*Time_fattening_days_SE/365*T7*$AR$36</f>
        <v>63.143013698630135</v>
      </c>
      <c r="U41" s="285">
        <f>No_piglets_SE*Time_to_weaning_SE/365*U7*$AS$36</f>
        <v>3.6897978082191778</v>
      </c>
      <c r="V41" s="290">
        <f>(No_sows_SE+No_recruit_sows_SE)*V7*V36</f>
        <v>21.971250000000001</v>
      </c>
      <c r="W41" s="18">
        <f>No_boars_SE*W7*$AQ$36</f>
        <v>9.9451276600237934E-2</v>
      </c>
      <c r="X41" s="11">
        <f>No_fattening_pigs_SE*Time_fattening_days_SE/365*X7*$AR$36</f>
        <v>63.143013698630135</v>
      </c>
      <c r="Y41" s="285">
        <f>No_piglets_SE*Time_to_weaning_SE/365*Y7*$AS$36</f>
        <v>3.6897978082191778</v>
      </c>
      <c r="Z41" s="290">
        <f>(No_sows_SE+No_recruit_sows_SE)*Z7*Z36</f>
        <v>21.971250000000001</v>
      </c>
      <c r="AA41" s="18">
        <f>No_boars_SE*AA7*$AQ$36</f>
        <v>9.9451276600237934E-2</v>
      </c>
      <c r="AB41" s="11">
        <f>No_fattening_pigs_SE*Time_fattening_days_SE/365*AB7*$AR$36</f>
        <v>63.143013698630135</v>
      </c>
      <c r="AC41" s="285">
        <f>No_piglets_SE*Time_to_weaning_SE/365*AC7*$AS$36</f>
        <v>3.6897978082191778</v>
      </c>
      <c r="AD41" s="290">
        <f>(No_sows_SE+No_recruit_sows_SE)*AD7*AD36</f>
        <v>21.971250000000001</v>
      </c>
      <c r="AE41" s="18">
        <f>No_boars_SE*AE7*$AQ$36</f>
        <v>9.9451276600237934E-2</v>
      </c>
      <c r="AF41" s="11">
        <f>No_fattening_pigs_SE*Time_fattening_days_SE/365*AF7*$AR$36</f>
        <v>63.143013698630135</v>
      </c>
      <c r="AG41" s="285">
        <f>No_piglets_SE*Time_to_weaning_SE/365*AG7*$AS$36</f>
        <v>3.6897978082191778</v>
      </c>
      <c r="AH41" s="290">
        <f>(No_sows_SE+No_recruit_sows_SE)*AH7*AH36</f>
        <v>21.971250000000001</v>
      </c>
      <c r="AI41" s="18">
        <f>No_boars_SE*AI7*$AQ$36</f>
        <v>9.9451276600237934E-2</v>
      </c>
      <c r="AJ41" s="11">
        <f>No_fattening_pigs_SE*Time_fattening_days_SE/365*AJ7*$AR$36</f>
        <v>63.143013698630135</v>
      </c>
      <c r="AK41" s="285">
        <f>No_piglets_SE*Time_to_weaning_SE/365*AK7*$AS$36</f>
        <v>3.6897978082191778</v>
      </c>
      <c r="AL41" s="290">
        <f>(No_sows_SE+No_recruit_sows_SE)*AL7*AL36</f>
        <v>21.971250000000001</v>
      </c>
      <c r="AM41" s="18">
        <f>No_boars_SE*AM7*$AQ$36</f>
        <v>9.9451276600237934E-2</v>
      </c>
      <c r="AN41" s="11">
        <f>No_fattening_pigs_SE*Time_fattening_days_SE/365*AN7*$AR$36</f>
        <v>63.143013698630135</v>
      </c>
      <c r="AO41" s="11">
        <f>No_piglets_SE*Time_to_weaning_SE/365*AO7*$AS$36</f>
        <v>3.6897978082191778</v>
      </c>
      <c r="AP41" s="290">
        <f>(No_sows_SE+No_recruit_sows_SE)*AP7*AP36</f>
        <v>21.971250000000001</v>
      </c>
      <c r="AQ41" s="18">
        <f>No_boars_SE*AQ7*$AQ$36</f>
        <v>9.9451276600237934E-2</v>
      </c>
      <c r="AR41" s="11">
        <f>No_fattening_pigs_SE*Time_fattening_days_SE/365*AR7*$AR$36</f>
        <v>63.143013698630135</v>
      </c>
      <c r="AS41" s="285">
        <f>No_piglets_SE*Time_to_weaning_SE/365*AS7*$AS$36</f>
        <v>3.6897978082191778</v>
      </c>
    </row>
    <row r="42" spans="1:47" x14ac:dyDescent="0.3">
      <c r="A42" s="324" t="s">
        <v>262</v>
      </c>
      <c r="B42" s="290">
        <f>(No_sows_SE+No_recruit_sows_SE)*B8*B36</f>
        <v>5.92875</v>
      </c>
      <c r="C42" s="18">
        <f>No_boars_SE*C8*$AQ$36</f>
        <v>2.6836058765143569E-2</v>
      </c>
      <c r="D42" s="11">
        <f>No_fattening_pigs_SE*Time_fattening_days_SE/365*D8*$AR$36</f>
        <v>0</v>
      </c>
      <c r="E42" s="285">
        <f>No_piglets_SE*Time_to_weaning_SE/365*E8*$AS$36</f>
        <v>0.99565972602739716</v>
      </c>
      <c r="F42" s="290">
        <f>(No_sows_SE+No_recruit_sows_SE)*F8*F36</f>
        <v>5.92875</v>
      </c>
      <c r="G42" s="18">
        <f>No_boars_SE*G8*$AQ$36</f>
        <v>2.6836058765143569E-2</v>
      </c>
      <c r="H42" s="11">
        <f>No_fattening_pigs_SE*Time_fattening_days_SE/365*H8*$AR$36</f>
        <v>0</v>
      </c>
      <c r="I42" s="285">
        <f>No_piglets_SE*Time_to_weaning_SE/365*I8*$AS$36</f>
        <v>0.99565972602739716</v>
      </c>
      <c r="J42" s="290">
        <f>(No_sows_SE+No_recruit_sows_SE)*J8*J36</f>
        <v>5.92875</v>
      </c>
      <c r="K42" s="18">
        <f>No_boars_SE*K8*$AQ$36</f>
        <v>2.6836058765143569E-2</v>
      </c>
      <c r="L42" s="11">
        <f>No_fattening_pigs_SE*Time_fattening_days_SE/365*L8*$AR$36</f>
        <v>0</v>
      </c>
      <c r="M42" s="285">
        <f>No_piglets_SE*Time_to_weaning_SE/365*M8*$AS$36</f>
        <v>0.99565972602739716</v>
      </c>
      <c r="N42" s="290">
        <f>(No_sows_SE+No_recruit_sows_SE)*N8*N36</f>
        <v>5.92875</v>
      </c>
      <c r="O42" s="18">
        <f>No_boars_SE*O8*$AQ$36</f>
        <v>2.6836058765143569E-2</v>
      </c>
      <c r="P42" s="11">
        <f>No_fattening_pigs_SE*Time_fattening_days_SE/365*P8*$AR$36</f>
        <v>0</v>
      </c>
      <c r="Q42" s="285">
        <f>No_piglets_SE*Time_to_weaning_SE/365*Q8*$AS$36</f>
        <v>0.99565972602739716</v>
      </c>
      <c r="R42" s="290">
        <f>(No_sows_SE+No_recruit_sows_SE)*R8*R36</f>
        <v>5.92875</v>
      </c>
      <c r="S42" s="18">
        <f>No_boars_SE*S8*$AQ$36</f>
        <v>2.6836058765143569E-2</v>
      </c>
      <c r="T42" s="11">
        <f>No_fattening_pigs_SE*Time_fattening_days_SE/365*T8*$AR$36</f>
        <v>0</v>
      </c>
      <c r="U42" s="285">
        <f>No_piglets_SE*Time_to_weaning_SE/365*U8*$AS$36</f>
        <v>0.99565972602739716</v>
      </c>
      <c r="V42" s="290">
        <f>(No_sows_SE+No_recruit_sows_SE)*V8*V36</f>
        <v>5.92875</v>
      </c>
      <c r="W42" s="18">
        <f>No_boars_SE*W8*$AQ$36</f>
        <v>2.6836058765143569E-2</v>
      </c>
      <c r="X42" s="11">
        <f>No_fattening_pigs_SE*Time_fattening_days_SE/365*X8*$AR$36</f>
        <v>0</v>
      </c>
      <c r="Y42" s="285">
        <f>No_piglets_SE*Time_to_weaning_SE/365*Y8*$AS$36</f>
        <v>0.99565972602739716</v>
      </c>
      <c r="Z42" s="290">
        <f>(No_sows_SE+No_recruit_sows_SE)*Z8*Z36</f>
        <v>5.92875</v>
      </c>
      <c r="AA42" s="18">
        <f>No_boars_SE*AA8*$AQ$36</f>
        <v>2.6836058765143569E-2</v>
      </c>
      <c r="AB42" s="11">
        <f>No_fattening_pigs_SE*Time_fattening_days_SE/365*AB8*$AR$36</f>
        <v>0</v>
      </c>
      <c r="AC42" s="285">
        <f>No_piglets_SE*Time_to_weaning_SE/365*AC8*$AS$36</f>
        <v>0.99565972602739716</v>
      </c>
      <c r="AD42" s="290">
        <f>(No_sows_SE+No_recruit_sows_SE)*AD8*AD36</f>
        <v>5.92875</v>
      </c>
      <c r="AE42" s="18">
        <f>No_boars_SE*AE8*$AQ$36</f>
        <v>2.6836058765143569E-2</v>
      </c>
      <c r="AF42" s="11">
        <f>No_fattening_pigs_SE*Time_fattening_days_SE/365*AF8*$AR$36</f>
        <v>0</v>
      </c>
      <c r="AG42" s="285">
        <f>No_piglets_SE*Time_to_weaning_SE/365*AG8*$AS$36</f>
        <v>0.99565972602739716</v>
      </c>
      <c r="AH42" s="290">
        <f>(No_sows_SE+No_recruit_sows_SE)*AH8*AH36</f>
        <v>5.92875</v>
      </c>
      <c r="AI42" s="18">
        <f>No_boars_SE*AI8*$AQ$36</f>
        <v>2.6836058765143569E-2</v>
      </c>
      <c r="AJ42" s="11">
        <f>No_fattening_pigs_SE*Time_fattening_days_SE/365*AJ8*$AR$36</f>
        <v>0</v>
      </c>
      <c r="AK42" s="285">
        <f>No_piglets_SE*Time_to_weaning_SE/365*AK8*$AS$36</f>
        <v>0.99565972602739716</v>
      </c>
      <c r="AL42" s="290">
        <f>(No_sows_SE+No_recruit_sows_SE)*AL8*AL36</f>
        <v>5.92875</v>
      </c>
      <c r="AM42" s="18">
        <f>No_boars_SE*AM8*$AQ$36</f>
        <v>2.6836058765143569E-2</v>
      </c>
      <c r="AN42" s="11">
        <f>No_fattening_pigs_SE*Time_fattening_days_SE/365*AN8*$AR$36</f>
        <v>0</v>
      </c>
      <c r="AO42" s="11">
        <f>No_piglets_SE*Time_to_weaning_SE/365*AO8*$AS$36</f>
        <v>0.99565972602739716</v>
      </c>
      <c r="AP42" s="290">
        <f>(No_sows_SE+No_recruit_sows_SE)*AP8*AP36</f>
        <v>5.92875</v>
      </c>
      <c r="AQ42" s="18">
        <f>No_boars_SE*AQ8*$AQ$36</f>
        <v>2.6836058765143569E-2</v>
      </c>
      <c r="AR42" s="11">
        <f>No_fattening_pigs_SE*Time_fattening_days_SE/365*AR8*$AR$36</f>
        <v>0</v>
      </c>
      <c r="AS42" s="285">
        <f>No_piglets_SE*Time_to_weaning_SE/365*AS8*$AS$36</f>
        <v>0.99565972602739716</v>
      </c>
    </row>
    <row r="43" spans="1:47" x14ac:dyDescent="0.3">
      <c r="A43" s="318"/>
      <c r="B43" s="270"/>
      <c r="E43" s="271"/>
      <c r="F43" s="270"/>
      <c r="I43" s="271"/>
      <c r="J43" s="270"/>
      <c r="M43" s="271"/>
      <c r="N43" s="270"/>
      <c r="Q43" s="271"/>
      <c r="R43" s="270"/>
      <c r="U43" s="271"/>
      <c r="V43" s="270"/>
      <c r="Y43" s="271"/>
      <c r="Z43" s="270"/>
      <c r="AC43" s="271"/>
      <c r="AD43" s="270"/>
      <c r="AG43" s="271"/>
      <c r="AH43" s="270"/>
      <c r="AK43" s="271"/>
      <c r="AL43" s="270"/>
      <c r="AP43" s="270"/>
      <c r="AS43" s="271"/>
    </row>
    <row r="44" spans="1:47" x14ac:dyDescent="0.3">
      <c r="A44" s="326" t="s">
        <v>274</v>
      </c>
      <c r="B44" s="279"/>
      <c r="C44" s="118"/>
      <c r="D44" s="118"/>
      <c r="E44" s="280"/>
      <c r="F44" s="279"/>
      <c r="G44" s="118"/>
      <c r="H44" s="118"/>
      <c r="I44" s="280"/>
      <c r="J44" s="279"/>
      <c r="K44" s="118"/>
      <c r="L44" s="118"/>
      <c r="M44" s="280"/>
      <c r="N44" s="279"/>
      <c r="O44" s="118"/>
      <c r="P44" s="118"/>
      <c r="Q44" s="280"/>
      <c r="R44" s="279"/>
      <c r="S44" s="118"/>
      <c r="T44" s="118"/>
      <c r="U44" s="280"/>
      <c r="V44" s="279"/>
      <c r="W44" s="118"/>
      <c r="X44" s="118"/>
      <c r="Y44" s="280"/>
      <c r="Z44" s="279"/>
      <c r="AA44" s="118"/>
      <c r="AB44" s="118"/>
      <c r="AC44" s="280"/>
      <c r="AD44" s="279"/>
      <c r="AE44" s="118"/>
      <c r="AF44" s="118"/>
      <c r="AG44" s="280"/>
      <c r="AH44" s="279"/>
      <c r="AI44" s="118"/>
      <c r="AJ44" s="118"/>
      <c r="AK44" s="280"/>
      <c r="AL44" s="279"/>
      <c r="AM44" s="118"/>
      <c r="AN44" s="118"/>
      <c r="AO44" s="118"/>
      <c r="AP44" s="279"/>
      <c r="AQ44" s="118"/>
      <c r="AR44" s="118"/>
      <c r="AS44" s="280"/>
    </row>
    <row r="45" spans="1:47" x14ac:dyDescent="0.3">
      <c r="A45" s="324" t="s">
        <v>260</v>
      </c>
      <c r="B45" s="291">
        <f>B40*$AP$37</f>
        <v>4.8825000000000003</v>
      </c>
      <c r="C45" s="5">
        <f>C40*$AQ$37</f>
        <v>2.2100283688941763E-2</v>
      </c>
      <c r="D45" s="5">
        <f>D40*$AR$37</f>
        <v>0</v>
      </c>
      <c r="E45" s="292">
        <f>E40*$AS$37</f>
        <v>0.81995506849315047</v>
      </c>
      <c r="F45" s="291">
        <f>F40*$AP$37</f>
        <v>4.8825000000000003</v>
      </c>
      <c r="G45" s="5">
        <f>G40*$AQ$37</f>
        <v>2.2100283688941763E-2</v>
      </c>
      <c r="H45" s="5">
        <f>H40*$AR$37</f>
        <v>0</v>
      </c>
      <c r="I45" s="292">
        <f>I40*$AS$37</f>
        <v>0.81995506849315047</v>
      </c>
      <c r="J45" s="291">
        <f>J40*$AP$37</f>
        <v>4.8825000000000003</v>
      </c>
      <c r="K45" s="5">
        <f>K40*$AQ$37</f>
        <v>2.2100283688941763E-2</v>
      </c>
      <c r="L45" s="5">
        <f>L40*$AR$37</f>
        <v>0</v>
      </c>
      <c r="M45" s="292">
        <f>M40*$AS$37</f>
        <v>0.81995506849315047</v>
      </c>
      <c r="N45" s="291">
        <f>N40*$AP$37</f>
        <v>4.8825000000000003</v>
      </c>
      <c r="O45" s="5">
        <f>O40*$AQ$37</f>
        <v>2.2100283688941763E-2</v>
      </c>
      <c r="P45" s="5">
        <f>P40*$AR$37</f>
        <v>0</v>
      </c>
      <c r="Q45" s="292">
        <f>Q40*$AS$37</f>
        <v>0.81995506849315047</v>
      </c>
      <c r="R45" s="291">
        <f>R40*$AP$37</f>
        <v>4.8825000000000003</v>
      </c>
      <c r="S45" s="5">
        <f>S40*$AQ$37</f>
        <v>2.2100283688941763E-2</v>
      </c>
      <c r="T45" s="5">
        <f>T40*$AR$37</f>
        <v>0</v>
      </c>
      <c r="U45" s="292">
        <f>U40*$AS$37</f>
        <v>0.81995506849315047</v>
      </c>
      <c r="V45" s="291">
        <f>V40*$AP$37</f>
        <v>4.8825000000000003</v>
      </c>
      <c r="W45" s="5">
        <f>W40*$AQ$37</f>
        <v>2.2100283688941763E-2</v>
      </c>
      <c r="X45" s="5">
        <f>X40*$AR$37</f>
        <v>0</v>
      </c>
      <c r="Y45" s="292">
        <f>Y40*$AS$37</f>
        <v>0.81995506849315047</v>
      </c>
      <c r="Z45" s="291">
        <f>Z40*$AP$37</f>
        <v>4.8825000000000003</v>
      </c>
      <c r="AA45" s="5">
        <f>AA40*$AQ$37</f>
        <v>2.2100283688941763E-2</v>
      </c>
      <c r="AB45" s="5">
        <f>AB40*$AR$37</f>
        <v>0</v>
      </c>
      <c r="AC45" s="292">
        <f>AC40*$AS$37</f>
        <v>0.81995506849315047</v>
      </c>
      <c r="AD45" s="291">
        <f>AD40*$AP$37</f>
        <v>4.8825000000000003</v>
      </c>
      <c r="AE45" s="5">
        <f>AE40*$AQ$37</f>
        <v>2.2100283688941763E-2</v>
      </c>
      <c r="AF45" s="5">
        <f>AF40*$AR$37</f>
        <v>0</v>
      </c>
      <c r="AG45" s="292">
        <f>AG40*$AS$37</f>
        <v>0.81995506849315047</v>
      </c>
      <c r="AH45" s="291">
        <f>AH40*$AP$37</f>
        <v>4.8825000000000003</v>
      </c>
      <c r="AI45" s="5">
        <f>AI40*$AQ$37</f>
        <v>2.2100283688941763E-2</v>
      </c>
      <c r="AJ45" s="5">
        <f>AJ40*$AR$37</f>
        <v>0</v>
      </c>
      <c r="AK45" s="292">
        <f>AK40*$AS$37</f>
        <v>0.81995506849315047</v>
      </c>
      <c r="AL45" s="291">
        <f>AL40*$AP$37</f>
        <v>4.8825000000000003</v>
      </c>
      <c r="AM45" s="5">
        <f>AM40*$AQ$37</f>
        <v>2.2100283688941763E-2</v>
      </c>
      <c r="AN45" s="5">
        <f>AN40*$AR$37</f>
        <v>0</v>
      </c>
      <c r="AO45" s="5">
        <f>AO40*$AS$37</f>
        <v>0.81995506849315047</v>
      </c>
      <c r="AP45" s="291">
        <f>AP40*$AP$37</f>
        <v>4.8825000000000003</v>
      </c>
      <c r="AQ45" s="5">
        <f>AQ40*$AQ$37</f>
        <v>2.2100283688941763E-2</v>
      </c>
      <c r="AR45" s="5">
        <f>AR40*$AR$37</f>
        <v>0</v>
      </c>
      <c r="AS45" s="292">
        <f>AS40*$AS$37</f>
        <v>0.81995506849315047</v>
      </c>
    </row>
    <row r="46" spans="1:47" x14ac:dyDescent="0.3">
      <c r="A46" s="324" t="s">
        <v>261</v>
      </c>
      <c r="B46" s="291">
        <f>B41*$AP$37</f>
        <v>15.379875</v>
      </c>
      <c r="C46" s="5">
        <f>C41*$AQ$37</f>
        <v>6.9615893620166555E-2</v>
      </c>
      <c r="D46" s="5">
        <f>D41*$AR$37</f>
        <v>44.200109589041091</v>
      </c>
      <c r="E46" s="292">
        <f>E41*$AS$37</f>
        <v>2.5828584657534241</v>
      </c>
      <c r="F46" s="291">
        <f>F41*$AP$37</f>
        <v>15.379875</v>
      </c>
      <c r="G46" s="5">
        <f>G41*$AQ$37</f>
        <v>6.9615893620166555E-2</v>
      </c>
      <c r="H46" s="5">
        <f>H41*$AR$37</f>
        <v>44.200109589041091</v>
      </c>
      <c r="I46" s="292">
        <f>I41*$AS$37</f>
        <v>2.5828584657534241</v>
      </c>
      <c r="J46" s="291">
        <f>J41*$AP$37</f>
        <v>15.379875</v>
      </c>
      <c r="K46" s="5">
        <f>K41*$AQ$37</f>
        <v>6.9615893620166555E-2</v>
      </c>
      <c r="L46" s="5">
        <f>L41*$AR$37</f>
        <v>44.200109589041091</v>
      </c>
      <c r="M46" s="292">
        <f>M41*$AS$37</f>
        <v>2.5828584657534241</v>
      </c>
      <c r="N46" s="291">
        <f>N41*$AP$37</f>
        <v>15.379875</v>
      </c>
      <c r="O46" s="5">
        <f>O41*$AQ$37</f>
        <v>6.9615893620166555E-2</v>
      </c>
      <c r="P46" s="5">
        <f>P41*$AR$37</f>
        <v>44.200109589041091</v>
      </c>
      <c r="Q46" s="292">
        <f>Q41*$AS$37</f>
        <v>2.5828584657534241</v>
      </c>
      <c r="R46" s="291">
        <f>R41*$AP$37</f>
        <v>15.379875</v>
      </c>
      <c r="S46" s="5">
        <f>S41*$AQ$37</f>
        <v>6.9615893620166555E-2</v>
      </c>
      <c r="T46" s="5">
        <f>T41*$AR$37</f>
        <v>44.200109589041091</v>
      </c>
      <c r="U46" s="292">
        <f>U41*$AS$37</f>
        <v>2.5828584657534241</v>
      </c>
      <c r="V46" s="291">
        <f>V41*$AP$37</f>
        <v>15.379875</v>
      </c>
      <c r="W46" s="5">
        <f>W41*$AQ$37</f>
        <v>6.9615893620166555E-2</v>
      </c>
      <c r="X46" s="5">
        <f>X41*$AR$37</f>
        <v>44.200109589041091</v>
      </c>
      <c r="Y46" s="292">
        <f>Y41*$AS$37</f>
        <v>2.5828584657534241</v>
      </c>
      <c r="Z46" s="291">
        <f>Z41*$AP$37</f>
        <v>15.379875</v>
      </c>
      <c r="AA46" s="5">
        <f>AA41*$AQ$37</f>
        <v>6.9615893620166555E-2</v>
      </c>
      <c r="AB46" s="5">
        <f>AB41*$AR$37</f>
        <v>44.200109589041091</v>
      </c>
      <c r="AC46" s="292">
        <f>AC41*$AS$37</f>
        <v>2.5828584657534241</v>
      </c>
      <c r="AD46" s="291">
        <f>AD41*$AP$37</f>
        <v>15.379875</v>
      </c>
      <c r="AE46" s="5">
        <f>AE41*$AQ$37</f>
        <v>6.9615893620166555E-2</v>
      </c>
      <c r="AF46" s="5">
        <f>AF41*$AR$37</f>
        <v>44.200109589041091</v>
      </c>
      <c r="AG46" s="292">
        <f>AG41*$AS$37</f>
        <v>2.5828584657534241</v>
      </c>
      <c r="AH46" s="291">
        <f>AH41*$AP$37</f>
        <v>15.379875</v>
      </c>
      <c r="AI46" s="5">
        <f>AI41*$AQ$37</f>
        <v>6.9615893620166555E-2</v>
      </c>
      <c r="AJ46" s="5">
        <f>AJ41*$AR$37</f>
        <v>44.200109589041091</v>
      </c>
      <c r="AK46" s="292">
        <f>AK41*$AS$37</f>
        <v>2.5828584657534241</v>
      </c>
      <c r="AL46" s="291">
        <f>AL41*$AP$37</f>
        <v>15.379875</v>
      </c>
      <c r="AM46" s="5">
        <f>AM41*$AQ$37</f>
        <v>6.9615893620166555E-2</v>
      </c>
      <c r="AN46" s="5">
        <f>AN41*$AR$37</f>
        <v>44.200109589041091</v>
      </c>
      <c r="AO46" s="5">
        <f>AO41*$AS$37</f>
        <v>2.5828584657534241</v>
      </c>
      <c r="AP46" s="291">
        <f>AP41*$AP$37</f>
        <v>15.379875</v>
      </c>
      <c r="AQ46" s="5">
        <f>AQ41*$AQ$37</f>
        <v>6.9615893620166555E-2</v>
      </c>
      <c r="AR46" s="5">
        <f>AR41*$AR$37</f>
        <v>44.200109589041091</v>
      </c>
      <c r="AS46" s="292">
        <f>AS41*$AS$37</f>
        <v>2.5828584657534241</v>
      </c>
    </row>
    <row r="47" spans="1:47" x14ac:dyDescent="0.3">
      <c r="A47" s="324" t="s">
        <v>262</v>
      </c>
      <c r="B47" s="291">
        <f>B42*$AP$37</f>
        <v>4.1501250000000001</v>
      </c>
      <c r="C47" s="5">
        <f>C42*$AQ$37</f>
        <v>1.8785241135600497E-2</v>
      </c>
      <c r="D47" s="5">
        <f>D42*$AR$37</f>
        <v>0</v>
      </c>
      <c r="E47" s="292">
        <f>E42*$AS$37</f>
        <v>0.69696180821917797</v>
      </c>
      <c r="F47" s="291">
        <f>F42*$AP$37</f>
        <v>4.1501250000000001</v>
      </c>
      <c r="G47" s="5">
        <f>G42*$AQ$37</f>
        <v>1.8785241135600497E-2</v>
      </c>
      <c r="H47" s="5">
        <f>H42*$AR$37</f>
        <v>0</v>
      </c>
      <c r="I47" s="292">
        <f>I42*$AS$37</f>
        <v>0.69696180821917797</v>
      </c>
      <c r="J47" s="291">
        <f>J42*$AP$37</f>
        <v>4.1501250000000001</v>
      </c>
      <c r="K47" s="5">
        <f>K42*$AQ$37</f>
        <v>1.8785241135600497E-2</v>
      </c>
      <c r="L47" s="5">
        <f>L42*$AR$37</f>
        <v>0</v>
      </c>
      <c r="M47" s="292">
        <f>M42*$AS$37</f>
        <v>0.69696180821917797</v>
      </c>
      <c r="N47" s="291">
        <f>N42*$AP$37</f>
        <v>4.1501250000000001</v>
      </c>
      <c r="O47" s="5">
        <f>O42*$AQ$37</f>
        <v>1.8785241135600497E-2</v>
      </c>
      <c r="P47" s="5">
        <f>P42*$AR$37</f>
        <v>0</v>
      </c>
      <c r="Q47" s="292">
        <f>Q42*$AS$37</f>
        <v>0.69696180821917797</v>
      </c>
      <c r="R47" s="291">
        <f>R42*$AP$37</f>
        <v>4.1501250000000001</v>
      </c>
      <c r="S47" s="5">
        <f>S42*$AQ$37</f>
        <v>1.8785241135600497E-2</v>
      </c>
      <c r="T47" s="5">
        <f>T42*$AR$37</f>
        <v>0</v>
      </c>
      <c r="U47" s="292">
        <f>U42*$AS$37</f>
        <v>0.69696180821917797</v>
      </c>
      <c r="V47" s="291">
        <f>V42*$AP$37</f>
        <v>4.1501250000000001</v>
      </c>
      <c r="W47" s="5">
        <f>W42*$AQ$37</f>
        <v>1.8785241135600497E-2</v>
      </c>
      <c r="X47" s="5">
        <f>X42*$AR$37</f>
        <v>0</v>
      </c>
      <c r="Y47" s="292">
        <f>Y42*$AS$37</f>
        <v>0.69696180821917797</v>
      </c>
      <c r="Z47" s="291">
        <f>Z42*$AP$37</f>
        <v>4.1501250000000001</v>
      </c>
      <c r="AA47" s="5">
        <f>AA42*$AQ$37</f>
        <v>1.8785241135600497E-2</v>
      </c>
      <c r="AB47" s="5">
        <f>AB42*$AR$37</f>
        <v>0</v>
      </c>
      <c r="AC47" s="292">
        <f>AC42*$AS$37</f>
        <v>0.69696180821917797</v>
      </c>
      <c r="AD47" s="291">
        <f>AD42*$AP$37</f>
        <v>4.1501250000000001</v>
      </c>
      <c r="AE47" s="5">
        <f>AE42*$AQ$37</f>
        <v>1.8785241135600497E-2</v>
      </c>
      <c r="AF47" s="5">
        <f>AF42*$AR$37</f>
        <v>0</v>
      </c>
      <c r="AG47" s="292">
        <f>AG42*$AS$37</f>
        <v>0.69696180821917797</v>
      </c>
      <c r="AH47" s="291">
        <f>AH42*$AP$37</f>
        <v>4.1501250000000001</v>
      </c>
      <c r="AI47" s="5">
        <f>AI42*$AQ$37</f>
        <v>1.8785241135600497E-2</v>
      </c>
      <c r="AJ47" s="5">
        <f>AJ42*$AR$37</f>
        <v>0</v>
      </c>
      <c r="AK47" s="292">
        <f>AK42*$AS$37</f>
        <v>0.69696180821917797</v>
      </c>
      <c r="AL47" s="291">
        <f>AL42*$AP$37</f>
        <v>4.1501250000000001</v>
      </c>
      <c r="AM47" s="5">
        <f>AM42*$AQ$37</f>
        <v>1.8785241135600497E-2</v>
      </c>
      <c r="AN47" s="5">
        <f>AN42*$AR$37</f>
        <v>0</v>
      </c>
      <c r="AO47" s="5">
        <f>AO42*$AS$37</f>
        <v>0.69696180821917797</v>
      </c>
      <c r="AP47" s="291">
        <f>AP42*$AP$37</f>
        <v>4.1501250000000001</v>
      </c>
      <c r="AQ47" s="5">
        <f>AQ42*$AQ$37</f>
        <v>1.8785241135600497E-2</v>
      </c>
      <c r="AR47" s="5">
        <f>AR42*$AR$37</f>
        <v>0</v>
      </c>
      <c r="AS47" s="292">
        <f>AS42*$AS$37</f>
        <v>0.69696180821917797</v>
      </c>
    </row>
    <row r="48" spans="1:47" x14ac:dyDescent="0.3">
      <c r="A48" s="318"/>
      <c r="B48" s="270"/>
      <c r="E48" s="271"/>
      <c r="F48" s="270"/>
      <c r="I48" s="271"/>
      <c r="J48" s="270"/>
      <c r="M48" s="271"/>
      <c r="N48" s="270"/>
      <c r="Q48" s="271"/>
      <c r="R48" s="270"/>
      <c r="U48" s="271"/>
      <c r="V48" s="270"/>
      <c r="Y48" s="271"/>
      <c r="Z48" s="270"/>
      <c r="AC48" s="271"/>
      <c r="AD48" s="270"/>
      <c r="AG48" s="271"/>
      <c r="AH48" s="270"/>
      <c r="AK48" s="271"/>
      <c r="AL48" s="270"/>
      <c r="AP48" s="270"/>
      <c r="AS48" s="271"/>
    </row>
    <row r="49" spans="1:47" x14ac:dyDescent="0.3">
      <c r="A49" s="326" t="s">
        <v>275</v>
      </c>
      <c r="B49" s="279"/>
      <c r="C49" s="118"/>
      <c r="D49" s="118"/>
      <c r="E49" s="280"/>
      <c r="F49" s="279"/>
      <c r="G49" s="118"/>
      <c r="H49" s="118"/>
      <c r="I49" s="280"/>
      <c r="J49" s="279"/>
      <c r="K49" s="118"/>
      <c r="L49" s="118"/>
      <c r="M49" s="280"/>
      <c r="N49" s="279"/>
      <c r="O49" s="118"/>
      <c r="P49" s="118"/>
      <c r="Q49" s="280"/>
      <c r="R49" s="279"/>
      <c r="S49" s="118"/>
      <c r="T49" s="118"/>
      <c r="U49" s="280"/>
      <c r="V49" s="279"/>
      <c r="W49" s="118"/>
      <c r="X49" s="118"/>
      <c r="Y49" s="280"/>
      <c r="Z49" s="279"/>
      <c r="AA49" s="118"/>
      <c r="AB49" s="118"/>
      <c r="AC49" s="280"/>
      <c r="AD49" s="279"/>
      <c r="AE49" s="118"/>
      <c r="AF49" s="118"/>
      <c r="AG49" s="280"/>
      <c r="AH49" s="279"/>
      <c r="AI49" s="118"/>
      <c r="AJ49" s="118"/>
      <c r="AK49" s="280"/>
      <c r="AL49" s="279"/>
      <c r="AM49" s="118"/>
      <c r="AN49" s="118"/>
      <c r="AO49" s="118"/>
      <c r="AP49" s="279"/>
      <c r="AQ49" s="118"/>
      <c r="AR49" s="118"/>
      <c r="AS49" s="280"/>
      <c r="AU49" s="234" t="s">
        <v>276</v>
      </c>
    </row>
    <row r="50" spans="1:47" x14ac:dyDescent="0.3">
      <c r="A50" s="324" t="s">
        <v>260</v>
      </c>
      <c r="B50" s="291">
        <f t="shared" ref="B50:E50" si="33">B45*B56</f>
        <v>1.1718</v>
      </c>
      <c r="C50" s="5">
        <f t="shared" si="33"/>
        <v>5.3040680853460231E-3</v>
      </c>
      <c r="D50" s="5">
        <f t="shared" si="33"/>
        <v>0</v>
      </c>
      <c r="E50" s="292">
        <f t="shared" si="33"/>
        <v>0.19678921643835612</v>
      </c>
      <c r="F50" s="291">
        <f t="shared" ref="F50:I50" si="34">F45*F56</f>
        <v>1.1718</v>
      </c>
      <c r="G50" s="5">
        <f t="shared" si="34"/>
        <v>5.3040680853460231E-3</v>
      </c>
      <c r="H50" s="5">
        <f t="shared" si="34"/>
        <v>0</v>
      </c>
      <c r="I50" s="292">
        <f t="shared" si="34"/>
        <v>0.19678921643835612</v>
      </c>
      <c r="J50" s="291">
        <f t="shared" ref="J50:M50" si="35">J45*J56</f>
        <v>1.1718</v>
      </c>
      <c r="K50" s="5">
        <f t="shared" si="35"/>
        <v>5.3040680853460231E-3</v>
      </c>
      <c r="L50" s="5">
        <f t="shared" si="35"/>
        <v>0</v>
      </c>
      <c r="M50" s="292">
        <f t="shared" si="35"/>
        <v>0.19678921643835612</v>
      </c>
      <c r="N50" s="291">
        <f t="shared" ref="N50:AO50" si="36">N45*N56</f>
        <v>1.1718</v>
      </c>
      <c r="O50" s="5">
        <f t="shared" si="36"/>
        <v>5.3040680853460231E-3</v>
      </c>
      <c r="P50" s="5">
        <f t="shared" si="36"/>
        <v>0</v>
      </c>
      <c r="Q50" s="292">
        <f t="shared" si="36"/>
        <v>0.19678921643835612</v>
      </c>
      <c r="R50" s="291">
        <f t="shared" si="36"/>
        <v>1.1718</v>
      </c>
      <c r="S50" s="5">
        <f t="shared" si="36"/>
        <v>5.3040680853460231E-3</v>
      </c>
      <c r="T50" s="5">
        <f t="shared" si="36"/>
        <v>0</v>
      </c>
      <c r="U50" s="292">
        <f t="shared" si="36"/>
        <v>0.19678921643835612</v>
      </c>
      <c r="V50" s="291">
        <f t="shared" si="36"/>
        <v>1.1718</v>
      </c>
      <c r="W50" s="5">
        <f t="shared" si="36"/>
        <v>5.3040680853460231E-3</v>
      </c>
      <c r="X50" s="5">
        <f t="shared" si="36"/>
        <v>0</v>
      </c>
      <c r="Y50" s="292">
        <f t="shared" si="36"/>
        <v>0.19678921643835612</v>
      </c>
      <c r="Z50" s="291">
        <f t="shared" si="36"/>
        <v>1.1718</v>
      </c>
      <c r="AA50" s="5">
        <f t="shared" si="36"/>
        <v>5.3040680853460231E-3</v>
      </c>
      <c r="AB50" s="5">
        <f t="shared" si="36"/>
        <v>0</v>
      </c>
      <c r="AC50" s="292">
        <f t="shared" si="36"/>
        <v>0.19678921643835612</v>
      </c>
      <c r="AD50" s="291">
        <f t="shared" si="36"/>
        <v>1.1718</v>
      </c>
      <c r="AE50" s="5">
        <f t="shared" si="36"/>
        <v>5.3040680853460231E-3</v>
      </c>
      <c r="AF50" s="5">
        <f t="shared" si="36"/>
        <v>0</v>
      </c>
      <c r="AG50" s="292">
        <f t="shared" si="36"/>
        <v>0.19678921643835612</v>
      </c>
      <c r="AH50" s="291">
        <f t="shared" si="36"/>
        <v>1.1718</v>
      </c>
      <c r="AI50" s="5">
        <f t="shared" si="36"/>
        <v>5.3040680853460231E-3</v>
      </c>
      <c r="AJ50" s="5">
        <f t="shared" si="36"/>
        <v>0</v>
      </c>
      <c r="AK50" s="292">
        <f t="shared" si="36"/>
        <v>0.19678921643835612</v>
      </c>
      <c r="AL50" s="291">
        <f t="shared" si="36"/>
        <v>1.1718</v>
      </c>
      <c r="AM50" s="5">
        <f t="shared" si="36"/>
        <v>5.3040680853460231E-3</v>
      </c>
      <c r="AN50" s="5">
        <f t="shared" si="36"/>
        <v>0</v>
      </c>
      <c r="AO50" s="5">
        <f t="shared" si="36"/>
        <v>0.19678921643835612</v>
      </c>
      <c r="AP50" s="291">
        <f t="shared" ref="AP50:AS51" si="37">AP45*AP56</f>
        <v>1.1718</v>
      </c>
      <c r="AQ50" s="5">
        <f t="shared" si="37"/>
        <v>5.3040680853460231E-3</v>
      </c>
      <c r="AR50" s="5">
        <f t="shared" si="37"/>
        <v>0</v>
      </c>
      <c r="AS50" s="292">
        <f t="shared" si="37"/>
        <v>0.19678921643835612</v>
      </c>
    </row>
    <row r="51" spans="1:47" x14ac:dyDescent="0.3">
      <c r="A51" s="324" t="s">
        <v>261</v>
      </c>
      <c r="B51" s="291">
        <f t="shared" ref="B51:E51" si="38">B46*B57</f>
        <v>5.3829562499999994</v>
      </c>
      <c r="C51" s="5">
        <f t="shared" si="38"/>
        <v>2.4365562767058292E-2</v>
      </c>
      <c r="D51" s="5">
        <f>D46*D57</f>
        <v>11.934029589041096</v>
      </c>
      <c r="E51" s="292">
        <f t="shared" si="38"/>
        <v>0.90400046301369841</v>
      </c>
      <c r="F51" s="291">
        <f t="shared" ref="F51:I51" si="39">F46*F57</f>
        <v>5.3829562499999994</v>
      </c>
      <c r="G51" s="5">
        <f t="shared" si="39"/>
        <v>2.4365562767058292E-2</v>
      </c>
      <c r="H51" s="5">
        <f t="shared" si="39"/>
        <v>11.934029589041096</v>
      </c>
      <c r="I51" s="292">
        <f t="shared" si="39"/>
        <v>0.90400046301369841</v>
      </c>
      <c r="J51" s="291">
        <f t="shared" ref="J51:M51" si="40">J46*J57</f>
        <v>5.3829562499999994</v>
      </c>
      <c r="K51" s="5">
        <f t="shared" si="40"/>
        <v>2.4365562767058292E-2</v>
      </c>
      <c r="L51" s="5">
        <f t="shared" si="40"/>
        <v>11.934029589041096</v>
      </c>
      <c r="M51" s="292">
        <f t="shared" si="40"/>
        <v>0.90400046301369841</v>
      </c>
      <c r="N51" s="291">
        <f t="shared" ref="N51:AO51" si="41">N46*N57</f>
        <v>5.3829562499999994</v>
      </c>
      <c r="O51" s="5">
        <f t="shared" si="41"/>
        <v>2.4365562767058292E-2</v>
      </c>
      <c r="P51" s="5">
        <f t="shared" si="41"/>
        <v>11.934029589041096</v>
      </c>
      <c r="Q51" s="292">
        <f t="shared" si="41"/>
        <v>0.90400046301369841</v>
      </c>
      <c r="R51" s="291">
        <f t="shared" si="41"/>
        <v>5.3829562499999994</v>
      </c>
      <c r="S51" s="5">
        <f t="shared" si="41"/>
        <v>2.4365562767058292E-2</v>
      </c>
      <c r="T51" s="5">
        <f t="shared" si="41"/>
        <v>11.934029589041096</v>
      </c>
      <c r="U51" s="292">
        <f t="shared" si="41"/>
        <v>0.90400046301369841</v>
      </c>
      <c r="V51" s="291">
        <f t="shared" si="41"/>
        <v>5.3829562499999994</v>
      </c>
      <c r="W51" s="5">
        <f t="shared" si="41"/>
        <v>2.4365562767058292E-2</v>
      </c>
      <c r="X51" s="5">
        <f t="shared" si="41"/>
        <v>11.934029589041096</v>
      </c>
      <c r="Y51" s="292">
        <f t="shared" si="41"/>
        <v>0.90400046301369841</v>
      </c>
      <c r="Z51" s="291">
        <f t="shared" si="41"/>
        <v>5.3829562499999994</v>
      </c>
      <c r="AA51" s="5">
        <f t="shared" si="41"/>
        <v>2.4365562767058292E-2</v>
      </c>
      <c r="AB51" s="5">
        <f t="shared" si="41"/>
        <v>11.934029589041096</v>
      </c>
      <c r="AC51" s="292">
        <f t="shared" si="41"/>
        <v>0.90400046301369841</v>
      </c>
      <c r="AD51" s="291">
        <f t="shared" si="41"/>
        <v>5.3829562499999994</v>
      </c>
      <c r="AE51" s="5">
        <f t="shared" si="41"/>
        <v>2.4365562767058292E-2</v>
      </c>
      <c r="AF51" s="5">
        <f t="shared" si="41"/>
        <v>11.934029589041096</v>
      </c>
      <c r="AG51" s="292">
        <f t="shared" si="41"/>
        <v>0.90400046301369841</v>
      </c>
      <c r="AH51" s="291">
        <f t="shared" si="41"/>
        <v>5.3829562499999994</v>
      </c>
      <c r="AI51" s="5">
        <f t="shared" si="41"/>
        <v>2.4365562767058292E-2</v>
      </c>
      <c r="AJ51" s="5">
        <f t="shared" si="41"/>
        <v>11.934029589041096</v>
      </c>
      <c r="AK51" s="292">
        <f t="shared" si="41"/>
        <v>0.90400046301369841</v>
      </c>
      <c r="AL51" s="291">
        <f t="shared" si="41"/>
        <v>5.3829562499999994</v>
      </c>
      <c r="AM51" s="5">
        <f t="shared" si="41"/>
        <v>2.4365562767058292E-2</v>
      </c>
      <c r="AN51" s="5">
        <f t="shared" si="41"/>
        <v>11.934029589041096</v>
      </c>
      <c r="AO51" s="5">
        <f t="shared" si="41"/>
        <v>0.90400046301369841</v>
      </c>
      <c r="AP51" s="291">
        <f t="shared" si="37"/>
        <v>5.3829562499999994</v>
      </c>
      <c r="AQ51" s="5">
        <f t="shared" si="37"/>
        <v>2.4365562767058292E-2</v>
      </c>
      <c r="AR51" s="5">
        <f t="shared" si="37"/>
        <v>11.934029589041096</v>
      </c>
      <c r="AS51" s="292">
        <f t="shared" si="37"/>
        <v>0.90400046301369841</v>
      </c>
    </row>
    <row r="52" spans="1:47" x14ac:dyDescent="0.3">
      <c r="A52" s="324" t="s">
        <v>262</v>
      </c>
      <c r="B52" s="291">
        <f t="shared" ref="B52:AS52" si="42">B47*B56</f>
        <v>0.99602999999999997</v>
      </c>
      <c r="C52" s="5">
        <f t="shared" si="42"/>
        <v>4.508457872544119E-3</v>
      </c>
      <c r="D52" s="5">
        <f t="shared" si="42"/>
        <v>0</v>
      </c>
      <c r="E52" s="292">
        <f t="shared" si="42"/>
        <v>0.1672708339726027</v>
      </c>
      <c r="F52" s="291">
        <f t="shared" si="42"/>
        <v>0.99602999999999997</v>
      </c>
      <c r="G52" s="5">
        <f t="shared" si="42"/>
        <v>4.508457872544119E-3</v>
      </c>
      <c r="H52" s="5">
        <f t="shared" si="42"/>
        <v>0</v>
      </c>
      <c r="I52" s="292">
        <f t="shared" si="42"/>
        <v>0.1672708339726027</v>
      </c>
      <c r="J52" s="291">
        <f t="shared" si="42"/>
        <v>0.99602999999999997</v>
      </c>
      <c r="K52" s="5">
        <f t="shared" si="42"/>
        <v>4.508457872544119E-3</v>
      </c>
      <c r="L52" s="5">
        <f t="shared" si="42"/>
        <v>0</v>
      </c>
      <c r="M52" s="292">
        <f t="shared" si="42"/>
        <v>0.1672708339726027</v>
      </c>
      <c r="N52" s="291">
        <f t="shared" si="42"/>
        <v>0.99602999999999997</v>
      </c>
      <c r="O52" s="5">
        <f t="shared" si="42"/>
        <v>4.508457872544119E-3</v>
      </c>
      <c r="P52" s="5">
        <f t="shared" si="42"/>
        <v>0</v>
      </c>
      <c r="Q52" s="292">
        <f t="shared" si="42"/>
        <v>0.1672708339726027</v>
      </c>
      <c r="R52" s="291">
        <f t="shared" si="42"/>
        <v>0.99602999999999997</v>
      </c>
      <c r="S52" s="5">
        <f t="shared" si="42"/>
        <v>4.508457872544119E-3</v>
      </c>
      <c r="T52" s="5">
        <f t="shared" si="42"/>
        <v>0</v>
      </c>
      <c r="U52" s="292">
        <f t="shared" si="42"/>
        <v>0.1672708339726027</v>
      </c>
      <c r="V52" s="291">
        <f t="shared" si="42"/>
        <v>0.99602999999999997</v>
      </c>
      <c r="W52" s="5">
        <f t="shared" si="42"/>
        <v>4.508457872544119E-3</v>
      </c>
      <c r="X52" s="5">
        <f t="shared" si="42"/>
        <v>0</v>
      </c>
      <c r="Y52" s="292">
        <f t="shared" si="42"/>
        <v>0.1672708339726027</v>
      </c>
      <c r="Z52" s="291">
        <f t="shared" si="42"/>
        <v>0.99602999999999997</v>
      </c>
      <c r="AA52" s="5">
        <f t="shared" si="42"/>
        <v>4.508457872544119E-3</v>
      </c>
      <c r="AB52" s="5">
        <f t="shared" si="42"/>
        <v>0</v>
      </c>
      <c r="AC52" s="292">
        <f t="shared" si="42"/>
        <v>0.1672708339726027</v>
      </c>
      <c r="AD52" s="291">
        <f t="shared" si="42"/>
        <v>0.99602999999999997</v>
      </c>
      <c r="AE52" s="5">
        <f t="shared" si="42"/>
        <v>4.508457872544119E-3</v>
      </c>
      <c r="AF52" s="5">
        <f t="shared" si="42"/>
        <v>0</v>
      </c>
      <c r="AG52" s="292">
        <f t="shared" si="42"/>
        <v>0.1672708339726027</v>
      </c>
      <c r="AH52" s="291">
        <f t="shared" si="42"/>
        <v>0.99602999999999997</v>
      </c>
      <c r="AI52" s="5">
        <f t="shared" si="42"/>
        <v>4.508457872544119E-3</v>
      </c>
      <c r="AJ52" s="5">
        <f t="shared" si="42"/>
        <v>0</v>
      </c>
      <c r="AK52" s="292">
        <f t="shared" si="42"/>
        <v>0.1672708339726027</v>
      </c>
      <c r="AL52" s="291">
        <f t="shared" si="42"/>
        <v>0.99602999999999997</v>
      </c>
      <c r="AM52" s="5">
        <f t="shared" si="42"/>
        <v>4.508457872544119E-3</v>
      </c>
      <c r="AN52" s="5">
        <f t="shared" si="42"/>
        <v>0</v>
      </c>
      <c r="AO52" s="5">
        <f t="shared" si="42"/>
        <v>0.1672708339726027</v>
      </c>
      <c r="AP52" s="291">
        <f t="shared" si="42"/>
        <v>0.99602999999999997</v>
      </c>
      <c r="AQ52" s="5">
        <f t="shared" si="42"/>
        <v>4.508457872544119E-3</v>
      </c>
      <c r="AR52" s="5">
        <f t="shared" si="42"/>
        <v>0</v>
      </c>
      <c r="AS52" s="292">
        <f t="shared" si="42"/>
        <v>0.1672708339726027</v>
      </c>
      <c r="AU52" s="95" t="s">
        <v>277</v>
      </c>
    </row>
    <row r="53" spans="1:47" x14ac:dyDescent="0.3">
      <c r="A53" s="324" t="s">
        <v>265</v>
      </c>
      <c r="B53" s="291"/>
      <c r="C53" s="5"/>
      <c r="D53" s="5"/>
      <c r="E53" s="292">
        <f>SUM(B50:E52)</f>
        <v>20.787054441190701</v>
      </c>
      <c r="F53" s="291"/>
      <c r="G53" s="5"/>
      <c r="H53" s="5"/>
      <c r="I53" s="292">
        <f>SUM(F50:I52)</f>
        <v>20.787054441190701</v>
      </c>
      <c r="J53" s="291"/>
      <c r="K53" s="5"/>
      <c r="L53" s="5"/>
      <c r="M53" s="292">
        <f>SUM(J50:M52)</f>
        <v>20.787054441190701</v>
      </c>
      <c r="N53" s="291"/>
      <c r="O53" s="5"/>
      <c r="P53" s="5"/>
      <c r="Q53" s="292">
        <f>SUM(N50:Q52)</f>
        <v>20.787054441190701</v>
      </c>
      <c r="R53" s="291"/>
      <c r="S53" s="5"/>
      <c r="T53" s="5"/>
      <c r="U53" s="292">
        <f>SUM(R50:U52)</f>
        <v>20.787054441190701</v>
      </c>
      <c r="V53" s="291"/>
      <c r="W53" s="5"/>
      <c r="X53" s="5"/>
      <c r="Y53" s="292">
        <f>SUM(V50:Y52)</f>
        <v>20.787054441190701</v>
      </c>
      <c r="Z53" s="291"/>
      <c r="AA53" s="5"/>
      <c r="AB53" s="5"/>
      <c r="AC53" s="292">
        <f>SUM(Z50:AC52)</f>
        <v>20.787054441190701</v>
      </c>
      <c r="AD53" s="291"/>
      <c r="AE53" s="5"/>
      <c r="AF53" s="5"/>
      <c r="AG53" s="292">
        <f>SUM(AD50:AG52)</f>
        <v>20.787054441190701</v>
      </c>
      <c r="AH53" s="291"/>
      <c r="AI53" s="5"/>
      <c r="AJ53" s="5"/>
      <c r="AK53" s="292">
        <f>SUM(AH50:AK52)</f>
        <v>20.787054441190701</v>
      </c>
      <c r="AL53" s="291"/>
      <c r="AM53" s="5"/>
      <c r="AN53" s="5"/>
      <c r="AO53" s="5">
        <f>SUM(AL50:AO52)</f>
        <v>20.787054441190701</v>
      </c>
      <c r="AP53" s="291"/>
      <c r="AQ53" s="5"/>
      <c r="AR53" s="5"/>
      <c r="AS53" s="292">
        <f>SUM(AP50:AS52)</f>
        <v>20.787054441190701</v>
      </c>
      <c r="AU53" s="95"/>
    </row>
    <row r="54" spans="1:47" x14ac:dyDescent="0.3">
      <c r="A54" s="324" t="s">
        <v>266</v>
      </c>
      <c r="B54" s="291"/>
      <c r="C54" s="5"/>
      <c r="D54" s="5"/>
      <c r="E54" s="286">
        <f>E53/Production!B35</f>
        <v>1.6643263051523548E-2</v>
      </c>
      <c r="F54" s="291"/>
      <c r="G54" s="5"/>
      <c r="H54" s="5"/>
      <c r="I54" s="286">
        <f>I53/Production!C35</f>
        <v>1.6643263051523548E-2</v>
      </c>
      <c r="J54" s="291"/>
      <c r="K54" s="5"/>
      <c r="L54" s="5"/>
      <c r="M54" s="286">
        <f>M53/Production!D35</f>
        <v>1.6643263051523548E-2</v>
      </c>
      <c r="N54" s="291"/>
      <c r="O54" s="5"/>
      <c r="P54" s="5"/>
      <c r="Q54" s="286">
        <f>Q53/Production!E35</f>
        <v>1.6643263051523548E-2</v>
      </c>
      <c r="R54" s="291"/>
      <c r="S54" s="5"/>
      <c r="T54" s="5"/>
      <c r="U54" s="286">
        <f>U53/Production!F35</f>
        <v>1.6643263051523548E-2</v>
      </c>
      <c r="V54" s="291"/>
      <c r="W54" s="5"/>
      <c r="X54" s="5"/>
      <c r="Y54" s="286">
        <f>Y53/Production!G35</f>
        <v>1.6643263051523548E-2</v>
      </c>
      <c r="Z54" s="291"/>
      <c r="AA54" s="5"/>
      <c r="AB54" s="5"/>
      <c r="AC54" s="286">
        <f>AC53/Production!H35</f>
        <v>1.6643263051523548E-2</v>
      </c>
      <c r="AD54" s="291"/>
      <c r="AE54" s="5"/>
      <c r="AF54" s="5"/>
      <c r="AG54" s="286">
        <f>AG53/Production!I35</f>
        <v>1.6643263051523548E-2</v>
      </c>
      <c r="AH54" s="291"/>
      <c r="AI54" s="5"/>
      <c r="AJ54" s="5"/>
      <c r="AK54" s="286">
        <f>AK53/Production!J35</f>
        <v>1.6643263051523548E-2</v>
      </c>
      <c r="AL54" s="291"/>
      <c r="AM54" s="5"/>
      <c r="AN54" s="5"/>
      <c r="AO54" s="4">
        <f>AO53/Production!K35</f>
        <v>1.6643263051523548E-2</v>
      </c>
      <c r="AP54" s="291"/>
      <c r="AQ54" s="5"/>
      <c r="AR54" s="5"/>
      <c r="AS54" s="286">
        <f>AS53/Production!L35</f>
        <v>1.6643263051523548E-2</v>
      </c>
      <c r="AU54" s="95"/>
    </row>
    <row r="55" spans="1:47" x14ac:dyDescent="0.3">
      <c r="A55" s="324"/>
      <c r="B55" s="293"/>
      <c r="E55" s="271"/>
      <c r="F55" s="293"/>
      <c r="I55" s="271"/>
      <c r="J55" s="293"/>
      <c r="M55" s="271"/>
      <c r="N55" s="293"/>
      <c r="Q55" s="271"/>
      <c r="R55" s="293"/>
      <c r="U55" s="271"/>
      <c r="V55" s="293"/>
      <c r="Y55" s="271"/>
      <c r="Z55" s="293"/>
      <c r="AC55" s="271"/>
      <c r="AD55" s="293"/>
      <c r="AG55" s="271"/>
      <c r="AH55" s="293"/>
      <c r="AK55" s="271"/>
      <c r="AL55" s="293"/>
      <c r="AP55" s="293"/>
      <c r="AS55" s="271"/>
    </row>
    <row r="56" spans="1:47" x14ac:dyDescent="0.3">
      <c r="A56" s="327" t="s">
        <v>278</v>
      </c>
      <c r="B56" s="294">
        <v>0.24</v>
      </c>
      <c r="C56" s="15">
        <v>0.24</v>
      </c>
      <c r="D56" s="13">
        <v>0.23</v>
      </c>
      <c r="E56" s="295">
        <v>0.24</v>
      </c>
      <c r="F56" s="294">
        <v>0.24</v>
      </c>
      <c r="G56" s="15">
        <v>0.24</v>
      </c>
      <c r="H56" s="13">
        <v>0.23</v>
      </c>
      <c r="I56" s="295">
        <v>0.24</v>
      </c>
      <c r="J56" s="294">
        <v>0.24</v>
      </c>
      <c r="K56" s="15">
        <v>0.24</v>
      </c>
      <c r="L56" s="13">
        <v>0.23</v>
      </c>
      <c r="M56" s="295">
        <v>0.24</v>
      </c>
      <c r="N56" s="294">
        <v>0.24</v>
      </c>
      <c r="O56" s="15">
        <v>0.24</v>
      </c>
      <c r="P56" s="13">
        <v>0.23</v>
      </c>
      <c r="Q56" s="295">
        <v>0.24</v>
      </c>
      <c r="R56" s="294">
        <v>0.24</v>
      </c>
      <c r="S56" s="15">
        <v>0.24</v>
      </c>
      <c r="T56" s="13">
        <v>0.23</v>
      </c>
      <c r="U56" s="295">
        <v>0.24</v>
      </c>
      <c r="V56" s="294">
        <v>0.24</v>
      </c>
      <c r="W56" s="15">
        <v>0.24</v>
      </c>
      <c r="X56" s="13">
        <v>0.23</v>
      </c>
      <c r="Y56" s="295">
        <v>0.24</v>
      </c>
      <c r="Z56" s="294">
        <v>0.24</v>
      </c>
      <c r="AA56" s="15">
        <v>0.24</v>
      </c>
      <c r="AB56" s="13">
        <v>0.23</v>
      </c>
      <c r="AC56" s="295">
        <v>0.24</v>
      </c>
      <c r="AD56" s="294">
        <v>0.24</v>
      </c>
      <c r="AE56" s="15">
        <v>0.24</v>
      </c>
      <c r="AF56" s="13">
        <v>0.23</v>
      </c>
      <c r="AG56" s="295">
        <v>0.24</v>
      </c>
      <c r="AH56" s="294">
        <v>0.24</v>
      </c>
      <c r="AI56" s="15">
        <v>0.24</v>
      </c>
      <c r="AJ56" s="13">
        <v>0.23</v>
      </c>
      <c r="AK56" s="295">
        <v>0.24</v>
      </c>
      <c r="AL56" s="294">
        <v>0.24</v>
      </c>
      <c r="AM56" s="15">
        <v>0.24</v>
      </c>
      <c r="AN56" s="13">
        <v>0.23</v>
      </c>
      <c r="AO56" s="15">
        <v>0.24</v>
      </c>
      <c r="AP56" s="294">
        <v>0.24</v>
      </c>
      <c r="AQ56" s="15">
        <v>0.24</v>
      </c>
      <c r="AR56" s="13">
        <v>0.23</v>
      </c>
      <c r="AS56" s="295">
        <v>0.24</v>
      </c>
      <c r="AU56" s="247" t="s">
        <v>279</v>
      </c>
    </row>
    <row r="57" spans="1:47" x14ac:dyDescent="0.3">
      <c r="A57" s="327" t="s">
        <v>280</v>
      </c>
      <c r="B57" s="294">
        <v>0.35</v>
      </c>
      <c r="C57" s="15">
        <v>0.35</v>
      </c>
      <c r="D57" s="13">
        <v>0.27</v>
      </c>
      <c r="E57" s="295">
        <v>0.35</v>
      </c>
      <c r="F57" s="294">
        <v>0.35</v>
      </c>
      <c r="G57" s="15">
        <v>0.35</v>
      </c>
      <c r="H57" s="13">
        <v>0.27</v>
      </c>
      <c r="I57" s="295">
        <v>0.35</v>
      </c>
      <c r="J57" s="294">
        <v>0.35</v>
      </c>
      <c r="K57" s="15">
        <v>0.35</v>
      </c>
      <c r="L57" s="13">
        <v>0.27</v>
      </c>
      <c r="M57" s="295">
        <v>0.35</v>
      </c>
      <c r="N57" s="294">
        <v>0.35</v>
      </c>
      <c r="O57" s="15">
        <v>0.35</v>
      </c>
      <c r="P57" s="13">
        <v>0.27</v>
      </c>
      <c r="Q57" s="295">
        <v>0.35</v>
      </c>
      <c r="R57" s="294">
        <v>0.35</v>
      </c>
      <c r="S57" s="15">
        <v>0.35</v>
      </c>
      <c r="T57" s="13">
        <v>0.27</v>
      </c>
      <c r="U57" s="295">
        <v>0.35</v>
      </c>
      <c r="V57" s="294">
        <v>0.35</v>
      </c>
      <c r="W57" s="15">
        <v>0.35</v>
      </c>
      <c r="X57" s="13">
        <v>0.27</v>
      </c>
      <c r="Y57" s="295">
        <v>0.35</v>
      </c>
      <c r="Z57" s="294">
        <v>0.35</v>
      </c>
      <c r="AA57" s="15">
        <v>0.35</v>
      </c>
      <c r="AB57" s="13">
        <v>0.27</v>
      </c>
      <c r="AC57" s="295">
        <v>0.35</v>
      </c>
      <c r="AD57" s="294">
        <v>0.35</v>
      </c>
      <c r="AE57" s="15">
        <v>0.35</v>
      </c>
      <c r="AF57" s="13">
        <v>0.27</v>
      </c>
      <c r="AG57" s="295">
        <v>0.35</v>
      </c>
      <c r="AH57" s="294">
        <v>0.35</v>
      </c>
      <c r="AI57" s="15">
        <v>0.35</v>
      </c>
      <c r="AJ57" s="13">
        <v>0.27</v>
      </c>
      <c r="AK57" s="295">
        <v>0.35</v>
      </c>
      <c r="AL57" s="294">
        <v>0.35</v>
      </c>
      <c r="AM57" s="15">
        <v>0.35</v>
      </c>
      <c r="AN57" s="13">
        <v>0.27</v>
      </c>
      <c r="AO57" s="15">
        <v>0.35</v>
      </c>
      <c r="AP57" s="294">
        <v>0.35</v>
      </c>
      <c r="AQ57" s="15">
        <v>0.35</v>
      </c>
      <c r="AR57" s="13">
        <v>0.27</v>
      </c>
      <c r="AS57" s="295">
        <v>0.35</v>
      </c>
    </row>
    <row r="58" spans="1:47" x14ac:dyDescent="0.3">
      <c r="A58" s="318"/>
      <c r="B58" s="270"/>
      <c r="E58" s="271"/>
      <c r="F58" s="270"/>
      <c r="I58" s="271"/>
      <c r="J58" s="270"/>
      <c r="M58" s="271"/>
      <c r="N58" s="270"/>
      <c r="Q58" s="271"/>
      <c r="R58" s="270"/>
      <c r="U58" s="271"/>
      <c r="V58" s="270"/>
      <c r="Y58" s="271"/>
      <c r="Z58" s="270"/>
      <c r="AC58" s="271"/>
      <c r="AD58" s="270"/>
      <c r="AG58" s="271"/>
      <c r="AH58" s="270"/>
      <c r="AK58" s="271"/>
      <c r="AL58" s="270"/>
      <c r="AP58" s="270"/>
      <c r="AS58" s="271"/>
    </row>
    <row r="59" spans="1:47" x14ac:dyDescent="0.3">
      <c r="A59" s="328" t="s">
        <v>281</v>
      </c>
      <c r="B59" s="296"/>
      <c r="C59" s="7"/>
      <c r="D59" s="7"/>
      <c r="E59" s="297"/>
      <c r="F59" s="296"/>
      <c r="G59" s="7"/>
      <c r="H59" s="7"/>
      <c r="I59" s="297"/>
      <c r="J59" s="296"/>
      <c r="K59" s="7"/>
      <c r="L59" s="7"/>
      <c r="M59" s="297"/>
      <c r="N59" s="296"/>
      <c r="O59" s="7"/>
      <c r="P59" s="7"/>
      <c r="Q59" s="297"/>
      <c r="R59" s="296"/>
      <c r="S59" s="7"/>
      <c r="T59" s="7"/>
      <c r="U59" s="297"/>
      <c r="V59" s="296"/>
      <c r="W59" s="7"/>
      <c r="X59" s="7"/>
      <c r="Y59" s="297"/>
      <c r="Z59" s="296"/>
      <c r="AA59" s="7"/>
      <c r="AB59" s="7"/>
      <c r="AC59" s="297"/>
      <c r="AD59" s="296"/>
      <c r="AE59" s="7"/>
      <c r="AF59" s="7"/>
      <c r="AG59" s="297"/>
      <c r="AH59" s="296"/>
      <c r="AI59" s="7"/>
      <c r="AJ59" s="7"/>
      <c r="AK59" s="297"/>
      <c r="AL59" s="296"/>
      <c r="AM59" s="7"/>
      <c r="AN59" s="7"/>
      <c r="AO59" s="7"/>
      <c r="AP59" s="296"/>
      <c r="AQ59" s="7"/>
      <c r="AR59" s="7"/>
      <c r="AS59" s="297"/>
      <c r="AT59" s="7"/>
      <c r="AU59" s="250" t="s">
        <v>282</v>
      </c>
    </row>
    <row r="60" spans="1:47" x14ac:dyDescent="0.3">
      <c r="A60" s="318"/>
      <c r="B60" s="270"/>
      <c r="E60" s="271"/>
      <c r="F60" s="270"/>
      <c r="I60" s="271"/>
      <c r="J60" s="270"/>
      <c r="M60" s="271"/>
      <c r="N60" s="270"/>
      <c r="Q60" s="271"/>
      <c r="R60" s="270"/>
      <c r="U60" s="271"/>
      <c r="V60" s="270"/>
      <c r="Y60" s="271"/>
      <c r="Z60" s="270"/>
      <c r="AC60" s="271"/>
      <c r="AD60" s="270"/>
      <c r="AG60" s="271"/>
      <c r="AH60" s="270"/>
      <c r="AK60" s="271"/>
      <c r="AL60" s="270"/>
      <c r="AP60" s="270"/>
      <c r="AS60" s="271"/>
    </row>
    <row r="61" spans="1:47" x14ac:dyDescent="0.3">
      <c r="A61" s="326" t="s">
        <v>283</v>
      </c>
      <c r="B61" s="279"/>
      <c r="C61" s="118"/>
      <c r="D61" s="118"/>
      <c r="E61" s="280"/>
      <c r="F61" s="279"/>
      <c r="G61" s="118"/>
      <c r="H61" s="118"/>
      <c r="I61" s="280"/>
      <c r="J61" s="279"/>
      <c r="K61" s="118"/>
      <c r="L61" s="118"/>
      <c r="M61" s="280"/>
      <c r="N61" s="279"/>
      <c r="O61" s="118"/>
      <c r="P61" s="118"/>
      <c r="Q61" s="280"/>
      <c r="R61" s="279"/>
      <c r="S61" s="118"/>
      <c r="T61" s="118"/>
      <c r="U61" s="280"/>
      <c r="V61" s="279"/>
      <c r="W61" s="118"/>
      <c r="X61" s="118"/>
      <c r="Y61" s="280"/>
      <c r="Z61" s="279"/>
      <c r="AA61" s="118"/>
      <c r="AB61" s="118"/>
      <c r="AC61" s="280"/>
      <c r="AD61" s="279"/>
      <c r="AE61" s="118"/>
      <c r="AF61" s="118"/>
      <c r="AG61" s="280"/>
      <c r="AH61" s="279"/>
      <c r="AI61" s="118"/>
      <c r="AJ61" s="118"/>
      <c r="AK61" s="280"/>
      <c r="AL61" s="279"/>
      <c r="AM61" s="118"/>
      <c r="AN61" s="118"/>
      <c r="AO61" s="118"/>
      <c r="AP61" s="279"/>
      <c r="AQ61" s="118"/>
      <c r="AR61" s="118"/>
      <c r="AS61" s="280"/>
    </row>
    <row r="62" spans="1:47" x14ac:dyDescent="0.3">
      <c r="A62" s="324" t="s">
        <v>260</v>
      </c>
      <c r="B62" s="291">
        <f t="shared" ref="B62:E62" si="43">B45-B50</f>
        <v>3.7107000000000001</v>
      </c>
      <c r="C62" s="11">
        <f t="shared" si="43"/>
        <v>1.6796215603595739E-2</v>
      </c>
      <c r="D62" s="11">
        <f t="shared" si="43"/>
        <v>0</v>
      </c>
      <c r="E62" s="292">
        <f t="shared" si="43"/>
        <v>0.62316585205479436</v>
      </c>
      <c r="F62" s="291">
        <f t="shared" ref="F62:I62" si="44">F45-F50</f>
        <v>3.7107000000000001</v>
      </c>
      <c r="G62" s="11">
        <f t="shared" si="44"/>
        <v>1.6796215603595739E-2</v>
      </c>
      <c r="H62" s="11">
        <f t="shared" si="44"/>
        <v>0</v>
      </c>
      <c r="I62" s="292">
        <f t="shared" si="44"/>
        <v>0.62316585205479436</v>
      </c>
      <c r="J62" s="291">
        <f t="shared" ref="J62:M62" si="45">J45-J50</f>
        <v>3.7107000000000001</v>
      </c>
      <c r="K62" s="11">
        <f t="shared" si="45"/>
        <v>1.6796215603595739E-2</v>
      </c>
      <c r="L62" s="11">
        <f t="shared" si="45"/>
        <v>0</v>
      </c>
      <c r="M62" s="292">
        <f t="shared" si="45"/>
        <v>0.62316585205479436</v>
      </c>
      <c r="N62" s="291">
        <f t="shared" ref="N62:AO62" si="46">N45-N50</f>
        <v>3.7107000000000001</v>
      </c>
      <c r="O62" s="11">
        <f t="shared" si="46"/>
        <v>1.6796215603595739E-2</v>
      </c>
      <c r="P62" s="11">
        <f t="shared" si="46"/>
        <v>0</v>
      </c>
      <c r="Q62" s="292">
        <f t="shared" si="46"/>
        <v>0.62316585205479436</v>
      </c>
      <c r="R62" s="291">
        <f t="shared" si="46"/>
        <v>3.7107000000000001</v>
      </c>
      <c r="S62" s="11">
        <f t="shared" si="46"/>
        <v>1.6796215603595739E-2</v>
      </c>
      <c r="T62" s="11">
        <f t="shared" si="46"/>
        <v>0</v>
      </c>
      <c r="U62" s="292">
        <f t="shared" si="46"/>
        <v>0.62316585205479436</v>
      </c>
      <c r="V62" s="291">
        <f t="shared" si="46"/>
        <v>3.7107000000000001</v>
      </c>
      <c r="W62" s="11">
        <f t="shared" si="46"/>
        <v>1.6796215603595739E-2</v>
      </c>
      <c r="X62" s="11">
        <f t="shared" si="46"/>
        <v>0</v>
      </c>
      <c r="Y62" s="292">
        <f t="shared" si="46"/>
        <v>0.62316585205479436</v>
      </c>
      <c r="Z62" s="291">
        <f t="shared" si="46"/>
        <v>3.7107000000000001</v>
      </c>
      <c r="AA62" s="11">
        <f t="shared" si="46"/>
        <v>1.6796215603595739E-2</v>
      </c>
      <c r="AB62" s="11">
        <f t="shared" si="46"/>
        <v>0</v>
      </c>
      <c r="AC62" s="292">
        <f t="shared" si="46"/>
        <v>0.62316585205479436</v>
      </c>
      <c r="AD62" s="291">
        <f t="shared" si="46"/>
        <v>3.7107000000000001</v>
      </c>
      <c r="AE62" s="11">
        <f t="shared" si="46"/>
        <v>1.6796215603595739E-2</v>
      </c>
      <c r="AF62" s="11">
        <f t="shared" si="46"/>
        <v>0</v>
      </c>
      <c r="AG62" s="292">
        <f t="shared" si="46"/>
        <v>0.62316585205479436</v>
      </c>
      <c r="AH62" s="291">
        <f t="shared" si="46"/>
        <v>3.7107000000000001</v>
      </c>
      <c r="AI62" s="11">
        <f t="shared" si="46"/>
        <v>1.6796215603595739E-2</v>
      </c>
      <c r="AJ62" s="11">
        <f t="shared" si="46"/>
        <v>0</v>
      </c>
      <c r="AK62" s="292">
        <f t="shared" si="46"/>
        <v>0.62316585205479436</v>
      </c>
      <c r="AL62" s="291">
        <f t="shared" si="46"/>
        <v>3.7107000000000001</v>
      </c>
      <c r="AM62" s="11">
        <f t="shared" si="46"/>
        <v>1.6796215603595739E-2</v>
      </c>
      <c r="AN62" s="11">
        <f t="shared" si="46"/>
        <v>0</v>
      </c>
      <c r="AO62" s="5">
        <f t="shared" si="46"/>
        <v>0.62316585205479436</v>
      </c>
      <c r="AP62" s="291">
        <f t="shared" ref="AP62:AS64" si="47">AP45-AP50</f>
        <v>3.7107000000000001</v>
      </c>
      <c r="AQ62" s="11">
        <f t="shared" si="47"/>
        <v>1.6796215603595739E-2</v>
      </c>
      <c r="AR62" s="11">
        <f t="shared" si="47"/>
        <v>0</v>
      </c>
      <c r="AS62" s="292">
        <f t="shared" si="47"/>
        <v>0.62316585205479436</v>
      </c>
    </row>
    <row r="63" spans="1:47" x14ac:dyDescent="0.3">
      <c r="A63" s="324" t="s">
        <v>261</v>
      </c>
      <c r="B63" s="291">
        <f t="shared" ref="B63:E63" si="48">B46-B51</f>
        <v>9.9969187500000007</v>
      </c>
      <c r="C63" s="11">
        <f t="shared" si="48"/>
        <v>4.5250330853108263E-2</v>
      </c>
      <c r="D63" s="5">
        <f>D46-D51</f>
        <v>32.266079999999995</v>
      </c>
      <c r="E63" s="292">
        <f t="shared" si="48"/>
        <v>1.6788580027397257</v>
      </c>
      <c r="F63" s="291">
        <f t="shared" ref="F63:I63" si="49">F46-F51</f>
        <v>9.9969187500000007</v>
      </c>
      <c r="G63" s="11">
        <f t="shared" si="49"/>
        <v>4.5250330853108263E-2</v>
      </c>
      <c r="H63" s="5">
        <f t="shared" si="49"/>
        <v>32.266079999999995</v>
      </c>
      <c r="I63" s="292">
        <f t="shared" si="49"/>
        <v>1.6788580027397257</v>
      </c>
      <c r="J63" s="291">
        <f t="shared" ref="J63:M63" si="50">J46-J51</f>
        <v>9.9969187500000007</v>
      </c>
      <c r="K63" s="11">
        <f t="shared" si="50"/>
        <v>4.5250330853108263E-2</v>
      </c>
      <c r="L63" s="5">
        <f t="shared" si="50"/>
        <v>32.266079999999995</v>
      </c>
      <c r="M63" s="292">
        <f t="shared" si="50"/>
        <v>1.6788580027397257</v>
      </c>
      <c r="N63" s="291">
        <f t="shared" ref="N63:AO63" si="51">N46-N51</f>
        <v>9.9969187500000007</v>
      </c>
      <c r="O63" s="11">
        <f t="shared" si="51"/>
        <v>4.5250330853108263E-2</v>
      </c>
      <c r="P63" s="5">
        <f t="shared" si="51"/>
        <v>32.266079999999995</v>
      </c>
      <c r="Q63" s="292">
        <f t="shared" si="51"/>
        <v>1.6788580027397257</v>
      </c>
      <c r="R63" s="291">
        <f t="shared" si="51"/>
        <v>9.9969187500000007</v>
      </c>
      <c r="S63" s="11">
        <f t="shared" si="51"/>
        <v>4.5250330853108263E-2</v>
      </c>
      <c r="T63" s="5">
        <f t="shared" si="51"/>
        <v>32.266079999999995</v>
      </c>
      <c r="U63" s="292">
        <f t="shared" si="51"/>
        <v>1.6788580027397257</v>
      </c>
      <c r="V63" s="291">
        <f t="shared" si="51"/>
        <v>9.9969187500000007</v>
      </c>
      <c r="W63" s="11">
        <f t="shared" si="51"/>
        <v>4.5250330853108263E-2</v>
      </c>
      <c r="X63" s="5">
        <f t="shared" si="51"/>
        <v>32.266079999999995</v>
      </c>
      <c r="Y63" s="292">
        <f t="shared" si="51"/>
        <v>1.6788580027397257</v>
      </c>
      <c r="Z63" s="291">
        <f t="shared" si="51"/>
        <v>9.9969187500000007</v>
      </c>
      <c r="AA63" s="11">
        <f t="shared" si="51"/>
        <v>4.5250330853108263E-2</v>
      </c>
      <c r="AB63" s="5">
        <f t="shared" si="51"/>
        <v>32.266079999999995</v>
      </c>
      <c r="AC63" s="292">
        <f t="shared" si="51"/>
        <v>1.6788580027397257</v>
      </c>
      <c r="AD63" s="291">
        <f t="shared" si="51"/>
        <v>9.9969187500000007</v>
      </c>
      <c r="AE63" s="11">
        <f t="shared" si="51"/>
        <v>4.5250330853108263E-2</v>
      </c>
      <c r="AF63" s="5">
        <f t="shared" si="51"/>
        <v>32.266079999999995</v>
      </c>
      <c r="AG63" s="292">
        <f t="shared" si="51"/>
        <v>1.6788580027397257</v>
      </c>
      <c r="AH63" s="291">
        <f t="shared" si="51"/>
        <v>9.9969187500000007</v>
      </c>
      <c r="AI63" s="11">
        <f t="shared" si="51"/>
        <v>4.5250330853108263E-2</v>
      </c>
      <c r="AJ63" s="5">
        <f t="shared" si="51"/>
        <v>32.266079999999995</v>
      </c>
      <c r="AK63" s="292">
        <f t="shared" si="51"/>
        <v>1.6788580027397257</v>
      </c>
      <c r="AL63" s="291">
        <f t="shared" si="51"/>
        <v>9.9969187500000007</v>
      </c>
      <c r="AM63" s="11">
        <f t="shared" si="51"/>
        <v>4.5250330853108263E-2</v>
      </c>
      <c r="AN63" s="5">
        <f t="shared" si="51"/>
        <v>32.266079999999995</v>
      </c>
      <c r="AO63" s="5">
        <f t="shared" si="51"/>
        <v>1.6788580027397257</v>
      </c>
      <c r="AP63" s="291">
        <f t="shared" si="47"/>
        <v>9.9969187500000007</v>
      </c>
      <c r="AQ63" s="11">
        <f t="shared" si="47"/>
        <v>4.5250330853108263E-2</v>
      </c>
      <c r="AR63" s="5">
        <f t="shared" si="47"/>
        <v>32.266079999999995</v>
      </c>
      <c r="AS63" s="292">
        <f t="shared" si="47"/>
        <v>1.6788580027397257</v>
      </c>
    </row>
    <row r="64" spans="1:47" x14ac:dyDescent="0.3">
      <c r="A64" s="324" t="s">
        <v>262</v>
      </c>
      <c r="B64" s="291">
        <f t="shared" ref="B64:E64" si="52">B47-B52</f>
        <v>3.1540949999999999</v>
      </c>
      <c r="C64" s="11">
        <f t="shared" si="52"/>
        <v>1.4276783263056378E-2</v>
      </c>
      <c r="D64" s="5">
        <f t="shared" si="52"/>
        <v>0</v>
      </c>
      <c r="E64" s="292">
        <f t="shared" si="52"/>
        <v>0.5296909742465753</v>
      </c>
      <c r="F64" s="291">
        <f t="shared" ref="F64:I64" si="53">F47-F52</f>
        <v>3.1540949999999999</v>
      </c>
      <c r="G64" s="11">
        <f t="shared" si="53"/>
        <v>1.4276783263056378E-2</v>
      </c>
      <c r="H64" s="5">
        <f t="shared" si="53"/>
        <v>0</v>
      </c>
      <c r="I64" s="292">
        <f t="shared" si="53"/>
        <v>0.5296909742465753</v>
      </c>
      <c r="J64" s="291">
        <f t="shared" ref="J64:M64" si="54">J47-J52</f>
        <v>3.1540949999999999</v>
      </c>
      <c r="K64" s="11">
        <f t="shared" si="54"/>
        <v>1.4276783263056378E-2</v>
      </c>
      <c r="L64" s="5">
        <f t="shared" si="54"/>
        <v>0</v>
      </c>
      <c r="M64" s="292">
        <f t="shared" si="54"/>
        <v>0.5296909742465753</v>
      </c>
      <c r="N64" s="291">
        <f t="shared" ref="N64:AO64" si="55">N47-N52</f>
        <v>3.1540949999999999</v>
      </c>
      <c r="O64" s="11">
        <f t="shared" si="55"/>
        <v>1.4276783263056378E-2</v>
      </c>
      <c r="P64" s="5">
        <f t="shared" si="55"/>
        <v>0</v>
      </c>
      <c r="Q64" s="292">
        <f t="shared" si="55"/>
        <v>0.5296909742465753</v>
      </c>
      <c r="R64" s="291">
        <f t="shared" si="55"/>
        <v>3.1540949999999999</v>
      </c>
      <c r="S64" s="11">
        <f t="shared" si="55"/>
        <v>1.4276783263056378E-2</v>
      </c>
      <c r="T64" s="5">
        <f t="shared" si="55"/>
        <v>0</v>
      </c>
      <c r="U64" s="292">
        <f t="shared" si="55"/>
        <v>0.5296909742465753</v>
      </c>
      <c r="V64" s="291">
        <f t="shared" si="55"/>
        <v>3.1540949999999999</v>
      </c>
      <c r="W64" s="11">
        <f t="shared" si="55"/>
        <v>1.4276783263056378E-2</v>
      </c>
      <c r="X64" s="5">
        <f t="shared" si="55"/>
        <v>0</v>
      </c>
      <c r="Y64" s="292">
        <f t="shared" si="55"/>
        <v>0.5296909742465753</v>
      </c>
      <c r="Z64" s="291">
        <f t="shared" si="55"/>
        <v>3.1540949999999999</v>
      </c>
      <c r="AA64" s="11">
        <f t="shared" si="55"/>
        <v>1.4276783263056378E-2</v>
      </c>
      <c r="AB64" s="5">
        <f t="shared" si="55"/>
        <v>0</v>
      </c>
      <c r="AC64" s="292">
        <f t="shared" si="55"/>
        <v>0.5296909742465753</v>
      </c>
      <c r="AD64" s="291">
        <f t="shared" si="55"/>
        <v>3.1540949999999999</v>
      </c>
      <c r="AE64" s="11">
        <f t="shared" si="55"/>
        <v>1.4276783263056378E-2</v>
      </c>
      <c r="AF64" s="5">
        <f t="shared" si="55"/>
        <v>0</v>
      </c>
      <c r="AG64" s="292">
        <f t="shared" si="55"/>
        <v>0.5296909742465753</v>
      </c>
      <c r="AH64" s="291">
        <f t="shared" si="55"/>
        <v>3.1540949999999999</v>
      </c>
      <c r="AI64" s="11">
        <f t="shared" si="55"/>
        <v>1.4276783263056378E-2</v>
      </c>
      <c r="AJ64" s="5">
        <f t="shared" si="55"/>
        <v>0</v>
      </c>
      <c r="AK64" s="292">
        <f t="shared" si="55"/>
        <v>0.5296909742465753</v>
      </c>
      <c r="AL64" s="291">
        <f t="shared" si="55"/>
        <v>3.1540949999999999</v>
      </c>
      <c r="AM64" s="11">
        <f t="shared" si="55"/>
        <v>1.4276783263056378E-2</v>
      </c>
      <c r="AN64" s="5">
        <f t="shared" si="55"/>
        <v>0</v>
      </c>
      <c r="AO64" s="5">
        <f t="shared" si="55"/>
        <v>0.5296909742465753</v>
      </c>
      <c r="AP64" s="291">
        <f t="shared" si="47"/>
        <v>3.1540949999999999</v>
      </c>
      <c r="AQ64" s="11">
        <f t="shared" si="47"/>
        <v>1.4276783263056378E-2</v>
      </c>
      <c r="AR64" s="5">
        <f t="shared" si="47"/>
        <v>0</v>
      </c>
      <c r="AS64" s="292">
        <f t="shared" si="47"/>
        <v>0.5296909742465753</v>
      </c>
    </row>
    <row r="65" spans="1:48" x14ac:dyDescent="0.3">
      <c r="A65" s="318"/>
      <c r="B65" s="270"/>
      <c r="E65" s="271"/>
      <c r="F65" s="270"/>
      <c r="I65" s="271"/>
      <c r="J65" s="270"/>
      <c r="M65" s="271"/>
      <c r="N65" s="270"/>
      <c r="Q65" s="271"/>
      <c r="R65" s="270"/>
      <c r="U65" s="271"/>
      <c r="V65" s="270"/>
      <c r="Y65" s="271"/>
      <c r="Z65" s="270"/>
      <c r="AC65" s="271"/>
      <c r="AD65" s="270"/>
      <c r="AG65" s="271"/>
      <c r="AH65" s="270"/>
      <c r="AK65" s="271"/>
      <c r="AL65" s="270"/>
      <c r="AP65" s="270"/>
      <c r="AS65" s="271"/>
    </row>
    <row r="66" spans="1:48" x14ac:dyDescent="0.3">
      <c r="A66" s="326" t="s">
        <v>284</v>
      </c>
      <c r="B66" s="298"/>
      <c r="C66" s="118"/>
      <c r="D66" s="118"/>
      <c r="E66" s="280"/>
      <c r="F66" s="298"/>
      <c r="G66" s="118"/>
      <c r="H66" s="118"/>
      <c r="I66" s="280"/>
      <c r="J66" s="298"/>
      <c r="K66" s="118"/>
      <c r="L66" s="118"/>
      <c r="M66" s="280"/>
      <c r="N66" s="298"/>
      <c r="O66" s="118"/>
      <c r="P66" s="118"/>
      <c r="Q66" s="280"/>
      <c r="R66" s="298"/>
      <c r="S66" s="118"/>
      <c r="T66" s="118"/>
      <c r="U66" s="280"/>
      <c r="V66" s="298"/>
      <c r="W66" s="118"/>
      <c r="X66" s="118"/>
      <c r="Y66" s="280"/>
      <c r="Z66" s="298"/>
      <c r="AA66" s="118"/>
      <c r="AB66" s="118"/>
      <c r="AC66" s="280"/>
      <c r="AD66" s="298"/>
      <c r="AE66" s="118"/>
      <c r="AF66" s="118"/>
      <c r="AG66" s="280"/>
      <c r="AH66" s="298"/>
      <c r="AI66" s="118"/>
      <c r="AJ66" s="118"/>
      <c r="AK66" s="280"/>
      <c r="AL66" s="298"/>
      <c r="AM66" s="118"/>
      <c r="AN66" s="118"/>
      <c r="AO66" s="118"/>
      <c r="AP66" s="298"/>
      <c r="AQ66" s="118"/>
      <c r="AR66" s="118"/>
      <c r="AS66" s="280"/>
      <c r="AU66" s="234" t="s">
        <v>285</v>
      </c>
    </row>
    <row r="67" spans="1:48" x14ac:dyDescent="0.3">
      <c r="A67" s="324" t="s">
        <v>260</v>
      </c>
      <c r="B67" s="299">
        <f>B62</f>
        <v>3.7107000000000001</v>
      </c>
      <c r="C67" s="18">
        <f t="shared" ref="C67:E67" si="56">C62</f>
        <v>1.6796215603595739E-2</v>
      </c>
      <c r="D67" s="124">
        <f t="shared" si="56"/>
        <v>0</v>
      </c>
      <c r="E67" s="300">
        <f t="shared" si="56"/>
        <v>0.62316585205479436</v>
      </c>
      <c r="F67" s="299">
        <f>F62</f>
        <v>3.7107000000000001</v>
      </c>
      <c r="G67" s="18">
        <f t="shared" ref="G67:I67" si="57">G62</f>
        <v>1.6796215603595739E-2</v>
      </c>
      <c r="H67" s="124">
        <f t="shared" si="57"/>
        <v>0</v>
      </c>
      <c r="I67" s="300">
        <f t="shared" si="57"/>
        <v>0.62316585205479436</v>
      </c>
      <c r="J67" s="299">
        <f>J62</f>
        <v>3.7107000000000001</v>
      </c>
      <c r="K67" s="18">
        <f t="shared" ref="K67:M67" si="58">K62</f>
        <v>1.6796215603595739E-2</v>
      </c>
      <c r="L67" s="124">
        <f t="shared" si="58"/>
        <v>0</v>
      </c>
      <c r="M67" s="300">
        <f t="shared" si="58"/>
        <v>0.62316585205479436</v>
      </c>
      <c r="N67" s="299">
        <f>N62</f>
        <v>3.7107000000000001</v>
      </c>
      <c r="O67" s="18">
        <f t="shared" ref="O67:Q67" si="59">O62</f>
        <v>1.6796215603595739E-2</v>
      </c>
      <c r="P67" s="124">
        <f t="shared" si="59"/>
        <v>0</v>
      </c>
      <c r="Q67" s="300">
        <f t="shared" si="59"/>
        <v>0.62316585205479436</v>
      </c>
      <c r="R67" s="299">
        <f>R62</f>
        <v>3.7107000000000001</v>
      </c>
      <c r="S67" s="18">
        <f t="shared" ref="S67:U67" si="60">S62</f>
        <v>1.6796215603595739E-2</v>
      </c>
      <c r="T67" s="124">
        <f t="shared" si="60"/>
        <v>0</v>
      </c>
      <c r="U67" s="300">
        <f t="shared" si="60"/>
        <v>0.62316585205479436</v>
      </c>
      <c r="V67" s="299">
        <f>V62</f>
        <v>3.7107000000000001</v>
      </c>
      <c r="W67" s="18">
        <f t="shared" ref="W67:Y67" si="61">W62</f>
        <v>1.6796215603595739E-2</v>
      </c>
      <c r="X67" s="124">
        <f t="shared" si="61"/>
        <v>0</v>
      </c>
      <c r="Y67" s="300">
        <f t="shared" si="61"/>
        <v>0.62316585205479436</v>
      </c>
      <c r="Z67" s="299">
        <f>Z62</f>
        <v>3.7107000000000001</v>
      </c>
      <c r="AA67" s="18">
        <f t="shared" ref="AA67:AC67" si="62">AA62</f>
        <v>1.6796215603595739E-2</v>
      </c>
      <c r="AB67" s="124">
        <f t="shared" si="62"/>
        <v>0</v>
      </c>
      <c r="AC67" s="300">
        <f t="shared" si="62"/>
        <v>0.62316585205479436</v>
      </c>
      <c r="AD67" s="299">
        <f>AD62</f>
        <v>3.7107000000000001</v>
      </c>
      <c r="AE67" s="18">
        <f t="shared" ref="AE67:AG67" si="63">AE62</f>
        <v>1.6796215603595739E-2</v>
      </c>
      <c r="AF67" s="124">
        <f t="shared" si="63"/>
        <v>0</v>
      </c>
      <c r="AG67" s="300">
        <f t="shared" si="63"/>
        <v>0.62316585205479436</v>
      </c>
      <c r="AH67" s="299">
        <f>AH62</f>
        <v>3.7107000000000001</v>
      </c>
      <c r="AI67" s="18">
        <f t="shared" ref="AI67:AK67" si="64">AI62</f>
        <v>1.6796215603595739E-2</v>
      </c>
      <c r="AJ67" s="124">
        <f t="shared" si="64"/>
        <v>0</v>
      </c>
      <c r="AK67" s="300">
        <f t="shared" si="64"/>
        <v>0.62316585205479436</v>
      </c>
      <c r="AL67" s="299">
        <f>AL62</f>
        <v>3.7107000000000001</v>
      </c>
      <c r="AM67" s="18">
        <f t="shared" ref="AM67:AO67" si="65">AM62</f>
        <v>1.6796215603595739E-2</v>
      </c>
      <c r="AN67" s="124">
        <f t="shared" si="65"/>
        <v>0</v>
      </c>
      <c r="AO67" s="124">
        <f t="shared" si="65"/>
        <v>0.62316585205479436</v>
      </c>
      <c r="AP67" s="299">
        <f>AP62</f>
        <v>3.7107000000000001</v>
      </c>
      <c r="AQ67" s="18">
        <f t="shared" ref="AQ67:AS67" si="66">AQ62</f>
        <v>1.6796215603595739E-2</v>
      </c>
      <c r="AR67" s="124">
        <f t="shared" si="66"/>
        <v>0</v>
      </c>
      <c r="AS67" s="300">
        <f t="shared" si="66"/>
        <v>0.62316585205479436</v>
      </c>
    </row>
    <row r="68" spans="1:48" x14ac:dyDescent="0.3">
      <c r="A68" s="324" t="s">
        <v>261</v>
      </c>
      <c r="B68" s="291">
        <f>B63+((B41-B46)*B71)</f>
        <v>10.656056250000001</v>
      </c>
      <c r="C68" s="11">
        <f t="shared" ref="C68:E68" si="67">C63+((C41-C46)*C71)</f>
        <v>4.8233869151115404E-2</v>
      </c>
      <c r="D68" s="5">
        <f>D63+((D41-D46)*D71)</f>
        <v>34.160370410958897</v>
      </c>
      <c r="E68" s="292">
        <f t="shared" si="67"/>
        <v>1.7895519369863011</v>
      </c>
      <c r="F68" s="291">
        <f>F63+((F41-F46)*F71)</f>
        <v>10.656056250000001</v>
      </c>
      <c r="G68" s="11">
        <f t="shared" ref="G68:I68" si="68">G63+((G41-G46)*G71)</f>
        <v>4.8233869151115404E-2</v>
      </c>
      <c r="H68" s="5">
        <f t="shared" si="68"/>
        <v>34.160370410958897</v>
      </c>
      <c r="I68" s="292">
        <f t="shared" si="68"/>
        <v>1.7895519369863011</v>
      </c>
      <c r="J68" s="291">
        <f>J63+((J41-J46)*J71)</f>
        <v>10.656056250000001</v>
      </c>
      <c r="K68" s="11">
        <f t="shared" ref="K68:M68" si="69">K63+((K41-K46)*K71)</f>
        <v>4.8233869151115404E-2</v>
      </c>
      <c r="L68" s="5">
        <f t="shared" si="69"/>
        <v>34.160370410958897</v>
      </c>
      <c r="M68" s="292">
        <f t="shared" si="69"/>
        <v>1.7895519369863011</v>
      </c>
      <c r="N68" s="291">
        <f>N63+((N41-N46)*N71)</f>
        <v>10.656056250000001</v>
      </c>
      <c r="O68" s="11">
        <f t="shared" ref="O68:Q68" si="70">O63+((O41-O46)*O71)</f>
        <v>4.8233869151115404E-2</v>
      </c>
      <c r="P68" s="5">
        <f t="shared" si="70"/>
        <v>34.160370410958897</v>
      </c>
      <c r="Q68" s="292">
        <f t="shared" si="70"/>
        <v>1.7895519369863011</v>
      </c>
      <c r="R68" s="291">
        <f>R63+((R41-R46)*R71)</f>
        <v>10.656056250000001</v>
      </c>
      <c r="S68" s="11">
        <f t="shared" ref="S68:U68" si="71">S63+((S41-S46)*S71)</f>
        <v>4.8233869151115404E-2</v>
      </c>
      <c r="T68" s="5">
        <f t="shared" si="71"/>
        <v>34.160370410958897</v>
      </c>
      <c r="U68" s="292">
        <f t="shared" si="71"/>
        <v>1.7895519369863011</v>
      </c>
      <c r="V68" s="291">
        <f>V63+((V41-V46)*V71)</f>
        <v>10.656056250000001</v>
      </c>
      <c r="W68" s="11">
        <f t="shared" ref="W68:Y68" si="72">W63+((W41-W46)*W71)</f>
        <v>4.8233869151115404E-2</v>
      </c>
      <c r="X68" s="5">
        <f t="shared" si="72"/>
        <v>34.160370410958897</v>
      </c>
      <c r="Y68" s="292">
        <f t="shared" si="72"/>
        <v>1.7895519369863011</v>
      </c>
      <c r="Z68" s="291">
        <f>Z63+((Z41-Z46)*Z71)</f>
        <v>10.656056250000001</v>
      </c>
      <c r="AA68" s="11">
        <f t="shared" ref="AA68:AC68" si="73">AA63+((AA41-AA46)*AA71)</f>
        <v>4.8233869151115404E-2</v>
      </c>
      <c r="AB68" s="5">
        <f t="shared" si="73"/>
        <v>34.160370410958897</v>
      </c>
      <c r="AC68" s="292">
        <f t="shared" si="73"/>
        <v>1.7895519369863011</v>
      </c>
      <c r="AD68" s="291">
        <f>AD63+((AD41-AD46)*AD71)</f>
        <v>10.656056250000001</v>
      </c>
      <c r="AE68" s="11">
        <f t="shared" ref="AE68:AG68" si="74">AE63+((AE41-AE46)*AE71)</f>
        <v>4.8233869151115404E-2</v>
      </c>
      <c r="AF68" s="5">
        <f t="shared" si="74"/>
        <v>34.160370410958897</v>
      </c>
      <c r="AG68" s="292">
        <f t="shared" si="74"/>
        <v>1.7895519369863011</v>
      </c>
      <c r="AH68" s="291">
        <f>AH63+((AH41-AH46)*AH71)</f>
        <v>10.656056250000001</v>
      </c>
      <c r="AI68" s="11">
        <f t="shared" ref="AI68:AK68" si="75">AI63+((AI41-AI46)*AI71)</f>
        <v>4.8233869151115404E-2</v>
      </c>
      <c r="AJ68" s="5">
        <f t="shared" si="75"/>
        <v>34.160370410958897</v>
      </c>
      <c r="AK68" s="292">
        <f t="shared" si="75"/>
        <v>1.7895519369863011</v>
      </c>
      <c r="AL68" s="291">
        <f>AL63+((AL41-AL46)*AL71)</f>
        <v>10.656056250000001</v>
      </c>
      <c r="AM68" s="11">
        <f t="shared" ref="AM68:AO68" si="76">AM63+((AM41-AM46)*AM71)</f>
        <v>4.8233869151115404E-2</v>
      </c>
      <c r="AN68" s="5">
        <f t="shared" si="76"/>
        <v>34.160370410958897</v>
      </c>
      <c r="AO68" s="5">
        <f t="shared" si="76"/>
        <v>1.7895519369863011</v>
      </c>
      <c r="AP68" s="291">
        <f>AP63+((AP41-AP46)*AP71)</f>
        <v>10.656056250000001</v>
      </c>
      <c r="AQ68" s="11">
        <f t="shared" ref="AQ68:AS68" si="77">AQ63+((AQ41-AQ46)*AQ71)</f>
        <v>4.8233869151115404E-2</v>
      </c>
      <c r="AR68" s="5">
        <f t="shared" si="77"/>
        <v>34.160370410958897</v>
      </c>
      <c r="AS68" s="292">
        <f t="shared" si="77"/>
        <v>1.7895519369863011</v>
      </c>
    </row>
    <row r="69" spans="1:48" x14ac:dyDescent="0.3">
      <c r="A69" s="324" t="s">
        <v>264</v>
      </c>
      <c r="B69" s="291">
        <f>B64</f>
        <v>3.1540949999999999</v>
      </c>
      <c r="C69" s="11">
        <f t="shared" ref="C69:E69" si="78">C64</f>
        <v>1.4276783263056378E-2</v>
      </c>
      <c r="D69" s="5">
        <f t="shared" si="78"/>
        <v>0</v>
      </c>
      <c r="E69" s="292">
        <f t="shared" si="78"/>
        <v>0.5296909742465753</v>
      </c>
      <c r="F69" s="291">
        <f>F64</f>
        <v>3.1540949999999999</v>
      </c>
      <c r="G69" s="11">
        <f t="shared" ref="G69:I69" si="79">G64</f>
        <v>1.4276783263056378E-2</v>
      </c>
      <c r="H69" s="5">
        <f t="shared" si="79"/>
        <v>0</v>
      </c>
      <c r="I69" s="292">
        <f t="shared" si="79"/>
        <v>0.5296909742465753</v>
      </c>
      <c r="J69" s="291">
        <f>J64</f>
        <v>3.1540949999999999</v>
      </c>
      <c r="K69" s="11">
        <f t="shared" ref="K69:M69" si="80">K64</f>
        <v>1.4276783263056378E-2</v>
      </c>
      <c r="L69" s="5">
        <f t="shared" si="80"/>
        <v>0</v>
      </c>
      <c r="M69" s="292">
        <f t="shared" si="80"/>
        <v>0.5296909742465753</v>
      </c>
      <c r="N69" s="291">
        <f>N64</f>
        <v>3.1540949999999999</v>
      </c>
      <c r="O69" s="11">
        <f t="shared" ref="O69:Q69" si="81">O64</f>
        <v>1.4276783263056378E-2</v>
      </c>
      <c r="P69" s="5">
        <f t="shared" si="81"/>
        <v>0</v>
      </c>
      <c r="Q69" s="292">
        <f t="shared" si="81"/>
        <v>0.5296909742465753</v>
      </c>
      <c r="R69" s="291">
        <f>R64</f>
        <v>3.1540949999999999</v>
      </c>
      <c r="S69" s="11">
        <f t="shared" ref="S69:U69" si="82">S64</f>
        <v>1.4276783263056378E-2</v>
      </c>
      <c r="T69" s="5">
        <f t="shared" si="82"/>
        <v>0</v>
      </c>
      <c r="U69" s="292">
        <f t="shared" si="82"/>
        <v>0.5296909742465753</v>
      </c>
      <c r="V69" s="291">
        <f>V64</f>
        <v>3.1540949999999999</v>
      </c>
      <c r="W69" s="11">
        <f t="shared" ref="W69:Y69" si="83">W64</f>
        <v>1.4276783263056378E-2</v>
      </c>
      <c r="X69" s="5">
        <f t="shared" si="83"/>
        <v>0</v>
      </c>
      <c r="Y69" s="292">
        <f t="shared" si="83"/>
        <v>0.5296909742465753</v>
      </c>
      <c r="Z69" s="291">
        <f>Z64</f>
        <v>3.1540949999999999</v>
      </c>
      <c r="AA69" s="11">
        <f t="shared" ref="AA69:AC69" si="84">AA64</f>
        <v>1.4276783263056378E-2</v>
      </c>
      <c r="AB69" s="5">
        <f t="shared" si="84"/>
        <v>0</v>
      </c>
      <c r="AC69" s="292">
        <f t="shared" si="84"/>
        <v>0.5296909742465753</v>
      </c>
      <c r="AD69" s="291">
        <f>AD64</f>
        <v>3.1540949999999999</v>
      </c>
      <c r="AE69" s="11">
        <f t="shared" ref="AE69:AG69" si="85">AE64</f>
        <v>1.4276783263056378E-2</v>
      </c>
      <c r="AF69" s="5">
        <f t="shared" si="85"/>
        <v>0</v>
      </c>
      <c r="AG69" s="292">
        <f t="shared" si="85"/>
        <v>0.5296909742465753</v>
      </c>
      <c r="AH69" s="291">
        <f>AH64</f>
        <v>3.1540949999999999</v>
      </c>
      <c r="AI69" s="11">
        <f t="shared" ref="AI69:AK69" si="86">AI64</f>
        <v>1.4276783263056378E-2</v>
      </c>
      <c r="AJ69" s="5">
        <f t="shared" si="86"/>
        <v>0</v>
      </c>
      <c r="AK69" s="292">
        <f t="shared" si="86"/>
        <v>0.5296909742465753</v>
      </c>
      <c r="AL69" s="291">
        <f>AL64</f>
        <v>3.1540949999999999</v>
      </c>
      <c r="AM69" s="11">
        <f t="shared" ref="AM69:AO69" si="87">AM64</f>
        <v>1.4276783263056378E-2</v>
      </c>
      <c r="AN69" s="5">
        <f t="shared" si="87"/>
        <v>0</v>
      </c>
      <c r="AO69" s="5">
        <f t="shared" si="87"/>
        <v>0.5296909742465753</v>
      </c>
      <c r="AP69" s="291">
        <f>AP64</f>
        <v>3.1540949999999999</v>
      </c>
      <c r="AQ69" s="11">
        <f t="shared" ref="AQ69:AS69" si="88">AQ64</f>
        <v>1.4276783263056378E-2</v>
      </c>
      <c r="AR69" s="5">
        <f t="shared" si="88"/>
        <v>0</v>
      </c>
      <c r="AS69" s="292">
        <f t="shared" si="88"/>
        <v>0.5296909742465753</v>
      </c>
    </row>
    <row r="70" spans="1:48" x14ac:dyDescent="0.3">
      <c r="A70" s="318"/>
      <c r="B70" s="270"/>
      <c r="E70" s="271"/>
      <c r="F70" s="270"/>
      <c r="I70" s="271"/>
      <c r="J70" s="270"/>
      <c r="M70" s="271"/>
      <c r="N70" s="270"/>
      <c r="Q70" s="271"/>
      <c r="R70" s="270"/>
      <c r="U70" s="271"/>
      <c r="V70" s="270"/>
      <c r="Y70" s="271"/>
      <c r="Z70" s="270"/>
      <c r="AC70" s="271"/>
      <c r="AD70" s="270"/>
      <c r="AG70" s="271"/>
      <c r="AH70" s="270"/>
      <c r="AK70" s="271"/>
      <c r="AL70" s="270"/>
      <c r="AP70" s="270"/>
      <c r="AS70" s="271"/>
    </row>
    <row r="71" spans="1:48" x14ac:dyDescent="0.3">
      <c r="A71" s="324" t="s">
        <v>286</v>
      </c>
      <c r="B71" s="277">
        <v>0.1</v>
      </c>
      <c r="C71" s="13">
        <v>0.1</v>
      </c>
      <c r="D71" s="13">
        <v>0.1</v>
      </c>
      <c r="E71" s="278">
        <v>0.1</v>
      </c>
      <c r="F71" s="277">
        <v>0.1</v>
      </c>
      <c r="G71" s="13">
        <v>0.1</v>
      </c>
      <c r="H71" s="13">
        <v>0.1</v>
      </c>
      <c r="I71" s="278">
        <v>0.1</v>
      </c>
      <c r="J71" s="277">
        <v>0.1</v>
      </c>
      <c r="K71" s="13">
        <v>0.1</v>
      </c>
      <c r="L71" s="13">
        <v>0.1</v>
      </c>
      <c r="M71" s="278">
        <v>0.1</v>
      </c>
      <c r="N71" s="277">
        <v>0.1</v>
      </c>
      <c r="O71" s="13">
        <v>0.1</v>
      </c>
      <c r="P71" s="13">
        <v>0.1</v>
      </c>
      <c r="Q71" s="278">
        <v>0.1</v>
      </c>
      <c r="R71" s="277">
        <v>0.1</v>
      </c>
      <c r="S71" s="13">
        <v>0.1</v>
      </c>
      <c r="T71" s="13">
        <v>0.1</v>
      </c>
      <c r="U71" s="278">
        <v>0.1</v>
      </c>
      <c r="V71" s="277">
        <v>0.1</v>
      </c>
      <c r="W71" s="13">
        <v>0.1</v>
      </c>
      <c r="X71" s="13">
        <v>0.1</v>
      </c>
      <c r="Y71" s="278">
        <v>0.1</v>
      </c>
      <c r="Z71" s="277">
        <v>0.1</v>
      </c>
      <c r="AA71" s="13">
        <v>0.1</v>
      </c>
      <c r="AB71" s="13">
        <v>0.1</v>
      </c>
      <c r="AC71" s="278">
        <v>0.1</v>
      </c>
      <c r="AD71" s="277">
        <v>0.1</v>
      </c>
      <c r="AE71" s="13">
        <v>0.1</v>
      </c>
      <c r="AF71" s="13">
        <v>0.1</v>
      </c>
      <c r="AG71" s="278">
        <v>0.1</v>
      </c>
      <c r="AH71" s="277">
        <v>0.1</v>
      </c>
      <c r="AI71" s="13">
        <v>0.1</v>
      </c>
      <c r="AJ71" s="13">
        <v>0.1</v>
      </c>
      <c r="AK71" s="278">
        <v>0.1</v>
      </c>
      <c r="AL71" s="277">
        <v>0.1</v>
      </c>
      <c r="AM71" s="13">
        <v>0.1</v>
      </c>
      <c r="AN71" s="13">
        <v>0.1</v>
      </c>
      <c r="AO71" s="13">
        <v>0.1</v>
      </c>
      <c r="AP71" s="277">
        <v>0.1</v>
      </c>
      <c r="AQ71" s="13">
        <v>0.1</v>
      </c>
      <c r="AR71" s="13">
        <v>0.1</v>
      </c>
      <c r="AS71" s="278">
        <v>0.1</v>
      </c>
      <c r="AT71" s="13"/>
      <c r="AU71" s="247" t="s">
        <v>287</v>
      </c>
    </row>
    <row r="72" spans="1:48" x14ac:dyDescent="0.3">
      <c r="A72" s="318"/>
      <c r="B72" s="270"/>
      <c r="E72" s="271"/>
      <c r="F72" s="270"/>
      <c r="I72" s="271"/>
      <c r="J72" s="270"/>
      <c r="M72" s="271"/>
      <c r="N72" s="270"/>
      <c r="Q72" s="271"/>
      <c r="R72" s="270"/>
      <c r="U72" s="271"/>
      <c r="V72" s="270"/>
      <c r="Y72" s="271"/>
      <c r="Z72" s="270"/>
      <c r="AC72" s="271"/>
      <c r="AD72" s="270"/>
      <c r="AG72" s="271"/>
      <c r="AH72" s="270"/>
      <c r="AK72" s="271"/>
      <c r="AL72" s="270"/>
      <c r="AP72" s="270"/>
      <c r="AS72" s="271"/>
    </row>
    <row r="73" spans="1:48" x14ac:dyDescent="0.3">
      <c r="A73" s="329" t="s">
        <v>288</v>
      </c>
      <c r="B73" s="279"/>
      <c r="C73" s="118"/>
      <c r="D73" s="118"/>
      <c r="E73" s="280"/>
      <c r="F73" s="279"/>
      <c r="G73" s="118"/>
      <c r="H73" s="118"/>
      <c r="I73" s="280"/>
      <c r="J73" s="279"/>
      <c r="K73" s="118"/>
      <c r="L73" s="118"/>
      <c r="M73" s="280"/>
      <c r="N73" s="279"/>
      <c r="O73" s="118"/>
      <c r="P73" s="118"/>
      <c r="Q73" s="280"/>
      <c r="R73" s="279"/>
      <c r="S73" s="118"/>
      <c r="T73" s="118"/>
      <c r="U73" s="280"/>
      <c r="V73" s="279"/>
      <c r="W73" s="118"/>
      <c r="X73" s="118"/>
      <c r="Y73" s="280"/>
      <c r="Z73" s="279"/>
      <c r="AA73" s="118"/>
      <c r="AB73" s="118"/>
      <c r="AC73" s="280"/>
      <c r="AD73" s="279"/>
      <c r="AE73" s="118"/>
      <c r="AF73" s="118"/>
      <c r="AG73" s="280"/>
      <c r="AH73" s="279"/>
      <c r="AI73" s="118"/>
      <c r="AJ73" s="118"/>
      <c r="AK73" s="280"/>
      <c r="AL73" s="279"/>
      <c r="AM73" s="118"/>
      <c r="AN73" s="118"/>
      <c r="AO73" s="118"/>
      <c r="AP73" s="279"/>
      <c r="AQ73" s="118"/>
      <c r="AR73" s="118"/>
      <c r="AS73" s="280"/>
      <c r="AU73" s="234" t="s">
        <v>289</v>
      </c>
      <c r="AV73" s="95" t="s">
        <v>290</v>
      </c>
    </row>
    <row r="74" spans="1:48" x14ac:dyDescent="0.3">
      <c r="A74" s="324" t="s">
        <v>260</v>
      </c>
      <c r="B74" s="301">
        <f>B67*B80</f>
        <v>1.076103</v>
      </c>
      <c r="C74" s="4">
        <f>C67*C80</f>
        <v>4.8709025250427643E-3</v>
      </c>
      <c r="D74" s="4">
        <f t="shared" ref="D74:E74" si="89">D67*D80</f>
        <v>0</v>
      </c>
      <c r="E74" s="286">
        <f t="shared" si="89"/>
        <v>0.18071809709589035</v>
      </c>
      <c r="F74" s="301">
        <f>F67*F80</f>
        <v>1.076103</v>
      </c>
      <c r="G74" s="4">
        <f>G67*G80</f>
        <v>4.8709025250427643E-3</v>
      </c>
      <c r="H74" s="4">
        <f t="shared" ref="H74:I74" si="90">H67*H80</f>
        <v>0</v>
      </c>
      <c r="I74" s="286">
        <f t="shared" si="90"/>
        <v>0.18071809709589035</v>
      </c>
      <c r="J74" s="301">
        <f>J67*J80</f>
        <v>1.076103</v>
      </c>
      <c r="K74" s="4">
        <f>K67*K80</f>
        <v>4.8709025250427643E-3</v>
      </c>
      <c r="L74" s="4">
        <f t="shared" ref="L74:M74" si="91">L67*L80</f>
        <v>0</v>
      </c>
      <c r="M74" s="286">
        <f t="shared" si="91"/>
        <v>0.18071809709589035</v>
      </c>
      <c r="N74" s="301">
        <f>N67*N80</f>
        <v>1.076103</v>
      </c>
      <c r="O74" s="4">
        <f>O67*O80</f>
        <v>4.8709025250427643E-3</v>
      </c>
      <c r="P74" s="4">
        <f t="shared" ref="P74:Q74" si="92">P67*P80</f>
        <v>0</v>
      </c>
      <c r="Q74" s="286">
        <f t="shared" si="92"/>
        <v>0.18071809709589035</v>
      </c>
      <c r="R74" s="301">
        <f>R67*R80</f>
        <v>1.076103</v>
      </c>
      <c r="S74" s="4">
        <f>S67*S80</f>
        <v>4.8709025250427643E-3</v>
      </c>
      <c r="T74" s="4">
        <f t="shared" ref="T74:U74" si="93">T67*T80</f>
        <v>0</v>
      </c>
      <c r="U74" s="286">
        <f t="shared" si="93"/>
        <v>0.18071809709589035</v>
      </c>
      <c r="V74" s="301">
        <f>V67*V80</f>
        <v>1.076103</v>
      </c>
      <c r="W74" s="4">
        <f>W67*W80</f>
        <v>4.8709025250427643E-3</v>
      </c>
      <c r="X74" s="4">
        <f t="shared" ref="X74:Y74" si="94">X67*X80</f>
        <v>0</v>
      </c>
      <c r="Y74" s="286">
        <f t="shared" si="94"/>
        <v>0.18071809709589035</v>
      </c>
      <c r="Z74" s="301">
        <f>Z67*Z80</f>
        <v>1.076103</v>
      </c>
      <c r="AA74" s="4">
        <f>AA67*AA80</f>
        <v>4.8709025250427643E-3</v>
      </c>
      <c r="AB74" s="4">
        <f t="shared" ref="AB74:AC74" si="95">AB67*AB80</f>
        <v>0</v>
      </c>
      <c r="AC74" s="286">
        <f t="shared" si="95"/>
        <v>0.18071809709589035</v>
      </c>
      <c r="AD74" s="301">
        <f>AD67*AD80</f>
        <v>1.076103</v>
      </c>
      <c r="AE74" s="4">
        <f>AE67*AE80</f>
        <v>4.8709025250427643E-3</v>
      </c>
      <c r="AF74" s="4">
        <f t="shared" ref="AF74:AG74" si="96">AF67*AF80</f>
        <v>0</v>
      </c>
      <c r="AG74" s="286">
        <f t="shared" si="96"/>
        <v>0.18071809709589035</v>
      </c>
      <c r="AH74" s="301">
        <f>AH67*AH80</f>
        <v>1.076103</v>
      </c>
      <c r="AI74" s="4">
        <f>AI67*AI80</f>
        <v>4.8709025250427643E-3</v>
      </c>
      <c r="AJ74" s="4">
        <f t="shared" ref="AJ74:AK74" si="97">AJ67*AJ80</f>
        <v>0</v>
      </c>
      <c r="AK74" s="286">
        <f t="shared" si="97"/>
        <v>0.18071809709589035</v>
      </c>
      <c r="AL74" s="301">
        <f>AL67*AL80</f>
        <v>1.076103</v>
      </c>
      <c r="AM74" s="4">
        <f>AM67*AM80</f>
        <v>4.8709025250427643E-3</v>
      </c>
      <c r="AN74" s="4">
        <f t="shared" ref="AN74:AO74" si="98">AN67*AN80</f>
        <v>0</v>
      </c>
      <c r="AO74" s="4">
        <f t="shared" si="98"/>
        <v>0.18071809709589035</v>
      </c>
      <c r="AP74" s="301">
        <f>AP67*AP80</f>
        <v>1.076103</v>
      </c>
      <c r="AQ74" s="4">
        <f>AQ67*AQ80</f>
        <v>4.8709025250427643E-3</v>
      </c>
      <c r="AR74" s="4">
        <f t="shared" ref="AR74:AS74" si="99">AR67*AR80</f>
        <v>0</v>
      </c>
      <c r="AS74" s="286">
        <f t="shared" si="99"/>
        <v>0.18071809709589035</v>
      </c>
    </row>
    <row r="75" spans="1:48" x14ac:dyDescent="0.3">
      <c r="A75" s="324" t="s">
        <v>261</v>
      </c>
      <c r="B75" s="301">
        <f>B68*B81</f>
        <v>1.1721661875</v>
      </c>
      <c r="C75" s="4">
        <f t="shared" ref="C75" si="100">C68*C81</f>
        <v>5.3057256066226946E-3</v>
      </c>
      <c r="D75" s="4">
        <f>D68*D81</f>
        <v>3.7576407452054785</v>
      </c>
      <c r="E75" s="286">
        <f>E68*E81</f>
        <v>0.19685071306849311</v>
      </c>
      <c r="F75" s="301">
        <f>F68*F81</f>
        <v>1.1721661875</v>
      </c>
      <c r="G75" s="4">
        <f t="shared" ref="G75" si="101">G68*G81</f>
        <v>5.3057256066226946E-3</v>
      </c>
      <c r="H75" s="4">
        <f>H68*H81</f>
        <v>3.7576407452054785</v>
      </c>
      <c r="I75" s="286">
        <f>I68*I81</f>
        <v>0.19685071306849311</v>
      </c>
      <c r="J75" s="301">
        <f>J68*J81</f>
        <v>1.1721661875</v>
      </c>
      <c r="K75" s="4">
        <f t="shared" ref="K75" si="102">K68*K81</f>
        <v>5.3057256066226946E-3</v>
      </c>
      <c r="L75" s="4">
        <f>L68*L81</f>
        <v>3.7576407452054785</v>
      </c>
      <c r="M75" s="286">
        <f>M68*M81</f>
        <v>0.19685071306849311</v>
      </c>
      <c r="N75" s="301">
        <f>N68*N81</f>
        <v>1.1721661875</v>
      </c>
      <c r="O75" s="4">
        <f t="shared" ref="O75" si="103">O68*O81</f>
        <v>5.3057256066226946E-3</v>
      </c>
      <c r="P75" s="4">
        <f>P68*P81</f>
        <v>3.7576407452054785</v>
      </c>
      <c r="Q75" s="286">
        <f>Q68*Q81</f>
        <v>0.19685071306849311</v>
      </c>
      <c r="R75" s="301">
        <f>R68*R81</f>
        <v>1.1721661875</v>
      </c>
      <c r="S75" s="4">
        <f t="shared" ref="S75" si="104">S68*S81</f>
        <v>5.3057256066226946E-3</v>
      </c>
      <c r="T75" s="4">
        <f>T68*T81</f>
        <v>3.7576407452054785</v>
      </c>
      <c r="U75" s="286">
        <f>U68*U81</f>
        <v>0.19685071306849311</v>
      </c>
      <c r="V75" s="301">
        <f>V68*V81</f>
        <v>1.1721661875</v>
      </c>
      <c r="W75" s="4">
        <f t="shared" ref="W75" si="105">W68*W81</f>
        <v>5.3057256066226946E-3</v>
      </c>
      <c r="X75" s="4">
        <f>X68*X81</f>
        <v>3.7576407452054785</v>
      </c>
      <c r="Y75" s="286">
        <f>Y68*Y81</f>
        <v>0.19685071306849311</v>
      </c>
      <c r="Z75" s="301">
        <f>Z68*Z81</f>
        <v>1.1721661875</v>
      </c>
      <c r="AA75" s="4">
        <f t="shared" ref="AA75" si="106">AA68*AA81</f>
        <v>5.3057256066226946E-3</v>
      </c>
      <c r="AB75" s="4">
        <f>AB68*AB81</f>
        <v>3.7576407452054785</v>
      </c>
      <c r="AC75" s="286">
        <f>AC68*AC81</f>
        <v>0.19685071306849311</v>
      </c>
      <c r="AD75" s="301">
        <f>AD68*AD81</f>
        <v>1.1721661875</v>
      </c>
      <c r="AE75" s="4">
        <f t="shared" ref="AE75" si="107">AE68*AE81</f>
        <v>5.3057256066226946E-3</v>
      </c>
      <c r="AF75" s="4">
        <f>AF68*AF81</f>
        <v>3.7576407452054785</v>
      </c>
      <c r="AG75" s="286">
        <f>AG68*AG81</f>
        <v>0.19685071306849311</v>
      </c>
      <c r="AH75" s="301">
        <f>AH68*AH81</f>
        <v>1.1721661875</v>
      </c>
      <c r="AI75" s="4">
        <f t="shared" ref="AI75" si="108">AI68*AI81</f>
        <v>5.3057256066226946E-3</v>
      </c>
      <c r="AJ75" s="4">
        <f>AJ68*AJ81</f>
        <v>3.7576407452054785</v>
      </c>
      <c r="AK75" s="286">
        <f>AK68*AK81</f>
        <v>0.19685071306849311</v>
      </c>
      <c r="AL75" s="301">
        <f>AL68*AL81</f>
        <v>1.1721661875</v>
      </c>
      <c r="AM75" s="4">
        <f t="shared" ref="AM75" si="109">AM68*AM81</f>
        <v>5.3057256066226946E-3</v>
      </c>
      <c r="AN75" s="4">
        <f>AN68*AN81</f>
        <v>3.7576407452054785</v>
      </c>
      <c r="AO75" s="4">
        <f>AO68*AO81</f>
        <v>0.19685071306849311</v>
      </c>
      <c r="AP75" s="301">
        <f>AP68*AP81</f>
        <v>1.1721661875</v>
      </c>
      <c r="AQ75" s="4">
        <f t="shared" ref="AQ75" si="110">AQ68*AQ81</f>
        <v>5.3057256066226946E-3</v>
      </c>
      <c r="AR75" s="4">
        <f>AR68*AR81</f>
        <v>3.7576407452054785</v>
      </c>
      <c r="AS75" s="286">
        <f>AS68*AS81</f>
        <v>0.19685071306849311</v>
      </c>
    </row>
    <row r="76" spans="1:48" x14ac:dyDescent="0.3">
      <c r="A76" s="324" t="s">
        <v>262</v>
      </c>
      <c r="B76" s="301">
        <f>B69*B80</f>
        <v>0.9146875499999999</v>
      </c>
      <c r="C76" s="4">
        <f t="shared" ref="C76" si="111">C69*C80</f>
        <v>4.1402671462863498E-3</v>
      </c>
      <c r="D76" s="4">
        <f>D69*D80</f>
        <v>0</v>
      </c>
      <c r="E76" s="286">
        <f t="shared" ref="E76" si="112">E69*E80</f>
        <v>0.15361038253150683</v>
      </c>
      <c r="F76" s="301">
        <f>F69*F80</f>
        <v>0.9146875499999999</v>
      </c>
      <c r="G76" s="4">
        <f t="shared" ref="G76" si="113">G69*G80</f>
        <v>4.1402671462863498E-3</v>
      </c>
      <c r="H76" s="4">
        <f>H69*H80</f>
        <v>0</v>
      </c>
      <c r="I76" s="286">
        <f t="shared" ref="I76" si="114">I69*I80</f>
        <v>0.15361038253150683</v>
      </c>
      <c r="J76" s="301">
        <f>J69*J80</f>
        <v>0.9146875499999999</v>
      </c>
      <c r="K76" s="4">
        <f t="shared" ref="K76" si="115">K69*K80</f>
        <v>4.1402671462863498E-3</v>
      </c>
      <c r="L76" s="4">
        <f>L69*L80</f>
        <v>0</v>
      </c>
      <c r="M76" s="286">
        <f t="shared" ref="M76" si="116">M69*M80</f>
        <v>0.15361038253150683</v>
      </c>
      <c r="N76" s="301">
        <f>N69*N80</f>
        <v>0.9146875499999999</v>
      </c>
      <c r="O76" s="4">
        <f t="shared" ref="O76" si="117">O69*O80</f>
        <v>4.1402671462863498E-3</v>
      </c>
      <c r="P76" s="4">
        <f>P69*P80</f>
        <v>0</v>
      </c>
      <c r="Q76" s="286">
        <f t="shared" ref="Q76" si="118">Q69*Q80</f>
        <v>0.15361038253150683</v>
      </c>
      <c r="R76" s="301">
        <f>R69*R80</f>
        <v>0.9146875499999999</v>
      </c>
      <c r="S76" s="4">
        <f t="shared" ref="S76" si="119">S69*S80</f>
        <v>4.1402671462863498E-3</v>
      </c>
      <c r="T76" s="4">
        <f>T69*T80</f>
        <v>0</v>
      </c>
      <c r="U76" s="286">
        <f t="shared" ref="U76" si="120">U69*U80</f>
        <v>0.15361038253150683</v>
      </c>
      <c r="V76" s="301">
        <f>V69*V80</f>
        <v>0.9146875499999999</v>
      </c>
      <c r="W76" s="4">
        <f t="shared" ref="W76" si="121">W69*W80</f>
        <v>4.1402671462863498E-3</v>
      </c>
      <c r="X76" s="4">
        <f>X69*X80</f>
        <v>0</v>
      </c>
      <c r="Y76" s="286">
        <f t="shared" ref="Y76" si="122">Y69*Y80</f>
        <v>0.15361038253150683</v>
      </c>
      <c r="Z76" s="301">
        <f>Z69*Z80</f>
        <v>0.9146875499999999</v>
      </c>
      <c r="AA76" s="4">
        <f t="shared" ref="AA76" si="123">AA69*AA80</f>
        <v>4.1402671462863498E-3</v>
      </c>
      <c r="AB76" s="4">
        <f>AB69*AB80</f>
        <v>0</v>
      </c>
      <c r="AC76" s="286">
        <f t="shared" ref="AC76" si="124">AC69*AC80</f>
        <v>0.15361038253150683</v>
      </c>
      <c r="AD76" s="301">
        <f>AD69*AD80</f>
        <v>0.9146875499999999</v>
      </c>
      <c r="AE76" s="4">
        <f t="shared" ref="AE76" si="125">AE69*AE80</f>
        <v>4.1402671462863498E-3</v>
      </c>
      <c r="AF76" s="4">
        <f>AF69*AF80</f>
        <v>0</v>
      </c>
      <c r="AG76" s="286">
        <f t="shared" ref="AG76" si="126">AG69*AG80</f>
        <v>0.15361038253150683</v>
      </c>
      <c r="AH76" s="301">
        <f>AH69*AH80</f>
        <v>0.9146875499999999</v>
      </c>
      <c r="AI76" s="4">
        <f t="shared" ref="AI76" si="127">AI69*AI80</f>
        <v>4.1402671462863498E-3</v>
      </c>
      <c r="AJ76" s="4">
        <f>AJ69*AJ80</f>
        <v>0</v>
      </c>
      <c r="AK76" s="286">
        <f t="shared" ref="AK76" si="128">AK69*AK80</f>
        <v>0.15361038253150683</v>
      </c>
      <c r="AL76" s="301">
        <f>AL69*AL80</f>
        <v>0.9146875499999999</v>
      </c>
      <c r="AM76" s="4">
        <f t="shared" ref="AM76" si="129">AM69*AM80</f>
        <v>4.1402671462863498E-3</v>
      </c>
      <c r="AN76" s="4">
        <f>AN69*AN80</f>
        <v>0</v>
      </c>
      <c r="AO76" s="4">
        <f t="shared" ref="AO76" si="130">AO69*AO80</f>
        <v>0.15361038253150683</v>
      </c>
      <c r="AP76" s="301">
        <f>AP69*AP80</f>
        <v>0.9146875499999999</v>
      </c>
      <c r="AQ76" s="4">
        <f t="shared" ref="AQ76:AS76" si="131">AQ69*AQ80</f>
        <v>4.1402671462863498E-3</v>
      </c>
      <c r="AR76" s="4">
        <f>AR69*AR80</f>
        <v>0</v>
      </c>
      <c r="AS76" s="286">
        <f t="shared" si="131"/>
        <v>0.15361038253150683</v>
      </c>
      <c r="AU76" s="95" t="s">
        <v>277</v>
      </c>
    </row>
    <row r="77" spans="1:48" x14ac:dyDescent="0.3">
      <c r="A77" s="324" t="s">
        <v>265</v>
      </c>
      <c r="B77" s="281"/>
      <c r="C77" s="127"/>
      <c r="D77" s="127"/>
      <c r="E77" s="285">
        <f>SUM(B74:E76)</f>
        <v>7.4660935706793197</v>
      </c>
      <c r="F77" s="281"/>
      <c r="G77" s="127"/>
      <c r="H77" s="127"/>
      <c r="I77" s="285">
        <f>SUM(F74:I76)</f>
        <v>7.4660935706793197</v>
      </c>
      <c r="J77" s="281"/>
      <c r="K77" s="127"/>
      <c r="L77" s="127"/>
      <c r="M77" s="285">
        <f>SUM(J74:M76)</f>
        <v>7.4660935706793197</v>
      </c>
      <c r="N77" s="281"/>
      <c r="O77" s="127"/>
      <c r="P77" s="127"/>
      <c r="Q77" s="285">
        <f>SUM(N74:Q76)</f>
        <v>7.4660935706793197</v>
      </c>
      <c r="R77" s="281"/>
      <c r="S77" s="127"/>
      <c r="T77" s="127"/>
      <c r="U77" s="285">
        <f>SUM(R74:U76)</f>
        <v>7.4660935706793197</v>
      </c>
      <c r="V77" s="281"/>
      <c r="W77" s="127"/>
      <c r="X77" s="127"/>
      <c r="Y77" s="285">
        <f>SUM(V74:Y76)</f>
        <v>7.4660935706793197</v>
      </c>
      <c r="Z77" s="281"/>
      <c r="AA77" s="127"/>
      <c r="AB77" s="127"/>
      <c r="AC77" s="285">
        <f>SUM(Z74:AC76)</f>
        <v>7.4660935706793197</v>
      </c>
      <c r="AD77" s="281"/>
      <c r="AE77" s="127"/>
      <c r="AF77" s="127"/>
      <c r="AG77" s="285">
        <f>SUM(AD74:AG76)</f>
        <v>7.4660935706793197</v>
      </c>
      <c r="AH77" s="281"/>
      <c r="AI77" s="127"/>
      <c r="AJ77" s="127"/>
      <c r="AK77" s="285">
        <f>SUM(AH74:AK76)</f>
        <v>7.4660935706793197</v>
      </c>
      <c r="AL77" s="281"/>
      <c r="AM77" s="127"/>
      <c r="AN77" s="127"/>
      <c r="AO77" s="11">
        <f>SUM(AL74:AO76)</f>
        <v>7.4660935706793197</v>
      </c>
      <c r="AP77" s="281"/>
      <c r="AQ77" s="127"/>
      <c r="AR77" s="127"/>
      <c r="AS77" s="285">
        <f>SUM(AP74:AS76)</f>
        <v>7.4660935706793197</v>
      </c>
      <c r="AU77" s="95"/>
    </row>
    <row r="78" spans="1:48" x14ac:dyDescent="0.3">
      <c r="A78" s="324" t="s">
        <v>266</v>
      </c>
      <c r="B78" s="281"/>
      <c r="C78" s="127"/>
      <c r="D78" s="127"/>
      <c r="E78" s="286">
        <f>E77/Production!B35</f>
        <v>5.9777665765802894E-3</v>
      </c>
      <c r="F78" s="281"/>
      <c r="G78" s="127"/>
      <c r="H78" s="127"/>
      <c r="I78" s="286">
        <f>I77/Production!C35</f>
        <v>5.9777665765802894E-3</v>
      </c>
      <c r="J78" s="281"/>
      <c r="K78" s="127"/>
      <c r="L78" s="127"/>
      <c r="M78" s="286">
        <f>M77/Production!D35</f>
        <v>5.9777665765802894E-3</v>
      </c>
      <c r="N78" s="281"/>
      <c r="O78" s="127"/>
      <c r="P78" s="127"/>
      <c r="Q78" s="286">
        <f>Q77/Production!E35</f>
        <v>5.9777665765802894E-3</v>
      </c>
      <c r="R78" s="281"/>
      <c r="S78" s="127"/>
      <c r="T78" s="127"/>
      <c r="U78" s="286">
        <f>U77/Production!F35</f>
        <v>5.9777665765802894E-3</v>
      </c>
      <c r="V78" s="281"/>
      <c r="W78" s="127"/>
      <c r="X78" s="127"/>
      <c r="Y78" s="286">
        <f>Y77/Production!G35</f>
        <v>5.9777665765802894E-3</v>
      </c>
      <c r="Z78" s="281"/>
      <c r="AA78" s="127"/>
      <c r="AB78" s="127"/>
      <c r="AC78" s="286">
        <f>AC77/Production!H35</f>
        <v>5.9777665765802894E-3</v>
      </c>
      <c r="AD78" s="281"/>
      <c r="AE78" s="127"/>
      <c r="AF78" s="127"/>
      <c r="AG78" s="286">
        <f>AG77/Production!I35</f>
        <v>5.9777665765802894E-3</v>
      </c>
      <c r="AH78" s="281"/>
      <c r="AI78" s="127"/>
      <c r="AJ78" s="127"/>
      <c r="AK78" s="286">
        <f>AK77/Production!J35</f>
        <v>5.9777665765802894E-3</v>
      </c>
      <c r="AL78" s="281"/>
      <c r="AM78" s="127"/>
      <c r="AN78" s="127"/>
      <c r="AO78" s="4">
        <f>AO77/Production!K35</f>
        <v>5.9777665765802894E-3</v>
      </c>
      <c r="AP78" s="281"/>
      <c r="AQ78" s="127"/>
      <c r="AR78" s="127"/>
      <c r="AS78" s="286">
        <f>AS77/Production!L35</f>
        <v>5.9777665765802894E-3</v>
      </c>
      <c r="AU78" s="95"/>
    </row>
    <row r="79" spans="1:48" x14ac:dyDescent="0.3">
      <c r="A79" s="318"/>
      <c r="B79" s="270"/>
      <c r="E79" s="271"/>
      <c r="F79" s="270"/>
      <c r="I79" s="271"/>
      <c r="J79" s="270"/>
      <c r="M79" s="271"/>
      <c r="N79" s="270"/>
      <c r="Q79" s="271"/>
      <c r="R79" s="270"/>
      <c r="U79" s="271"/>
      <c r="V79" s="270"/>
      <c r="Y79" s="271"/>
      <c r="Z79" s="270"/>
      <c r="AC79" s="271"/>
      <c r="AD79" s="270"/>
      <c r="AG79" s="271"/>
      <c r="AH79" s="270"/>
      <c r="AK79" s="271"/>
      <c r="AL79" s="270"/>
      <c r="AP79" s="270"/>
      <c r="AS79" s="271"/>
    </row>
    <row r="80" spans="1:48" x14ac:dyDescent="0.3">
      <c r="A80" s="327" t="s">
        <v>291</v>
      </c>
      <c r="B80" s="294">
        <v>0.28999999999999998</v>
      </c>
      <c r="C80" s="15">
        <v>0.28999999999999998</v>
      </c>
      <c r="D80" s="15">
        <v>0.28999999999999998</v>
      </c>
      <c r="E80" s="295">
        <v>0.28999999999999998</v>
      </c>
      <c r="F80" s="294">
        <v>0.28999999999999998</v>
      </c>
      <c r="G80" s="15">
        <v>0.28999999999999998</v>
      </c>
      <c r="H80" s="15">
        <v>0.28999999999999998</v>
      </c>
      <c r="I80" s="295">
        <v>0.28999999999999998</v>
      </c>
      <c r="J80" s="294">
        <v>0.28999999999999998</v>
      </c>
      <c r="K80" s="15">
        <v>0.28999999999999998</v>
      </c>
      <c r="L80" s="15">
        <v>0.28999999999999998</v>
      </c>
      <c r="M80" s="295">
        <v>0.28999999999999998</v>
      </c>
      <c r="N80" s="294">
        <v>0.28999999999999998</v>
      </c>
      <c r="O80" s="15">
        <v>0.28999999999999998</v>
      </c>
      <c r="P80" s="15">
        <v>0.28999999999999998</v>
      </c>
      <c r="Q80" s="295">
        <v>0.28999999999999998</v>
      </c>
      <c r="R80" s="294">
        <v>0.28999999999999998</v>
      </c>
      <c r="S80" s="15">
        <v>0.28999999999999998</v>
      </c>
      <c r="T80" s="15">
        <v>0.28999999999999998</v>
      </c>
      <c r="U80" s="295">
        <v>0.28999999999999998</v>
      </c>
      <c r="V80" s="294">
        <v>0.28999999999999998</v>
      </c>
      <c r="W80" s="15">
        <v>0.28999999999999998</v>
      </c>
      <c r="X80" s="15">
        <v>0.28999999999999998</v>
      </c>
      <c r="Y80" s="295">
        <v>0.28999999999999998</v>
      </c>
      <c r="Z80" s="294">
        <v>0.28999999999999998</v>
      </c>
      <c r="AA80" s="15">
        <v>0.28999999999999998</v>
      </c>
      <c r="AB80" s="15">
        <v>0.28999999999999998</v>
      </c>
      <c r="AC80" s="295">
        <v>0.28999999999999998</v>
      </c>
      <c r="AD80" s="294">
        <v>0.28999999999999998</v>
      </c>
      <c r="AE80" s="15">
        <v>0.28999999999999998</v>
      </c>
      <c r="AF80" s="15">
        <v>0.28999999999999998</v>
      </c>
      <c r="AG80" s="295">
        <v>0.28999999999999998</v>
      </c>
      <c r="AH80" s="294">
        <v>0.28999999999999998</v>
      </c>
      <c r="AI80" s="15">
        <v>0.28999999999999998</v>
      </c>
      <c r="AJ80" s="15">
        <v>0.28999999999999998</v>
      </c>
      <c r="AK80" s="295">
        <v>0.28999999999999998</v>
      </c>
      <c r="AL80" s="294">
        <v>0.28999999999999998</v>
      </c>
      <c r="AM80" s="15">
        <v>0.28999999999999998</v>
      </c>
      <c r="AN80" s="15">
        <v>0.28999999999999998</v>
      </c>
      <c r="AO80" s="15">
        <v>0.28999999999999998</v>
      </c>
      <c r="AP80" s="294">
        <v>0.28999999999999998</v>
      </c>
      <c r="AQ80" s="15">
        <v>0.28999999999999998</v>
      </c>
      <c r="AR80" s="15">
        <v>0.28999999999999998</v>
      </c>
      <c r="AS80" s="295">
        <v>0.28999999999999998</v>
      </c>
      <c r="AU80" s="247" t="s">
        <v>272</v>
      </c>
    </row>
    <row r="81" spans="1:52" x14ac:dyDescent="0.3">
      <c r="A81" s="327" t="s">
        <v>292</v>
      </c>
      <c r="B81" s="294">
        <v>0.11</v>
      </c>
      <c r="C81" s="15">
        <v>0.11</v>
      </c>
      <c r="D81" s="15">
        <v>0.11</v>
      </c>
      <c r="E81" s="295">
        <v>0.11</v>
      </c>
      <c r="F81" s="294">
        <v>0.11</v>
      </c>
      <c r="G81" s="15">
        <v>0.11</v>
      </c>
      <c r="H81" s="15">
        <v>0.11</v>
      </c>
      <c r="I81" s="295">
        <v>0.11</v>
      </c>
      <c r="J81" s="294">
        <v>0.11</v>
      </c>
      <c r="K81" s="15">
        <v>0.11</v>
      </c>
      <c r="L81" s="15">
        <v>0.11</v>
      </c>
      <c r="M81" s="295">
        <v>0.11</v>
      </c>
      <c r="N81" s="294">
        <v>0.11</v>
      </c>
      <c r="O81" s="15">
        <v>0.11</v>
      </c>
      <c r="P81" s="15">
        <v>0.11</v>
      </c>
      <c r="Q81" s="295">
        <v>0.11</v>
      </c>
      <c r="R81" s="294">
        <v>0.11</v>
      </c>
      <c r="S81" s="15">
        <v>0.11</v>
      </c>
      <c r="T81" s="15">
        <v>0.11</v>
      </c>
      <c r="U81" s="295">
        <v>0.11</v>
      </c>
      <c r="V81" s="294">
        <v>0.11</v>
      </c>
      <c r="W81" s="15">
        <v>0.11</v>
      </c>
      <c r="X81" s="15">
        <v>0.11</v>
      </c>
      <c r="Y81" s="295">
        <v>0.11</v>
      </c>
      <c r="Z81" s="294">
        <v>0.11</v>
      </c>
      <c r="AA81" s="15">
        <v>0.11</v>
      </c>
      <c r="AB81" s="15">
        <v>0.11</v>
      </c>
      <c r="AC81" s="295">
        <v>0.11</v>
      </c>
      <c r="AD81" s="294">
        <v>0.11</v>
      </c>
      <c r="AE81" s="15">
        <v>0.11</v>
      </c>
      <c r="AF81" s="15">
        <v>0.11</v>
      </c>
      <c r="AG81" s="295">
        <v>0.11</v>
      </c>
      <c r="AH81" s="294">
        <v>0.11</v>
      </c>
      <c r="AI81" s="15">
        <v>0.11</v>
      </c>
      <c r="AJ81" s="15">
        <v>0.11</v>
      </c>
      <c r="AK81" s="295">
        <v>0.11</v>
      </c>
      <c r="AL81" s="294">
        <v>0.11</v>
      </c>
      <c r="AM81" s="15">
        <v>0.11</v>
      </c>
      <c r="AN81" s="15">
        <v>0.11</v>
      </c>
      <c r="AO81" s="15">
        <v>0.11</v>
      </c>
      <c r="AP81" s="294">
        <v>0.11</v>
      </c>
      <c r="AQ81" s="15">
        <v>0.11</v>
      </c>
      <c r="AR81" s="15">
        <v>0.11</v>
      </c>
      <c r="AS81" s="295">
        <v>0.11</v>
      </c>
      <c r="AU81" s="247" t="s">
        <v>272</v>
      </c>
    </row>
    <row r="82" spans="1:52" x14ac:dyDescent="0.3">
      <c r="A82" s="318"/>
      <c r="B82" s="270"/>
      <c r="E82" s="271"/>
      <c r="F82" s="270"/>
      <c r="I82" s="271"/>
      <c r="J82" s="270"/>
      <c r="M82" s="271"/>
      <c r="N82" s="270"/>
      <c r="Q82" s="271"/>
      <c r="R82" s="270"/>
      <c r="U82" s="271"/>
      <c r="V82" s="270"/>
      <c r="Y82" s="271"/>
      <c r="Z82" s="270"/>
      <c r="AC82" s="271"/>
      <c r="AD82" s="270"/>
      <c r="AG82" s="271"/>
      <c r="AH82" s="270"/>
      <c r="AK82" s="271"/>
      <c r="AL82" s="270"/>
      <c r="AP82" s="270"/>
      <c r="AS82" s="271"/>
    </row>
    <row r="83" spans="1:52" x14ac:dyDescent="0.3">
      <c r="A83" s="329" t="s">
        <v>293</v>
      </c>
      <c r="B83" s="279"/>
      <c r="C83" s="118"/>
      <c r="D83" s="118"/>
      <c r="E83" s="280"/>
      <c r="F83" s="279"/>
      <c r="G83" s="118"/>
      <c r="H83" s="118"/>
      <c r="I83" s="280"/>
      <c r="J83" s="279"/>
      <c r="K83" s="118"/>
      <c r="L83" s="118"/>
      <c r="M83" s="280"/>
      <c r="N83" s="279"/>
      <c r="O83" s="118"/>
      <c r="P83" s="118"/>
      <c r="Q83" s="280"/>
      <c r="R83" s="279"/>
      <c r="S83" s="118"/>
      <c r="T83" s="118"/>
      <c r="U83" s="280"/>
      <c r="V83" s="279"/>
      <c r="W83" s="118"/>
      <c r="X83" s="118"/>
      <c r="Y83" s="280"/>
      <c r="Z83" s="279"/>
      <c r="AA83" s="118"/>
      <c r="AB83" s="118"/>
      <c r="AC83" s="280"/>
      <c r="AD83" s="279"/>
      <c r="AE83" s="118"/>
      <c r="AF83" s="118"/>
      <c r="AG83" s="280"/>
      <c r="AH83" s="279"/>
      <c r="AI83" s="118"/>
      <c r="AJ83" s="118"/>
      <c r="AK83" s="280"/>
      <c r="AL83" s="279"/>
      <c r="AM83" s="118"/>
      <c r="AN83" s="118"/>
      <c r="AO83" s="118"/>
      <c r="AP83" s="279"/>
      <c r="AQ83" s="118"/>
      <c r="AR83" s="118"/>
      <c r="AS83" s="280"/>
    </row>
    <row r="84" spans="1:52" x14ac:dyDescent="0.3">
      <c r="A84" s="324" t="s">
        <v>260</v>
      </c>
      <c r="B84" s="284">
        <f>B67*B90</f>
        <v>3.7107000000000001E-2</v>
      </c>
      <c r="C84" s="11">
        <f t="shared" ref="C84:E84" si="132">C67*C90</f>
        <v>1.6796215603595739E-4</v>
      </c>
      <c r="D84" s="11">
        <f t="shared" si="132"/>
        <v>0</v>
      </c>
      <c r="E84" s="285">
        <f t="shared" si="132"/>
        <v>6.2316585205479435E-3</v>
      </c>
      <c r="F84" s="284">
        <f>F67*F90</f>
        <v>3.7107000000000001E-2</v>
      </c>
      <c r="G84" s="11">
        <f t="shared" ref="G84:I84" si="133">G67*G90</f>
        <v>1.6796215603595739E-4</v>
      </c>
      <c r="H84" s="11">
        <f t="shared" si="133"/>
        <v>0</v>
      </c>
      <c r="I84" s="285">
        <f t="shared" si="133"/>
        <v>6.2316585205479435E-3</v>
      </c>
      <c r="J84" s="284">
        <f>J67*J90</f>
        <v>3.7107000000000001E-2</v>
      </c>
      <c r="K84" s="11">
        <f t="shared" ref="K84:M84" si="134">K67*K90</f>
        <v>1.6796215603595739E-4</v>
      </c>
      <c r="L84" s="11">
        <f t="shared" si="134"/>
        <v>0</v>
      </c>
      <c r="M84" s="285">
        <f t="shared" si="134"/>
        <v>6.2316585205479435E-3</v>
      </c>
      <c r="N84" s="284">
        <f>N67*N90</f>
        <v>3.7107000000000001E-2</v>
      </c>
      <c r="O84" s="11">
        <f t="shared" ref="O84:Q84" si="135">O67*O90</f>
        <v>1.6796215603595739E-4</v>
      </c>
      <c r="P84" s="11">
        <f t="shared" si="135"/>
        <v>0</v>
      </c>
      <c r="Q84" s="285">
        <f t="shared" si="135"/>
        <v>6.2316585205479435E-3</v>
      </c>
      <c r="R84" s="284">
        <f>R67*R90</f>
        <v>3.7107000000000001E-2</v>
      </c>
      <c r="S84" s="11">
        <f t="shared" ref="S84:U84" si="136">S67*S90</f>
        <v>1.6796215603595739E-4</v>
      </c>
      <c r="T84" s="11">
        <f t="shared" si="136"/>
        <v>0</v>
      </c>
      <c r="U84" s="285">
        <f t="shared" si="136"/>
        <v>6.2316585205479435E-3</v>
      </c>
      <c r="V84" s="284">
        <f>V67*V90</f>
        <v>3.7107000000000001E-2</v>
      </c>
      <c r="W84" s="11">
        <f t="shared" ref="W84:Y84" si="137">W67*W90</f>
        <v>1.6796215603595739E-4</v>
      </c>
      <c r="X84" s="11">
        <f t="shared" si="137"/>
        <v>0</v>
      </c>
      <c r="Y84" s="285">
        <f t="shared" si="137"/>
        <v>6.2316585205479435E-3</v>
      </c>
      <c r="Z84" s="284">
        <f>Z67*Z90</f>
        <v>3.7107000000000001E-2</v>
      </c>
      <c r="AA84" s="11">
        <f t="shared" ref="AA84:AC84" si="138">AA67*AA90</f>
        <v>1.6796215603595739E-4</v>
      </c>
      <c r="AB84" s="11">
        <f t="shared" si="138"/>
        <v>0</v>
      </c>
      <c r="AC84" s="285">
        <f t="shared" si="138"/>
        <v>6.2316585205479435E-3</v>
      </c>
      <c r="AD84" s="284">
        <f>AD67*AD90</f>
        <v>3.7107000000000001E-2</v>
      </c>
      <c r="AE84" s="11">
        <f t="shared" ref="AE84:AG84" si="139">AE67*AE90</f>
        <v>1.6796215603595739E-4</v>
      </c>
      <c r="AF84" s="11">
        <f t="shared" si="139"/>
        <v>0</v>
      </c>
      <c r="AG84" s="285">
        <f t="shared" si="139"/>
        <v>6.2316585205479435E-3</v>
      </c>
      <c r="AH84" s="284">
        <f>AH67*AH90</f>
        <v>3.7107000000000001E-2</v>
      </c>
      <c r="AI84" s="11">
        <f t="shared" ref="AI84:AK84" si="140">AI67*AI90</f>
        <v>1.6796215603595739E-4</v>
      </c>
      <c r="AJ84" s="11">
        <f t="shared" si="140"/>
        <v>0</v>
      </c>
      <c r="AK84" s="285">
        <f t="shared" si="140"/>
        <v>6.2316585205479435E-3</v>
      </c>
      <c r="AL84" s="284">
        <f>AL67*AL90</f>
        <v>3.7107000000000001E-2</v>
      </c>
      <c r="AM84" s="11">
        <f t="shared" ref="AM84:AO84" si="141">AM67*AM90</f>
        <v>1.6796215603595739E-4</v>
      </c>
      <c r="AN84" s="11">
        <f t="shared" si="141"/>
        <v>0</v>
      </c>
      <c r="AO84" s="11">
        <f t="shared" si="141"/>
        <v>6.2316585205479435E-3</v>
      </c>
      <c r="AP84" s="284">
        <f>AP67*AP90</f>
        <v>3.7107000000000001E-2</v>
      </c>
      <c r="AQ84" s="11">
        <f t="shared" ref="AQ84:AS84" si="142">AQ67*AQ90</f>
        <v>1.6796215603595739E-4</v>
      </c>
      <c r="AR84" s="11">
        <f t="shared" si="142"/>
        <v>0</v>
      </c>
      <c r="AS84" s="285">
        <f t="shared" si="142"/>
        <v>6.2316585205479435E-3</v>
      </c>
    </row>
    <row r="85" spans="1:52" x14ac:dyDescent="0.3">
      <c r="A85" s="324" t="s">
        <v>261</v>
      </c>
      <c r="B85" s="284">
        <f>B68*B91</f>
        <v>0</v>
      </c>
      <c r="C85" s="11">
        <f t="shared" ref="C85:E85" si="143">C68*C91</f>
        <v>0</v>
      </c>
      <c r="D85" s="11">
        <f t="shared" si="143"/>
        <v>0</v>
      </c>
      <c r="E85" s="285">
        <f t="shared" si="143"/>
        <v>0</v>
      </c>
      <c r="F85" s="284">
        <f>F68*F91</f>
        <v>0</v>
      </c>
      <c r="G85" s="11">
        <f t="shared" ref="G85:I85" si="144">G68*G91</f>
        <v>0</v>
      </c>
      <c r="H85" s="11">
        <f t="shared" si="144"/>
        <v>0</v>
      </c>
      <c r="I85" s="285">
        <f t="shared" si="144"/>
        <v>0</v>
      </c>
      <c r="J85" s="284">
        <f>J68*J91</f>
        <v>0</v>
      </c>
      <c r="K85" s="11">
        <f t="shared" ref="K85:M85" si="145">K68*K91</f>
        <v>0</v>
      </c>
      <c r="L85" s="11">
        <f t="shared" si="145"/>
        <v>0</v>
      </c>
      <c r="M85" s="285">
        <f t="shared" si="145"/>
        <v>0</v>
      </c>
      <c r="N85" s="284">
        <f>N68*N91</f>
        <v>0</v>
      </c>
      <c r="O85" s="11">
        <f t="shared" ref="O85:Q85" si="146">O68*O91</f>
        <v>0</v>
      </c>
      <c r="P85" s="11">
        <f t="shared" si="146"/>
        <v>0</v>
      </c>
      <c r="Q85" s="285">
        <f t="shared" si="146"/>
        <v>0</v>
      </c>
      <c r="R85" s="284">
        <f>R68*R91</f>
        <v>0</v>
      </c>
      <c r="S85" s="11">
        <f t="shared" ref="S85:U85" si="147">S68*S91</f>
        <v>0</v>
      </c>
      <c r="T85" s="11">
        <f t="shared" si="147"/>
        <v>0</v>
      </c>
      <c r="U85" s="285">
        <f t="shared" si="147"/>
        <v>0</v>
      </c>
      <c r="V85" s="284">
        <f>V68*V91</f>
        <v>0</v>
      </c>
      <c r="W85" s="11">
        <f t="shared" ref="W85:Y85" si="148">W68*W91</f>
        <v>0</v>
      </c>
      <c r="X85" s="11">
        <f t="shared" si="148"/>
        <v>0</v>
      </c>
      <c r="Y85" s="285">
        <f t="shared" si="148"/>
        <v>0</v>
      </c>
      <c r="Z85" s="284">
        <f>Z68*Z91</f>
        <v>0</v>
      </c>
      <c r="AA85" s="11">
        <f t="shared" ref="AA85:AC85" si="149">AA68*AA91</f>
        <v>0</v>
      </c>
      <c r="AB85" s="11">
        <f t="shared" si="149"/>
        <v>0</v>
      </c>
      <c r="AC85" s="285">
        <f t="shared" si="149"/>
        <v>0</v>
      </c>
      <c r="AD85" s="284">
        <f>AD68*AD91</f>
        <v>0</v>
      </c>
      <c r="AE85" s="11">
        <f t="shared" ref="AE85:AG85" si="150">AE68*AE91</f>
        <v>0</v>
      </c>
      <c r="AF85" s="11">
        <f t="shared" si="150"/>
        <v>0</v>
      </c>
      <c r="AG85" s="285">
        <f t="shared" si="150"/>
        <v>0</v>
      </c>
      <c r="AH85" s="284">
        <f>AH68*AH91</f>
        <v>0</v>
      </c>
      <c r="AI85" s="11">
        <f t="shared" ref="AI85:AK85" si="151">AI68*AI91</f>
        <v>0</v>
      </c>
      <c r="AJ85" s="11">
        <f t="shared" si="151"/>
        <v>0</v>
      </c>
      <c r="AK85" s="285">
        <f t="shared" si="151"/>
        <v>0</v>
      </c>
      <c r="AL85" s="284">
        <f>AL68*AL91</f>
        <v>0</v>
      </c>
      <c r="AM85" s="11">
        <f t="shared" ref="AM85:AO85" si="152">AM68*AM91</f>
        <v>0</v>
      </c>
      <c r="AN85" s="11">
        <f t="shared" si="152"/>
        <v>0</v>
      </c>
      <c r="AO85" s="11">
        <f t="shared" si="152"/>
        <v>0</v>
      </c>
      <c r="AP85" s="284">
        <f>AP68*AP91</f>
        <v>0.10656056250000001</v>
      </c>
      <c r="AQ85" s="11">
        <f>AQ68*AQ91</f>
        <v>4.8233869151115407E-4</v>
      </c>
      <c r="AR85" s="11">
        <f>AR68*AR91</f>
        <v>0.34160370410958896</v>
      </c>
      <c r="AS85" s="285">
        <f t="shared" ref="AS85" si="153">AS68*AS91</f>
        <v>1.789551936986301E-2</v>
      </c>
    </row>
    <row r="86" spans="1:52" x14ac:dyDescent="0.3">
      <c r="A86" s="324" t="s">
        <v>262</v>
      </c>
      <c r="B86" s="284">
        <f>B69*B90</f>
        <v>3.1540949999999998E-2</v>
      </c>
      <c r="C86" s="11">
        <f t="shared" ref="C86:E86" si="154">C69*C90</f>
        <v>1.4276783263056378E-4</v>
      </c>
      <c r="D86" s="11">
        <f t="shared" si="154"/>
        <v>0</v>
      </c>
      <c r="E86" s="285">
        <f t="shared" si="154"/>
        <v>5.2969097424657528E-3</v>
      </c>
      <c r="F86" s="284">
        <f>F69*F90</f>
        <v>3.1540949999999998E-2</v>
      </c>
      <c r="G86" s="11">
        <f t="shared" ref="G86:I86" si="155">G69*G90</f>
        <v>1.4276783263056378E-4</v>
      </c>
      <c r="H86" s="11">
        <f t="shared" si="155"/>
        <v>0</v>
      </c>
      <c r="I86" s="285">
        <f t="shared" si="155"/>
        <v>5.2969097424657528E-3</v>
      </c>
      <c r="J86" s="284">
        <f>J69*J90</f>
        <v>3.1540949999999998E-2</v>
      </c>
      <c r="K86" s="11">
        <f t="shared" ref="K86:M86" si="156">K69*K90</f>
        <v>1.4276783263056378E-4</v>
      </c>
      <c r="L86" s="11">
        <f t="shared" si="156"/>
        <v>0</v>
      </c>
      <c r="M86" s="285">
        <f t="shared" si="156"/>
        <v>5.2969097424657528E-3</v>
      </c>
      <c r="N86" s="284">
        <f>N69*N90</f>
        <v>3.1540949999999998E-2</v>
      </c>
      <c r="O86" s="11">
        <f t="shared" ref="O86:Q86" si="157">O69*O90</f>
        <v>1.4276783263056378E-4</v>
      </c>
      <c r="P86" s="11">
        <f t="shared" si="157"/>
        <v>0</v>
      </c>
      <c r="Q86" s="285">
        <f t="shared" si="157"/>
        <v>5.2969097424657528E-3</v>
      </c>
      <c r="R86" s="284">
        <f>R69*R90</f>
        <v>3.1540949999999998E-2</v>
      </c>
      <c r="S86" s="11">
        <f t="shared" ref="S86:U86" si="158">S69*S90</f>
        <v>1.4276783263056378E-4</v>
      </c>
      <c r="T86" s="11">
        <f t="shared" si="158"/>
        <v>0</v>
      </c>
      <c r="U86" s="285">
        <f t="shared" si="158"/>
        <v>5.2969097424657528E-3</v>
      </c>
      <c r="V86" s="284">
        <f>V69*V90</f>
        <v>3.1540949999999998E-2</v>
      </c>
      <c r="W86" s="11">
        <f t="shared" ref="W86:Y86" si="159">W69*W90</f>
        <v>1.4276783263056378E-4</v>
      </c>
      <c r="X86" s="11">
        <f t="shared" si="159"/>
        <v>0</v>
      </c>
      <c r="Y86" s="285">
        <f t="shared" si="159"/>
        <v>5.2969097424657528E-3</v>
      </c>
      <c r="Z86" s="284">
        <f>Z69*Z90</f>
        <v>3.1540949999999998E-2</v>
      </c>
      <c r="AA86" s="11">
        <f t="shared" ref="AA86:AC86" si="160">AA69*AA90</f>
        <v>1.4276783263056378E-4</v>
      </c>
      <c r="AB86" s="11">
        <f t="shared" si="160"/>
        <v>0</v>
      </c>
      <c r="AC86" s="285">
        <f t="shared" si="160"/>
        <v>5.2969097424657528E-3</v>
      </c>
      <c r="AD86" s="284">
        <f>AD69*AD90</f>
        <v>3.1540949999999998E-2</v>
      </c>
      <c r="AE86" s="11">
        <f t="shared" ref="AE86:AG86" si="161">AE69*AE90</f>
        <v>1.4276783263056378E-4</v>
      </c>
      <c r="AF86" s="11">
        <f t="shared" si="161"/>
        <v>0</v>
      </c>
      <c r="AG86" s="285">
        <f t="shared" si="161"/>
        <v>5.2969097424657528E-3</v>
      </c>
      <c r="AH86" s="284">
        <f>AH69*AH90</f>
        <v>3.1540949999999998E-2</v>
      </c>
      <c r="AI86" s="11">
        <f t="shared" ref="AI86:AK86" si="162">AI69*AI90</f>
        <v>1.4276783263056378E-4</v>
      </c>
      <c r="AJ86" s="11">
        <f t="shared" si="162"/>
        <v>0</v>
      </c>
      <c r="AK86" s="285">
        <f t="shared" si="162"/>
        <v>5.2969097424657528E-3</v>
      </c>
      <c r="AL86" s="284">
        <f>AL69*AL90</f>
        <v>3.1540949999999998E-2</v>
      </c>
      <c r="AM86" s="11">
        <f t="shared" ref="AM86:AO86" si="163">AM69*AM90</f>
        <v>1.4276783263056378E-4</v>
      </c>
      <c r="AN86" s="11">
        <f t="shared" si="163"/>
        <v>0</v>
      </c>
      <c r="AO86" s="11">
        <f t="shared" si="163"/>
        <v>5.2969097424657528E-3</v>
      </c>
      <c r="AP86" s="284">
        <f>AP69*AP90</f>
        <v>3.1540949999999998E-2</v>
      </c>
      <c r="AQ86" s="11">
        <f t="shared" ref="AQ86:AS86" si="164">AQ69*AQ90</f>
        <v>1.4276783263056378E-4</v>
      </c>
      <c r="AR86" s="11">
        <f t="shared" si="164"/>
        <v>0</v>
      </c>
      <c r="AS86" s="285">
        <f t="shared" si="164"/>
        <v>5.2969097424657528E-3</v>
      </c>
    </row>
    <row r="87" spans="1:52" x14ac:dyDescent="0.3">
      <c r="A87" s="324" t="s">
        <v>265</v>
      </c>
      <c r="B87" s="270"/>
      <c r="E87" s="285">
        <f>SUM(B84:E86)</f>
        <v>8.048724825168023E-2</v>
      </c>
      <c r="F87" s="270"/>
      <c r="I87" s="285">
        <f>SUM(F84:I86)</f>
        <v>8.048724825168023E-2</v>
      </c>
      <c r="J87" s="270"/>
      <c r="M87" s="285">
        <f>SUM(J84:M86)</f>
        <v>8.048724825168023E-2</v>
      </c>
      <c r="N87" s="270"/>
      <c r="Q87" s="285">
        <f>SUM(N84:Q86)</f>
        <v>8.048724825168023E-2</v>
      </c>
      <c r="R87" s="270"/>
      <c r="U87" s="285">
        <f>SUM(R84:U86)</f>
        <v>8.048724825168023E-2</v>
      </c>
      <c r="V87" s="270"/>
      <c r="Y87" s="285">
        <f>SUM(V84:Y86)</f>
        <v>8.048724825168023E-2</v>
      </c>
      <c r="Z87" s="270"/>
      <c r="AC87" s="285">
        <f>SUM(Z84:AC86)</f>
        <v>8.048724825168023E-2</v>
      </c>
      <c r="AD87" s="270"/>
      <c r="AG87" s="285">
        <f>SUM(AD84:AG86)</f>
        <v>8.048724825168023E-2</v>
      </c>
      <c r="AH87" s="270"/>
      <c r="AK87" s="285">
        <f>SUM(AH84:AK86)</f>
        <v>8.048724825168023E-2</v>
      </c>
      <c r="AL87" s="270"/>
      <c r="AO87" s="11">
        <f>SUM(AL84:AO86)</f>
        <v>8.048724825168023E-2</v>
      </c>
      <c r="AP87" s="270"/>
      <c r="AS87" s="285">
        <f>SUM(AP84:AS86)</f>
        <v>0.54702937292264342</v>
      </c>
    </row>
    <row r="88" spans="1:52" x14ac:dyDescent="0.3">
      <c r="A88" s="324" t="s">
        <v>294</v>
      </c>
      <c r="B88" s="270"/>
      <c r="E88" s="271">
        <f>E87/Production!B35</f>
        <v>6.4442533151380971E-5</v>
      </c>
      <c r="F88" s="270"/>
      <c r="I88" s="271">
        <f>I87/Production!C35</f>
        <v>6.4442533151380971E-5</v>
      </c>
      <c r="J88" s="270"/>
      <c r="M88" s="271">
        <f>M87/Production!D35</f>
        <v>6.4442533151380971E-5</v>
      </c>
      <c r="N88" s="270"/>
      <c r="Q88" s="271">
        <f>Q87/Production!E35</f>
        <v>6.4442533151380971E-5</v>
      </c>
      <c r="R88" s="270"/>
      <c r="U88" s="271">
        <f>U87/Production!F35</f>
        <v>6.4442533151380971E-5</v>
      </c>
      <c r="V88" s="270"/>
      <c r="Y88" s="271">
        <f>Y87/Production!G35</f>
        <v>6.4442533151380971E-5</v>
      </c>
      <c r="Z88" s="270"/>
      <c r="AC88" s="271">
        <f>AC87/Production!H35</f>
        <v>6.4442533151380971E-5</v>
      </c>
      <c r="AD88" s="270"/>
      <c r="AG88" s="271">
        <f>AG87/Production!I35</f>
        <v>6.4442533151380971E-5</v>
      </c>
      <c r="AH88" s="270"/>
      <c r="AK88" s="271">
        <f>AK87/Production!J35</f>
        <v>6.4442533151380971E-5</v>
      </c>
      <c r="AL88" s="270"/>
      <c r="AO88">
        <f>AO87/Production!K35</f>
        <v>6.4442533151380971E-5</v>
      </c>
      <c r="AP88" s="270"/>
      <c r="AS88" s="271">
        <f>AS87/Production!L35</f>
        <v>4.3798190725958489E-4</v>
      </c>
    </row>
    <row r="89" spans="1:52" x14ac:dyDescent="0.3">
      <c r="A89" s="318"/>
      <c r="B89" s="270"/>
      <c r="E89" s="271"/>
      <c r="F89" s="270"/>
      <c r="I89" s="271"/>
      <c r="J89" s="270"/>
      <c r="M89" s="271"/>
      <c r="N89" s="270"/>
      <c r="Q89" s="271"/>
      <c r="R89" s="270"/>
      <c r="U89" s="271"/>
      <c r="V89" s="270"/>
      <c r="Y89" s="271"/>
      <c r="Z89" s="270"/>
      <c r="AC89" s="271"/>
      <c r="AD89" s="270"/>
      <c r="AG89" s="271"/>
      <c r="AH89" s="270"/>
      <c r="AK89" s="271"/>
      <c r="AL89" s="270"/>
      <c r="AP89" s="270"/>
      <c r="AS89" s="271"/>
    </row>
    <row r="90" spans="1:52" x14ac:dyDescent="0.3">
      <c r="A90" s="327" t="s">
        <v>295</v>
      </c>
      <c r="B90" s="294">
        <v>0.01</v>
      </c>
      <c r="C90" s="15">
        <v>0.01</v>
      </c>
      <c r="D90" s="15">
        <v>0.01</v>
      </c>
      <c r="E90" s="295">
        <v>0.01</v>
      </c>
      <c r="F90" s="294">
        <v>0.01</v>
      </c>
      <c r="G90" s="15">
        <v>0.01</v>
      </c>
      <c r="H90" s="15">
        <v>0.01</v>
      </c>
      <c r="I90" s="295">
        <v>0.01</v>
      </c>
      <c r="J90" s="294">
        <v>0.01</v>
      </c>
      <c r="K90" s="15">
        <v>0.01</v>
      </c>
      <c r="L90" s="15">
        <v>0.01</v>
      </c>
      <c r="M90" s="295">
        <v>0.01</v>
      </c>
      <c r="N90" s="294">
        <v>0.01</v>
      </c>
      <c r="O90" s="15">
        <v>0.01</v>
      </c>
      <c r="P90" s="15">
        <v>0.01</v>
      </c>
      <c r="Q90" s="295">
        <v>0.01</v>
      </c>
      <c r="R90" s="294">
        <v>0.01</v>
      </c>
      <c r="S90" s="15">
        <v>0.01</v>
      </c>
      <c r="T90" s="15">
        <v>0.01</v>
      </c>
      <c r="U90" s="295">
        <v>0.01</v>
      </c>
      <c r="V90" s="294">
        <v>0.01</v>
      </c>
      <c r="W90" s="15">
        <v>0.01</v>
      </c>
      <c r="X90" s="15">
        <v>0.01</v>
      </c>
      <c r="Y90" s="295">
        <v>0.01</v>
      </c>
      <c r="Z90" s="294">
        <v>0.01</v>
      </c>
      <c r="AA90" s="15">
        <v>0.01</v>
      </c>
      <c r="AB90" s="15">
        <v>0.01</v>
      </c>
      <c r="AC90" s="295">
        <v>0.01</v>
      </c>
      <c r="AD90" s="294">
        <v>0.01</v>
      </c>
      <c r="AE90" s="15">
        <v>0.01</v>
      </c>
      <c r="AF90" s="15">
        <v>0.01</v>
      </c>
      <c r="AG90" s="295">
        <v>0.01</v>
      </c>
      <c r="AH90" s="294">
        <v>0.01</v>
      </c>
      <c r="AI90" s="15">
        <v>0.01</v>
      </c>
      <c r="AJ90" s="15">
        <v>0.01</v>
      </c>
      <c r="AK90" s="295">
        <v>0.01</v>
      </c>
      <c r="AL90" s="294">
        <v>0.01</v>
      </c>
      <c r="AM90" s="15">
        <v>0.01</v>
      </c>
      <c r="AN90" s="15">
        <v>0.01</v>
      </c>
      <c r="AO90" s="15">
        <v>0.01</v>
      </c>
      <c r="AP90" s="15">
        <v>0.01</v>
      </c>
      <c r="AQ90" s="15">
        <v>0.01</v>
      </c>
      <c r="AR90" s="15">
        <v>0.01</v>
      </c>
      <c r="AS90" s="295">
        <v>0.01</v>
      </c>
      <c r="AT90" s="15"/>
      <c r="AU90" s="247" t="s">
        <v>296</v>
      </c>
      <c r="AX90" s="7"/>
      <c r="AZ90" s="95" t="s">
        <v>297</v>
      </c>
    </row>
    <row r="91" spans="1:52" x14ac:dyDescent="0.3">
      <c r="A91" s="327" t="s">
        <v>298</v>
      </c>
      <c r="B91" s="302">
        <v>0</v>
      </c>
      <c r="C91" s="303">
        <v>0</v>
      </c>
      <c r="D91" s="303">
        <v>0</v>
      </c>
      <c r="E91" s="304">
        <v>0</v>
      </c>
      <c r="F91" s="302">
        <v>0</v>
      </c>
      <c r="G91" s="303">
        <v>0</v>
      </c>
      <c r="H91" s="303">
        <v>0</v>
      </c>
      <c r="I91" s="304">
        <v>0</v>
      </c>
      <c r="J91" s="302">
        <v>0</v>
      </c>
      <c r="K91" s="303">
        <v>0</v>
      </c>
      <c r="L91" s="303">
        <v>0</v>
      </c>
      <c r="M91" s="304">
        <v>0</v>
      </c>
      <c r="N91" s="302">
        <v>0</v>
      </c>
      <c r="O91" s="303">
        <v>0</v>
      </c>
      <c r="P91" s="303">
        <v>0</v>
      </c>
      <c r="Q91" s="304">
        <v>0</v>
      </c>
      <c r="R91" s="302">
        <v>0</v>
      </c>
      <c r="S91" s="303">
        <v>0</v>
      </c>
      <c r="T91" s="303">
        <v>0</v>
      </c>
      <c r="U91" s="304">
        <v>0</v>
      </c>
      <c r="V91" s="302">
        <v>0</v>
      </c>
      <c r="W91" s="303">
        <v>0</v>
      </c>
      <c r="X91" s="303">
        <v>0</v>
      </c>
      <c r="Y91" s="304">
        <v>0</v>
      </c>
      <c r="Z91" s="302">
        <v>0</v>
      </c>
      <c r="AA91" s="303">
        <v>0</v>
      </c>
      <c r="AB91" s="303">
        <v>0</v>
      </c>
      <c r="AC91" s="304">
        <v>0</v>
      </c>
      <c r="AD91" s="302">
        <v>0</v>
      </c>
      <c r="AE91" s="303">
        <v>0</v>
      </c>
      <c r="AF91" s="303">
        <v>0</v>
      </c>
      <c r="AG91" s="304">
        <v>0</v>
      </c>
      <c r="AH91" s="302">
        <v>0</v>
      </c>
      <c r="AI91" s="303">
        <v>0</v>
      </c>
      <c r="AJ91" s="303">
        <v>0</v>
      </c>
      <c r="AK91" s="304">
        <v>0</v>
      </c>
      <c r="AL91" s="302">
        <v>0</v>
      </c>
      <c r="AM91" s="303">
        <v>0</v>
      </c>
      <c r="AN91" s="303">
        <v>0</v>
      </c>
      <c r="AO91" s="303">
        <v>0</v>
      </c>
      <c r="AP91" s="15">
        <v>0.01</v>
      </c>
      <c r="AQ91" s="15">
        <v>0.01</v>
      </c>
      <c r="AR91" s="15">
        <v>0.01</v>
      </c>
      <c r="AS91" s="295">
        <v>0.01</v>
      </c>
      <c r="AT91" s="303"/>
      <c r="AU91" s="247" t="s">
        <v>299</v>
      </c>
    </row>
    <row r="92" spans="1:52" x14ac:dyDescent="0.3">
      <c r="A92" s="318"/>
      <c r="B92" s="270"/>
      <c r="E92" s="271"/>
      <c r="F92" s="270"/>
      <c r="I92" s="271"/>
      <c r="J92" s="270"/>
      <c r="M92" s="271"/>
      <c r="N92" s="270"/>
      <c r="Q92" s="271"/>
      <c r="R92" s="270"/>
      <c r="U92" s="271"/>
      <c r="V92" s="270"/>
      <c r="Y92" s="271"/>
      <c r="Z92" s="270"/>
      <c r="AC92" s="271"/>
      <c r="AD92" s="270"/>
      <c r="AG92" s="271"/>
      <c r="AH92" s="270"/>
      <c r="AK92" s="271"/>
      <c r="AL92" s="270"/>
      <c r="AP92" s="270"/>
      <c r="AS92" s="271"/>
    </row>
    <row r="93" spans="1:52" x14ac:dyDescent="0.3">
      <c r="A93" s="329" t="s">
        <v>300</v>
      </c>
      <c r="B93" s="279"/>
      <c r="C93" s="118"/>
      <c r="D93" s="118"/>
      <c r="E93" s="280"/>
      <c r="F93" s="279"/>
      <c r="G93" s="118"/>
      <c r="H93" s="118"/>
      <c r="I93" s="280"/>
      <c r="J93" s="279"/>
      <c r="K93" s="118"/>
      <c r="L93" s="118"/>
      <c r="M93" s="280"/>
      <c r="N93" s="279"/>
      <c r="O93" s="118"/>
      <c r="P93" s="118"/>
      <c r="Q93" s="280"/>
      <c r="R93" s="279"/>
      <c r="S93" s="118"/>
      <c r="T93" s="118"/>
      <c r="U93" s="280"/>
      <c r="V93" s="279"/>
      <c r="W93" s="118"/>
      <c r="X93" s="118"/>
      <c r="Y93" s="280"/>
      <c r="Z93" s="279"/>
      <c r="AA93" s="118"/>
      <c r="AB93" s="118"/>
      <c r="AC93" s="280"/>
      <c r="AD93" s="279"/>
      <c r="AE93" s="118"/>
      <c r="AF93" s="118"/>
      <c r="AG93" s="280"/>
      <c r="AH93" s="279"/>
      <c r="AI93" s="118"/>
      <c r="AJ93" s="118"/>
      <c r="AK93" s="280"/>
      <c r="AL93" s="279"/>
      <c r="AM93" s="118"/>
      <c r="AN93" s="118"/>
      <c r="AO93" s="118"/>
      <c r="AP93" s="279"/>
      <c r="AQ93" s="118"/>
      <c r="AR93" s="118"/>
      <c r="AS93" s="280"/>
    </row>
    <row r="94" spans="1:52" x14ac:dyDescent="0.3">
      <c r="A94" s="324" t="s">
        <v>260</v>
      </c>
      <c r="B94" s="284">
        <f t="shared" ref="B94:E94" si="165">B67*(B98+B100)</f>
        <v>1.150317</v>
      </c>
      <c r="C94" s="11">
        <f t="shared" si="165"/>
        <v>5.2068268371146791E-3</v>
      </c>
      <c r="D94" s="11">
        <f t="shared" si="165"/>
        <v>0</v>
      </c>
      <c r="E94" s="285">
        <f t="shared" si="165"/>
        <v>0.19318141413698625</v>
      </c>
      <c r="F94" s="284">
        <f t="shared" ref="F94:I94" si="166">F67*(F98+F100)</f>
        <v>1.150317</v>
      </c>
      <c r="G94" s="11">
        <f t="shared" si="166"/>
        <v>5.2068268371146791E-3</v>
      </c>
      <c r="H94" s="11">
        <f t="shared" si="166"/>
        <v>0</v>
      </c>
      <c r="I94" s="285">
        <f t="shared" si="166"/>
        <v>0.19318141413698625</v>
      </c>
      <c r="J94" s="284">
        <f t="shared" ref="J94:M94" si="167">J67*(J98+J100)</f>
        <v>1.150317</v>
      </c>
      <c r="K94" s="11">
        <f t="shared" si="167"/>
        <v>5.2068268371146791E-3</v>
      </c>
      <c r="L94" s="11">
        <f t="shared" si="167"/>
        <v>0</v>
      </c>
      <c r="M94" s="285">
        <f t="shared" si="167"/>
        <v>0.19318141413698625</v>
      </c>
      <c r="N94" s="284">
        <f t="shared" ref="N94:AO94" si="168">N67*(N98+N100)</f>
        <v>1.150317</v>
      </c>
      <c r="O94" s="11">
        <f t="shared" si="168"/>
        <v>5.2068268371146791E-3</v>
      </c>
      <c r="P94" s="11">
        <f t="shared" si="168"/>
        <v>0</v>
      </c>
      <c r="Q94" s="285">
        <f t="shared" si="168"/>
        <v>0.19318141413698625</v>
      </c>
      <c r="R94" s="284">
        <f t="shared" si="168"/>
        <v>1.150317</v>
      </c>
      <c r="S94" s="11">
        <f t="shared" si="168"/>
        <v>5.2068268371146791E-3</v>
      </c>
      <c r="T94" s="11">
        <f t="shared" si="168"/>
        <v>0</v>
      </c>
      <c r="U94" s="285">
        <f t="shared" si="168"/>
        <v>0.19318141413698625</v>
      </c>
      <c r="V94" s="284">
        <f t="shared" si="168"/>
        <v>1.150317</v>
      </c>
      <c r="W94" s="11">
        <f t="shared" si="168"/>
        <v>5.2068268371146791E-3</v>
      </c>
      <c r="X94" s="11">
        <f t="shared" si="168"/>
        <v>0</v>
      </c>
      <c r="Y94" s="285">
        <f t="shared" si="168"/>
        <v>0.19318141413698625</v>
      </c>
      <c r="Z94" s="284">
        <f t="shared" si="168"/>
        <v>1.150317</v>
      </c>
      <c r="AA94" s="11">
        <f t="shared" si="168"/>
        <v>5.2068268371146791E-3</v>
      </c>
      <c r="AB94" s="11">
        <f t="shared" si="168"/>
        <v>0</v>
      </c>
      <c r="AC94" s="285">
        <f t="shared" si="168"/>
        <v>0.19318141413698625</v>
      </c>
      <c r="AD94" s="284">
        <f t="shared" si="168"/>
        <v>1.150317</v>
      </c>
      <c r="AE94" s="11">
        <f t="shared" si="168"/>
        <v>5.2068268371146791E-3</v>
      </c>
      <c r="AF94" s="11">
        <f t="shared" si="168"/>
        <v>0</v>
      </c>
      <c r="AG94" s="285">
        <f t="shared" si="168"/>
        <v>0.19318141413698625</v>
      </c>
      <c r="AH94" s="284">
        <f t="shared" si="168"/>
        <v>1.150317</v>
      </c>
      <c r="AI94" s="11">
        <f t="shared" si="168"/>
        <v>5.2068268371146791E-3</v>
      </c>
      <c r="AJ94" s="11">
        <f t="shared" si="168"/>
        <v>0</v>
      </c>
      <c r="AK94" s="285">
        <f t="shared" si="168"/>
        <v>0.19318141413698625</v>
      </c>
      <c r="AL94" s="284">
        <f t="shared" si="168"/>
        <v>1.150317</v>
      </c>
      <c r="AM94" s="11">
        <f t="shared" si="168"/>
        <v>5.2068268371146791E-3</v>
      </c>
      <c r="AN94" s="11">
        <f t="shared" si="168"/>
        <v>0</v>
      </c>
      <c r="AO94" s="11">
        <f t="shared" si="168"/>
        <v>0.19318141413698625</v>
      </c>
      <c r="AP94" s="284">
        <f t="shared" ref="AP94:AS95" si="169">AP67*(AP98+AP100)</f>
        <v>1.150317</v>
      </c>
      <c r="AQ94" s="11">
        <f t="shared" si="169"/>
        <v>5.2068268371146791E-3</v>
      </c>
      <c r="AR94" s="11">
        <f t="shared" si="169"/>
        <v>0</v>
      </c>
      <c r="AS94" s="285">
        <f t="shared" si="169"/>
        <v>0.19318141413698625</v>
      </c>
    </row>
    <row r="95" spans="1:52" x14ac:dyDescent="0.3">
      <c r="A95" s="324" t="s">
        <v>261</v>
      </c>
      <c r="B95" s="284">
        <f t="shared" ref="B95:E95" si="170">B68*(B99+B101)</f>
        <v>3.3033774374999998E-2</v>
      </c>
      <c r="C95" s="11">
        <f t="shared" si="170"/>
        <v>1.4952499436845775E-4</v>
      </c>
      <c r="D95" s="11">
        <f t="shared" si="170"/>
        <v>0.10589714827397258</v>
      </c>
      <c r="E95" s="285">
        <f t="shared" si="170"/>
        <v>5.5476110046575331E-3</v>
      </c>
      <c r="F95" s="284">
        <f t="shared" ref="F95:I95" si="171">F68*(F99+F101)</f>
        <v>3.3033774374999998E-2</v>
      </c>
      <c r="G95" s="11">
        <f t="shared" si="171"/>
        <v>1.4952499436845775E-4</v>
      </c>
      <c r="H95" s="11">
        <f t="shared" si="171"/>
        <v>0.10589714827397258</v>
      </c>
      <c r="I95" s="285">
        <f t="shared" si="171"/>
        <v>5.5476110046575331E-3</v>
      </c>
      <c r="J95" s="284">
        <f t="shared" ref="J95:M95" si="172">J68*(J99+J101)</f>
        <v>3.3033774374999998E-2</v>
      </c>
      <c r="K95" s="11">
        <f t="shared" si="172"/>
        <v>1.4952499436845775E-4</v>
      </c>
      <c r="L95" s="11">
        <f t="shared" si="172"/>
        <v>0.10589714827397258</v>
      </c>
      <c r="M95" s="285">
        <f t="shared" si="172"/>
        <v>5.5476110046575331E-3</v>
      </c>
      <c r="N95" s="284">
        <f t="shared" ref="N95:AO95" si="173">N68*(N99+N101)</f>
        <v>3.3033774374999998E-2</v>
      </c>
      <c r="O95" s="11">
        <f t="shared" si="173"/>
        <v>1.4952499436845775E-4</v>
      </c>
      <c r="P95" s="11">
        <f t="shared" si="173"/>
        <v>0.10589714827397258</v>
      </c>
      <c r="Q95" s="285">
        <f t="shared" si="173"/>
        <v>5.5476110046575331E-3</v>
      </c>
      <c r="R95" s="284">
        <f t="shared" si="173"/>
        <v>3.3033774374999998E-2</v>
      </c>
      <c r="S95" s="11">
        <f t="shared" si="173"/>
        <v>1.4952499436845775E-4</v>
      </c>
      <c r="T95" s="11">
        <f t="shared" si="173"/>
        <v>0.10589714827397258</v>
      </c>
      <c r="U95" s="285">
        <f t="shared" si="173"/>
        <v>5.5476110046575331E-3</v>
      </c>
      <c r="V95" s="284">
        <f t="shared" si="173"/>
        <v>3.3033774374999998E-2</v>
      </c>
      <c r="W95" s="11">
        <f t="shared" si="173"/>
        <v>1.4952499436845775E-4</v>
      </c>
      <c r="X95" s="11">
        <f t="shared" si="173"/>
        <v>0.10589714827397258</v>
      </c>
      <c r="Y95" s="285">
        <f t="shared" si="173"/>
        <v>5.5476110046575331E-3</v>
      </c>
      <c r="Z95" s="284">
        <f t="shared" si="173"/>
        <v>3.3033774374999998E-2</v>
      </c>
      <c r="AA95" s="11">
        <f t="shared" si="173"/>
        <v>1.4952499436845775E-4</v>
      </c>
      <c r="AB95" s="11">
        <f t="shared" si="173"/>
        <v>0.10589714827397258</v>
      </c>
      <c r="AC95" s="285">
        <f t="shared" si="173"/>
        <v>5.5476110046575331E-3</v>
      </c>
      <c r="AD95" s="284">
        <f t="shared" si="173"/>
        <v>3.3033774374999998E-2</v>
      </c>
      <c r="AE95" s="11">
        <f t="shared" si="173"/>
        <v>1.4952499436845775E-4</v>
      </c>
      <c r="AF95" s="11">
        <f t="shared" si="173"/>
        <v>0.10589714827397258</v>
      </c>
      <c r="AG95" s="285">
        <f t="shared" si="173"/>
        <v>5.5476110046575331E-3</v>
      </c>
      <c r="AH95" s="284">
        <f t="shared" si="173"/>
        <v>3.3033774374999998E-2</v>
      </c>
      <c r="AI95" s="11">
        <f t="shared" si="173"/>
        <v>1.4952499436845775E-4</v>
      </c>
      <c r="AJ95" s="11">
        <f t="shared" si="173"/>
        <v>0.10589714827397258</v>
      </c>
      <c r="AK95" s="285">
        <f t="shared" si="173"/>
        <v>5.5476110046575331E-3</v>
      </c>
      <c r="AL95" s="284">
        <f t="shared" si="173"/>
        <v>3.3033774374999998E-2</v>
      </c>
      <c r="AM95" s="11">
        <f t="shared" si="173"/>
        <v>1.4952499436845775E-4</v>
      </c>
      <c r="AN95" s="11">
        <f t="shared" si="173"/>
        <v>0.10589714827397258</v>
      </c>
      <c r="AO95" s="11">
        <f t="shared" si="173"/>
        <v>5.5476110046575331E-3</v>
      </c>
      <c r="AP95" s="284">
        <f t="shared" si="169"/>
        <v>3.3033774374999998E-2</v>
      </c>
      <c r="AQ95" s="11">
        <f t="shared" si="169"/>
        <v>1.4952499436845775E-4</v>
      </c>
      <c r="AR95" s="11">
        <f t="shared" si="169"/>
        <v>0.10589714827397258</v>
      </c>
      <c r="AS95" s="285">
        <f t="shared" si="169"/>
        <v>5.5476110046575331E-3</v>
      </c>
    </row>
    <row r="96" spans="1:52" x14ac:dyDescent="0.3">
      <c r="A96" s="324" t="s">
        <v>262</v>
      </c>
      <c r="B96" s="284">
        <f t="shared" ref="B96:AS96" si="174">B69*(B98+B100)</f>
        <v>0.97776944999999993</v>
      </c>
      <c r="C96" s="11">
        <f t="shared" si="174"/>
        <v>4.4258028115474772E-3</v>
      </c>
      <c r="D96" s="11">
        <f t="shared" si="174"/>
        <v>0</v>
      </c>
      <c r="E96" s="285">
        <f t="shared" si="174"/>
        <v>0.16420420201643834</v>
      </c>
      <c r="F96" s="284">
        <f t="shared" si="174"/>
        <v>0.97776944999999993</v>
      </c>
      <c r="G96" s="11">
        <f t="shared" si="174"/>
        <v>4.4258028115474772E-3</v>
      </c>
      <c r="H96" s="11">
        <f t="shared" si="174"/>
        <v>0</v>
      </c>
      <c r="I96" s="285">
        <f t="shared" si="174"/>
        <v>0.16420420201643834</v>
      </c>
      <c r="J96" s="284">
        <f t="shared" si="174"/>
        <v>0.97776944999999993</v>
      </c>
      <c r="K96" s="11">
        <f t="shared" si="174"/>
        <v>4.4258028115474772E-3</v>
      </c>
      <c r="L96" s="11">
        <f t="shared" si="174"/>
        <v>0</v>
      </c>
      <c r="M96" s="285">
        <f t="shared" si="174"/>
        <v>0.16420420201643834</v>
      </c>
      <c r="N96" s="284">
        <f t="shared" si="174"/>
        <v>0.97776944999999993</v>
      </c>
      <c r="O96" s="11">
        <f t="shared" si="174"/>
        <v>4.4258028115474772E-3</v>
      </c>
      <c r="P96" s="11">
        <f t="shared" si="174"/>
        <v>0</v>
      </c>
      <c r="Q96" s="285">
        <f t="shared" si="174"/>
        <v>0.16420420201643834</v>
      </c>
      <c r="R96" s="284">
        <f t="shared" si="174"/>
        <v>0.97776944999999993</v>
      </c>
      <c r="S96" s="11">
        <f t="shared" si="174"/>
        <v>4.4258028115474772E-3</v>
      </c>
      <c r="T96" s="11">
        <f t="shared" si="174"/>
        <v>0</v>
      </c>
      <c r="U96" s="285">
        <f t="shared" si="174"/>
        <v>0.16420420201643834</v>
      </c>
      <c r="V96" s="284">
        <f t="shared" si="174"/>
        <v>0.97776944999999993</v>
      </c>
      <c r="W96" s="11">
        <f t="shared" si="174"/>
        <v>4.4258028115474772E-3</v>
      </c>
      <c r="X96" s="11">
        <f t="shared" si="174"/>
        <v>0</v>
      </c>
      <c r="Y96" s="285">
        <f t="shared" si="174"/>
        <v>0.16420420201643834</v>
      </c>
      <c r="Z96" s="284">
        <f t="shared" si="174"/>
        <v>0.97776944999999993</v>
      </c>
      <c r="AA96" s="11">
        <f t="shared" si="174"/>
        <v>4.4258028115474772E-3</v>
      </c>
      <c r="AB96" s="11">
        <f t="shared" si="174"/>
        <v>0</v>
      </c>
      <c r="AC96" s="285">
        <f t="shared" si="174"/>
        <v>0.16420420201643834</v>
      </c>
      <c r="AD96" s="284">
        <f t="shared" si="174"/>
        <v>0.97776944999999993</v>
      </c>
      <c r="AE96" s="11">
        <f t="shared" si="174"/>
        <v>4.4258028115474772E-3</v>
      </c>
      <c r="AF96" s="11">
        <f t="shared" si="174"/>
        <v>0</v>
      </c>
      <c r="AG96" s="285">
        <f t="shared" si="174"/>
        <v>0.16420420201643834</v>
      </c>
      <c r="AH96" s="284">
        <f t="shared" si="174"/>
        <v>0.97776944999999993</v>
      </c>
      <c r="AI96" s="11">
        <f t="shared" si="174"/>
        <v>4.4258028115474772E-3</v>
      </c>
      <c r="AJ96" s="11">
        <f t="shared" si="174"/>
        <v>0</v>
      </c>
      <c r="AK96" s="285">
        <f t="shared" si="174"/>
        <v>0.16420420201643834</v>
      </c>
      <c r="AL96" s="284">
        <f t="shared" si="174"/>
        <v>0.97776944999999993</v>
      </c>
      <c r="AM96" s="11">
        <f t="shared" si="174"/>
        <v>4.4258028115474772E-3</v>
      </c>
      <c r="AN96" s="11">
        <f t="shared" si="174"/>
        <v>0</v>
      </c>
      <c r="AO96" s="11">
        <f t="shared" si="174"/>
        <v>0.16420420201643834</v>
      </c>
      <c r="AP96" s="284">
        <f t="shared" si="174"/>
        <v>0.97776944999999993</v>
      </c>
      <c r="AQ96" s="11">
        <f t="shared" si="174"/>
        <v>4.4258028115474772E-3</v>
      </c>
      <c r="AR96" s="11">
        <f t="shared" si="174"/>
        <v>0</v>
      </c>
      <c r="AS96" s="285">
        <f t="shared" si="174"/>
        <v>0.16420420201643834</v>
      </c>
    </row>
    <row r="97" spans="1:47" x14ac:dyDescent="0.3">
      <c r="A97" s="318"/>
      <c r="B97" s="270"/>
      <c r="E97" s="271"/>
      <c r="F97" s="270"/>
      <c r="I97" s="271"/>
      <c r="J97" s="270"/>
      <c r="M97" s="271"/>
      <c r="N97" s="270"/>
      <c r="Q97" s="271"/>
      <c r="R97" s="270"/>
      <c r="U97" s="271"/>
      <c r="V97" s="270"/>
      <c r="Y97" s="271"/>
      <c r="Z97" s="270"/>
      <c r="AC97" s="271"/>
      <c r="AD97" s="270"/>
      <c r="AG97" s="271"/>
      <c r="AH97" s="270"/>
      <c r="AK97" s="271"/>
      <c r="AL97" s="270"/>
      <c r="AP97" s="270"/>
      <c r="AS97" s="271"/>
    </row>
    <row r="98" spans="1:47" x14ac:dyDescent="0.3">
      <c r="A98" s="327" t="s">
        <v>301</v>
      </c>
      <c r="B98" s="294">
        <v>0.01</v>
      </c>
      <c r="C98" s="15">
        <v>0.01</v>
      </c>
      <c r="D98" s="15">
        <v>0.01</v>
      </c>
      <c r="E98" s="295">
        <v>0.01</v>
      </c>
      <c r="F98" s="294">
        <v>0.01</v>
      </c>
      <c r="G98" s="15">
        <v>0.01</v>
      </c>
      <c r="H98" s="15">
        <v>0.01</v>
      </c>
      <c r="I98" s="295">
        <v>0.01</v>
      </c>
      <c r="J98" s="294">
        <v>0.01</v>
      </c>
      <c r="K98" s="15">
        <v>0.01</v>
      </c>
      <c r="L98" s="15">
        <v>0.01</v>
      </c>
      <c r="M98" s="295">
        <v>0.01</v>
      </c>
      <c r="N98" s="294">
        <v>0.01</v>
      </c>
      <c r="O98" s="15">
        <v>0.01</v>
      </c>
      <c r="P98" s="15">
        <v>0.01</v>
      </c>
      <c r="Q98" s="295">
        <v>0.01</v>
      </c>
      <c r="R98" s="294">
        <v>0.01</v>
      </c>
      <c r="S98" s="15">
        <v>0.01</v>
      </c>
      <c r="T98" s="15">
        <v>0.01</v>
      </c>
      <c r="U98" s="295">
        <v>0.01</v>
      </c>
      <c r="V98" s="294">
        <v>0.01</v>
      </c>
      <c r="W98" s="15">
        <v>0.01</v>
      </c>
      <c r="X98" s="15">
        <v>0.01</v>
      </c>
      <c r="Y98" s="295">
        <v>0.01</v>
      </c>
      <c r="Z98" s="294">
        <v>0.01</v>
      </c>
      <c r="AA98" s="15">
        <v>0.01</v>
      </c>
      <c r="AB98" s="15">
        <v>0.01</v>
      </c>
      <c r="AC98" s="295">
        <v>0.01</v>
      </c>
      <c r="AD98" s="294">
        <v>0.01</v>
      </c>
      <c r="AE98" s="15">
        <v>0.01</v>
      </c>
      <c r="AF98" s="15">
        <v>0.01</v>
      </c>
      <c r="AG98" s="295">
        <v>0.01</v>
      </c>
      <c r="AH98" s="294">
        <v>0.01</v>
      </c>
      <c r="AI98" s="15">
        <v>0.01</v>
      </c>
      <c r="AJ98" s="15">
        <v>0.01</v>
      </c>
      <c r="AK98" s="295">
        <v>0.01</v>
      </c>
      <c r="AL98" s="294">
        <v>0.01</v>
      </c>
      <c r="AM98" s="15">
        <v>0.01</v>
      </c>
      <c r="AN98" s="15">
        <v>0.01</v>
      </c>
      <c r="AO98" s="15">
        <v>0.01</v>
      </c>
      <c r="AP98" s="294">
        <v>0.01</v>
      </c>
      <c r="AQ98" s="15">
        <v>0.01</v>
      </c>
      <c r="AR98" s="15">
        <v>0.01</v>
      </c>
      <c r="AS98" s="295">
        <v>0.01</v>
      </c>
      <c r="AU98" s="247" t="s">
        <v>302</v>
      </c>
    </row>
    <row r="99" spans="1:47" x14ac:dyDescent="0.3">
      <c r="A99" s="327" t="s">
        <v>303</v>
      </c>
      <c r="B99" s="305">
        <v>1E-4</v>
      </c>
      <c r="C99" s="188">
        <v>1E-4</v>
      </c>
      <c r="D99" s="188">
        <v>1E-4</v>
      </c>
      <c r="E99" s="306">
        <v>1E-4</v>
      </c>
      <c r="F99" s="305">
        <v>1E-4</v>
      </c>
      <c r="G99" s="188">
        <v>1E-4</v>
      </c>
      <c r="H99" s="188">
        <v>1E-4</v>
      </c>
      <c r="I99" s="306">
        <v>1E-4</v>
      </c>
      <c r="J99" s="305">
        <v>1E-4</v>
      </c>
      <c r="K99" s="188">
        <v>1E-4</v>
      </c>
      <c r="L99" s="188">
        <v>1E-4</v>
      </c>
      <c r="M99" s="306">
        <v>1E-4</v>
      </c>
      <c r="N99" s="305">
        <v>1E-4</v>
      </c>
      <c r="O99" s="188">
        <v>1E-4</v>
      </c>
      <c r="P99" s="188">
        <v>1E-4</v>
      </c>
      <c r="Q99" s="306">
        <v>1E-4</v>
      </c>
      <c r="R99" s="305">
        <v>1E-4</v>
      </c>
      <c r="S99" s="188">
        <v>1E-4</v>
      </c>
      <c r="T99" s="188">
        <v>1E-4</v>
      </c>
      <c r="U99" s="306">
        <v>1E-4</v>
      </c>
      <c r="V99" s="305">
        <v>1E-4</v>
      </c>
      <c r="W99" s="188">
        <v>1E-4</v>
      </c>
      <c r="X99" s="188">
        <v>1E-4</v>
      </c>
      <c r="Y99" s="306">
        <v>1E-4</v>
      </c>
      <c r="Z99" s="305">
        <v>1E-4</v>
      </c>
      <c r="AA99" s="188">
        <v>1E-4</v>
      </c>
      <c r="AB99" s="188">
        <v>1E-4</v>
      </c>
      <c r="AC99" s="306">
        <v>1E-4</v>
      </c>
      <c r="AD99" s="305">
        <v>1E-4</v>
      </c>
      <c r="AE99" s="188">
        <v>1E-4</v>
      </c>
      <c r="AF99" s="188">
        <v>1E-4</v>
      </c>
      <c r="AG99" s="306">
        <v>1E-4</v>
      </c>
      <c r="AH99" s="305">
        <v>1E-4</v>
      </c>
      <c r="AI99" s="188">
        <v>1E-4</v>
      </c>
      <c r="AJ99" s="188">
        <v>1E-4</v>
      </c>
      <c r="AK99" s="306">
        <v>1E-4</v>
      </c>
      <c r="AL99" s="305">
        <v>1E-4</v>
      </c>
      <c r="AM99" s="188">
        <v>1E-4</v>
      </c>
      <c r="AN99" s="188">
        <v>1E-4</v>
      </c>
      <c r="AO99" s="188">
        <v>1E-4</v>
      </c>
      <c r="AP99" s="305">
        <v>1E-4</v>
      </c>
      <c r="AQ99" s="188">
        <v>1E-4</v>
      </c>
      <c r="AR99" s="188">
        <v>1E-4</v>
      </c>
      <c r="AS99" s="306">
        <v>1E-4</v>
      </c>
      <c r="AU99" s="247" t="s">
        <v>302</v>
      </c>
    </row>
    <row r="100" spans="1:47" x14ac:dyDescent="0.3">
      <c r="A100" s="327" t="s">
        <v>304</v>
      </c>
      <c r="B100" s="277">
        <v>0.3</v>
      </c>
      <c r="C100" s="13">
        <v>0.3</v>
      </c>
      <c r="D100" s="13">
        <v>0.3</v>
      </c>
      <c r="E100" s="278">
        <v>0.3</v>
      </c>
      <c r="F100" s="277">
        <v>0.3</v>
      </c>
      <c r="G100" s="13">
        <v>0.3</v>
      </c>
      <c r="H100" s="13">
        <v>0.3</v>
      </c>
      <c r="I100" s="278">
        <v>0.3</v>
      </c>
      <c r="J100" s="277">
        <v>0.3</v>
      </c>
      <c r="K100" s="13">
        <v>0.3</v>
      </c>
      <c r="L100" s="13">
        <v>0.3</v>
      </c>
      <c r="M100" s="278">
        <v>0.3</v>
      </c>
      <c r="N100" s="277">
        <v>0.3</v>
      </c>
      <c r="O100" s="13">
        <v>0.3</v>
      </c>
      <c r="P100" s="13">
        <v>0.3</v>
      </c>
      <c r="Q100" s="278">
        <v>0.3</v>
      </c>
      <c r="R100" s="277">
        <v>0.3</v>
      </c>
      <c r="S100" s="13">
        <v>0.3</v>
      </c>
      <c r="T100" s="13">
        <v>0.3</v>
      </c>
      <c r="U100" s="278">
        <v>0.3</v>
      </c>
      <c r="V100" s="277">
        <v>0.3</v>
      </c>
      <c r="W100" s="13">
        <v>0.3</v>
      </c>
      <c r="X100" s="13">
        <v>0.3</v>
      </c>
      <c r="Y100" s="278">
        <v>0.3</v>
      </c>
      <c r="Z100" s="277">
        <v>0.3</v>
      </c>
      <c r="AA100" s="13">
        <v>0.3</v>
      </c>
      <c r="AB100" s="13">
        <v>0.3</v>
      </c>
      <c r="AC100" s="278">
        <v>0.3</v>
      </c>
      <c r="AD100" s="277">
        <v>0.3</v>
      </c>
      <c r="AE100" s="13">
        <v>0.3</v>
      </c>
      <c r="AF100" s="13">
        <v>0.3</v>
      </c>
      <c r="AG100" s="278">
        <v>0.3</v>
      </c>
      <c r="AH100" s="277">
        <v>0.3</v>
      </c>
      <c r="AI100" s="13">
        <v>0.3</v>
      </c>
      <c r="AJ100" s="13">
        <v>0.3</v>
      </c>
      <c r="AK100" s="278">
        <v>0.3</v>
      </c>
      <c r="AL100" s="277">
        <v>0.3</v>
      </c>
      <c r="AM100" s="13">
        <v>0.3</v>
      </c>
      <c r="AN100" s="13">
        <v>0.3</v>
      </c>
      <c r="AO100" s="13">
        <v>0.3</v>
      </c>
      <c r="AP100" s="277">
        <v>0.3</v>
      </c>
      <c r="AQ100" s="13">
        <v>0.3</v>
      </c>
      <c r="AR100" s="13">
        <v>0.3</v>
      </c>
      <c r="AS100" s="278">
        <v>0.3</v>
      </c>
      <c r="AU100" s="247" t="s">
        <v>302</v>
      </c>
    </row>
    <row r="101" spans="1:47" x14ac:dyDescent="0.3">
      <c r="A101" s="327" t="s">
        <v>305</v>
      </c>
      <c r="B101" s="277">
        <v>3.0000000000000001E-3</v>
      </c>
      <c r="C101" s="13">
        <v>3.0000000000000001E-3</v>
      </c>
      <c r="D101" s="13">
        <v>3.0000000000000001E-3</v>
      </c>
      <c r="E101" s="278">
        <v>3.0000000000000001E-3</v>
      </c>
      <c r="F101" s="277">
        <v>3.0000000000000001E-3</v>
      </c>
      <c r="G101" s="13">
        <v>3.0000000000000001E-3</v>
      </c>
      <c r="H101" s="13">
        <v>3.0000000000000001E-3</v>
      </c>
      <c r="I101" s="278">
        <v>3.0000000000000001E-3</v>
      </c>
      <c r="J101" s="277">
        <v>3.0000000000000001E-3</v>
      </c>
      <c r="K101" s="13">
        <v>3.0000000000000001E-3</v>
      </c>
      <c r="L101" s="13">
        <v>3.0000000000000001E-3</v>
      </c>
      <c r="M101" s="278">
        <v>3.0000000000000001E-3</v>
      </c>
      <c r="N101" s="277">
        <v>3.0000000000000001E-3</v>
      </c>
      <c r="O101" s="13">
        <v>3.0000000000000001E-3</v>
      </c>
      <c r="P101" s="13">
        <v>3.0000000000000001E-3</v>
      </c>
      <c r="Q101" s="278">
        <v>3.0000000000000001E-3</v>
      </c>
      <c r="R101" s="277">
        <v>3.0000000000000001E-3</v>
      </c>
      <c r="S101" s="13">
        <v>3.0000000000000001E-3</v>
      </c>
      <c r="T101" s="13">
        <v>3.0000000000000001E-3</v>
      </c>
      <c r="U101" s="278">
        <v>3.0000000000000001E-3</v>
      </c>
      <c r="V101" s="277">
        <v>3.0000000000000001E-3</v>
      </c>
      <c r="W101" s="13">
        <v>3.0000000000000001E-3</v>
      </c>
      <c r="X101" s="13">
        <v>3.0000000000000001E-3</v>
      </c>
      <c r="Y101" s="278">
        <v>3.0000000000000001E-3</v>
      </c>
      <c r="Z101" s="277">
        <v>3.0000000000000001E-3</v>
      </c>
      <c r="AA101" s="13">
        <v>3.0000000000000001E-3</v>
      </c>
      <c r="AB101" s="13">
        <v>3.0000000000000001E-3</v>
      </c>
      <c r="AC101" s="278">
        <v>3.0000000000000001E-3</v>
      </c>
      <c r="AD101" s="277">
        <v>3.0000000000000001E-3</v>
      </c>
      <c r="AE101" s="13">
        <v>3.0000000000000001E-3</v>
      </c>
      <c r="AF101" s="13">
        <v>3.0000000000000001E-3</v>
      </c>
      <c r="AG101" s="278">
        <v>3.0000000000000001E-3</v>
      </c>
      <c r="AH101" s="277">
        <v>3.0000000000000001E-3</v>
      </c>
      <c r="AI101" s="13">
        <v>3.0000000000000001E-3</v>
      </c>
      <c r="AJ101" s="13">
        <v>3.0000000000000001E-3</v>
      </c>
      <c r="AK101" s="278">
        <v>3.0000000000000001E-3</v>
      </c>
      <c r="AL101" s="277">
        <v>3.0000000000000001E-3</v>
      </c>
      <c r="AM101" s="13">
        <v>3.0000000000000001E-3</v>
      </c>
      <c r="AN101" s="13">
        <v>3.0000000000000001E-3</v>
      </c>
      <c r="AO101" s="13">
        <v>3.0000000000000001E-3</v>
      </c>
      <c r="AP101" s="277">
        <v>3.0000000000000001E-3</v>
      </c>
      <c r="AQ101" s="13">
        <v>3.0000000000000001E-3</v>
      </c>
      <c r="AR101" s="13">
        <v>3.0000000000000001E-3</v>
      </c>
      <c r="AS101" s="278">
        <v>3.0000000000000001E-3</v>
      </c>
      <c r="AU101" s="247" t="s">
        <v>302</v>
      </c>
    </row>
    <row r="102" spans="1:47" x14ac:dyDescent="0.3">
      <c r="A102" s="318"/>
      <c r="B102" s="270"/>
      <c r="E102" s="271"/>
      <c r="F102" s="270"/>
      <c r="I102" s="271"/>
      <c r="J102" s="270"/>
      <c r="M102" s="271"/>
      <c r="N102" s="270"/>
      <c r="Q102" s="271"/>
      <c r="R102" s="270"/>
      <c r="U102" s="271"/>
      <c r="V102" s="270"/>
      <c r="Y102" s="271"/>
      <c r="Z102" s="270"/>
      <c r="AC102" s="271"/>
      <c r="AD102" s="270"/>
      <c r="AG102" s="271"/>
      <c r="AH102" s="270"/>
      <c r="AK102" s="271"/>
      <c r="AL102" s="270"/>
      <c r="AP102" s="270"/>
      <c r="AS102" s="271"/>
    </row>
    <row r="103" spans="1:47" x14ac:dyDescent="0.3">
      <c r="A103" s="326" t="s">
        <v>306</v>
      </c>
      <c r="B103" s="279"/>
      <c r="C103" s="118"/>
      <c r="D103" s="118"/>
      <c r="E103" s="280"/>
      <c r="F103" s="279"/>
      <c r="G103" s="118"/>
      <c r="H103" s="118"/>
      <c r="I103" s="280"/>
      <c r="J103" s="279"/>
      <c r="K103" s="118"/>
      <c r="L103" s="118"/>
      <c r="M103" s="280"/>
      <c r="N103" s="279"/>
      <c r="O103" s="118"/>
      <c r="P103" s="118"/>
      <c r="Q103" s="280"/>
      <c r="R103" s="279"/>
      <c r="S103" s="118"/>
      <c r="T103" s="118"/>
      <c r="U103" s="280"/>
      <c r="V103" s="279"/>
      <c r="W103" s="118"/>
      <c r="X103" s="118"/>
      <c r="Y103" s="280"/>
      <c r="Z103" s="279"/>
      <c r="AA103" s="118"/>
      <c r="AB103" s="118"/>
      <c r="AC103" s="280"/>
      <c r="AD103" s="279"/>
      <c r="AE103" s="118"/>
      <c r="AF103" s="118"/>
      <c r="AG103" s="280"/>
      <c r="AH103" s="279"/>
      <c r="AI103" s="118"/>
      <c r="AJ103" s="118"/>
      <c r="AK103" s="280"/>
      <c r="AL103" s="279"/>
      <c r="AM103" s="118"/>
      <c r="AN103" s="118"/>
      <c r="AO103" s="118"/>
      <c r="AP103" s="279"/>
      <c r="AQ103" s="118"/>
      <c r="AR103" s="118"/>
      <c r="AS103" s="280"/>
    </row>
    <row r="104" spans="1:47" x14ac:dyDescent="0.3">
      <c r="A104" s="324" t="s">
        <v>260</v>
      </c>
      <c r="B104" s="291">
        <f>B67-B74-B84-B94</f>
        <v>1.4471730000000005</v>
      </c>
      <c r="C104" s="5">
        <f t="shared" ref="C104:E104" si="175">C67-C74-C84-C94</f>
        <v>6.5505240854023383E-3</v>
      </c>
      <c r="D104" s="5">
        <f t="shared" si="175"/>
        <v>0</v>
      </c>
      <c r="E104" s="292">
        <f t="shared" si="175"/>
        <v>0.24303468230136976</v>
      </c>
      <c r="F104" s="291">
        <f>F67-F74-F84-F94</f>
        <v>1.4471730000000005</v>
      </c>
      <c r="G104" s="5">
        <f t="shared" ref="G104:I105" si="176">G67-G74-G84-G94</f>
        <v>6.5505240854023383E-3</v>
      </c>
      <c r="H104" s="5">
        <f t="shared" si="176"/>
        <v>0</v>
      </c>
      <c r="I104" s="292">
        <f t="shared" si="176"/>
        <v>0.24303468230136976</v>
      </c>
      <c r="J104" s="291">
        <f>J67-J74-J84-J94</f>
        <v>1.4471730000000005</v>
      </c>
      <c r="K104" s="5">
        <f t="shared" ref="K104:M104" si="177">K67-K74-K84-K94</f>
        <v>6.5505240854023383E-3</v>
      </c>
      <c r="L104" s="5">
        <f t="shared" si="177"/>
        <v>0</v>
      </c>
      <c r="M104" s="292">
        <f t="shared" si="177"/>
        <v>0.24303468230136976</v>
      </c>
      <c r="N104" s="291">
        <f>N67-N74-N84-N94</f>
        <v>1.4471730000000005</v>
      </c>
      <c r="O104" s="5">
        <f t="shared" ref="O104:Q105" si="178">O67-O74-O84-O94</f>
        <v>6.5505240854023383E-3</v>
      </c>
      <c r="P104" s="5">
        <f t="shared" si="178"/>
        <v>0</v>
      </c>
      <c r="Q104" s="292">
        <f t="shared" si="178"/>
        <v>0.24303468230136976</v>
      </c>
      <c r="R104" s="291">
        <f>R67-R74-R84-R94</f>
        <v>1.4471730000000005</v>
      </c>
      <c r="S104" s="5">
        <f t="shared" ref="S104:U105" si="179">S67-S74-S84-S94</f>
        <v>6.5505240854023383E-3</v>
      </c>
      <c r="T104" s="5">
        <f t="shared" si="179"/>
        <v>0</v>
      </c>
      <c r="U104" s="292">
        <f t="shared" si="179"/>
        <v>0.24303468230136976</v>
      </c>
      <c r="V104" s="291">
        <f>V67-V74-V84-V94</f>
        <v>1.4471730000000005</v>
      </c>
      <c r="W104" s="5">
        <f t="shared" ref="W104:Y105" si="180">W67-W74-W84-W94</f>
        <v>6.5505240854023383E-3</v>
      </c>
      <c r="X104" s="5">
        <f t="shared" si="180"/>
        <v>0</v>
      </c>
      <c r="Y104" s="292">
        <f t="shared" si="180"/>
        <v>0.24303468230136976</v>
      </c>
      <c r="Z104" s="291">
        <f>Z67-Z74-Z84-Z94</f>
        <v>1.4471730000000005</v>
      </c>
      <c r="AA104" s="5">
        <f t="shared" ref="AA104:AC105" si="181">AA67-AA74-AA84-AA94</f>
        <v>6.5505240854023383E-3</v>
      </c>
      <c r="AB104" s="5">
        <f t="shared" si="181"/>
        <v>0</v>
      </c>
      <c r="AC104" s="292">
        <f t="shared" si="181"/>
        <v>0.24303468230136976</v>
      </c>
      <c r="AD104" s="291">
        <f>AD67-AD74-AD84-AD94</f>
        <v>1.4471730000000005</v>
      </c>
      <c r="AE104" s="5">
        <f t="shared" ref="AE104:AG105" si="182">AE67-AE74-AE84-AE94</f>
        <v>6.5505240854023383E-3</v>
      </c>
      <c r="AF104" s="5">
        <f t="shared" si="182"/>
        <v>0</v>
      </c>
      <c r="AG104" s="292">
        <f t="shared" si="182"/>
        <v>0.24303468230136976</v>
      </c>
      <c r="AH104" s="291">
        <f>AH67-AH74-AH84-AH94</f>
        <v>1.4471730000000005</v>
      </c>
      <c r="AI104" s="5">
        <f t="shared" ref="AI104:AK105" si="183">AI67-AI74-AI84-AI94</f>
        <v>6.5505240854023383E-3</v>
      </c>
      <c r="AJ104" s="5">
        <f t="shared" si="183"/>
        <v>0</v>
      </c>
      <c r="AK104" s="292">
        <f t="shared" si="183"/>
        <v>0.24303468230136976</v>
      </c>
      <c r="AL104" s="291">
        <f>AL67-AL74-AL84-AL94</f>
        <v>1.4471730000000005</v>
      </c>
      <c r="AM104" s="5">
        <f t="shared" ref="AM104:AO105" si="184">AM67-AM74-AM84-AM94</f>
        <v>6.5505240854023383E-3</v>
      </c>
      <c r="AN104" s="5">
        <f t="shared" si="184"/>
        <v>0</v>
      </c>
      <c r="AO104" s="5">
        <f t="shared" si="184"/>
        <v>0.24303468230136976</v>
      </c>
      <c r="AP104" s="291">
        <f>AP67-AP74-AP84-AP94</f>
        <v>1.4471730000000005</v>
      </c>
      <c r="AQ104" s="5">
        <f t="shared" ref="AQ104:AS104" si="185">AQ67-AQ74-AQ84-AQ94</f>
        <v>6.5505240854023383E-3</v>
      </c>
      <c r="AR104" s="5">
        <f t="shared" si="185"/>
        <v>0</v>
      </c>
      <c r="AS104" s="292">
        <f t="shared" si="185"/>
        <v>0.24303468230136976</v>
      </c>
    </row>
    <row r="105" spans="1:47" x14ac:dyDescent="0.3">
      <c r="A105" s="324" t="s">
        <v>261</v>
      </c>
      <c r="B105" s="291">
        <f>B68-B75-B85-B95</f>
        <v>9.4508562881250011</v>
      </c>
      <c r="C105" s="5">
        <f t="shared" ref="C105" si="186">C68-C75-C85-C95</f>
        <v>4.2778618550124249E-2</v>
      </c>
      <c r="D105" s="5">
        <f>D68-D75-D85-D95</f>
        <v>30.296832517479448</v>
      </c>
      <c r="E105" s="292">
        <f t="shared" ref="E105" si="187">E68-E75-E85-E95</f>
        <v>1.5871536129131505</v>
      </c>
      <c r="F105" s="291">
        <f>F68-F75-F85-F95</f>
        <v>9.4508562881250011</v>
      </c>
      <c r="G105" s="5">
        <f t="shared" ref="G105" si="188">G68-G75-G85-G95</f>
        <v>4.2778618550124249E-2</v>
      </c>
      <c r="H105" s="5">
        <f>H68-H75-H85-H95</f>
        <v>30.296832517479448</v>
      </c>
      <c r="I105" s="292">
        <f t="shared" si="176"/>
        <v>1.5871536129131505</v>
      </c>
      <c r="J105" s="291">
        <f>J68-J75-J85-J95</f>
        <v>9.4508562881250011</v>
      </c>
      <c r="K105" s="5">
        <f t="shared" ref="K105" si="189">K68-K75-K85-K95</f>
        <v>4.2778618550124249E-2</v>
      </c>
      <c r="L105" s="5">
        <f>L68-L75-L85-L95</f>
        <v>30.296832517479448</v>
      </c>
      <c r="M105" s="292">
        <f t="shared" ref="M105" si="190">M68-M75-M85-M95</f>
        <v>1.5871536129131505</v>
      </c>
      <c r="N105" s="291">
        <f>N68-N75-N85-N95</f>
        <v>9.4508562881250011</v>
      </c>
      <c r="O105" s="5">
        <f t="shared" ref="O105" si="191">O68-O75-O85-O95</f>
        <v>4.2778618550124249E-2</v>
      </c>
      <c r="P105" s="5">
        <f>P68-P75-P85-P95</f>
        <v>30.296832517479448</v>
      </c>
      <c r="Q105" s="292">
        <f t="shared" si="178"/>
        <v>1.5871536129131505</v>
      </c>
      <c r="R105" s="291">
        <f>R68-R75-R85-R95</f>
        <v>9.4508562881250011</v>
      </c>
      <c r="S105" s="5">
        <f t="shared" ref="S105" si="192">S68-S75-S85-S95</f>
        <v>4.2778618550124249E-2</v>
      </c>
      <c r="T105" s="5">
        <f>T68-T75-T85-T95</f>
        <v>30.296832517479448</v>
      </c>
      <c r="U105" s="292">
        <f t="shared" si="179"/>
        <v>1.5871536129131505</v>
      </c>
      <c r="V105" s="291">
        <f>V68-V75-V85-V95</f>
        <v>9.4508562881250011</v>
      </c>
      <c r="W105" s="5">
        <f t="shared" ref="W105" si="193">W68-W75-W85-W95</f>
        <v>4.2778618550124249E-2</v>
      </c>
      <c r="X105" s="5">
        <f>X68-X75-X85-X95</f>
        <v>30.296832517479448</v>
      </c>
      <c r="Y105" s="292">
        <f t="shared" si="180"/>
        <v>1.5871536129131505</v>
      </c>
      <c r="Z105" s="291">
        <f>Z68-Z75-Z85-Z95</f>
        <v>9.4508562881250011</v>
      </c>
      <c r="AA105" s="5">
        <f t="shared" ref="AA105" si="194">AA68-AA75-AA85-AA95</f>
        <v>4.2778618550124249E-2</v>
      </c>
      <c r="AB105" s="5">
        <f>AB68-AB75-AB85-AB95</f>
        <v>30.296832517479448</v>
      </c>
      <c r="AC105" s="292">
        <f t="shared" si="181"/>
        <v>1.5871536129131505</v>
      </c>
      <c r="AD105" s="291">
        <f>AD68-AD75-AD85-AD95</f>
        <v>9.4508562881250011</v>
      </c>
      <c r="AE105" s="5">
        <f t="shared" ref="AE105" si="195">AE68-AE75-AE85-AE95</f>
        <v>4.2778618550124249E-2</v>
      </c>
      <c r="AF105" s="5">
        <f>AF68-AF75-AF85-AF95</f>
        <v>30.296832517479448</v>
      </c>
      <c r="AG105" s="292">
        <f t="shared" si="182"/>
        <v>1.5871536129131505</v>
      </c>
      <c r="AH105" s="291">
        <f>AH68-AH75-AH85-AH95</f>
        <v>9.4508562881250011</v>
      </c>
      <c r="AI105" s="5">
        <f t="shared" ref="AI105" si="196">AI68-AI75-AI85-AI95</f>
        <v>4.2778618550124249E-2</v>
      </c>
      <c r="AJ105" s="5">
        <f>AJ68-AJ75-AJ85-AJ95</f>
        <v>30.296832517479448</v>
      </c>
      <c r="AK105" s="292">
        <f t="shared" si="183"/>
        <v>1.5871536129131505</v>
      </c>
      <c r="AL105" s="291">
        <f>AL68-AL75-AL85-AL95</f>
        <v>9.4508562881250011</v>
      </c>
      <c r="AM105" s="5">
        <f t="shared" ref="AM105" si="197">AM68-AM75-AM85-AM95</f>
        <v>4.2778618550124249E-2</v>
      </c>
      <c r="AN105" s="5">
        <f>AN68-AN75-AN85-AN95</f>
        <v>30.296832517479448</v>
      </c>
      <c r="AO105" s="5">
        <f t="shared" si="184"/>
        <v>1.5871536129131505</v>
      </c>
      <c r="AP105" s="291">
        <f>AP68-AP75-AP85-AP95</f>
        <v>9.3442957256250008</v>
      </c>
      <c r="AQ105" s="5">
        <f t="shared" ref="AQ105:AS105" si="198">AQ68-AQ75-AQ85-AQ95</f>
        <v>4.2296279858613096E-2</v>
      </c>
      <c r="AR105" s="5">
        <f>AR68-AR75-AR85-AR95</f>
        <v>29.95522881336986</v>
      </c>
      <c r="AS105" s="292">
        <f t="shared" si="198"/>
        <v>1.5692580935432874</v>
      </c>
    </row>
    <row r="106" spans="1:47" x14ac:dyDescent="0.3">
      <c r="A106" s="324" t="s">
        <v>262</v>
      </c>
      <c r="B106" s="291">
        <f t="shared" ref="B106:E106" si="199">B69-B76-B86-B96</f>
        <v>1.2300970499999999</v>
      </c>
      <c r="C106" s="5">
        <f t="shared" si="199"/>
        <v>5.5679454725919885E-3</v>
      </c>
      <c r="D106" s="5">
        <f t="shared" si="199"/>
        <v>0</v>
      </c>
      <c r="E106" s="292">
        <f t="shared" si="199"/>
        <v>0.20657947995616435</v>
      </c>
      <c r="F106" s="291">
        <f t="shared" ref="F106:I106" si="200">F69-F76-F86-F96</f>
        <v>1.2300970499999999</v>
      </c>
      <c r="G106" s="5">
        <f t="shared" si="200"/>
        <v>5.5679454725919885E-3</v>
      </c>
      <c r="H106" s="5">
        <f t="shared" si="200"/>
        <v>0</v>
      </c>
      <c r="I106" s="292">
        <f t="shared" si="200"/>
        <v>0.20657947995616435</v>
      </c>
      <c r="J106" s="291">
        <f t="shared" ref="J106:M106" si="201">J69-J76-J86-J96</f>
        <v>1.2300970499999999</v>
      </c>
      <c r="K106" s="5">
        <f t="shared" si="201"/>
        <v>5.5679454725919885E-3</v>
      </c>
      <c r="L106" s="5">
        <f t="shared" si="201"/>
        <v>0</v>
      </c>
      <c r="M106" s="292">
        <f t="shared" si="201"/>
        <v>0.20657947995616435</v>
      </c>
      <c r="N106" s="291">
        <f t="shared" ref="N106:AO106" si="202">N69-N76-N86-N96</f>
        <v>1.2300970499999999</v>
      </c>
      <c r="O106" s="5">
        <f t="shared" si="202"/>
        <v>5.5679454725919885E-3</v>
      </c>
      <c r="P106" s="5">
        <f t="shared" si="202"/>
        <v>0</v>
      </c>
      <c r="Q106" s="292">
        <f t="shared" si="202"/>
        <v>0.20657947995616435</v>
      </c>
      <c r="R106" s="291">
        <f t="shared" si="202"/>
        <v>1.2300970499999999</v>
      </c>
      <c r="S106" s="5">
        <f t="shared" si="202"/>
        <v>5.5679454725919885E-3</v>
      </c>
      <c r="T106" s="5">
        <f t="shared" si="202"/>
        <v>0</v>
      </c>
      <c r="U106" s="292">
        <f t="shared" si="202"/>
        <v>0.20657947995616435</v>
      </c>
      <c r="V106" s="291">
        <f t="shared" si="202"/>
        <v>1.2300970499999999</v>
      </c>
      <c r="W106" s="5">
        <f t="shared" si="202"/>
        <v>5.5679454725919885E-3</v>
      </c>
      <c r="X106" s="5">
        <f t="shared" si="202"/>
        <v>0</v>
      </c>
      <c r="Y106" s="292">
        <f t="shared" si="202"/>
        <v>0.20657947995616435</v>
      </c>
      <c r="Z106" s="291">
        <f t="shared" si="202"/>
        <v>1.2300970499999999</v>
      </c>
      <c r="AA106" s="5">
        <f t="shared" si="202"/>
        <v>5.5679454725919885E-3</v>
      </c>
      <c r="AB106" s="5">
        <f t="shared" si="202"/>
        <v>0</v>
      </c>
      <c r="AC106" s="292">
        <f t="shared" si="202"/>
        <v>0.20657947995616435</v>
      </c>
      <c r="AD106" s="291">
        <f t="shared" si="202"/>
        <v>1.2300970499999999</v>
      </c>
      <c r="AE106" s="5">
        <f t="shared" si="202"/>
        <v>5.5679454725919885E-3</v>
      </c>
      <c r="AF106" s="5">
        <f t="shared" si="202"/>
        <v>0</v>
      </c>
      <c r="AG106" s="292">
        <f t="shared" si="202"/>
        <v>0.20657947995616435</v>
      </c>
      <c r="AH106" s="291">
        <f t="shared" si="202"/>
        <v>1.2300970499999999</v>
      </c>
      <c r="AI106" s="5">
        <f t="shared" si="202"/>
        <v>5.5679454725919885E-3</v>
      </c>
      <c r="AJ106" s="5">
        <f t="shared" si="202"/>
        <v>0</v>
      </c>
      <c r="AK106" s="292">
        <f t="shared" si="202"/>
        <v>0.20657947995616435</v>
      </c>
      <c r="AL106" s="291">
        <f t="shared" si="202"/>
        <v>1.2300970499999999</v>
      </c>
      <c r="AM106" s="5">
        <f t="shared" si="202"/>
        <v>5.5679454725919885E-3</v>
      </c>
      <c r="AN106" s="5">
        <f t="shared" si="202"/>
        <v>0</v>
      </c>
      <c r="AO106" s="5">
        <f t="shared" si="202"/>
        <v>0.20657947995616435</v>
      </c>
      <c r="AP106" s="291">
        <f t="shared" ref="AP106:AS106" si="203">AP69-AP76-AP86-AP96</f>
        <v>1.2300970499999999</v>
      </c>
      <c r="AQ106" s="5">
        <f t="shared" si="203"/>
        <v>5.5679454725919885E-3</v>
      </c>
      <c r="AR106" s="5">
        <f t="shared" si="203"/>
        <v>0</v>
      </c>
      <c r="AS106" s="292">
        <f t="shared" si="203"/>
        <v>0.20657947995616435</v>
      </c>
    </row>
    <row r="107" spans="1:47" x14ac:dyDescent="0.3">
      <c r="A107" s="318"/>
      <c r="B107" s="291"/>
      <c r="C107" s="5"/>
      <c r="D107" s="5"/>
      <c r="E107" s="292"/>
      <c r="F107" s="291"/>
      <c r="G107" s="5"/>
      <c r="H107" s="5"/>
      <c r="I107" s="292"/>
      <c r="J107" s="291"/>
      <c r="K107" s="5"/>
      <c r="L107" s="5"/>
      <c r="M107" s="292"/>
      <c r="N107" s="291"/>
      <c r="O107" s="5"/>
      <c r="P107" s="5"/>
      <c r="Q107" s="292"/>
      <c r="R107" s="291"/>
      <c r="S107" s="5"/>
      <c r="T107" s="5"/>
      <c r="U107" s="292"/>
      <c r="V107" s="291"/>
      <c r="W107" s="5"/>
      <c r="X107" s="5"/>
      <c r="Y107" s="292"/>
      <c r="Z107" s="291"/>
      <c r="AA107" s="5"/>
      <c r="AB107" s="5"/>
      <c r="AC107" s="292"/>
      <c r="AD107" s="291"/>
      <c r="AE107" s="5"/>
      <c r="AF107" s="5"/>
      <c r="AG107" s="292"/>
      <c r="AH107" s="291"/>
      <c r="AI107" s="5"/>
      <c r="AJ107" s="5"/>
      <c r="AK107" s="292"/>
      <c r="AL107" s="291"/>
      <c r="AM107" s="5"/>
      <c r="AN107" s="5"/>
      <c r="AO107" s="5"/>
      <c r="AP107" s="291"/>
      <c r="AQ107" s="5"/>
      <c r="AR107" s="5"/>
      <c r="AS107" s="292"/>
    </row>
    <row r="108" spans="1:47" x14ac:dyDescent="0.3">
      <c r="A108" s="329" t="s">
        <v>307</v>
      </c>
      <c r="B108" s="307"/>
      <c r="C108" s="308"/>
      <c r="D108" s="308"/>
      <c r="E108" s="309"/>
      <c r="F108" s="307"/>
      <c r="G108" s="308"/>
      <c r="H108" s="308"/>
      <c r="I108" s="309"/>
      <c r="J108" s="307"/>
      <c r="K108" s="308"/>
      <c r="L108" s="308"/>
      <c r="M108" s="309"/>
      <c r="N108" s="307"/>
      <c r="O108" s="308"/>
      <c r="P108" s="308"/>
      <c r="Q108" s="309"/>
      <c r="R108" s="307"/>
      <c r="S108" s="308"/>
      <c r="T108" s="308"/>
      <c r="U108" s="309"/>
      <c r="V108" s="307"/>
      <c r="W108" s="308"/>
      <c r="X108" s="308"/>
      <c r="Y108" s="309"/>
      <c r="Z108" s="307"/>
      <c r="AA108" s="308"/>
      <c r="AB108" s="308"/>
      <c r="AC108" s="309"/>
      <c r="AD108" s="307"/>
      <c r="AE108" s="308"/>
      <c r="AF108" s="308"/>
      <c r="AG108" s="309"/>
      <c r="AH108" s="307"/>
      <c r="AI108" s="308"/>
      <c r="AJ108" s="308"/>
      <c r="AK108" s="309"/>
      <c r="AL108" s="307"/>
      <c r="AM108" s="308"/>
      <c r="AN108" s="308"/>
      <c r="AO108" s="308"/>
      <c r="AP108" s="307"/>
      <c r="AQ108" s="308"/>
      <c r="AR108" s="308"/>
      <c r="AS108" s="309"/>
      <c r="AU108" s="234" t="s">
        <v>308</v>
      </c>
    </row>
    <row r="109" spans="1:47" x14ac:dyDescent="0.3">
      <c r="A109" s="324" t="s">
        <v>260</v>
      </c>
      <c r="B109" s="291">
        <f>B104*B115</f>
        <v>0.65122785000000027</v>
      </c>
      <c r="C109" s="5">
        <f t="shared" ref="C109:E109" si="204">C104*C115</f>
        <v>2.9477358384310524E-3</v>
      </c>
      <c r="D109" s="5">
        <f t="shared" si="204"/>
        <v>0</v>
      </c>
      <c r="E109" s="292">
        <f t="shared" si="204"/>
        <v>0.1093656070356164</v>
      </c>
      <c r="F109" s="291">
        <f>F104*F115</f>
        <v>0.65122785000000027</v>
      </c>
      <c r="G109" s="5">
        <f t="shared" ref="G109:I109" si="205">G104*G115</f>
        <v>2.9477358384310524E-3</v>
      </c>
      <c r="H109" s="5">
        <f t="shared" si="205"/>
        <v>0</v>
      </c>
      <c r="I109" s="292">
        <f t="shared" si="205"/>
        <v>0.1093656070356164</v>
      </c>
      <c r="J109" s="291">
        <f>J104*J115</f>
        <v>0.65122785000000027</v>
      </c>
      <c r="K109" s="5">
        <f t="shared" ref="K109:M109" si="206">K104*K115</f>
        <v>2.9477358384310524E-3</v>
      </c>
      <c r="L109" s="5">
        <f t="shared" si="206"/>
        <v>0</v>
      </c>
      <c r="M109" s="292">
        <f t="shared" si="206"/>
        <v>0.1093656070356164</v>
      </c>
      <c r="N109" s="291">
        <f>N104*N115</f>
        <v>0.65122785000000027</v>
      </c>
      <c r="O109" s="5">
        <f t="shared" ref="O109:Q109" si="207">O104*O115</f>
        <v>2.9477358384310524E-3</v>
      </c>
      <c r="P109" s="5">
        <f t="shared" si="207"/>
        <v>0</v>
      </c>
      <c r="Q109" s="292">
        <f t="shared" si="207"/>
        <v>0.1093656070356164</v>
      </c>
      <c r="R109" s="291">
        <f>R104*R115</f>
        <v>0.65122785000000027</v>
      </c>
      <c r="S109" s="5">
        <f t="shared" ref="S109:U109" si="208">S104*S115</f>
        <v>2.9477358384310524E-3</v>
      </c>
      <c r="T109" s="5">
        <f t="shared" si="208"/>
        <v>0</v>
      </c>
      <c r="U109" s="292">
        <f t="shared" si="208"/>
        <v>0.1093656070356164</v>
      </c>
      <c r="V109" s="291">
        <f>V104*V115</f>
        <v>0.65122785000000027</v>
      </c>
      <c r="W109" s="5">
        <f t="shared" ref="W109:Y109" si="209">W104*W115</f>
        <v>2.9477358384310524E-3</v>
      </c>
      <c r="X109" s="5">
        <f t="shared" si="209"/>
        <v>0</v>
      </c>
      <c r="Y109" s="292">
        <f t="shared" si="209"/>
        <v>0.1093656070356164</v>
      </c>
      <c r="Z109" s="291">
        <f>Z104*Z115</f>
        <v>0.65122785000000027</v>
      </c>
      <c r="AA109" s="5">
        <f t="shared" ref="AA109:AC109" si="210">AA104*AA115</f>
        <v>2.9477358384310524E-3</v>
      </c>
      <c r="AB109" s="5">
        <f t="shared" si="210"/>
        <v>0</v>
      </c>
      <c r="AC109" s="292">
        <f t="shared" si="210"/>
        <v>0.1093656070356164</v>
      </c>
      <c r="AD109" s="291">
        <f>AD104*AD115</f>
        <v>0.65122785000000027</v>
      </c>
      <c r="AE109" s="5">
        <f t="shared" ref="AE109:AG109" si="211">AE104*AE115</f>
        <v>2.9477358384310524E-3</v>
      </c>
      <c r="AF109" s="5">
        <f t="shared" si="211"/>
        <v>0</v>
      </c>
      <c r="AG109" s="292">
        <f t="shared" si="211"/>
        <v>0.1093656070356164</v>
      </c>
      <c r="AH109" s="291">
        <f>AH104*AH115</f>
        <v>0.65122785000000027</v>
      </c>
      <c r="AI109" s="5">
        <f t="shared" ref="AI109:AK109" si="212">AI104*AI115</f>
        <v>2.9477358384310524E-3</v>
      </c>
      <c r="AJ109" s="5">
        <f t="shared" si="212"/>
        <v>0</v>
      </c>
      <c r="AK109" s="292">
        <f t="shared" si="212"/>
        <v>0.1093656070356164</v>
      </c>
      <c r="AL109" s="291">
        <f>AL104*AL115</f>
        <v>0.65122785000000027</v>
      </c>
      <c r="AM109" s="5">
        <f t="shared" ref="AM109:AO109" si="213">AM104*AM115</f>
        <v>2.9477358384310524E-3</v>
      </c>
      <c r="AN109" s="5">
        <f t="shared" si="213"/>
        <v>0</v>
      </c>
      <c r="AO109" s="5">
        <f t="shared" si="213"/>
        <v>0.1093656070356164</v>
      </c>
      <c r="AP109" s="291">
        <f>AP104*AP115</f>
        <v>0.65122785000000027</v>
      </c>
      <c r="AQ109" s="5">
        <f t="shared" ref="AQ109:AS109" si="214">AQ104*AQ115</f>
        <v>2.9477358384310524E-3</v>
      </c>
      <c r="AR109" s="5">
        <f t="shared" si="214"/>
        <v>0</v>
      </c>
      <c r="AS109" s="292">
        <f t="shared" si="214"/>
        <v>0.1093656070356164</v>
      </c>
    </row>
    <row r="110" spans="1:47" x14ac:dyDescent="0.3">
      <c r="A110" s="324" t="s">
        <v>261</v>
      </c>
      <c r="B110" s="291">
        <f>B105*B116</f>
        <v>2.7407483235562502</v>
      </c>
      <c r="C110" s="5">
        <f t="shared" ref="C110:E110" si="215">C105*C116</f>
        <v>1.2405799379536031E-2</v>
      </c>
      <c r="D110" s="5">
        <f t="shared" si="215"/>
        <v>12.11873300699178</v>
      </c>
      <c r="E110" s="292">
        <f t="shared" si="215"/>
        <v>0.46027454774481363</v>
      </c>
      <c r="F110" s="291">
        <f>F105*F116</f>
        <v>2.7407483235562502</v>
      </c>
      <c r="G110" s="5">
        <f t="shared" ref="G110:I110" si="216">G105*G116</f>
        <v>1.2405799379536031E-2</v>
      </c>
      <c r="H110" s="5">
        <f t="shared" si="216"/>
        <v>12.11873300699178</v>
      </c>
      <c r="I110" s="292">
        <f t="shared" si="216"/>
        <v>0.46027454774481363</v>
      </c>
      <c r="J110" s="291">
        <f>J105*J116</f>
        <v>2.7407483235562502</v>
      </c>
      <c r="K110" s="5">
        <f t="shared" ref="K110:M110" si="217">K105*K116</f>
        <v>1.2405799379536031E-2</v>
      </c>
      <c r="L110" s="5">
        <f t="shared" si="217"/>
        <v>12.11873300699178</v>
      </c>
      <c r="M110" s="292">
        <f t="shared" si="217"/>
        <v>0.46027454774481363</v>
      </c>
      <c r="N110" s="291">
        <f>N105*N116</f>
        <v>2.7407483235562502</v>
      </c>
      <c r="O110" s="5">
        <f t="shared" ref="O110:Q110" si="218">O105*O116</f>
        <v>1.2405799379536031E-2</v>
      </c>
      <c r="P110" s="5">
        <f t="shared" si="218"/>
        <v>12.11873300699178</v>
      </c>
      <c r="Q110" s="292">
        <f t="shared" si="218"/>
        <v>0.46027454774481363</v>
      </c>
      <c r="R110" s="291">
        <f>R105*R116</f>
        <v>2.7407483235562502</v>
      </c>
      <c r="S110" s="5">
        <f t="shared" ref="S110:U110" si="219">S105*S116</f>
        <v>1.2405799379536031E-2</v>
      </c>
      <c r="T110" s="5">
        <f t="shared" si="219"/>
        <v>12.11873300699178</v>
      </c>
      <c r="U110" s="292">
        <f t="shared" si="219"/>
        <v>0.46027454774481363</v>
      </c>
      <c r="V110" s="291">
        <f>V105*V116</f>
        <v>2.7407483235562502</v>
      </c>
      <c r="W110" s="5">
        <f t="shared" ref="W110:Y110" si="220">W105*W116</f>
        <v>1.2405799379536031E-2</v>
      </c>
      <c r="X110" s="5">
        <f t="shared" si="220"/>
        <v>12.11873300699178</v>
      </c>
      <c r="Y110" s="292">
        <f t="shared" si="220"/>
        <v>0.46027454774481363</v>
      </c>
      <c r="Z110" s="291">
        <f>Z105*Z116</f>
        <v>2.7407483235562502</v>
      </c>
      <c r="AA110" s="5">
        <f t="shared" ref="AA110:AC110" si="221">AA105*AA116</f>
        <v>1.2405799379536031E-2</v>
      </c>
      <c r="AB110" s="5">
        <f t="shared" si="221"/>
        <v>12.11873300699178</v>
      </c>
      <c r="AC110" s="292">
        <f t="shared" si="221"/>
        <v>0.46027454774481363</v>
      </c>
      <c r="AD110" s="291">
        <f>AD105*AD116</f>
        <v>2.7407483235562502</v>
      </c>
      <c r="AE110" s="5">
        <f t="shared" ref="AE110:AG110" si="222">AE105*AE116</f>
        <v>1.2405799379536031E-2</v>
      </c>
      <c r="AF110" s="5">
        <f t="shared" si="222"/>
        <v>12.11873300699178</v>
      </c>
      <c r="AG110" s="292">
        <f t="shared" si="222"/>
        <v>0.46027454774481363</v>
      </c>
      <c r="AH110" s="291">
        <f>AH105*AH116</f>
        <v>2.7407483235562502</v>
      </c>
      <c r="AI110" s="5">
        <f t="shared" ref="AI110:AK110" si="223">AI105*AI116</f>
        <v>1.2405799379536031E-2</v>
      </c>
      <c r="AJ110" s="5">
        <f t="shared" si="223"/>
        <v>12.11873300699178</v>
      </c>
      <c r="AK110" s="292">
        <f t="shared" si="223"/>
        <v>0.46027454774481363</v>
      </c>
      <c r="AL110" s="291">
        <f>AL105*AL116</f>
        <v>2.7407483235562502</v>
      </c>
      <c r="AM110" s="5">
        <f t="shared" ref="AM110:AO110" si="224">AM105*AM116</f>
        <v>1.2405799379536031E-2</v>
      </c>
      <c r="AN110" s="5">
        <f t="shared" si="224"/>
        <v>12.11873300699178</v>
      </c>
      <c r="AO110" s="5">
        <f t="shared" si="224"/>
        <v>0.46027454774481363</v>
      </c>
      <c r="AP110" s="291">
        <f>AP105*AP116</f>
        <v>2.70984576043125</v>
      </c>
      <c r="AQ110" s="5">
        <f t="shared" ref="AQ110:AS110" si="225">AQ105*AQ116</f>
        <v>1.2265921158997797E-2</v>
      </c>
      <c r="AR110" s="5">
        <f t="shared" si="225"/>
        <v>11.982091525347945</v>
      </c>
      <c r="AS110" s="292">
        <f t="shared" si="225"/>
        <v>0.45508484712755332</v>
      </c>
    </row>
    <row r="111" spans="1:47" x14ac:dyDescent="0.3">
      <c r="A111" s="324" t="s">
        <v>262</v>
      </c>
      <c r="B111" s="291">
        <f>B106*B115</f>
        <v>0.55354367250000003</v>
      </c>
      <c r="C111" s="5">
        <f t="shared" ref="C111:E111" si="226">C106*C115</f>
        <v>2.5055754626663947E-3</v>
      </c>
      <c r="D111" s="5">
        <f t="shared" si="226"/>
        <v>0</v>
      </c>
      <c r="E111" s="292">
        <f t="shared" si="226"/>
        <v>9.296076598027396E-2</v>
      </c>
      <c r="F111" s="291">
        <f>F106*F115</f>
        <v>0.55354367250000003</v>
      </c>
      <c r="G111" s="5">
        <f t="shared" ref="G111:I111" si="227">G106*G115</f>
        <v>2.5055754626663947E-3</v>
      </c>
      <c r="H111" s="5">
        <f t="shared" si="227"/>
        <v>0</v>
      </c>
      <c r="I111" s="292">
        <f t="shared" si="227"/>
        <v>9.296076598027396E-2</v>
      </c>
      <c r="J111" s="291">
        <f>J106*J115</f>
        <v>0.55354367250000003</v>
      </c>
      <c r="K111" s="5">
        <f t="shared" ref="K111:M111" si="228">K106*K115</f>
        <v>2.5055754626663947E-3</v>
      </c>
      <c r="L111" s="5">
        <f t="shared" si="228"/>
        <v>0</v>
      </c>
      <c r="M111" s="292">
        <f t="shared" si="228"/>
        <v>9.296076598027396E-2</v>
      </c>
      <c r="N111" s="291">
        <f>N106*N115</f>
        <v>0.55354367250000003</v>
      </c>
      <c r="O111" s="5">
        <f t="shared" ref="O111:Q111" si="229">O106*O115</f>
        <v>2.5055754626663947E-3</v>
      </c>
      <c r="P111" s="5">
        <f t="shared" si="229"/>
        <v>0</v>
      </c>
      <c r="Q111" s="292">
        <f t="shared" si="229"/>
        <v>9.296076598027396E-2</v>
      </c>
      <c r="R111" s="291">
        <f>R106*R115</f>
        <v>0.55354367250000003</v>
      </c>
      <c r="S111" s="5">
        <f t="shared" ref="S111:U111" si="230">S106*S115</f>
        <v>2.5055754626663947E-3</v>
      </c>
      <c r="T111" s="5">
        <f t="shared" si="230"/>
        <v>0</v>
      </c>
      <c r="U111" s="292">
        <f t="shared" si="230"/>
        <v>9.296076598027396E-2</v>
      </c>
      <c r="V111" s="291">
        <f>V106*V115</f>
        <v>0.55354367250000003</v>
      </c>
      <c r="W111" s="5">
        <f t="shared" ref="W111:Y111" si="231">W106*W115</f>
        <v>2.5055754626663947E-3</v>
      </c>
      <c r="X111" s="5">
        <f t="shared" si="231"/>
        <v>0</v>
      </c>
      <c r="Y111" s="292">
        <f t="shared" si="231"/>
        <v>9.296076598027396E-2</v>
      </c>
      <c r="Z111" s="291">
        <f>Z106*Z115</f>
        <v>0.55354367250000003</v>
      </c>
      <c r="AA111" s="5">
        <f t="shared" ref="AA111:AC111" si="232">AA106*AA115</f>
        <v>2.5055754626663947E-3</v>
      </c>
      <c r="AB111" s="5">
        <f t="shared" si="232"/>
        <v>0</v>
      </c>
      <c r="AC111" s="292">
        <f t="shared" si="232"/>
        <v>9.296076598027396E-2</v>
      </c>
      <c r="AD111" s="291">
        <f>AD106*AD115</f>
        <v>0.55354367250000003</v>
      </c>
      <c r="AE111" s="5">
        <f t="shared" ref="AE111:AG111" si="233">AE106*AE115</f>
        <v>2.5055754626663947E-3</v>
      </c>
      <c r="AF111" s="5">
        <f t="shared" si="233"/>
        <v>0</v>
      </c>
      <c r="AG111" s="292">
        <f t="shared" si="233"/>
        <v>9.296076598027396E-2</v>
      </c>
      <c r="AH111" s="291">
        <f>AH106*AH115</f>
        <v>0.55354367250000003</v>
      </c>
      <c r="AI111" s="5">
        <f t="shared" ref="AI111:AK111" si="234">AI106*AI115</f>
        <v>2.5055754626663947E-3</v>
      </c>
      <c r="AJ111" s="5">
        <f t="shared" si="234"/>
        <v>0</v>
      </c>
      <c r="AK111" s="292">
        <f t="shared" si="234"/>
        <v>9.296076598027396E-2</v>
      </c>
      <c r="AL111" s="291">
        <f>AL106*AL115</f>
        <v>0.55354367250000003</v>
      </c>
      <c r="AM111" s="5">
        <f t="shared" ref="AM111:AO111" si="235">AM106*AM115</f>
        <v>2.5055754626663947E-3</v>
      </c>
      <c r="AN111" s="5">
        <f t="shared" si="235"/>
        <v>0</v>
      </c>
      <c r="AO111" s="5">
        <f t="shared" si="235"/>
        <v>9.296076598027396E-2</v>
      </c>
      <c r="AP111" s="291">
        <f>AP106*AP115</f>
        <v>0.55354367250000003</v>
      </c>
      <c r="AQ111" s="5">
        <f t="shared" ref="AQ111:AS111" si="236">AQ106*AQ115</f>
        <v>2.5055754626663947E-3</v>
      </c>
      <c r="AR111" s="5">
        <f t="shared" si="236"/>
        <v>0</v>
      </c>
      <c r="AS111" s="292">
        <f t="shared" si="236"/>
        <v>9.296076598027396E-2</v>
      </c>
    </row>
    <row r="112" spans="1:47" x14ac:dyDescent="0.3">
      <c r="A112" s="324" t="s">
        <v>265</v>
      </c>
      <c r="B112" s="291"/>
      <c r="C112" s="5"/>
      <c r="D112" s="5"/>
      <c r="E112" s="292">
        <f>SUM(B109:E111)</f>
        <v>16.74471288448937</v>
      </c>
      <c r="F112" s="291"/>
      <c r="G112" s="5"/>
      <c r="H112" s="5"/>
      <c r="I112" s="292">
        <f>SUM(F109:I111)</f>
        <v>16.74471288448937</v>
      </c>
      <c r="J112" s="291"/>
      <c r="K112" s="5"/>
      <c r="L112" s="5"/>
      <c r="M112" s="292">
        <f>SUM(J109:M111)</f>
        <v>16.74471288448937</v>
      </c>
      <c r="N112" s="291"/>
      <c r="O112" s="5"/>
      <c r="P112" s="5"/>
      <c r="Q112" s="292">
        <f>SUM(N109:Q111)</f>
        <v>16.74471288448937</v>
      </c>
      <c r="R112" s="291"/>
      <c r="S112" s="5"/>
      <c r="T112" s="5"/>
      <c r="U112" s="292">
        <f>SUM(R109:U111)</f>
        <v>16.74471288448937</v>
      </c>
      <c r="V112" s="291"/>
      <c r="W112" s="5"/>
      <c r="X112" s="5"/>
      <c r="Y112" s="292">
        <f>SUM(V109:Y111)</f>
        <v>16.74471288448937</v>
      </c>
      <c r="Z112" s="291"/>
      <c r="AA112" s="5"/>
      <c r="AB112" s="5"/>
      <c r="AC112" s="292">
        <f>SUM(Z109:AC111)</f>
        <v>16.74471288448937</v>
      </c>
      <c r="AD112" s="291"/>
      <c r="AE112" s="5"/>
      <c r="AF112" s="5"/>
      <c r="AG112" s="292">
        <f>SUM(AD109:AG111)</f>
        <v>16.74471288448937</v>
      </c>
      <c r="AH112" s="291"/>
      <c r="AI112" s="5"/>
      <c r="AJ112" s="5"/>
      <c r="AK112" s="292">
        <f>SUM(AH109:AK111)</f>
        <v>16.74471288448937</v>
      </c>
      <c r="AL112" s="291"/>
      <c r="AM112" s="5"/>
      <c r="AN112" s="5"/>
      <c r="AO112" s="5">
        <f>SUM(AL109:AO111)</f>
        <v>16.74471288448937</v>
      </c>
      <c r="AP112" s="291"/>
      <c r="AQ112" s="5"/>
      <c r="AR112" s="5"/>
      <c r="AS112" s="292">
        <f>SUM(AP109:AS111)</f>
        <v>16.571839260882733</v>
      </c>
    </row>
    <row r="113" spans="1:47" x14ac:dyDescent="0.3">
      <c r="A113" s="324" t="s">
        <v>309</v>
      </c>
      <c r="B113" s="291"/>
      <c r="C113" s="5"/>
      <c r="D113" s="5"/>
      <c r="E113" s="286">
        <f>E112/Production!B35</f>
        <v>1.3406741298880672E-2</v>
      </c>
      <c r="F113" s="291"/>
      <c r="G113" s="5"/>
      <c r="H113" s="5"/>
      <c r="I113" s="286">
        <f>I112/Production!C35</f>
        <v>1.3406741298880672E-2</v>
      </c>
      <c r="J113" s="291"/>
      <c r="K113" s="5"/>
      <c r="L113" s="5"/>
      <c r="M113" s="286">
        <f>M112/Production!D35</f>
        <v>1.3406741298880672E-2</v>
      </c>
      <c r="N113" s="291"/>
      <c r="O113" s="5"/>
      <c r="P113" s="5"/>
      <c r="Q113" s="286">
        <f>Q112/Production!E35</f>
        <v>1.3406741298880672E-2</v>
      </c>
      <c r="R113" s="291"/>
      <c r="S113" s="5"/>
      <c r="T113" s="5"/>
      <c r="U113" s="286">
        <f>U112/Production!F35</f>
        <v>1.3406741298880672E-2</v>
      </c>
      <c r="V113" s="291"/>
      <c r="W113" s="5"/>
      <c r="X113" s="5"/>
      <c r="Y113" s="286">
        <f>Y112/Production!G35</f>
        <v>1.3406741298880672E-2</v>
      </c>
      <c r="Z113" s="291"/>
      <c r="AA113" s="5"/>
      <c r="AB113" s="5"/>
      <c r="AC113" s="286">
        <f>AC112/Production!H35</f>
        <v>1.3406741298880672E-2</v>
      </c>
      <c r="AD113" s="291"/>
      <c r="AE113" s="5"/>
      <c r="AF113" s="5"/>
      <c r="AG113" s="286">
        <f>AG112/Production!I35</f>
        <v>1.3406741298880672E-2</v>
      </c>
      <c r="AH113" s="291"/>
      <c r="AI113" s="5"/>
      <c r="AJ113" s="5"/>
      <c r="AK113" s="286">
        <f>AK112/Production!J35</f>
        <v>1.3406741298880672E-2</v>
      </c>
      <c r="AL113" s="291"/>
      <c r="AM113" s="5"/>
      <c r="AN113" s="5"/>
      <c r="AO113" s="4">
        <f>AO112/Production!K35</f>
        <v>1.3406741298880672E-2</v>
      </c>
      <c r="AP113" s="291"/>
      <c r="AQ113" s="5"/>
      <c r="AR113" s="5"/>
      <c r="AS113" s="286">
        <f>AS112/Production!L35</f>
        <v>1.3268329134689959E-2</v>
      </c>
    </row>
    <row r="114" spans="1:47" x14ac:dyDescent="0.3">
      <c r="A114" s="318"/>
      <c r="B114" s="270"/>
      <c r="E114" s="271"/>
      <c r="F114" s="270"/>
      <c r="I114" s="271"/>
      <c r="J114" s="270"/>
      <c r="M114" s="271"/>
      <c r="N114" s="270"/>
      <c r="Q114" s="271"/>
      <c r="R114" s="270"/>
      <c r="U114" s="271"/>
      <c r="V114" s="270"/>
      <c r="Y114" s="271"/>
      <c r="Z114" s="270"/>
      <c r="AC114" s="271"/>
      <c r="AD114" s="270"/>
      <c r="AG114" s="271"/>
      <c r="AH114" s="270"/>
      <c r="AK114" s="271"/>
      <c r="AL114" s="270"/>
      <c r="AP114" s="270"/>
      <c r="AS114" s="271"/>
    </row>
    <row r="115" spans="1:47" x14ac:dyDescent="0.3">
      <c r="A115" s="327" t="s">
        <v>310</v>
      </c>
      <c r="B115" s="294">
        <v>0.45</v>
      </c>
      <c r="C115" s="15">
        <v>0.45</v>
      </c>
      <c r="D115" s="15">
        <v>0.45</v>
      </c>
      <c r="E115" s="295">
        <v>0.45</v>
      </c>
      <c r="F115" s="294">
        <v>0.45</v>
      </c>
      <c r="G115" s="15">
        <v>0.45</v>
      </c>
      <c r="H115" s="15">
        <v>0.45</v>
      </c>
      <c r="I115" s="295">
        <v>0.45</v>
      </c>
      <c r="J115" s="294">
        <v>0.45</v>
      </c>
      <c r="K115" s="15">
        <v>0.45</v>
      </c>
      <c r="L115" s="15">
        <v>0.45</v>
      </c>
      <c r="M115" s="295">
        <v>0.45</v>
      </c>
      <c r="N115" s="294">
        <v>0.45</v>
      </c>
      <c r="O115" s="15">
        <v>0.45</v>
      </c>
      <c r="P115" s="15">
        <v>0.45</v>
      </c>
      <c r="Q115" s="295">
        <v>0.45</v>
      </c>
      <c r="R115" s="294">
        <v>0.45</v>
      </c>
      <c r="S115" s="15">
        <v>0.45</v>
      </c>
      <c r="T115" s="15">
        <v>0.45</v>
      </c>
      <c r="U115" s="295">
        <v>0.45</v>
      </c>
      <c r="V115" s="294">
        <v>0.45</v>
      </c>
      <c r="W115" s="15">
        <v>0.45</v>
      </c>
      <c r="X115" s="15">
        <v>0.45</v>
      </c>
      <c r="Y115" s="295">
        <v>0.45</v>
      </c>
      <c r="Z115" s="294">
        <v>0.45</v>
      </c>
      <c r="AA115" s="15">
        <v>0.45</v>
      </c>
      <c r="AB115" s="15">
        <v>0.45</v>
      </c>
      <c r="AC115" s="295">
        <v>0.45</v>
      </c>
      <c r="AD115" s="294">
        <v>0.45</v>
      </c>
      <c r="AE115" s="15">
        <v>0.45</v>
      </c>
      <c r="AF115" s="15">
        <v>0.45</v>
      </c>
      <c r="AG115" s="295">
        <v>0.45</v>
      </c>
      <c r="AH115" s="294">
        <v>0.45</v>
      </c>
      <c r="AI115" s="15">
        <v>0.45</v>
      </c>
      <c r="AJ115" s="15">
        <v>0.45</v>
      </c>
      <c r="AK115" s="295">
        <v>0.45</v>
      </c>
      <c r="AL115" s="294">
        <v>0.45</v>
      </c>
      <c r="AM115" s="15">
        <v>0.45</v>
      </c>
      <c r="AN115" s="15">
        <v>0.45</v>
      </c>
      <c r="AO115" s="15">
        <v>0.45</v>
      </c>
      <c r="AP115" s="294">
        <v>0.45</v>
      </c>
      <c r="AQ115" s="15">
        <v>0.45</v>
      </c>
      <c r="AR115" s="15">
        <v>0.45</v>
      </c>
      <c r="AS115" s="295">
        <v>0.45</v>
      </c>
      <c r="AU115" s="247" t="s">
        <v>272</v>
      </c>
    </row>
    <row r="116" spans="1:47" x14ac:dyDescent="0.3">
      <c r="A116" s="327" t="s">
        <v>311</v>
      </c>
      <c r="B116" s="294">
        <v>0.28999999999999998</v>
      </c>
      <c r="C116" s="15">
        <v>0.28999999999999998</v>
      </c>
      <c r="D116" s="15">
        <v>0.4</v>
      </c>
      <c r="E116" s="295">
        <v>0.28999999999999998</v>
      </c>
      <c r="F116" s="294">
        <v>0.28999999999999998</v>
      </c>
      <c r="G116" s="15">
        <v>0.28999999999999998</v>
      </c>
      <c r="H116" s="15">
        <v>0.4</v>
      </c>
      <c r="I116" s="295">
        <v>0.28999999999999998</v>
      </c>
      <c r="J116" s="294">
        <v>0.28999999999999998</v>
      </c>
      <c r="K116" s="15">
        <v>0.28999999999999998</v>
      </c>
      <c r="L116" s="15">
        <v>0.4</v>
      </c>
      <c r="M116" s="295">
        <v>0.28999999999999998</v>
      </c>
      <c r="N116" s="294">
        <v>0.28999999999999998</v>
      </c>
      <c r="O116" s="15">
        <v>0.28999999999999998</v>
      </c>
      <c r="P116" s="15">
        <v>0.4</v>
      </c>
      <c r="Q116" s="295">
        <v>0.28999999999999998</v>
      </c>
      <c r="R116" s="294">
        <v>0.28999999999999998</v>
      </c>
      <c r="S116" s="15">
        <v>0.28999999999999998</v>
      </c>
      <c r="T116" s="15">
        <v>0.4</v>
      </c>
      <c r="U116" s="295">
        <v>0.28999999999999998</v>
      </c>
      <c r="V116" s="294">
        <v>0.28999999999999998</v>
      </c>
      <c r="W116" s="15">
        <v>0.28999999999999998</v>
      </c>
      <c r="X116" s="15">
        <v>0.4</v>
      </c>
      <c r="Y116" s="295">
        <v>0.28999999999999998</v>
      </c>
      <c r="Z116" s="294">
        <v>0.28999999999999998</v>
      </c>
      <c r="AA116" s="15">
        <v>0.28999999999999998</v>
      </c>
      <c r="AB116" s="15">
        <v>0.4</v>
      </c>
      <c r="AC116" s="295">
        <v>0.28999999999999998</v>
      </c>
      <c r="AD116" s="294">
        <v>0.28999999999999998</v>
      </c>
      <c r="AE116" s="15">
        <v>0.28999999999999998</v>
      </c>
      <c r="AF116" s="15">
        <v>0.4</v>
      </c>
      <c r="AG116" s="295">
        <v>0.28999999999999998</v>
      </c>
      <c r="AH116" s="294">
        <v>0.28999999999999998</v>
      </c>
      <c r="AI116" s="15">
        <v>0.28999999999999998</v>
      </c>
      <c r="AJ116" s="15">
        <v>0.4</v>
      </c>
      <c r="AK116" s="295">
        <v>0.28999999999999998</v>
      </c>
      <c r="AL116" s="294">
        <v>0.28999999999999998</v>
      </c>
      <c r="AM116" s="15">
        <v>0.28999999999999998</v>
      </c>
      <c r="AN116" s="15">
        <v>0.4</v>
      </c>
      <c r="AO116" s="15">
        <v>0.28999999999999998</v>
      </c>
      <c r="AP116" s="294">
        <v>0.28999999999999998</v>
      </c>
      <c r="AQ116" s="15">
        <v>0.28999999999999998</v>
      </c>
      <c r="AR116" s="15">
        <v>0.4</v>
      </c>
      <c r="AS116" s="295">
        <v>0.28999999999999998</v>
      </c>
      <c r="AU116" s="247" t="s">
        <v>272</v>
      </c>
    </row>
    <row r="117" spans="1:47" x14ac:dyDescent="0.3">
      <c r="A117" s="324" t="s">
        <v>312</v>
      </c>
      <c r="B117" s="277">
        <v>0.01</v>
      </c>
      <c r="E117" s="271"/>
      <c r="F117" s="277">
        <v>0.01</v>
      </c>
      <c r="I117" s="271"/>
      <c r="J117" s="277">
        <v>0.01</v>
      </c>
      <c r="M117" s="271"/>
      <c r="N117" s="277">
        <v>0.01</v>
      </c>
      <c r="Q117" s="271"/>
      <c r="R117" s="277">
        <v>0.01</v>
      </c>
      <c r="U117" s="271"/>
      <c r="V117" s="277">
        <v>0.01</v>
      </c>
      <c r="Y117" s="271"/>
      <c r="Z117" s="277">
        <v>0.01</v>
      </c>
      <c r="AC117" s="271"/>
      <c r="AD117" s="277">
        <v>0.01</v>
      </c>
      <c r="AG117" s="271"/>
      <c r="AH117" s="277">
        <v>0.01</v>
      </c>
      <c r="AK117" s="271"/>
      <c r="AL117" s="277">
        <v>0.01</v>
      </c>
      <c r="AP117" s="277">
        <v>0.01</v>
      </c>
      <c r="AS117" s="271"/>
      <c r="AU117" s="247" t="s">
        <v>313</v>
      </c>
    </row>
    <row r="118" spans="1:47" x14ac:dyDescent="0.3">
      <c r="A118" s="318"/>
      <c r="B118" s="270"/>
      <c r="E118" s="271"/>
      <c r="F118" s="270"/>
      <c r="I118" s="271"/>
      <c r="J118" s="270"/>
      <c r="M118" s="271"/>
      <c r="N118" s="270"/>
      <c r="Q118" s="271"/>
      <c r="R118" s="270"/>
      <c r="U118" s="271"/>
      <c r="V118" s="270"/>
      <c r="Y118" s="271"/>
      <c r="Z118" s="270"/>
      <c r="AC118" s="271"/>
      <c r="AD118" s="270"/>
      <c r="AG118" s="271"/>
      <c r="AH118" s="270"/>
      <c r="AK118" s="271"/>
      <c r="AL118" s="270"/>
      <c r="AP118" s="270"/>
      <c r="AS118" s="271"/>
    </row>
    <row r="119" spans="1:47" x14ac:dyDescent="0.3">
      <c r="A119" s="326" t="s">
        <v>314</v>
      </c>
      <c r="B119" s="279"/>
      <c r="C119" s="118"/>
      <c r="D119" s="118"/>
      <c r="E119" s="280"/>
      <c r="F119" s="279"/>
      <c r="G119" s="118"/>
      <c r="H119" s="118"/>
      <c r="I119" s="280"/>
      <c r="J119" s="279"/>
      <c r="K119" s="118"/>
      <c r="L119" s="118"/>
      <c r="M119" s="280"/>
      <c r="N119" s="279"/>
      <c r="O119" s="118"/>
      <c r="P119" s="118"/>
      <c r="Q119" s="280"/>
      <c r="R119" s="279"/>
      <c r="S119" s="118"/>
      <c r="T119" s="118"/>
      <c r="U119" s="280"/>
      <c r="V119" s="279"/>
      <c r="W119" s="118"/>
      <c r="X119" s="118"/>
      <c r="Y119" s="280"/>
      <c r="Z119" s="279"/>
      <c r="AA119" s="118"/>
      <c r="AB119" s="118"/>
      <c r="AC119" s="280"/>
      <c r="AD119" s="279"/>
      <c r="AE119" s="118"/>
      <c r="AF119" s="118"/>
      <c r="AG119" s="280"/>
      <c r="AH119" s="279"/>
      <c r="AI119" s="118"/>
      <c r="AJ119" s="118"/>
      <c r="AK119" s="280"/>
      <c r="AL119" s="279"/>
      <c r="AM119" s="118"/>
      <c r="AN119" s="118"/>
      <c r="AO119" s="118"/>
      <c r="AP119" s="279"/>
      <c r="AQ119" s="118"/>
      <c r="AR119" s="118"/>
      <c r="AS119" s="280"/>
    </row>
    <row r="120" spans="1:47" x14ac:dyDescent="0.3">
      <c r="A120" s="324" t="s">
        <v>260</v>
      </c>
      <c r="B120" s="291">
        <f>B104-B109</f>
        <v>0.79594515000000021</v>
      </c>
      <c r="C120" s="5">
        <f t="shared" ref="C120:E120" si="237">C104-C109</f>
        <v>3.6027882469712859E-3</v>
      </c>
      <c r="D120" s="5">
        <f t="shared" si="237"/>
        <v>0</v>
      </c>
      <c r="E120" s="292">
        <f t="shared" si="237"/>
        <v>0.13366907526575336</v>
      </c>
      <c r="F120" s="291">
        <f>F104-F109</f>
        <v>0.79594515000000021</v>
      </c>
      <c r="G120" s="5">
        <f t="shared" ref="G120:I120" si="238">G104-G109</f>
        <v>3.6027882469712859E-3</v>
      </c>
      <c r="H120" s="5">
        <f t="shared" si="238"/>
        <v>0</v>
      </c>
      <c r="I120" s="292">
        <f t="shared" si="238"/>
        <v>0.13366907526575336</v>
      </c>
      <c r="J120" s="291">
        <f>J104-J109</f>
        <v>0.79594515000000021</v>
      </c>
      <c r="K120" s="5">
        <f t="shared" ref="K120:M120" si="239">K104-K109</f>
        <v>3.6027882469712859E-3</v>
      </c>
      <c r="L120" s="5">
        <f t="shared" si="239"/>
        <v>0</v>
      </c>
      <c r="M120" s="292">
        <f t="shared" si="239"/>
        <v>0.13366907526575336</v>
      </c>
      <c r="N120" s="291">
        <f>N104-N109</f>
        <v>0.79594515000000021</v>
      </c>
      <c r="O120" s="5">
        <f t="shared" ref="O120:Q120" si="240">O104-O109</f>
        <v>3.6027882469712859E-3</v>
      </c>
      <c r="P120" s="5">
        <f t="shared" si="240"/>
        <v>0</v>
      </c>
      <c r="Q120" s="292">
        <f t="shared" si="240"/>
        <v>0.13366907526575336</v>
      </c>
      <c r="R120" s="291">
        <f>R104-R109</f>
        <v>0.79594515000000021</v>
      </c>
      <c r="S120" s="5">
        <f t="shared" ref="S120:U120" si="241">S104-S109</f>
        <v>3.6027882469712859E-3</v>
      </c>
      <c r="T120" s="5">
        <f t="shared" si="241"/>
        <v>0</v>
      </c>
      <c r="U120" s="292">
        <f t="shared" si="241"/>
        <v>0.13366907526575336</v>
      </c>
      <c r="V120" s="291">
        <f>V104-V109</f>
        <v>0.79594515000000021</v>
      </c>
      <c r="W120" s="5">
        <f t="shared" ref="W120:Y120" si="242">W104-W109</f>
        <v>3.6027882469712859E-3</v>
      </c>
      <c r="X120" s="5">
        <f t="shared" si="242"/>
        <v>0</v>
      </c>
      <c r="Y120" s="292">
        <f t="shared" si="242"/>
        <v>0.13366907526575336</v>
      </c>
      <c r="Z120" s="291">
        <f>Z104-Z109</f>
        <v>0.79594515000000021</v>
      </c>
      <c r="AA120" s="5">
        <f t="shared" ref="AA120:AC120" si="243">AA104-AA109</f>
        <v>3.6027882469712859E-3</v>
      </c>
      <c r="AB120" s="5">
        <f t="shared" si="243"/>
        <v>0</v>
      </c>
      <c r="AC120" s="292">
        <f t="shared" si="243"/>
        <v>0.13366907526575336</v>
      </c>
      <c r="AD120" s="291">
        <f>AD104-AD109</f>
        <v>0.79594515000000021</v>
      </c>
      <c r="AE120" s="5">
        <f t="shared" ref="AE120:AG120" si="244">AE104-AE109</f>
        <v>3.6027882469712859E-3</v>
      </c>
      <c r="AF120" s="5">
        <f t="shared" si="244"/>
        <v>0</v>
      </c>
      <c r="AG120" s="292">
        <f t="shared" si="244"/>
        <v>0.13366907526575336</v>
      </c>
      <c r="AH120" s="291">
        <f>AH104-AH109</f>
        <v>0.79594515000000021</v>
      </c>
      <c r="AI120" s="5">
        <f t="shared" ref="AI120:AK120" si="245">AI104-AI109</f>
        <v>3.6027882469712859E-3</v>
      </c>
      <c r="AJ120" s="5">
        <f t="shared" si="245"/>
        <v>0</v>
      </c>
      <c r="AK120" s="292">
        <f t="shared" si="245"/>
        <v>0.13366907526575336</v>
      </c>
      <c r="AL120" s="291">
        <f>AL104-AL109</f>
        <v>0.79594515000000021</v>
      </c>
      <c r="AM120" s="5">
        <f t="shared" ref="AM120:AO120" si="246">AM104-AM109</f>
        <v>3.6027882469712859E-3</v>
      </c>
      <c r="AN120" s="5">
        <f t="shared" si="246"/>
        <v>0</v>
      </c>
      <c r="AO120" s="5">
        <f t="shared" si="246"/>
        <v>0.13366907526575336</v>
      </c>
      <c r="AP120" s="291">
        <f>AP104-AP109</f>
        <v>0.79594515000000021</v>
      </c>
      <c r="AQ120" s="5">
        <f t="shared" ref="AQ120:AS120" si="247">AQ104-AQ109</f>
        <v>3.6027882469712859E-3</v>
      </c>
      <c r="AR120" s="5">
        <f t="shared" si="247"/>
        <v>0</v>
      </c>
      <c r="AS120" s="292">
        <f t="shared" si="247"/>
        <v>0.13366907526575336</v>
      </c>
    </row>
    <row r="121" spans="1:47" x14ac:dyDescent="0.3">
      <c r="A121" s="324" t="s">
        <v>261</v>
      </c>
      <c r="B121" s="291">
        <f t="shared" ref="B121:E121" si="248">B105-B110</f>
        <v>6.7101079645687509</v>
      </c>
      <c r="C121" s="5">
        <f t="shared" si="248"/>
        <v>3.0372819170588219E-2</v>
      </c>
      <c r="D121" s="5">
        <f t="shared" si="248"/>
        <v>18.178099510487669</v>
      </c>
      <c r="E121" s="292">
        <f t="shared" si="248"/>
        <v>1.1268790651683369</v>
      </c>
      <c r="F121" s="291">
        <f t="shared" ref="F121:I121" si="249">F105-F110</f>
        <v>6.7101079645687509</v>
      </c>
      <c r="G121" s="5">
        <f t="shared" si="249"/>
        <v>3.0372819170588219E-2</v>
      </c>
      <c r="H121" s="5">
        <f t="shared" si="249"/>
        <v>18.178099510487669</v>
      </c>
      <c r="I121" s="292">
        <f t="shared" si="249"/>
        <v>1.1268790651683369</v>
      </c>
      <c r="J121" s="291">
        <f t="shared" ref="J121:M121" si="250">J105-J110</f>
        <v>6.7101079645687509</v>
      </c>
      <c r="K121" s="5">
        <f t="shared" si="250"/>
        <v>3.0372819170588219E-2</v>
      </c>
      <c r="L121" s="5">
        <f t="shared" si="250"/>
        <v>18.178099510487669</v>
      </c>
      <c r="M121" s="292">
        <f t="shared" si="250"/>
        <v>1.1268790651683369</v>
      </c>
      <c r="N121" s="291">
        <f t="shared" ref="N121:AO121" si="251">N105-N110</f>
        <v>6.7101079645687509</v>
      </c>
      <c r="O121" s="5">
        <f t="shared" si="251"/>
        <v>3.0372819170588219E-2</v>
      </c>
      <c r="P121" s="5">
        <f t="shared" si="251"/>
        <v>18.178099510487669</v>
      </c>
      <c r="Q121" s="292">
        <f t="shared" si="251"/>
        <v>1.1268790651683369</v>
      </c>
      <c r="R121" s="291">
        <f t="shared" si="251"/>
        <v>6.7101079645687509</v>
      </c>
      <c r="S121" s="5">
        <f t="shared" si="251"/>
        <v>3.0372819170588219E-2</v>
      </c>
      <c r="T121" s="5">
        <f t="shared" si="251"/>
        <v>18.178099510487669</v>
      </c>
      <c r="U121" s="292">
        <f t="shared" si="251"/>
        <v>1.1268790651683369</v>
      </c>
      <c r="V121" s="291">
        <f t="shared" si="251"/>
        <v>6.7101079645687509</v>
      </c>
      <c r="W121" s="5">
        <f t="shared" si="251"/>
        <v>3.0372819170588219E-2</v>
      </c>
      <c r="X121" s="5">
        <f t="shared" si="251"/>
        <v>18.178099510487669</v>
      </c>
      <c r="Y121" s="292">
        <f t="shared" si="251"/>
        <v>1.1268790651683369</v>
      </c>
      <c r="Z121" s="291">
        <f t="shared" si="251"/>
        <v>6.7101079645687509</v>
      </c>
      <c r="AA121" s="5">
        <f t="shared" si="251"/>
        <v>3.0372819170588219E-2</v>
      </c>
      <c r="AB121" s="5">
        <f t="shared" si="251"/>
        <v>18.178099510487669</v>
      </c>
      <c r="AC121" s="292">
        <f t="shared" si="251"/>
        <v>1.1268790651683369</v>
      </c>
      <c r="AD121" s="291">
        <f t="shared" si="251"/>
        <v>6.7101079645687509</v>
      </c>
      <c r="AE121" s="5">
        <f t="shared" si="251"/>
        <v>3.0372819170588219E-2</v>
      </c>
      <c r="AF121" s="5">
        <f t="shared" si="251"/>
        <v>18.178099510487669</v>
      </c>
      <c r="AG121" s="292">
        <f t="shared" si="251"/>
        <v>1.1268790651683369</v>
      </c>
      <c r="AH121" s="291">
        <f t="shared" si="251"/>
        <v>6.7101079645687509</v>
      </c>
      <c r="AI121" s="5">
        <f t="shared" si="251"/>
        <v>3.0372819170588219E-2</v>
      </c>
      <c r="AJ121" s="5">
        <f t="shared" si="251"/>
        <v>18.178099510487669</v>
      </c>
      <c r="AK121" s="292">
        <f t="shared" si="251"/>
        <v>1.1268790651683369</v>
      </c>
      <c r="AL121" s="291">
        <f t="shared" si="251"/>
        <v>6.7101079645687509</v>
      </c>
      <c r="AM121" s="5">
        <f t="shared" si="251"/>
        <v>3.0372819170588219E-2</v>
      </c>
      <c r="AN121" s="5">
        <f t="shared" si="251"/>
        <v>18.178099510487669</v>
      </c>
      <c r="AO121" s="5">
        <f t="shared" si="251"/>
        <v>1.1268790651683369</v>
      </c>
      <c r="AP121" s="291">
        <f t="shared" ref="AP121:AS121" si="252">AP105-AP110</f>
        <v>6.6344499651937507</v>
      </c>
      <c r="AQ121" s="5">
        <f t="shared" si="252"/>
        <v>3.00303586996153E-2</v>
      </c>
      <c r="AR121" s="5">
        <f t="shared" si="252"/>
        <v>17.973137288021917</v>
      </c>
      <c r="AS121" s="292">
        <f t="shared" si="252"/>
        <v>1.1141732464157341</v>
      </c>
    </row>
    <row r="122" spans="1:47" x14ac:dyDescent="0.3">
      <c r="A122" s="324" t="s">
        <v>262</v>
      </c>
      <c r="B122" s="291">
        <f t="shared" ref="B122:E122" si="253">B106-B111</f>
        <v>0.67655337749999989</v>
      </c>
      <c r="C122" s="5">
        <f t="shared" si="253"/>
        <v>3.0623700099255938E-3</v>
      </c>
      <c r="D122" s="5">
        <f t="shared" si="253"/>
        <v>0</v>
      </c>
      <c r="E122" s="292">
        <f t="shared" si="253"/>
        <v>0.11361871397589039</v>
      </c>
      <c r="F122" s="291">
        <f t="shared" ref="F122:I122" si="254">F106-F111</f>
        <v>0.67655337749999989</v>
      </c>
      <c r="G122" s="5">
        <f t="shared" si="254"/>
        <v>3.0623700099255938E-3</v>
      </c>
      <c r="H122" s="5">
        <f t="shared" si="254"/>
        <v>0</v>
      </c>
      <c r="I122" s="292">
        <f t="shared" si="254"/>
        <v>0.11361871397589039</v>
      </c>
      <c r="J122" s="291">
        <f t="shared" ref="J122:M122" si="255">J106-J111</f>
        <v>0.67655337749999989</v>
      </c>
      <c r="K122" s="5">
        <f t="shared" si="255"/>
        <v>3.0623700099255938E-3</v>
      </c>
      <c r="L122" s="5">
        <f t="shared" si="255"/>
        <v>0</v>
      </c>
      <c r="M122" s="292">
        <f t="shared" si="255"/>
        <v>0.11361871397589039</v>
      </c>
      <c r="N122" s="291">
        <f t="shared" ref="N122:AO122" si="256">N106-N111</f>
        <v>0.67655337749999989</v>
      </c>
      <c r="O122" s="5">
        <f t="shared" si="256"/>
        <v>3.0623700099255938E-3</v>
      </c>
      <c r="P122" s="5">
        <f t="shared" si="256"/>
        <v>0</v>
      </c>
      <c r="Q122" s="292">
        <f t="shared" si="256"/>
        <v>0.11361871397589039</v>
      </c>
      <c r="R122" s="291">
        <f t="shared" si="256"/>
        <v>0.67655337749999989</v>
      </c>
      <c r="S122" s="5">
        <f t="shared" si="256"/>
        <v>3.0623700099255938E-3</v>
      </c>
      <c r="T122" s="5">
        <f t="shared" si="256"/>
        <v>0</v>
      </c>
      <c r="U122" s="292">
        <f t="shared" si="256"/>
        <v>0.11361871397589039</v>
      </c>
      <c r="V122" s="291">
        <f t="shared" si="256"/>
        <v>0.67655337749999989</v>
      </c>
      <c r="W122" s="5">
        <f t="shared" si="256"/>
        <v>3.0623700099255938E-3</v>
      </c>
      <c r="X122" s="5">
        <f t="shared" si="256"/>
        <v>0</v>
      </c>
      <c r="Y122" s="292">
        <f t="shared" si="256"/>
        <v>0.11361871397589039</v>
      </c>
      <c r="Z122" s="291">
        <f t="shared" si="256"/>
        <v>0.67655337749999989</v>
      </c>
      <c r="AA122" s="5">
        <f t="shared" si="256"/>
        <v>3.0623700099255938E-3</v>
      </c>
      <c r="AB122" s="5">
        <f t="shared" si="256"/>
        <v>0</v>
      </c>
      <c r="AC122" s="292">
        <f t="shared" si="256"/>
        <v>0.11361871397589039</v>
      </c>
      <c r="AD122" s="291">
        <f t="shared" si="256"/>
        <v>0.67655337749999989</v>
      </c>
      <c r="AE122" s="5">
        <f t="shared" si="256"/>
        <v>3.0623700099255938E-3</v>
      </c>
      <c r="AF122" s="5">
        <f t="shared" si="256"/>
        <v>0</v>
      </c>
      <c r="AG122" s="292">
        <f t="shared" si="256"/>
        <v>0.11361871397589039</v>
      </c>
      <c r="AH122" s="291">
        <f t="shared" si="256"/>
        <v>0.67655337749999989</v>
      </c>
      <c r="AI122" s="5">
        <f t="shared" si="256"/>
        <v>3.0623700099255938E-3</v>
      </c>
      <c r="AJ122" s="5">
        <f t="shared" si="256"/>
        <v>0</v>
      </c>
      <c r="AK122" s="292">
        <f t="shared" si="256"/>
        <v>0.11361871397589039</v>
      </c>
      <c r="AL122" s="291">
        <f t="shared" si="256"/>
        <v>0.67655337749999989</v>
      </c>
      <c r="AM122" s="5">
        <f t="shared" si="256"/>
        <v>3.0623700099255938E-3</v>
      </c>
      <c r="AN122" s="5">
        <f t="shared" si="256"/>
        <v>0</v>
      </c>
      <c r="AO122" s="5">
        <f t="shared" si="256"/>
        <v>0.11361871397589039</v>
      </c>
      <c r="AP122" s="291">
        <f t="shared" ref="AP122:AS122" si="257">AP106-AP111</f>
        <v>0.67655337749999989</v>
      </c>
      <c r="AQ122" s="5">
        <f t="shared" si="257"/>
        <v>3.0623700099255938E-3</v>
      </c>
      <c r="AR122" s="5">
        <f t="shared" si="257"/>
        <v>0</v>
      </c>
      <c r="AS122" s="292">
        <f t="shared" si="257"/>
        <v>0.11361871397589039</v>
      </c>
    </row>
    <row r="123" spans="1:47" x14ac:dyDescent="0.3">
      <c r="A123" s="318"/>
      <c r="B123" s="291"/>
      <c r="C123" s="5"/>
      <c r="D123" s="5"/>
      <c r="E123" s="292"/>
      <c r="F123" s="291"/>
      <c r="G123" s="5"/>
      <c r="H123" s="5"/>
      <c r="I123" s="292"/>
      <c r="J123" s="291"/>
      <c r="K123" s="5"/>
      <c r="L123" s="5"/>
      <c r="M123" s="292"/>
      <c r="N123" s="291"/>
      <c r="O123" s="5"/>
      <c r="P123" s="5"/>
      <c r="Q123" s="292"/>
      <c r="R123" s="291"/>
      <c r="S123" s="5"/>
      <c r="T123" s="5"/>
      <c r="U123" s="292"/>
      <c r="V123" s="291"/>
      <c r="W123" s="5"/>
      <c r="X123" s="5"/>
      <c r="Y123" s="292"/>
      <c r="Z123" s="291"/>
      <c r="AA123" s="5"/>
      <c r="AB123" s="5"/>
      <c r="AC123" s="292"/>
      <c r="AD123" s="291"/>
      <c r="AE123" s="5"/>
      <c r="AF123" s="5"/>
      <c r="AG123" s="292"/>
      <c r="AH123" s="291"/>
      <c r="AI123" s="5"/>
      <c r="AJ123" s="5"/>
      <c r="AK123" s="292"/>
      <c r="AL123" s="291"/>
      <c r="AM123" s="5"/>
      <c r="AN123" s="5"/>
      <c r="AO123" s="5"/>
      <c r="AP123" s="291"/>
      <c r="AQ123" s="5"/>
      <c r="AR123" s="5"/>
      <c r="AS123" s="292"/>
    </row>
    <row r="124" spans="1:47" x14ac:dyDescent="0.3">
      <c r="A124" s="326" t="s">
        <v>315</v>
      </c>
      <c r="B124" s="307"/>
      <c r="C124" s="308"/>
      <c r="D124" s="308"/>
      <c r="E124" s="309"/>
      <c r="F124" s="307"/>
      <c r="G124" s="308"/>
      <c r="H124" s="308"/>
      <c r="I124" s="309"/>
      <c r="J124" s="307"/>
      <c r="K124" s="308"/>
      <c r="L124" s="308"/>
      <c r="M124" s="309"/>
      <c r="N124" s="307"/>
      <c r="O124" s="308"/>
      <c r="P124" s="308"/>
      <c r="Q124" s="309"/>
      <c r="R124" s="307"/>
      <c r="S124" s="308"/>
      <c r="T124" s="308"/>
      <c r="U124" s="309"/>
      <c r="V124" s="307"/>
      <c r="W124" s="308"/>
      <c r="X124" s="308"/>
      <c r="Y124" s="309"/>
      <c r="Z124" s="307"/>
      <c r="AA124" s="308"/>
      <c r="AB124" s="308"/>
      <c r="AC124" s="309"/>
      <c r="AD124" s="307"/>
      <c r="AE124" s="308"/>
      <c r="AF124" s="308"/>
      <c r="AG124" s="309"/>
      <c r="AH124" s="307"/>
      <c r="AI124" s="308"/>
      <c r="AJ124" s="308"/>
      <c r="AK124" s="309"/>
      <c r="AL124" s="307"/>
      <c r="AM124" s="308"/>
      <c r="AN124" s="308"/>
      <c r="AO124" s="308"/>
      <c r="AP124" s="307"/>
      <c r="AQ124" s="308"/>
      <c r="AR124" s="308"/>
      <c r="AS124" s="309"/>
    </row>
    <row r="125" spans="1:47" x14ac:dyDescent="0.3">
      <c r="A125" s="324" t="s">
        <v>260</v>
      </c>
      <c r="B125" s="291">
        <f>B50+B74+B84+B94+B109</f>
        <v>4.0865548500000006</v>
      </c>
      <c r="C125" s="5">
        <f t="shared" ref="C125:E125" si="258">C50+C74+C84+C94+C109</f>
        <v>1.8497495441970477E-2</v>
      </c>
      <c r="D125" s="5">
        <f t="shared" si="258"/>
        <v>0</v>
      </c>
      <c r="E125" s="292">
        <f t="shared" si="258"/>
        <v>0.68628599322739703</v>
      </c>
      <c r="F125" s="291">
        <f>F50+F74+F84+F94+F109</f>
        <v>4.0865548500000006</v>
      </c>
      <c r="G125" s="5">
        <f t="shared" ref="G125:I125" si="259">G50+G74+G84+G94+G109</f>
        <v>1.8497495441970477E-2</v>
      </c>
      <c r="H125" s="5">
        <f t="shared" si="259"/>
        <v>0</v>
      </c>
      <c r="I125" s="292">
        <f t="shared" si="259"/>
        <v>0.68628599322739703</v>
      </c>
      <c r="J125" s="291">
        <f>J50+J74+J84+J94+J109</f>
        <v>4.0865548500000006</v>
      </c>
      <c r="K125" s="5">
        <f t="shared" ref="K125:M125" si="260">K50+K74+K84+K94+K109</f>
        <v>1.8497495441970477E-2</v>
      </c>
      <c r="L125" s="5">
        <f t="shared" si="260"/>
        <v>0</v>
      </c>
      <c r="M125" s="292">
        <f t="shared" si="260"/>
        <v>0.68628599322739703</v>
      </c>
      <c r="N125" s="291">
        <f>N50+N74+N84+N94+N109</f>
        <v>4.0865548500000006</v>
      </c>
      <c r="O125" s="5">
        <f t="shared" ref="O125:Q125" si="261">O50+O74+O84+O94+O109</f>
        <v>1.8497495441970477E-2</v>
      </c>
      <c r="P125" s="5">
        <f t="shared" si="261"/>
        <v>0</v>
      </c>
      <c r="Q125" s="292">
        <f t="shared" si="261"/>
        <v>0.68628599322739703</v>
      </c>
      <c r="R125" s="291">
        <f>R50+R74+R84+R94+R109</f>
        <v>4.0865548500000006</v>
      </c>
      <c r="S125" s="5">
        <f t="shared" ref="S125:U125" si="262">S50+S74+S84+S94+S109</f>
        <v>1.8497495441970477E-2</v>
      </c>
      <c r="T125" s="5">
        <f t="shared" si="262"/>
        <v>0</v>
      </c>
      <c r="U125" s="292">
        <f t="shared" si="262"/>
        <v>0.68628599322739703</v>
      </c>
      <c r="V125" s="291">
        <f>V50+V74+V84+V94+V109</f>
        <v>4.0865548500000006</v>
      </c>
      <c r="W125" s="5">
        <f t="shared" ref="W125:Y125" si="263">W50+W74+W84+W94+W109</f>
        <v>1.8497495441970477E-2</v>
      </c>
      <c r="X125" s="5">
        <f t="shared" si="263"/>
        <v>0</v>
      </c>
      <c r="Y125" s="292">
        <f t="shared" si="263"/>
        <v>0.68628599322739703</v>
      </c>
      <c r="Z125" s="291">
        <f>Z50+Z74+Z84+Z94+Z109</f>
        <v>4.0865548500000006</v>
      </c>
      <c r="AA125" s="5">
        <f t="shared" ref="AA125:AC125" si="264">AA50+AA74+AA84+AA94+AA109</f>
        <v>1.8497495441970477E-2</v>
      </c>
      <c r="AB125" s="5">
        <f t="shared" si="264"/>
        <v>0</v>
      </c>
      <c r="AC125" s="292">
        <f t="shared" si="264"/>
        <v>0.68628599322739703</v>
      </c>
      <c r="AD125" s="291">
        <f>AD50+AD74+AD84+AD94+AD109</f>
        <v>4.0865548500000006</v>
      </c>
      <c r="AE125" s="5">
        <f t="shared" ref="AE125:AG125" si="265">AE50+AE74+AE84+AE94+AE109</f>
        <v>1.8497495441970477E-2</v>
      </c>
      <c r="AF125" s="5">
        <f t="shared" si="265"/>
        <v>0</v>
      </c>
      <c r="AG125" s="292">
        <f t="shared" si="265"/>
        <v>0.68628599322739703</v>
      </c>
      <c r="AH125" s="291">
        <f>AH50+AH74+AH84+AH94+AH109</f>
        <v>4.0865548500000006</v>
      </c>
      <c r="AI125" s="5">
        <f t="shared" ref="AI125:AK125" si="266">AI50+AI74+AI84+AI94+AI109</f>
        <v>1.8497495441970477E-2</v>
      </c>
      <c r="AJ125" s="5">
        <f t="shared" si="266"/>
        <v>0</v>
      </c>
      <c r="AK125" s="292">
        <f t="shared" si="266"/>
        <v>0.68628599322739703</v>
      </c>
      <c r="AL125" s="291">
        <f>AL50+AL74+AL84+AL94+AL109</f>
        <v>4.0865548500000006</v>
      </c>
      <c r="AM125" s="5">
        <f t="shared" ref="AM125:AO125" si="267">AM50+AM74+AM84+AM94+AM109</f>
        <v>1.8497495441970477E-2</v>
      </c>
      <c r="AN125" s="5">
        <f t="shared" si="267"/>
        <v>0</v>
      </c>
      <c r="AO125" s="5">
        <f t="shared" si="267"/>
        <v>0.68628599322739703</v>
      </c>
      <c r="AP125" s="291">
        <f>AP50+AP74+AP84+AP94+AP109</f>
        <v>4.0865548500000006</v>
      </c>
      <c r="AQ125" s="5">
        <f t="shared" ref="AQ125:AS125" si="268">AQ50+AQ74+AQ84+AQ94+AQ109</f>
        <v>1.8497495441970477E-2</v>
      </c>
      <c r="AR125" s="5">
        <f t="shared" si="268"/>
        <v>0</v>
      </c>
      <c r="AS125" s="292">
        <f t="shared" si="268"/>
        <v>0.68628599322739703</v>
      </c>
    </row>
    <row r="126" spans="1:47" x14ac:dyDescent="0.3">
      <c r="A126" s="324" t="s">
        <v>261</v>
      </c>
      <c r="B126" s="291">
        <f t="shared" ref="B126:E126" si="269">B51+B75+B85+B95+B110</f>
        <v>9.3289045354312492</v>
      </c>
      <c r="C126" s="5">
        <f t="shared" si="269"/>
        <v>4.2226612747585476E-2</v>
      </c>
      <c r="D126" s="5">
        <f>D51+D75+D85+D95+D110</f>
        <v>27.916300489512327</v>
      </c>
      <c r="E126" s="292">
        <f t="shared" si="269"/>
        <v>1.5666733348316626</v>
      </c>
      <c r="F126" s="291">
        <f t="shared" ref="F126:I126" si="270">F51+F75+F85+F95+F110</f>
        <v>9.3289045354312492</v>
      </c>
      <c r="G126" s="5">
        <f t="shared" si="270"/>
        <v>4.2226612747585476E-2</v>
      </c>
      <c r="H126" s="5">
        <f t="shared" si="270"/>
        <v>27.916300489512327</v>
      </c>
      <c r="I126" s="292">
        <f t="shared" si="270"/>
        <v>1.5666733348316626</v>
      </c>
      <c r="J126" s="291">
        <f t="shared" ref="J126:M126" si="271">J51+J75+J85+J95+J110</f>
        <v>9.3289045354312492</v>
      </c>
      <c r="K126" s="5">
        <f t="shared" si="271"/>
        <v>4.2226612747585476E-2</v>
      </c>
      <c r="L126" s="5">
        <f t="shared" si="271"/>
        <v>27.916300489512327</v>
      </c>
      <c r="M126" s="292">
        <f t="shared" si="271"/>
        <v>1.5666733348316626</v>
      </c>
      <c r="N126" s="291">
        <f t="shared" ref="N126:AO126" si="272">N51+N75+N85+N95+N110</f>
        <v>9.3289045354312492</v>
      </c>
      <c r="O126" s="5">
        <f t="shared" si="272"/>
        <v>4.2226612747585476E-2</v>
      </c>
      <c r="P126" s="5">
        <f t="shared" si="272"/>
        <v>27.916300489512327</v>
      </c>
      <c r="Q126" s="292">
        <f t="shared" si="272"/>
        <v>1.5666733348316626</v>
      </c>
      <c r="R126" s="291">
        <f t="shared" si="272"/>
        <v>9.3289045354312492</v>
      </c>
      <c r="S126" s="5">
        <f t="shared" si="272"/>
        <v>4.2226612747585476E-2</v>
      </c>
      <c r="T126" s="5">
        <f t="shared" si="272"/>
        <v>27.916300489512327</v>
      </c>
      <c r="U126" s="292">
        <f t="shared" si="272"/>
        <v>1.5666733348316626</v>
      </c>
      <c r="V126" s="291">
        <f t="shared" si="272"/>
        <v>9.3289045354312492</v>
      </c>
      <c r="W126" s="5">
        <f t="shared" si="272"/>
        <v>4.2226612747585476E-2</v>
      </c>
      <c r="X126" s="5">
        <f t="shared" si="272"/>
        <v>27.916300489512327</v>
      </c>
      <c r="Y126" s="292">
        <f t="shared" si="272"/>
        <v>1.5666733348316626</v>
      </c>
      <c r="Z126" s="291">
        <f t="shared" si="272"/>
        <v>9.3289045354312492</v>
      </c>
      <c r="AA126" s="5">
        <f t="shared" si="272"/>
        <v>4.2226612747585476E-2</v>
      </c>
      <c r="AB126" s="5">
        <f t="shared" si="272"/>
        <v>27.916300489512327</v>
      </c>
      <c r="AC126" s="292">
        <f t="shared" si="272"/>
        <v>1.5666733348316626</v>
      </c>
      <c r="AD126" s="291">
        <f t="shared" si="272"/>
        <v>9.3289045354312492</v>
      </c>
      <c r="AE126" s="5">
        <f t="shared" si="272"/>
        <v>4.2226612747585476E-2</v>
      </c>
      <c r="AF126" s="5">
        <f t="shared" si="272"/>
        <v>27.916300489512327</v>
      </c>
      <c r="AG126" s="292">
        <f t="shared" si="272"/>
        <v>1.5666733348316626</v>
      </c>
      <c r="AH126" s="291">
        <f t="shared" si="272"/>
        <v>9.3289045354312492</v>
      </c>
      <c r="AI126" s="5">
        <f t="shared" si="272"/>
        <v>4.2226612747585476E-2</v>
      </c>
      <c r="AJ126" s="5">
        <f t="shared" si="272"/>
        <v>27.916300489512327</v>
      </c>
      <c r="AK126" s="292">
        <f t="shared" si="272"/>
        <v>1.5666733348316626</v>
      </c>
      <c r="AL126" s="291">
        <f t="shared" si="272"/>
        <v>9.3289045354312492</v>
      </c>
      <c r="AM126" s="5">
        <f t="shared" si="272"/>
        <v>4.2226612747585476E-2</v>
      </c>
      <c r="AN126" s="5">
        <f t="shared" si="272"/>
        <v>27.916300489512327</v>
      </c>
      <c r="AO126" s="5">
        <f t="shared" si="272"/>
        <v>1.5666733348316626</v>
      </c>
      <c r="AP126" s="291">
        <f t="shared" ref="AP126:AS126" si="273">AP51+AP75+AP85+AP95+AP110</f>
        <v>9.4045625348062494</v>
      </c>
      <c r="AQ126" s="5">
        <f t="shared" si="273"/>
        <v>4.2569073218558393E-2</v>
      </c>
      <c r="AR126" s="5">
        <f t="shared" si="273"/>
        <v>28.121262711978076</v>
      </c>
      <c r="AS126" s="292">
        <f t="shared" si="273"/>
        <v>1.5793791535842654</v>
      </c>
    </row>
    <row r="127" spans="1:47" x14ac:dyDescent="0.3">
      <c r="A127" s="324" t="s">
        <v>262</v>
      </c>
      <c r="B127" s="291">
        <f t="shared" ref="B127:E127" si="274">B52+B76+B86+B96+B111</f>
        <v>3.4735716224999997</v>
      </c>
      <c r="C127" s="5">
        <f t="shared" si="274"/>
        <v>1.5722871125674904E-2</v>
      </c>
      <c r="D127" s="5">
        <f t="shared" si="274"/>
        <v>0</v>
      </c>
      <c r="E127" s="292">
        <f t="shared" si="274"/>
        <v>0.58334309424328756</v>
      </c>
      <c r="F127" s="291">
        <f t="shared" ref="F127:I127" si="275">F52+F76+F86+F96+F111</f>
        <v>3.4735716224999997</v>
      </c>
      <c r="G127" s="5">
        <f t="shared" si="275"/>
        <v>1.5722871125674904E-2</v>
      </c>
      <c r="H127" s="5">
        <f t="shared" si="275"/>
        <v>0</v>
      </c>
      <c r="I127" s="292">
        <f t="shared" si="275"/>
        <v>0.58334309424328756</v>
      </c>
      <c r="J127" s="291">
        <f t="shared" ref="J127:M127" si="276">J52+J76+J86+J96+J111</f>
        <v>3.4735716224999997</v>
      </c>
      <c r="K127" s="5">
        <f t="shared" si="276"/>
        <v>1.5722871125674904E-2</v>
      </c>
      <c r="L127" s="5">
        <f t="shared" si="276"/>
        <v>0</v>
      </c>
      <c r="M127" s="292">
        <f t="shared" si="276"/>
        <v>0.58334309424328756</v>
      </c>
      <c r="N127" s="291">
        <f t="shared" ref="N127:AO127" si="277">N52+N76+N86+N96+N111</f>
        <v>3.4735716224999997</v>
      </c>
      <c r="O127" s="5">
        <f t="shared" si="277"/>
        <v>1.5722871125674904E-2</v>
      </c>
      <c r="P127" s="5">
        <f t="shared" si="277"/>
        <v>0</v>
      </c>
      <c r="Q127" s="292">
        <f t="shared" si="277"/>
        <v>0.58334309424328756</v>
      </c>
      <c r="R127" s="291">
        <f t="shared" si="277"/>
        <v>3.4735716224999997</v>
      </c>
      <c r="S127" s="5">
        <f t="shared" si="277"/>
        <v>1.5722871125674904E-2</v>
      </c>
      <c r="T127" s="5">
        <f t="shared" si="277"/>
        <v>0</v>
      </c>
      <c r="U127" s="292">
        <f t="shared" si="277"/>
        <v>0.58334309424328756</v>
      </c>
      <c r="V127" s="291">
        <f t="shared" si="277"/>
        <v>3.4735716224999997</v>
      </c>
      <c r="W127" s="5">
        <f t="shared" si="277"/>
        <v>1.5722871125674904E-2</v>
      </c>
      <c r="X127" s="5">
        <f t="shared" si="277"/>
        <v>0</v>
      </c>
      <c r="Y127" s="292">
        <f t="shared" si="277"/>
        <v>0.58334309424328756</v>
      </c>
      <c r="Z127" s="291">
        <f t="shared" si="277"/>
        <v>3.4735716224999997</v>
      </c>
      <c r="AA127" s="5">
        <f t="shared" si="277"/>
        <v>1.5722871125674904E-2</v>
      </c>
      <c r="AB127" s="5">
        <f t="shared" si="277"/>
        <v>0</v>
      </c>
      <c r="AC127" s="292">
        <f t="shared" si="277"/>
        <v>0.58334309424328756</v>
      </c>
      <c r="AD127" s="291">
        <f t="shared" si="277"/>
        <v>3.4735716224999997</v>
      </c>
      <c r="AE127" s="5">
        <f t="shared" si="277"/>
        <v>1.5722871125674904E-2</v>
      </c>
      <c r="AF127" s="5">
        <f t="shared" si="277"/>
        <v>0</v>
      </c>
      <c r="AG127" s="292">
        <f t="shared" si="277"/>
        <v>0.58334309424328756</v>
      </c>
      <c r="AH127" s="291">
        <f t="shared" si="277"/>
        <v>3.4735716224999997</v>
      </c>
      <c r="AI127" s="5">
        <f t="shared" si="277"/>
        <v>1.5722871125674904E-2</v>
      </c>
      <c r="AJ127" s="5">
        <f t="shared" si="277"/>
        <v>0</v>
      </c>
      <c r="AK127" s="292">
        <f t="shared" si="277"/>
        <v>0.58334309424328756</v>
      </c>
      <c r="AL127" s="291">
        <f t="shared" si="277"/>
        <v>3.4735716224999997</v>
      </c>
      <c r="AM127" s="5">
        <f t="shared" si="277"/>
        <v>1.5722871125674904E-2</v>
      </c>
      <c r="AN127" s="5">
        <f t="shared" si="277"/>
        <v>0</v>
      </c>
      <c r="AO127" s="5">
        <f t="shared" si="277"/>
        <v>0.58334309424328756</v>
      </c>
      <c r="AP127" s="291">
        <f t="shared" ref="AP127:AS127" si="278">AP52+AP76+AP86+AP96+AP111</f>
        <v>3.4735716224999997</v>
      </c>
      <c r="AQ127" s="5">
        <f t="shared" si="278"/>
        <v>1.5722871125674904E-2</v>
      </c>
      <c r="AR127" s="5">
        <f t="shared" si="278"/>
        <v>0</v>
      </c>
      <c r="AS127" s="292">
        <f t="shared" si="278"/>
        <v>0.58334309424328756</v>
      </c>
    </row>
    <row r="128" spans="1:47" x14ac:dyDescent="0.3">
      <c r="A128" s="324" t="s">
        <v>316</v>
      </c>
      <c r="B128" s="310">
        <f>B125/B40</f>
        <v>0.58588600000000002</v>
      </c>
      <c r="C128" s="311">
        <f>C125/C40</f>
        <v>0.58588600000000002</v>
      </c>
      <c r="D128" s="311"/>
      <c r="E128" s="312">
        <f t="shared" ref="E128" si="279">E125/E40</f>
        <v>0.58588599999999991</v>
      </c>
      <c r="F128" s="310">
        <f>F125/F40</f>
        <v>0.58588600000000002</v>
      </c>
      <c r="G128" s="311">
        <f>G125/G40</f>
        <v>0.58588600000000002</v>
      </c>
      <c r="H128" s="311"/>
      <c r="I128" s="312">
        <f t="shared" ref="I128" si="280">I125/I40</f>
        <v>0.58588599999999991</v>
      </c>
      <c r="J128" s="310">
        <f>J125/J40</f>
        <v>0.58588600000000002</v>
      </c>
      <c r="K128" s="311">
        <f>K125/K40</f>
        <v>0.58588600000000002</v>
      </c>
      <c r="L128" s="311"/>
      <c r="M128" s="312">
        <f t="shared" ref="M128" si="281">M125/M40</f>
        <v>0.58588599999999991</v>
      </c>
      <c r="N128" s="310">
        <f>N125/N40</f>
        <v>0.58588600000000002</v>
      </c>
      <c r="O128" s="311">
        <f>O125/O40</f>
        <v>0.58588600000000002</v>
      </c>
      <c r="P128" s="311"/>
      <c r="Q128" s="312">
        <f t="shared" ref="Q128" si="282">Q125/Q40</f>
        <v>0.58588599999999991</v>
      </c>
      <c r="R128" s="310">
        <f>R125/R40</f>
        <v>0.58588600000000002</v>
      </c>
      <c r="S128" s="311">
        <f>S125/S40</f>
        <v>0.58588600000000002</v>
      </c>
      <c r="T128" s="311"/>
      <c r="U128" s="312">
        <f t="shared" ref="U128" si="283">U125/U40</f>
        <v>0.58588599999999991</v>
      </c>
      <c r="V128" s="310">
        <f>V125/V40</f>
        <v>0.58588600000000002</v>
      </c>
      <c r="W128" s="311">
        <f>W125/W40</f>
        <v>0.58588600000000002</v>
      </c>
      <c r="X128" s="311"/>
      <c r="Y128" s="312">
        <f t="shared" ref="Y128" si="284">Y125/Y40</f>
        <v>0.58588599999999991</v>
      </c>
      <c r="Z128" s="310">
        <f>Z125/Z40</f>
        <v>0.58588600000000002</v>
      </c>
      <c r="AA128" s="311">
        <f>AA125/AA40</f>
        <v>0.58588600000000002</v>
      </c>
      <c r="AB128" s="311"/>
      <c r="AC128" s="312">
        <f t="shared" ref="AC128" si="285">AC125/AC40</f>
        <v>0.58588599999999991</v>
      </c>
      <c r="AD128" s="310">
        <f>AD125/AD40</f>
        <v>0.58588600000000002</v>
      </c>
      <c r="AE128" s="311">
        <f>AE125/AE40</f>
        <v>0.58588600000000002</v>
      </c>
      <c r="AF128" s="311"/>
      <c r="AG128" s="312">
        <f t="shared" ref="AG128" si="286">AG125/AG40</f>
        <v>0.58588599999999991</v>
      </c>
      <c r="AH128" s="310">
        <f>AH125/AH40</f>
        <v>0.58588600000000002</v>
      </c>
      <c r="AI128" s="311">
        <f>AI125/AI40</f>
        <v>0.58588600000000002</v>
      </c>
      <c r="AJ128" s="311"/>
      <c r="AK128" s="312">
        <f t="shared" ref="AK128" si="287">AK125/AK40</f>
        <v>0.58588599999999991</v>
      </c>
      <c r="AL128" s="310">
        <f>AL125/AL40</f>
        <v>0.58588600000000002</v>
      </c>
      <c r="AM128" s="311">
        <f>AM125/AM40</f>
        <v>0.58588600000000002</v>
      </c>
      <c r="AN128" s="311"/>
      <c r="AO128" s="311">
        <f t="shared" ref="AO128" si="288">AO125/AO40</f>
        <v>0.58588599999999991</v>
      </c>
      <c r="AP128" s="310">
        <f>AP125/AP40</f>
        <v>0.58588600000000002</v>
      </c>
      <c r="AQ128" s="311">
        <f>AQ125/AQ40</f>
        <v>0.58588600000000002</v>
      </c>
      <c r="AR128" s="311"/>
      <c r="AS128" s="312">
        <f t="shared" ref="AS128" si="289">AS125/AS40</f>
        <v>0.58588599999999991</v>
      </c>
    </row>
    <row r="129" spans="1:45" x14ac:dyDescent="0.3">
      <c r="A129" s="324"/>
      <c r="B129" s="310">
        <f t="shared" ref="B129:E129" si="290">B126/B41</f>
        <v>0.42459598499999995</v>
      </c>
      <c r="C129" s="311">
        <f t="shared" si="290"/>
        <v>0.42459598500000001</v>
      </c>
      <c r="D129" s="311">
        <f>D126/D41</f>
        <v>0.44211225999999998</v>
      </c>
      <c r="E129" s="312">
        <f t="shared" si="290"/>
        <v>0.4245959849999999</v>
      </c>
      <c r="F129" s="310">
        <f t="shared" ref="F129:I129" si="291">F126/F41</f>
        <v>0.42459598499999995</v>
      </c>
      <c r="G129" s="311">
        <f t="shared" si="291"/>
        <v>0.42459598500000001</v>
      </c>
      <c r="H129" s="311">
        <f t="shared" si="291"/>
        <v>0.44211225999999998</v>
      </c>
      <c r="I129" s="312">
        <f t="shared" si="291"/>
        <v>0.4245959849999999</v>
      </c>
      <c r="J129" s="310">
        <f t="shared" ref="J129:M129" si="292">J126/J41</f>
        <v>0.42459598499999995</v>
      </c>
      <c r="K129" s="311">
        <f t="shared" si="292"/>
        <v>0.42459598500000001</v>
      </c>
      <c r="L129" s="311">
        <f t="shared" si="292"/>
        <v>0.44211225999999998</v>
      </c>
      <c r="M129" s="312">
        <f t="shared" si="292"/>
        <v>0.4245959849999999</v>
      </c>
      <c r="N129" s="310">
        <f t="shared" ref="N129:AO129" si="293">N126/N41</f>
        <v>0.42459598499999995</v>
      </c>
      <c r="O129" s="311">
        <f t="shared" si="293"/>
        <v>0.42459598500000001</v>
      </c>
      <c r="P129" s="311">
        <f t="shared" si="293"/>
        <v>0.44211225999999998</v>
      </c>
      <c r="Q129" s="312">
        <f t="shared" si="293"/>
        <v>0.4245959849999999</v>
      </c>
      <c r="R129" s="310">
        <f t="shared" si="293"/>
        <v>0.42459598499999995</v>
      </c>
      <c r="S129" s="311">
        <f t="shared" si="293"/>
        <v>0.42459598500000001</v>
      </c>
      <c r="T129" s="311">
        <f t="shared" si="293"/>
        <v>0.44211225999999998</v>
      </c>
      <c r="U129" s="312">
        <f t="shared" si="293"/>
        <v>0.4245959849999999</v>
      </c>
      <c r="V129" s="310">
        <f t="shared" si="293"/>
        <v>0.42459598499999995</v>
      </c>
      <c r="W129" s="311">
        <f t="shared" si="293"/>
        <v>0.42459598500000001</v>
      </c>
      <c r="X129" s="311">
        <f t="shared" si="293"/>
        <v>0.44211225999999998</v>
      </c>
      <c r="Y129" s="312">
        <f t="shared" si="293"/>
        <v>0.4245959849999999</v>
      </c>
      <c r="Z129" s="310">
        <f t="shared" si="293"/>
        <v>0.42459598499999995</v>
      </c>
      <c r="AA129" s="311">
        <f t="shared" si="293"/>
        <v>0.42459598500000001</v>
      </c>
      <c r="AB129" s="311">
        <f t="shared" si="293"/>
        <v>0.44211225999999998</v>
      </c>
      <c r="AC129" s="312">
        <f t="shared" si="293"/>
        <v>0.4245959849999999</v>
      </c>
      <c r="AD129" s="310">
        <f t="shared" si="293"/>
        <v>0.42459598499999995</v>
      </c>
      <c r="AE129" s="311">
        <f t="shared" si="293"/>
        <v>0.42459598500000001</v>
      </c>
      <c r="AF129" s="311">
        <f t="shared" si="293"/>
        <v>0.44211225999999998</v>
      </c>
      <c r="AG129" s="312">
        <f t="shared" si="293"/>
        <v>0.4245959849999999</v>
      </c>
      <c r="AH129" s="310">
        <f t="shared" si="293"/>
        <v>0.42459598499999995</v>
      </c>
      <c r="AI129" s="311">
        <f t="shared" si="293"/>
        <v>0.42459598500000001</v>
      </c>
      <c r="AJ129" s="311">
        <f t="shared" si="293"/>
        <v>0.44211225999999998</v>
      </c>
      <c r="AK129" s="312">
        <f t="shared" si="293"/>
        <v>0.4245959849999999</v>
      </c>
      <c r="AL129" s="310">
        <f t="shared" si="293"/>
        <v>0.42459598499999995</v>
      </c>
      <c r="AM129" s="311">
        <f t="shared" si="293"/>
        <v>0.42459598500000001</v>
      </c>
      <c r="AN129" s="311">
        <f t="shared" si="293"/>
        <v>0.44211225999999998</v>
      </c>
      <c r="AO129" s="311">
        <f t="shared" si="293"/>
        <v>0.4245959849999999</v>
      </c>
      <c r="AP129" s="310">
        <f t="shared" ref="AP129:AS129" si="294">AP126/AP41</f>
        <v>0.42803948499999994</v>
      </c>
      <c r="AQ129" s="311">
        <f t="shared" si="294"/>
        <v>0.42803948499999994</v>
      </c>
      <c r="AR129" s="311">
        <f t="shared" si="294"/>
        <v>0.44535825999999989</v>
      </c>
      <c r="AS129" s="312">
        <f t="shared" si="294"/>
        <v>0.42803948499999994</v>
      </c>
    </row>
    <row r="130" spans="1:45" x14ac:dyDescent="0.3">
      <c r="A130" s="324"/>
      <c r="B130" s="310">
        <f t="shared" ref="B130:C130" si="295">B127/B42</f>
        <v>0.58588599999999991</v>
      </c>
      <c r="C130" s="311">
        <f t="shared" si="295"/>
        <v>0.58588599999999991</v>
      </c>
      <c r="D130" s="311"/>
      <c r="E130" s="312">
        <f t="shared" ref="E130:G130" si="296">E127/E42</f>
        <v>0.58588599999999991</v>
      </c>
      <c r="F130" s="310">
        <f t="shared" si="296"/>
        <v>0.58588599999999991</v>
      </c>
      <c r="G130" s="311">
        <f t="shared" si="296"/>
        <v>0.58588599999999991</v>
      </c>
      <c r="H130" s="311"/>
      <c r="I130" s="312">
        <f t="shared" ref="I130:K130" si="297">I127/I42</f>
        <v>0.58588599999999991</v>
      </c>
      <c r="J130" s="310">
        <f t="shared" si="297"/>
        <v>0.58588599999999991</v>
      </c>
      <c r="K130" s="311">
        <f t="shared" si="297"/>
        <v>0.58588599999999991</v>
      </c>
      <c r="L130" s="311"/>
      <c r="M130" s="312">
        <f t="shared" ref="M130:O130" si="298">M127/M42</f>
        <v>0.58588599999999991</v>
      </c>
      <c r="N130" s="310">
        <f t="shared" si="298"/>
        <v>0.58588599999999991</v>
      </c>
      <c r="O130" s="311">
        <f t="shared" si="298"/>
        <v>0.58588599999999991</v>
      </c>
      <c r="P130" s="311"/>
      <c r="Q130" s="312">
        <f t="shared" ref="Q130:S130" si="299">Q127/Q42</f>
        <v>0.58588599999999991</v>
      </c>
      <c r="R130" s="310">
        <f t="shared" si="299"/>
        <v>0.58588599999999991</v>
      </c>
      <c r="S130" s="311">
        <f t="shared" si="299"/>
        <v>0.58588599999999991</v>
      </c>
      <c r="T130" s="311"/>
      <c r="U130" s="312">
        <f t="shared" ref="U130:W130" si="300">U127/U42</f>
        <v>0.58588599999999991</v>
      </c>
      <c r="V130" s="310">
        <f t="shared" si="300"/>
        <v>0.58588599999999991</v>
      </c>
      <c r="W130" s="311">
        <f t="shared" si="300"/>
        <v>0.58588599999999991</v>
      </c>
      <c r="X130" s="311"/>
      <c r="Y130" s="312">
        <f t="shared" ref="Y130:AA130" si="301">Y127/Y42</f>
        <v>0.58588599999999991</v>
      </c>
      <c r="Z130" s="310">
        <f t="shared" si="301"/>
        <v>0.58588599999999991</v>
      </c>
      <c r="AA130" s="311">
        <f t="shared" si="301"/>
        <v>0.58588599999999991</v>
      </c>
      <c r="AB130" s="311"/>
      <c r="AC130" s="312">
        <f t="shared" ref="AC130:AE130" si="302">AC127/AC42</f>
        <v>0.58588599999999991</v>
      </c>
      <c r="AD130" s="310">
        <f t="shared" si="302"/>
        <v>0.58588599999999991</v>
      </c>
      <c r="AE130" s="311">
        <f t="shared" si="302"/>
        <v>0.58588599999999991</v>
      </c>
      <c r="AF130" s="311"/>
      <c r="AG130" s="312">
        <f t="shared" ref="AG130:AI130" si="303">AG127/AG42</f>
        <v>0.58588599999999991</v>
      </c>
      <c r="AH130" s="310">
        <f t="shared" si="303"/>
        <v>0.58588599999999991</v>
      </c>
      <c r="AI130" s="311">
        <f t="shared" si="303"/>
        <v>0.58588599999999991</v>
      </c>
      <c r="AJ130" s="311"/>
      <c r="AK130" s="312">
        <f t="shared" ref="AK130:AM130" si="304">AK127/AK42</f>
        <v>0.58588599999999991</v>
      </c>
      <c r="AL130" s="310">
        <f t="shared" si="304"/>
        <v>0.58588599999999991</v>
      </c>
      <c r="AM130" s="311">
        <f t="shared" si="304"/>
        <v>0.58588599999999991</v>
      </c>
      <c r="AN130" s="311"/>
      <c r="AO130" s="311">
        <f t="shared" ref="AO130" si="305">AO127/AO42</f>
        <v>0.58588599999999991</v>
      </c>
      <c r="AP130" s="310">
        <f t="shared" ref="AP130:AS130" si="306">AP127/AP42</f>
        <v>0.58588599999999991</v>
      </c>
      <c r="AQ130" s="311">
        <f t="shared" si="306"/>
        <v>0.58588599999999991</v>
      </c>
      <c r="AR130" s="311"/>
      <c r="AS130" s="312">
        <f t="shared" si="306"/>
        <v>0.58588599999999991</v>
      </c>
    </row>
    <row r="131" spans="1:45" x14ac:dyDescent="0.3">
      <c r="A131" s="324"/>
      <c r="B131" s="270"/>
      <c r="E131" s="271"/>
      <c r="F131" s="270"/>
      <c r="I131" s="271"/>
      <c r="J131" s="270"/>
      <c r="M131" s="271"/>
      <c r="N131" s="270"/>
      <c r="Q131" s="271"/>
      <c r="R131" s="270"/>
      <c r="U131" s="271"/>
      <c r="V131" s="270"/>
      <c r="Y131" s="271"/>
      <c r="Z131" s="270"/>
      <c r="AC131" s="271"/>
      <c r="AD131" s="270"/>
      <c r="AG131" s="271"/>
      <c r="AH131" s="270"/>
      <c r="AK131" s="271"/>
      <c r="AL131" s="270"/>
      <c r="AP131" s="270"/>
      <c r="AS131" s="271"/>
    </row>
    <row r="132" spans="1:45" x14ac:dyDescent="0.3">
      <c r="A132" s="326" t="s">
        <v>317</v>
      </c>
      <c r="B132" s="279"/>
      <c r="C132" s="118"/>
      <c r="D132" s="118"/>
      <c r="E132" s="280"/>
      <c r="F132" s="279"/>
      <c r="G132" s="118"/>
      <c r="H132" s="118"/>
      <c r="I132" s="280"/>
      <c r="J132" s="279"/>
      <c r="K132" s="118"/>
      <c r="L132" s="118"/>
      <c r="M132" s="280"/>
      <c r="N132" s="279"/>
      <c r="O132" s="118"/>
      <c r="P132" s="118"/>
      <c r="Q132" s="280"/>
      <c r="R132" s="279"/>
      <c r="S132" s="118"/>
      <c r="T132" s="118"/>
      <c r="U132" s="280"/>
      <c r="V132" s="279"/>
      <c r="W132" s="118"/>
      <c r="X132" s="118"/>
      <c r="Y132" s="280"/>
      <c r="Z132" s="279"/>
      <c r="AA132" s="118"/>
      <c r="AB132" s="118"/>
      <c r="AC132" s="280"/>
      <c r="AD132" s="279"/>
      <c r="AE132" s="118"/>
      <c r="AF132" s="118"/>
      <c r="AG132" s="280"/>
      <c r="AH132" s="279"/>
      <c r="AI132" s="118"/>
      <c r="AJ132" s="118"/>
      <c r="AK132" s="280"/>
      <c r="AL132" s="279"/>
      <c r="AM132" s="118"/>
      <c r="AN132" s="118"/>
      <c r="AO132" s="118"/>
      <c r="AP132" s="279"/>
      <c r="AQ132" s="118"/>
      <c r="AR132" s="118"/>
      <c r="AS132" s="280"/>
    </row>
    <row r="133" spans="1:45" x14ac:dyDescent="0.3">
      <c r="A133" s="324" t="s">
        <v>260</v>
      </c>
      <c r="B133" s="291">
        <f>B40-B125</f>
        <v>2.8884451500000008</v>
      </c>
      <c r="C133" s="5">
        <f t="shared" ref="C133:E133" si="307">C40-C125</f>
        <v>1.3074338399374899E-2</v>
      </c>
      <c r="D133" s="5">
        <f t="shared" si="307"/>
        <v>0</v>
      </c>
      <c r="E133" s="292">
        <f t="shared" si="307"/>
        <v>0.4850783903342466</v>
      </c>
      <c r="F133" s="291">
        <f>F40-F125</f>
        <v>2.8884451500000008</v>
      </c>
      <c r="G133" s="5">
        <f t="shared" ref="G133:I133" si="308">G40-G125</f>
        <v>1.3074338399374899E-2</v>
      </c>
      <c r="H133" s="5">
        <f t="shared" si="308"/>
        <v>0</v>
      </c>
      <c r="I133" s="292">
        <f t="shared" si="308"/>
        <v>0.4850783903342466</v>
      </c>
      <c r="J133" s="291">
        <f>J40-J125</f>
        <v>2.8884451500000008</v>
      </c>
      <c r="K133" s="5">
        <f t="shared" ref="K133:M133" si="309">K40-K125</f>
        <v>1.3074338399374899E-2</v>
      </c>
      <c r="L133" s="5">
        <f t="shared" si="309"/>
        <v>0</v>
      </c>
      <c r="M133" s="292">
        <f t="shared" si="309"/>
        <v>0.4850783903342466</v>
      </c>
      <c r="N133" s="291">
        <f>N40-N125</f>
        <v>2.8884451500000008</v>
      </c>
      <c r="O133" s="5">
        <f t="shared" ref="O133:Q133" si="310">O40-O125</f>
        <v>1.3074338399374899E-2</v>
      </c>
      <c r="P133" s="5">
        <f t="shared" si="310"/>
        <v>0</v>
      </c>
      <c r="Q133" s="292">
        <f t="shared" si="310"/>
        <v>0.4850783903342466</v>
      </c>
      <c r="R133" s="291">
        <f>R40-R125</f>
        <v>2.8884451500000008</v>
      </c>
      <c r="S133" s="5">
        <f t="shared" ref="S133:U133" si="311">S40-S125</f>
        <v>1.3074338399374899E-2</v>
      </c>
      <c r="T133" s="5">
        <f t="shared" si="311"/>
        <v>0</v>
      </c>
      <c r="U133" s="292">
        <f t="shared" si="311"/>
        <v>0.4850783903342466</v>
      </c>
      <c r="V133" s="291">
        <f>V40-V125</f>
        <v>2.8884451500000008</v>
      </c>
      <c r="W133" s="5">
        <f t="shared" ref="W133:Y133" si="312">W40-W125</f>
        <v>1.3074338399374899E-2</v>
      </c>
      <c r="X133" s="5">
        <f t="shared" si="312"/>
        <v>0</v>
      </c>
      <c r="Y133" s="292">
        <f t="shared" si="312"/>
        <v>0.4850783903342466</v>
      </c>
      <c r="Z133" s="291">
        <f>Z40-Z125</f>
        <v>2.8884451500000008</v>
      </c>
      <c r="AA133" s="5">
        <f t="shared" ref="AA133:AC133" si="313">AA40-AA125</f>
        <v>1.3074338399374899E-2</v>
      </c>
      <c r="AB133" s="5">
        <f t="shared" si="313"/>
        <v>0</v>
      </c>
      <c r="AC133" s="292">
        <f t="shared" si="313"/>
        <v>0.4850783903342466</v>
      </c>
      <c r="AD133" s="291">
        <f>AD40-AD125</f>
        <v>2.8884451500000008</v>
      </c>
      <c r="AE133" s="5">
        <f t="shared" ref="AE133:AG133" si="314">AE40-AE125</f>
        <v>1.3074338399374899E-2</v>
      </c>
      <c r="AF133" s="5">
        <f t="shared" si="314"/>
        <v>0</v>
      </c>
      <c r="AG133" s="292">
        <f t="shared" si="314"/>
        <v>0.4850783903342466</v>
      </c>
      <c r="AH133" s="291">
        <f>AH40-AH125</f>
        <v>2.8884451500000008</v>
      </c>
      <c r="AI133" s="5">
        <f t="shared" ref="AI133:AK133" si="315">AI40-AI125</f>
        <v>1.3074338399374899E-2</v>
      </c>
      <c r="AJ133" s="5">
        <f t="shared" si="315"/>
        <v>0</v>
      </c>
      <c r="AK133" s="292">
        <f t="shared" si="315"/>
        <v>0.4850783903342466</v>
      </c>
      <c r="AL133" s="291">
        <f>AL40-AL125</f>
        <v>2.8884451500000008</v>
      </c>
      <c r="AM133" s="5">
        <f t="shared" ref="AM133:AO133" si="316">AM40-AM125</f>
        <v>1.3074338399374899E-2</v>
      </c>
      <c r="AN133" s="5">
        <f t="shared" si="316"/>
        <v>0</v>
      </c>
      <c r="AO133" s="5">
        <f t="shared" si="316"/>
        <v>0.4850783903342466</v>
      </c>
      <c r="AP133" s="291">
        <f>AP40-AP125</f>
        <v>2.8884451500000008</v>
      </c>
      <c r="AQ133" s="5">
        <f t="shared" ref="AQ133:AS133" si="317">AQ40-AQ125</f>
        <v>1.3074338399374899E-2</v>
      </c>
      <c r="AR133" s="5">
        <f t="shared" si="317"/>
        <v>0</v>
      </c>
      <c r="AS133" s="292">
        <f t="shared" si="317"/>
        <v>0.4850783903342466</v>
      </c>
    </row>
    <row r="134" spans="1:45" x14ac:dyDescent="0.3">
      <c r="A134" s="324" t="s">
        <v>261</v>
      </c>
      <c r="B134" s="291">
        <f t="shared" ref="B134:E134" si="318">B41-B126</f>
        <v>12.642345464568752</v>
      </c>
      <c r="C134" s="5">
        <f t="shared" si="318"/>
        <v>5.7224663852652458E-2</v>
      </c>
      <c r="D134" s="5">
        <f>D41-D126</f>
        <v>35.226713209117804</v>
      </c>
      <c r="E134" s="292">
        <f t="shared" si="318"/>
        <v>2.1231244733875152</v>
      </c>
      <c r="F134" s="291">
        <f t="shared" ref="F134:I134" si="319">F41-F126</f>
        <v>12.642345464568752</v>
      </c>
      <c r="G134" s="5">
        <f t="shared" si="319"/>
        <v>5.7224663852652458E-2</v>
      </c>
      <c r="H134" s="5">
        <f t="shared" si="319"/>
        <v>35.226713209117804</v>
      </c>
      <c r="I134" s="292">
        <f t="shared" si="319"/>
        <v>2.1231244733875152</v>
      </c>
      <c r="J134" s="291">
        <f t="shared" ref="J134:M134" si="320">J41-J126</f>
        <v>12.642345464568752</v>
      </c>
      <c r="K134" s="5">
        <f t="shared" si="320"/>
        <v>5.7224663852652458E-2</v>
      </c>
      <c r="L134" s="5">
        <f t="shared" si="320"/>
        <v>35.226713209117804</v>
      </c>
      <c r="M134" s="292">
        <f t="shared" si="320"/>
        <v>2.1231244733875152</v>
      </c>
      <c r="N134" s="291">
        <f t="shared" ref="N134:AO134" si="321">N41-N126</f>
        <v>12.642345464568752</v>
      </c>
      <c r="O134" s="5">
        <f t="shared" si="321"/>
        <v>5.7224663852652458E-2</v>
      </c>
      <c r="P134" s="5">
        <f t="shared" si="321"/>
        <v>35.226713209117804</v>
      </c>
      <c r="Q134" s="292">
        <f t="shared" si="321"/>
        <v>2.1231244733875152</v>
      </c>
      <c r="R134" s="291">
        <f t="shared" si="321"/>
        <v>12.642345464568752</v>
      </c>
      <c r="S134" s="5">
        <f t="shared" si="321"/>
        <v>5.7224663852652458E-2</v>
      </c>
      <c r="T134" s="5">
        <f t="shared" si="321"/>
        <v>35.226713209117804</v>
      </c>
      <c r="U134" s="292">
        <f t="shared" si="321"/>
        <v>2.1231244733875152</v>
      </c>
      <c r="V134" s="291">
        <f t="shared" si="321"/>
        <v>12.642345464568752</v>
      </c>
      <c r="W134" s="5">
        <f t="shared" si="321"/>
        <v>5.7224663852652458E-2</v>
      </c>
      <c r="X134" s="5">
        <f t="shared" si="321"/>
        <v>35.226713209117804</v>
      </c>
      <c r="Y134" s="292">
        <f t="shared" si="321"/>
        <v>2.1231244733875152</v>
      </c>
      <c r="Z134" s="291">
        <f t="shared" si="321"/>
        <v>12.642345464568752</v>
      </c>
      <c r="AA134" s="5">
        <f t="shared" si="321"/>
        <v>5.7224663852652458E-2</v>
      </c>
      <c r="AB134" s="5">
        <f t="shared" si="321"/>
        <v>35.226713209117804</v>
      </c>
      <c r="AC134" s="292">
        <f t="shared" si="321"/>
        <v>2.1231244733875152</v>
      </c>
      <c r="AD134" s="291">
        <f t="shared" si="321"/>
        <v>12.642345464568752</v>
      </c>
      <c r="AE134" s="5">
        <f t="shared" si="321"/>
        <v>5.7224663852652458E-2</v>
      </c>
      <c r="AF134" s="5">
        <f t="shared" si="321"/>
        <v>35.226713209117804</v>
      </c>
      <c r="AG134" s="292">
        <f t="shared" si="321"/>
        <v>2.1231244733875152</v>
      </c>
      <c r="AH134" s="291">
        <f t="shared" si="321"/>
        <v>12.642345464568752</v>
      </c>
      <c r="AI134" s="5">
        <f t="shared" si="321"/>
        <v>5.7224663852652458E-2</v>
      </c>
      <c r="AJ134" s="5">
        <f t="shared" si="321"/>
        <v>35.226713209117804</v>
      </c>
      <c r="AK134" s="292">
        <f t="shared" si="321"/>
        <v>2.1231244733875152</v>
      </c>
      <c r="AL134" s="291">
        <f t="shared" si="321"/>
        <v>12.642345464568752</v>
      </c>
      <c r="AM134" s="5">
        <f t="shared" si="321"/>
        <v>5.7224663852652458E-2</v>
      </c>
      <c r="AN134" s="5">
        <f t="shared" si="321"/>
        <v>35.226713209117804</v>
      </c>
      <c r="AO134" s="5">
        <f t="shared" si="321"/>
        <v>2.1231244733875152</v>
      </c>
      <c r="AP134" s="291">
        <f t="shared" ref="AP134:AS134" si="322">AP41-AP126</f>
        <v>12.566687465193752</v>
      </c>
      <c r="AQ134" s="5">
        <f t="shared" si="322"/>
        <v>5.6882203381679541E-2</v>
      </c>
      <c r="AR134" s="5">
        <f t="shared" si="322"/>
        <v>35.021750986652059</v>
      </c>
      <c r="AS134" s="292">
        <f t="shared" si="322"/>
        <v>2.1104186546349126</v>
      </c>
    </row>
    <row r="135" spans="1:45" x14ac:dyDescent="0.3">
      <c r="A135" s="324" t="s">
        <v>262</v>
      </c>
      <c r="B135" s="291">
        <f t="shared" ref="B135:E135" si="323">B42-B127</f>
        <v>2.4551783775000002</v>
      </c>
      <c r="C135" s="5">
        <f t="shared" si="323"/>
        <v>1.1113187639468666E-2</v>
      </c>
      <c r="D135" s="5">
        <f t="shared" si="323"/>
        <v>0</v>
      </c>
      <c r="E135" s="292">
        <f t="shared" si="323"/>
        <v>0.4123166317841096</v>
      </c>
      <c r="F135" s="291">
        <f t="shared" ref="F135:I135" si="324">F42-F127</f>
        <v>2.4551783775000002</v>
      </c>
      <c r="G135" s="5">
        <f t="shared" si="324"/>
        <v>1.1113187639468666E-2</v>
      </c>
      <c r="H135" s="5">
        <f t="shared" si="324"/>
        <v>0</v>
      </c>
      <c r="I135" s="292">
        <f t="shared" si="324"/>
        <v>0.4123166317841096</v>
      </c>
      <c r="J135" s="291">
        <f t="shared" ref="J135:M135" si="325">J42-J127</f>
        <v>2.4551783775000002</v>
      </c>
      <c r="K135" s="5">
        <f t="shared" si="325"/>
        <v>1.1113187639468666E-2</v>
      </c>
      <c r="L135" s="5">
        <f t="shared" si="325"/>
        <v>0</v>
      </c>
      <c r="M135" s="292">
        <f t="shared" si="325"/>
        <v>0.4123166317841096</v>
      </c>
      <c r="N135" s="291">
        <f t="shared" ref="N135:AO135" si="326">N42-N127</f>
        <v>2.4551783775000002</v>
      </c>
      <c r="O135" s="5">
        <f t="shared" si="326"/>
        <v>1.1113187639468666E-2</v>
      </c>
      <c r="P135" s="5">
        <f t="shared" si="326"/>
        <v>0</v>
      </c>
      <c r="Q135" s="292">
        <f t="shared" si="326"/>
        <v>0.4123166317841096</v>
      </c>
      <c r="R135" s="291">
        <f t="shared" si="326"/>
        <v>2.4551783775000002</v>
      </c>
      <c r="S135" s="5">
        <f t="shared" si="326"/>
        <v>1.1113187639468666E-2</v>
      </c>
      <c r="T135" s="5">
        <f t="shared" si="326"/>
        <v>0</v>
      </c>
      <c r="U135" s="292">
        <f t="shared" si="326"/>
        <v>0.4123166317841096</v>
      </c>
      <c r="V135" s="291">
        <f t="shared" si="326"/>
        <v>2.4551783775000002</v>
      </c>
      <c r="W135" s="5">
        <f t="shared" si="326"/>
        <v>1.1113187639468666E-2</v>
      </c>
      <c r="X135" s="5">
        <f t="shared" si="326"/>
        <v>0</v>
      </c>
      <c r="Y135" s="292">
        <f t="shared" si="326"/>
        <v>0.4123166317841096</v>
      </c>
      <c r="Z135" s="291">
        <f t="shared" si="326"/>
        <v>2.4551783775000002</v>
      </c>
      <c r="AA135" s="5">
        <f t="shared" si="326"/>
        <v>1.1113187639468666E-2</v>
      </c>
      <c r="AB135" s="5">
        <f t="shared" si="326"/>
        <v>0</v>
      </c>
      <c r="AC135" s="292">
        <f t="shared" si="326"/>
        <v>0.4123166317841096</v>
      </c>
      <c r="AD135" s="291">
        <f t="shared" si="326"/>
        <v>2.4551783775000002</v>
      </c>
      <c r="AE135" s="5">
        <f t="shared" si="326"/>
        <v>1.1113187639468666E-2</v>
      </c>
      <c r="AF135" s="5">
        <f t="shared" si="326"/>
        <v>0</v>
      </c>
      <c r="AG135" s="292">
        <f t="shared" si="326"/>
        <v>0.4123166317841096</v>
      </c>
      <c r="AH135" s="291">
        <f t="shared" si="326"/>
        <v>2.4551783775000002</v>
      </c>
      <c r="AI135" s="5">
        <f t="shared" si="326"/>
        <v>1.1113187639468666E-2</v>
      </c>
      <c r="AJ135" s="5">
        <f t="shared" si="326"/>
        <v>0</v>
      </c>
      <c r="AK135" s="292">
        <f t="shared" si="326"/>
        <v>0.4123166317841096</v>
      </c>
      <c r="AL135" s="291">
        <f t="shared" si="326"/>
        <v>2.4551783775000002</v>
      </c>
      <c r="AM135" s="5">
        <f t="shared" si="326"/>
        <v>1.1113187639468666E-2</v>
      </c>
      <c r="AN135" s="5">
        <f t="shared" si="326"/>
        <v>0</v>
      </c>
      <c r="AO135" s="5">
        <f t="shared" si="326"/>
        <v>0.4123166317841096</v>
      </c>
      <c r="AP135" s="291">
        <f t="shared" ref="AP135:AS135" si="327">AP42-AP127</f>
        <v>2.4551783775000002</v>
      </c>
      <c r="AQ135" s="5">
        <f t="shared" si="327"/>
        <v>1.1113187639468666E-2</v>
      </c>
      <c r="AR135" s="5">
        <f t="shared" si="327"/>
        <v>0</v>
      </c>
      <c r="AS135" s="292">
        <f t="shared" si="327"/>
        <v>0.4123166317841096</v>
      </c>
    </row>
    <row r="136" spans="1:45" x14ac:dyDescent="0.3">
      <c r="A136" s="327" t="s">
        <v>318</v>
      </c>
      <c r="B136" s="313"/>
      <c r="E136" s="282">
        <f>SUM(B133:E135)</f>
        <v>56.314613886583913</v>
      </c>
      <c r="F136" s="313"/>
      <c r="I136" s="282">
        <f>SUM(F133:I135)</f>
        <v>56.314613886583913</v>
      </c>
      <c r="J136" s="313"/>
      <c r="M136" s="282">
        <f>SUM(J133:M135)</f>
        <v>56.314613886583913</v>
      </c>
      <c r="N136" s="313"/>
      <c r="Q136" s="282">
        <f>SUM(N133:Q135)</f>
        <v>56.314613886583913</v>
      </c>
      <c r="R136" s="313"/>
      <c r="U136" s="282">
        <f>SUM(R133:U135)</f>
        <v>56.314613886583913</v>
      </c>
      <c r="V136" s="313"/>
      <c r="Y136" s="282">
        <f>SUM(V133:Y135)</f>
        <v>56.314613886583913</v>
      </c>
      <c r="Z136" s="313"/>
      <c r="AC136" s="282">
        <f>SUM(Z133:AC135)</f>
        <v>56.314613886583913</v>
      </c>
      <c r="AD136" s="313"/>
      <c r="AG136" s="282">
        <f>SUM(AD133:AG135)</f>
        <v>56.314613886583913</v>
      </c>
      <c r="AH136" s="313"/>
      <c r="AK136" s="282">
        <f>SUM(AH133:AK135)</f>
        <v>56.314613886583913</v>
      </c>
      <c r="AL136" s="313"/>
      <c r="AO136" s="127">
        <f>SUM(AL133:AO135)</f>
        <v>56.314613886583913</v>
      </c>
      <c r="AP136" s="313"/>
      <c r="AS136" s="282">
        <f>SUM(AP133:AS135)</f>
        <v>56.020945385519596</v>
      </c>
    </row>
    <row r="137" spans="1:45" x14ac:dyDescent="0.3">
      <c r="A137" s="318"/>
      <c r="B137" s="270"/>
      <c r="E137" s="271"/>
      <c r="F137" s="270"/>
      <c r="I137" s="271"/>
      <c r="J137" s="270"/>
      <c r="M137" s="271"/>
      <c r="N137" s="270"/>
      <c r="Q137" s="271"/>
      <c r="R137" s="270"/>
      <c r="U137" s="271"/>
      <c r="V137" s="270"/>
      <c r="Y137" s="271"/>
      <c r="Z137" s="270"/>
      <c r="AC137" s="271"/>
      <c r="AD137" s="270"/>
      <c r="AG137" s="271"/>
      <c r="AH137" s="270"/>
      <c r="AK137" s="271"/>
      <c r="AL137" s="270"/>
      <c r="AP137" s="270"/>
      <c r="AS137" s="271"/>
    </row>
    <row r="138" spans="1:45" x14ac:dyDescent="0.3">
      <c r="A138" s="326" t="s">
        <v>319</v>
      </c>
      <c r="B138" s="270"/>
      <c r="E138" s="271"/>
      <c r="F138" s="270"/>
      <c r="I138" s="271"/>
      <c r="J138" s="270"/>
      <c r="M138" s="271"/>
      <c r="N138" s="270"/>
      <c r="Q138" s="271"/>
      <c r="R138" s="270"/>
      <c r="U138" s="271"/>
      <c r="V138" s="270"/>
      <c r="Y138" s="271"/>
      <c r="Z138" s="270"/>
      <c r="AC138" s="271"/>
      <c r="AD138" s="270"/>
      <c r="AG138" s="271"/>
      <c r="AH138" s="270"/>
      <c r="AK138" s="271"/>
      <c r="AL138" s="270"/>
      <c r="AP138" s="270"/>
      <c r="AS138" s="271"/>
    </row>
    <row r="139" spans="1:45" x14ac:dyDescent="0.3">
      <c r="A139" s="324" t="s">
        <v>320</v>
      </c>
      <c r="B139" s="301">
        <f>E136/Production!B35</f>
        <v>4.5088587958001712E-2</v>
      </c>
      <c r="E139" s="271"/>
      <c r="F139" s="301">
        <f>I136/Production!C35</f>
        <v>4.5088587958001712E-2</v>
      </c>
      <c r="I139" s="271"/>
      <c r="J139" s="301">
        <f>M136/Production!D35</f>
        <v>4.5088587958001712E-2</v>
      </c>
      <c r="M139" s="271"/>
      <c r="N139" s="301">
        <f>Q136/Production!E35</f>
        <v>4.5088587958001712E-2</v>
      </c>
      <c r="Q139" s="271"/>
      <c r="R139" s="301">
        <f>U136/Production!F35</f>
        <v>4.5088587958001712E-2</v>
      </c>
      <c r="U139" s="271"/>
      <c r="V139" s="301">
        <f>Y136/Production!G35</f>
        <v>4.5088587958001712E-2</v>
      </c>
      <c r="Y139" s="271"/>
      <c r="Z139" s="301">
        <f>AC136/Production!H35</f>
        <v>4.5088587958001712E-2</v>
      </c>
      <c r="AC139" s="271"/>
      <c r="AD139" s="301">
        <f>AG136/Production!I35</f>
        <v>4.5088587958001712E-2</v>
      </c>
      <c r="AG139" s="271"/>
      <c r="AH139" s="301">
        <f>AK136/Production!J35</f>
        <v>4.5088587958001712E-2</v>
      </c>
      <c r="AK139" s="271"/>
      <c r="AL139" s="301">
        <f>AO136/Production!K35</f>
        <v>4.5088587958001712E-2</v>
      </c>
      <c r="AP139" s="301">
        <f>AS136/Production!L35</f>
        <v>4.4853460748084224E-2</v>
      </c>
      <c r="AS139" s="271"/>
    </row>
    <row r="140" spans="1:45" x14ac:dyDescent="0.3">
      <c r="A140" s="324"/>
      <c r="B140" s="301"/>
      <c r="E140" s="271"/>
      <c r="F140" s="301"/>
      <c r="I140" s="271"/>
      <c r="J140" s="301"/>
      <c r="M140" s="271"/>
      <c r="N140" s="301"/>
      <c r="Q140" s="271"/>
      <c r="R140" s="301"/>
      <c r="U140" s="271"/>
      <c r="V140" s="301"/>
      <c r="Y140" s="271"/>
      <c r="Z140" s="301"/>
      <c r="AC140" s="271"/>
      <c r="AD140" s="301"/>
      <c r="AG140" s="271"/>
      <c r="AH140" s="301"/>
      <c r="AK140" s="271"/>
      <c r="AL140" s="301"/>
      <c r="AP140" s="301"/>
      <c r="AS140" s="271"/>
    </row>
    <row r="141" spans="1:45" x14ac:dyDescent="0.3">
      <c r="A141" s="326" t="s">
        <v>321</v>
      </c>
      <c r="B141" s="301"/>
      <c r="E141" s="271"/>
      <c r="F141" s="301"/>
      <c r="I141" s="271"/>
      <c r="J141" s="301"/>
      <c r="M141" s="271"/>
      <c r="N141" s="301"/>
      <c r="Q141" s="271"/>
      <c r="R141" s="301"/>
      <c r="U141" s="271"/>
      <c r="V141" s="301"/>
      <c r="Y141" s="271"/>
      <c r="Z141" s="301"/>
      <c r="AC141" s="271"/>
      <c r="AD141" s="301"/>
      <c r="AG141" s="271"/>
      <c r="AH141" s="301"/>
      <c r="AK141" s="271"/>
      <c r="AL141" s="301"/>
      <c r="AP141" s="301"/>
      <c r="AS141" s="271"/>
    </row>
    <row r="142" spans="1:45" x14ac:dyDescent="0.3">
      <c r="A142" s="324" t="s">
        <v>322</v>
      </c>
      <c r="B142" s="301"/>
      <c r="E142" s="286">
        <f>(E54+E78+E113)*17/14</f>
        <v>4.374800755419548E-2</v>
      </c>
      <c r="F142" s="301"/>
      <c r="I142" s="286">
        <f>(I54+I78+I113)*17/14</f>
        <v>4.374800755419548E-2</v>
      </c>
      <c r="J142" s="301"/>
      <c r="M142" s="286">
        <f>(M54+M78+M113)*17/14</f>
        <v>4.374800755419548E-2</v>
      </c>
      <c r="N142" s="301"/>
      <c r="Q142" s="286">
        <f>(Q54+Q78+Q113)*17/14</f>
        <v>4.374800755419548E-2</v>
      </c>
      <c r="R142" s="301"/>
      <c r="U142" s="286">
        <f>(U54+U78+U113)*17/14</f>
        <v>4.374800755419548E-2</v>
      </c>
      <c r="V142" s="301"/>
      <c r="Y142" s="286">
        <f>(Y54+Y78+Y113)*17/14</f>
        <v>4.374800755419548E-2</v>
      </c>
      <c r="Z142" s="301"/>
      <c r="AC142" s="286">
        <f>(AC54+AC78+AC113)*17/14</f>
        <v>4.374800755419548E-2</v>
      </c>
      <c r="AD142" s="301"/>
      <c r="AG142" s="286">
        <f>(AG54+AG78+AG113)*17/14</f>
        <v>4.374800755419548E-2</v>
      </c>
      <c r="AH142" s="301"/>
      <c r="AK142" s="286">
        <f>(AK54+AK78+AK113)*17/14</f>
        <v>4.374800755419548E-2</v>
      </c>
      <c r="AL142" s="301"/>
      <c r="AO142" s="286">
        <f>(AO54+AO78+AO113)*17/14</f>
        <v>4.374800755419548E-2</v>
      </c>
      <c r="AP142" s="301"/>
      <c r="AS142" s="286">
        <f>(AS54+AS78+AS113)*17/14</f>
        <v>4.3579935640535319E-2</v>
      </c>
    </row>
    <row r="143" spans="1:45" x14ac:dyDescent="0.3">
      <c r="A143" s="330"/>
      <c r="B143" s="314"/>
      <c r="C143" s="315"/>
      <c r="D143" s="315"/>
      <c r="E143" s="316"/>
      <c r="F143" s="314"/>
      <c r="G143" s="315"/>
      <c r="H143" s="315"/>
      <c r="I143" s="316"/>
      <c r="J143" s="314"/>
      <c r="K143" s="315"/>
      <c r="L143" s="315"/>
      <c r="M143" s="316"/>
      <c r="N143" s="314"/>
      <c r="O143" s="315"/>
      <c r="P143" s="315"/>
      <c r="Q143" s="316"/>
      <c r="R143" s="314"/>
      <c r="S143" s="315"/>
      <c r="T143" s="315"/>
      <c r="U143" s="316"/>
      <c r="V143" s="314"/>
      <c r="W143" s="315"/>
      <c r="X143" s="315"/>
      <c r="Y143" s="316"/>
      <c r="Z143" s="314"/>
      <c r="AA143" s="315"/>
      <c r="AB143" s="315"/>
      <c r="AC143" s="316"/>
      <c r="AD143" s="314"/>
      <c r="AE143" s="315"/>
      <c r="AF143" s="315"/>
      <c r="AG143" s="316"/>
      <c r="AH143" s="314"/>
      <c r="AI143" s="315"/>
      <c r="AJ143" s="315"/>
      <c r="AK143" s="316"/>
      <c r="AL143" s="314"/>
      <c r="AM143" s="315"/>
      <c r="AN143" s="315"/>
      <c r="AO143" s="315"/>
      <c r="AP143" s="314"/>
      <c r="AQ143" s="315"/>
      <c r="AR143" s="315"/>
      <c r="AS143" s="316"/>
    </row>
    <row r="144" spans="1:45" x14ac:dyDescent="0.3">
      <c r="A144" s="246"/>
      <c r="AP144" s="17"/>
    </row>
    <row r="145" spans="2:25" x14ac:dyDescent="0.3">
      <c r="B145" s="239"/>
      <c r="C145" s="239"/>
      <c r="D145" s="239"/>
      <c r="E145" s="239"/>
      <c r="V145" s="247"/>
      <c r="W145" s="247"/>
      <c r="X145" s="247"/>
      <c r="Y145" s="24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79998168889431442"/>
  </sheetPr>
  <dimension ref="A2:Q137"/>
  <sheetViews>
    <sheetView topLeftCell="A72" zoomScale="80" zoomScaleNormal="90" workbookViewId="0">
      <selection activeCell="R96" sqref="R96"/>
    </sheetView>
  </sheetViews>
  <sheetFormatPr defaultRowHeight="14.4" x14ac:dyDescent="0.3"/>
  <cols>
    <col min="1" max="1" width="8.6640625" customWidth="1"/>
    <col min="2" max="2" width="30.44140625" customWidth="1"/>
    <col min="3" max="3" width="19" customWidth="1"/>
    <col min="4" max="4" width="12.88671875" customWidth="1"/>
    <col min="5" max="5" width="10.33203125" customWidth="1"/>
    <col min="6" max="11" width="12.6640625" customWidth="1"/>
    <col min="12" max="12" width="14.109375" customWidth="1"/>
    <col min="13" max="17" width="12.6640625" customWidth="1"/>
  </cols>
  <sheetData>
    <row r="2" spans="1:17" ht="21" x14ac:dyDescent="0.4">
      <c r="A2" s="2" t="s">
        <v>323</v>
      </c>
      <c r="G2" t="s">
        <v>324</v>
      </c>
      <c r="P2" t="s">
        <v>325</v>
      </c>
    </row>
    <row r="3" spans="1:17" x14ac:dyDescent="0.3">
      <c r="I3" s="8"/>
      <c r="J3" s="8"/>
      <c r="K3" s="8"/>
      <c r="L3" s="8"/>
      <c r="M3" s="8"/>
      <c r="N3" s="8"/>
      <c r="O3" s="8"/>
    </row>
    <row r="4" spans="1:17" ht="28.8" x14ac:dyDescent="0.3">
      <c r="A4" s="208" t="s">
        <v>326</v>
      </c>
      <c r="B4" s="191"/>
      <c r="C4" s="191"/>
      <c r="D4" s="191"/>
      <c r="E4" s="191"/>
      <c r="F4" s="192" t="s">
        <v>81</v>
      </c>
      <c r="G4" s="192" t="s">
        <v>82</v>
      </c>
      <c r="H4" s="193"/>
      <c r="I4" s="192" t="s">
        <v>83</v>
      </c>
      <c r="J4" s="102"/>
      <c r="K4" s="192" t="s">
        <v>84</v>
      </c>
      <c r="L4" s="102"/>
      <c r="M4" s="102"/>
      <c r="N4" s="102"/>
      <c r="O4" s="103" t="s">
        <v>85</v>
      </c>
      <c r="P4" s="194" t="s">
        <v>86</v>
      </c>
      <c r="Q4" s="192" t="s">
        <v>327</v>
      </c>
    </row>
    <row r="5" spans="1:17" ht="47.25" customHeight="1" x14ac:dyDescent="0.3">
      <c r="A5" s="96" t="s">
        <v>27</v>
      </c>
      <c r="B5" s="96" t="s">
        <v>326</v>
      </c>
      <c r="C5" s="96" t="s">
        <v>328</v>
      </c>
      <c r="D5" s="96" t="s">
        <v>30</v>
      </c>
      <c r="E5" s="196" t="s">
        <v>31</v>
      </c>
      <c r="F5" s="195"/>
      <c r="G5" s="97" t="s">
        <v>329</v>
      </c>
      <c r="H5" s="97" t="s">
        <v>93</v>
      </c>
      <c r="I5" s="97" t="s">
        <v>330</v>
      </c>
      <c r="J5" s="97" t="s">
        <v>331</v>
      </c>
      <c r="K5" s="97" t="s">
        <v>96</v>
      </c>
      <c r="L5" s="97" t="s">
        <v>97</v>
      </c>
      <c r="M5" s="97" t="s">
        <v>98</v>
      </c>
      <c r="N5" s="97" t="s">
        <v>99</v>
      </c>
      <c r="O5" s="97" t="s">
        <v>100</v>
      </c>
      <c r="P5" s="196" t="s">
        <v>332</v>
      </c>
      <c r="Q5" s="97"/>
    </row>
    <row r="6" spans="1:17" x14ac:dyDescent="0.3">
      <c r="A6" s="21" t="s">
        <v>333</v>
      </c>
      <c r="B6" s="16" t="s">
        <v>172</v>
      </c>
      <c r="C6" s="16" t="s">
        <v>334</v>
      </c>
      <c r="D6" s="22" t="s">
        <v>113</v>
      </c>
      <c r="E6" s="22" t="s">
        <v>49</v>
      </c>
      <c r="F6" s="197">
        <f>SUM(G6:P6)</f>
        <v>0.3569765535539059</v>
      </c>
      <c r="G6" s="79">
        <v>6.4330297358443381E-2</v>
      </c>
      <c r="H6" s="13">
        <v>2.7E-2</v>
      </c>
      <c r="I6" s="15">
        <v>0.19</v>
      </c>
      <c r="J6" s="13"/>
      <c r="K6" s="79">
        <v>4.0808656195462478E-2</v>
      </c>
      <c r="L6" s="13"/>
      <c r="M6" s="13">
        <v>0</v>
      </c>
      <c r="N6" s="79">
        <v>3.4837600000000003E-2</v>
      </c>
      <c r="O6" s="13"/>
      <c r="Q6" s="199">
        <f>'Parameters, country spec'!B21</f>
        <v>0.24551366744057773</v>
      </c>
    </row>
    <row r="7" spans="1:17" x14ac:dyDescent="0.3">
      <c r="A7" s="21" t="s">
        <v>335</v>
      </c>
      <c r="B7" s="16" t="s">
        <v>174</v>
      </c>
      <c r="C7" s="16" t="s">
        <v>334</v>
      </c>
      <c r="D7" s="22" t="s">
        <v>113</v>
      </c>
      <c r="E7" s="22" t="s">
        <v>49</v>
      </c>
      <c r="F7" s="197">
        <f t="shared" ref="F7:F16" si="0">SUM(G7:P7)</f>
        <v>0.34238359782823441</v>
      </c>
      <c r="G7" s="79">
        <v>6.2649071876813428E-2</v>
      </c>
      <c r="H7" s="13">
        <v>2.7E-2</v>
      </c>
      <c r="I7" s="15">
        <v>0.19</v>
      </c>
      <c r="J7" s="13"/>
      <c r="K7" s="79">
        <v>2.7896925951420983E-2</v>
      </c>
      <c r="L7" s="13"/>
      <c r="M7" s="13">
        <v>0</v>
      </c>
      <c r="N7" s="79">
        <v>3.4837600000000003E-2</v>
      </c>
      <c r="O7" s="13"/>
      <c r="Q7" s="199">
        <f>'Parameters, country spec'!B22</f>
        <v>2.5654510704344589E-3</v>
      </c>
    </row>
    <row r="8" spans="1:17" x14ac:dyDescent="0.3">
      <c r="A8" s="21" t="s">
        <v>336</v>
      </c>
      <c r="B8" s="16" t="s">
        <v>175</v>
      </c>
      <c r="C8" s="16" t="s">
        <v>334</v>
      </c>
      <c r="D8" s="22" t="s">
        <v>113</v>
      </c>
      <c r="E8" s="22" t="s">
        <v>49</v>
      </c>
      <c r="F8" s="197">
        <f t="shared" si="0"/>
        <v>0.35522536975783686</v>
      </c>
      <c r="G8" s="79">
        <v>5.6711069109087971E-2</v>
      </c>
      <c r="H8" s="13">
        <v>2.7E-2</v>
      </c>
      <c r="I8" s="15">
        <v>0.19</v>
      </c>
      <c r="J8" s="13"/>
      <c r="K8" s="79">
        <v>4.6676700648748841E-2</v>
      </c>
      <c r="L8" s="13"/>
      <c r="M8" s="13">
        <v>0</v>
      </c>
      <c r="N8" s="79">
        <v>3.4837600000000003E-2</v>
      </c>
      <c r="O8" s="13"/>
      <c r="Q8" s="199">
        <f>'Parameters, country spec'!B23</f>
        <v>4.1303762233994797E-2</v>
      </c>
    </row>
    <row r="9" spans="1:17" x14ac:dyDescent="0.3">
      <c r="A9" s="21" t="s">
        <v>337</v>
      </c>
      <c r="B9" s="16" t="s">
        <v>176</v>
      </c>
      <c r="C9" s="16" t="s">
        <v>334</v>
      </c>
      <c r="D9" s="22" t="s">
        <v>113</v>
      </c>
      <c r="E9" s="22" t="s">
        <v>49</v>
      </c>
      <c r="F9" s="197">
        <f t="shared" si="0"/>
        <v>0.33256180694350668</v>
      </c>
      <c r="G9" s="79">
        <v>4.99522666930306E-2</v>
      </c>
      <c r="H9" s="13">
        <v>2.7E-2</v>
      </c>
      <c r="I9" s="13">
        <v>0.19</v>
      </c>
      <c r="J9" s="13"/>
      <c r="K9" s="79">
        <v>3.0771940250476016E-2</v>
      </c>
      <c r="L9" s="13"/>
      <c r="M9" s="13">
        <v>0</v>
      </c>
      <c r="N9" s="79">
        <v>3.4837600000000003E-2</v>
      </c>
      <c r="O9" s="13"/>
      <c r="Q9" s="199">
        <f>'Parameters, country spec'!B24</f>
        <v>2.6167600918431479E-2</v>
      </c>
    </row>
    <row r="10" spans="1:17" x14ac:dyDescent="0.3">
      <c r="A10" s="21" t="s">
        <v>338</v>
      </c>
      <c r="B10" s="16" t="s">
        <v>177</v>
      </c>
      <c r="C10" s="16" t="s">
        <v>334</v>
      </c>
      <c r="D10" s="22" t="s">
        <v>113</v>
      </c>
      <c r="E10" s="22" t="s">
        <v>49</v>
      </c>
      <c r="F10" s="197">
        <f t="shared" si="0"/>
        <v>0.35472897058825098</v>
      </c>
      <c r="G10" s="79">
        <v>7.3741076533864705E-2</v>
      </c>
      <c r="H10" s="13">
        <v>2.7E-2</v>
      </c>
      <c r="I10" s="13">
        <v>0.19</v>
      </c>
      <c r="J10" s="13"/>
      <c r="K10" s="79">
        <v>2.9150294054386239E-2</v>
      </c>
      <c r="L10" s="13"/>
      <c r="M10" s="13">
        <v>0</v>
      </c>
      <c r="N10" s="79">
        <v>3.4837600000000003E-2</v>
      </c>
      <c r="O10" s="13"/>
      <c r="Q10" s="199">
        <f>'Parameters, country spec'!B25</f>
        <v>0.30682794802396129</v>
      </c>
    </row>
    <row r="11" spans="1:17" x14ac:dyDescent="0.3">
      <c r="A11" s="21" t="s">
        <v>339</v>
      </c>
      <c r="B11" s="16" t="s">
        <v>178</v>
      </c>
      <c r="C11" s="16" t="s">
        <v>340</v>
      </c>
      <c r="D11" s="22" t="s">
        <v>113</v>
      </c>
      <c r="E11" s="22" t="s">
        <v>49</v>
      </c>
      <c r="F11" s="197">
        <f t="shared" si="0"/>
        <v>0.43885153790044362</v>
      </c>
      <c r="G11" s="79">
        <v>0</v>
      </c>
      <c r="H11" s="13">
        <v>2.7E-2</v>
      </c>
      <c r="I11" s="15">
        <v>0.32</v>
      </c>
      <c r="J11" s="13"/>
      <c r="K11" s="79">
        <v>5.7013937900443575E-2</v>
      </c>
      <c r="L11" s="15"/>
      <c r="M11" s="13">
        <v>0</v>
      </c>
      <c r="N11" s="79">
        <v>3.4837600000000003E-2</v>
      </c>
      <c r="O11" s="13"/>
      <c r="Q11" s="199">
        <f>'Parameters, country spec'!B26</f>
        <v>4.6178119267820264E-3</v>
      </c>
    </row>
    <row r="12" spans="1:17" x14ac:dyDescent="0.3">
      <c r="A12" s="21" t="s">
        <v>341</v>
      </c>
      <c r="B12" s="16" t="s">
        <v>179</v>
      </c>
      <c r="C12" s="16" t="s">
        <v>340</v>
      </c>
      <c r="D12" s="22" t="s">
        <v>113</v>
      </c>
      <c r="E12" s="22" t="s">
        <v>49</v>
      </c>
      <c r="F12" s="197">
        <f t="shared" si="0"/>
        <v>0.47030675448840648</v>
      </c>
      <c r="G12" s="79">
        <v>3.1688167106286749E-3</v>
      </c>
      <c r="H12" s="13">
        <v>2.7E-2</v>
      </c>
      <c r="I12" s="15">
        <v>0.32</v>
      </c>
      <c r="J12" s="13"/>
      <c r="K12" s="79">
        <v>8.530033777777779E-2</v>
      </c>
      <c r="L12" s="13"/>
      <c r="M12" s="13">
        <v>0</v>
      </c>
      <c r="N12" s="79">
        <v>3.4837600000000003E-2</v>
      </c>
      <c r="O12" s="13"/>
      <c r="Q12" s="199">
        <f>'Parameters, country spec'!B27</f>
        <v>5.3104837157993301E-2</v>
      </c>
    </row>
    <row r="13" spans="1:17" x14ac:dyDescent="0.3">
      <c r="B13" s="17" t="s">
        <v>180</v>
      </c>
      <c r="C13" s="16" t="s">
        <v>342</v>
      </c>
      <c r="D13" s="22" t="s">
        <v>113</v>
      </c>
      <c r="E13" s="22" t="s">
        <v>49</v>
      </c>
      <c r="F13" s="222">
        <f t="shared" si="0"/>
        <v>0.2869642483479431</v>
      </c>
      <c r="G13" s="19">
        <f>'Processed feed'!$F$34</f>
        <v>4.6516123381761657E-2</v>
      </c>
      <c r="H13" s="19">
        <f>'Processed feed'!$G$34</f>
        <v>1.7031692380172825E-2</v>
      </c>
      <c r="I13" s="19">
        <f>'Processed feed'!$H$34</f>
        <v>0.11985265008269767</v>
      </c>
      <c r="J13" s="19"/>
      <c r="K13" s="19">
        <f>'Processed feed'!$J$34</f>
        <v>1.8388105226884718E-2</v>
      </c>
      <c r="L13" s="19"/>
      <c r="M13" s="148">
        <f>'Processed feed'!$L$34</f>
        <v>0</v>
      </c>
      <c r="N13" s="19">
        <f>'Processed feed'!$M$34</f>
        <v>2.1975677276426256E-2</v>
      </c>
      <c r="O13" s="19"/>
      <c r="P13" s="19">
        <f>'Processed feed'!$O$34</f>
        <v>6.3200000000000006E-2</v>
      </c>
      <c r="Q13" s="199">
        <f>'Parameters, country spec'!B28</f>
        <v>2.7193781346605266E-2</v>
      </c>
    </row>
    <row r="14" spans="1:17" x14ac:dyDescent="0.3">
      <c r="B14" s="17" t="s">
        <v>343</v>
      </c>
      <c r="C14" s="16" t="s">
        <v>342</v>
      </c>
      <c r="D14" s="22" t="s">
        <v>113</v>
      </c>
      <c r="E14" s="22" t="s">
        <v>49</v>
      </c>
      <c r="F14" s="222">
        <f t="shared" si="0"/>
        <v>1.1071334743047214</v>
      </c>
      <c r="G14" s="19">
        <f>'Processed feed'!$F$39</f>
        <v>0</v>
      </c>
      <c r="H14" s="19">
        <f>'Processed feed'!$G$39</f>
        <v>2.8063257713868049E-2</v>
      </c>
      <c r="I14" s="19">
        <f>'Processed feed'!$H$39</f>
        <v>0.33260157290510284</v>
      </c>
      <c r="J14" s="19"/>
      <c r="K14" s="19">
        <f>'Processed feed'!$J$39</f>
        <v>5.9259141947504347E-2</v>
      </c>
      <c r="L14" s="19"/>
      <c r="M14" s="148">
        <f>'Processed feed'!$L$39</f>
        <v>0</v>
      </c>
      <c r="N14" s="19">
        <f>'Processed feed'!$M$39</f>
        <v>3.6209501738246289E-2</v>
      </c>
      <c r="O14" s="19">
        <f>'Processed feed'!$N$39</f>
        <v>0.4</v>
      </c>
      <c r="P14" s="19">
        <f>'Processed feed'!$O$39</f>
        <v>0.251</v>
      </c>
      <c r="Q14" s="199">
        <f>'Parameters, country spec'!B29</f>
        <v>3.5916314986082429E-2</v>
      </c>
    </row>
    <row r="15" spans="1:17" x14ac:dyDescent="0.3">
      <c r="B15" s="16" t="s">
        <v>182</v>
      </c>
      <c r="C15" s="16" t="s">
        <v>344</v>
      </c>
      <c r="D15" s="22" t="s">
        <v>113</v>
      </c>
      <c r="E15" s="22" t="s">
        <v>49</v>
      </c>
      <c r="F15" s="222"/>
      <c r="G15" s="106"/>
      <c r="H15" s="7"/>
      <c r="I15" s="105"/>
      <c r="J15" s="7"/>
      <c r="K15" s="106"/>
      <c r="L15" s="7"/>
      <c r="M15" s="7"/>
      <c r="N15" s="106"/>
      <c r="O15" s="7"/>
      <c r="P15" s="7"/>
      <c r="Q15" s="199">
        <f>'Parameters, country spec'!B30</f>
        <v>0.13313408330019627</v>
      </c>
    </row>
    <row r="16" spans="1:17" x14ac:dyDescent="0.3">
      <c r="A16" s="82"/>
      <c r="B16" s="16" t="s">
        <v>345</v>
      </c>
      <c r="C16" s="83" t="s">
        <v>346</v>
      </c>
      <c r="D16" s="22" t="s">
        <v>113</v>
      </c>
      <c r="E16" s="22" t="s">
        <v>49</v>
      </c>
      <c r="F16" s="222">
        <f t="shared" si="0"/>
        <v>0.27020596928668111</v>
      </c>
      <c r="G16" s="80">
        <f t="shared" ref="G16:N16" si="1">SUMPRODUCT(G6:G14,$Q$126:$Q$134)</f>
        <v>4.3663253836534528E-2</v>
      </c>
      <c r="H16" s="80">
        <f t="shared" si="1"/>
        <v>1.9833814048984683E-2</v>
      </c>
      <c r="I16" s="80">
        <f t="shared" si="1"/>
        <v>0.15192821896522024</v>
      </c>
      <c r="J16" s="80">
        <f t="shared" si="1"/>
        <v>0</v>
      </c>
      <c r="K16" s="80">
        <f t="shared" si="1"/>
        <v>2.9189479461389507E-2</v>
      </c>
      <c r="L16" s="80">
        <f t="shared" si="1"/>
        <v>0</v>
      </c>
      <c r="M16" s="80">
        <f t="shared" si="1"/>
        <v>0</v>
      </c>
      <c r="N16" s="80">
        <f t="shared" si="1"/>
        <v>2.5591202974552179E-2</v>
      </c>
      <c r="O16" s="80"/>
      <c r="P16" s="80"/>
      <c r="Q16" s="199">
        <f>'Parameters, country spec'!B31</f>
        <v>0.1236547415949409</v>
      </c>
    </row>
    <row r="17" spans="1:17" x14ac:dyDescent="0.3">
      <c r="A17" s="198"/>
      <c r="B17" s="24" t="s">
        <v>347</v>
      </c>
      <c r="C17" s="25"/>
      <c r="D17" s="101"/>
      <c r="E17" s="101"/>
      <c r="F17" s="26">
        <f>SUMPRODUCT(F6:F16,$Q$6:$Q$16)</f>
        <v>0.3287183866332814</v>
      </c>
      <c r="G17" s="26">
        <f t="shared" ref="G17:P17" si="2">SUMPRODUCT(G6:G16,$Q$126:$Q$136)</f>
        <v>4.9062422206885517E-2</v>
      </c>
      <c r="H17" s="26">
        <f t="shared" si="2"/>
        <v>2.2286359200053993E-2</v>
      </c>
      <c r="I17" s="26">
        <f t="shared" si="2"/>
        <v>0.17071486362234414</v>
      </c>
      <c r="J17" s="26">
        <f t="shared" si="2"/>
        <v>0</v>
      </c>
      <c r="K17" s="26">
        <f t="shared" si="2"/>
        <v>3.2798897001478464E-2</v>
      </c>
      <c r="L17" s="26">
        <f t="shared" si="2"/>
        <v>0</v>
      </c>
      <c r="M17" s="26">
        <f t="shared" si="2"/>
        <v>0</v>
      </c>
      <c r="N17" s="26">
        <f t="shared" si="2"/>
        <v>2.8755676565474113E-2</v>
      </c>
      <c r="O17" s="26">
        <f t="shared" si="2"/>
        <v>1.4366525994432972E-2</v>
      </c>
      <c r="P17" s="26">
        <f t="shared" si="2"/>
        <v>1.0733642042612143E-2</v>
      </c>
      <c r="Q17" s="200"/>
    </row>
    <row r="18" spans="1:17" x14ac:dyDescent="0.3">
      <c r="A18" s="21" t="s">
        <v>333</v>
      </c>
      <c r="B18" s="16" t="s">
        <v>172</v>
      </c>
      <c r="C18" s="16" t="s">
        <v>334</v>
      </c>
      <c r="D18" s="22" t="s">
        <v>50</v>
      </c>
      <c r="E18" s="22" t="s">
        <v>51</v>
      </c>
      <c r="F18" s="197">
        <f>SUM(G18:P18)</f>
        <v>0.3569765535539059</v>
      </c>
      <c r="G18" s="79">
        <v>6.4330297358443381E-2</v>
      </c>
      <c r="H18" s="13">
        <v>2.7E-2</v>
      </c>
      <c r="I18" s="15">
        <v>0.19</v>
      </c>
      <c r="J18" s="13"/>
      <c r="K18" s="79">
        <v>4.0808656195462478E-2</v>
      </c>
      <c r="L18" s="13"/>
      <c r="M18" s="13">
        <v>0</v>
      </c>
      <c r="N18" s="79">
        <v>3.4837600000000003E-2</v>
      </c>
      <c r="O18" s="13"/>
      <c r="Q18" s="199">
        <f>'Parameters, country spec'!C21</f>
        <v>0.24551366744057773</v>
      </c>
    </row>
    <row r="19" spans="1:17" x14ac:dyDescent="0.3">
      <c r="A19" s="21" t="s">
        <v>335</v>
      </c>
      <c r="B19" s="16" t="s">
        <v>174</v>
      </c>
      <c r="C19" s="16" t="s">
        <v>334</v>
      </c>
      <c r="D19" s="22" t="s">
        <v>50</v>
      </c>
      <c r="E19" s="22" t="s">
        <v>51</v>
      </c>
      <c r="F19" s="197">
        <f t="shared" ref="F19:F28" si="3">SUM(G19:P19)</f>
        <v>0.34238359782823441</v>
      </c>
      <c r="G19" s="79">
        <v>6.2649071876813428E-2</v>
      </c>
      <c r="H19" s="13">
        <v>2.7E-2</v>
      </c>
      <c r="I19" s="15">
        <v>0.19</v>
      </c>
      <c r="J19" s="13"/>
      <c r="K19" s="79">
        <v>2.7896925951420983E-2</v>
      </c>
      <c r="L19" s="13"/>
      <c r="M19" s="13">
        <v>0</v>
      </c>
      <c r="N19" s="79">
        <v>3.4837600000000003E-2</v>
      </c>
      <c r="O19" s="13"/>
      <c r="Q19" s="199">
        <f>'Parameters, country spec'!C22</f>
        <v>2.5654510704344589E-3</v>
      </c>
    </row>
    <row r="20" spans="1:17" x14ac:dyDescent="0.3">
      <c r="A20" s="21" t="s">
        <v>336</v>
      </c>
      <c r="B20" s="16" t="s">
        <v>175</v>
      </c>
      <c r="C20" s="16" t="s">
        <v>334</v>
      </c>
      <c r="D20" s="22" t="s">
        <v>50</v>
      </c>
      <c r="E20" s="22" t="s">
        <v>51</v>
      </c>
      <c r="F20" s="197">
        <f t="shared" si="3"/>
        <v>0.35522536975783686</v>
      </c>
      <c r="G20" s="79">
        <v>5.6711069109087971E-2</v>
      </c>
      <c r="H20" s="13">
        <v>2.7E-2</v>
      </c>
      <c r="I20" s="15">
        <v>0.19</v>
      </c>
      <c r="J20" s="13"/>
      <c r="K20" s="79">
        <v>4.6676700648748841E-2</v>
      </c>
      <c r="L20" s="13"/>
      <c r="M20" s="13">
        <v>0</v>
      </c>
      <c r="N20" s="79">
        <v>3.4837600000000003E-2</v>
      </c>
      <c r="O20" s="13"/>
      <c r="Q20" s="199">
        <f>'Parameters, country spec'!C23</f>
        <v>4.1303762233994797E-2</v>
      </c>
    </row>
    <row r="21" spans="1:17" x14ac:dyDescent="0.3">
      <c r="A21" s="21" t="s">
        <v>337</v>
      </c>
      <c r="B21" s="16" t="s">
        <v>176</v>
      </c>
      <c r="C21" s="16" t="s">
        <v>334</v>
      </c>
      <c r="D21" s="22" t="s">
        <v>50</v>
      </c>
      <c r="E21" s="22" t="s">
        <v>51</v>
      </c>
      <c r="F21" s="197">
        <f t="shared" si="3"/>
        <v>0.33256180694350668</v>
      </c>
      <c r="G21" s="79">
        <v>4.99522666930306E-2</v>
      </c>
      <c r="H21" s="13">
        <v>2.7E-2</v>
      </c>
      <c r="I21" s="13">
        <v>0.19</v>
      </c>
      <c r="J21" s="13"/>
      <c r="K21" s="79">
        <v>3.0771940250476016E-2</v>
      </c>
      <c r="L21" s="13"/>
      <c r="M21" s="13">
        <v>0</v>
      </c>
      <c r="N21" s="79">
        <v>3.4837600000000003E-2</v>
      </c>
      <c r="O21" s="13"/>
      <c r="Q21" s="199">
        <f>'Parameters, country spec'!C24</f>
        <v>2.6167600918431479E-2</v>
      </c>
    </row>
    <row r="22" spans="1:17" x14ac:dyDescent="0.3">
      <c r="A22" s="21" t="s">
        <v>338</v>
      </c>
      <c r="B22" s="16" t="s">
        <v>177</v>
      </c>
      <c r="C22" s="16" t="s">
        <v>334</v>
      </c>
      <c r="D22" s="22" t="s">
        <v>50</v>
      </c>
      <c r="E22" s="22" t="s">
        <v>51</v>
      </c>
      <c r="F22" s="197">
        <f t="shared" si="3"/>
        <v>0.35472897058825098</v>
      </c>
      <c r="G22" s="79">
        <v>7.3741076533864705E-2</v>
      </c>
      <c r="H22" s="13">
        <v>2.7E-2</v>
      </c>
      <c r="I22" s="13">
        <v>0.19</v>
      </c>
      <c r="J22" s="13"/>
      <c r="K22" s="79">
        <v>2.9150294054386239E-2</v>
      </c>
      <c r="L22" s="13"/>
      <c r="M22" s="13">
        <v>0</v>
      </c>
      <c r="N22" s="79">
        <v>3.4837600000000003E-2</v>
      </c>
      <c r="O22" s="13"/>
      <c r="Q22" s="199">
        <f>'Parameters, country spec'!C25</f>
        <v>0.30682794802396129</v>
      </c>
    </row>
    <row r="23" spans="1:17" x14ac:dyDescent="0.3">
      <c r="A23" s="21" t="s">
        <v>339</v>
      </c>
      <c r="B23" s="16" t="s">
        <v>178</v>
      </c>
      <c r="C23" s="16" t="s">
        <v>340</v>
      </c>
      <c r="D23" s="22" t="s">
        <v>50</v>
      </c>
      <c r="E23" s="22" t="s">
        <v>51</v>
      </c>
      <c r="F23" s="197">
        <f t="shared" si="3"/>
        <v>0.43885153790044362</v>
      </c>
      <c r="G23" s="79">
        <v>0</v>
      </c>
      <c r="H23" s="13">
        <v>2.7E-2</v>
      </c>
      <c r="I23" s="15">
        <v>0.32</v>
      </c>
      <c r="J23" s="13"/>
      <c r="K23" s="79">
        <v>5.7013937900443575E-2</v>
      </c>
      <c r="L23" s="15"/>
      <c r="M23" s="13">
        <v>0</v>
      </c>
      <c r="N23" s="79">
        <v>3.4837600000000003E-2</v>
      </c>
      <c r="O23" s="13"/>
      <c r="Q23" s="199">
        <f>'Parameters, country spec'!C26</f>
        <v>4.6178119267820264E-3</v>
      </c>
    </row>
    <row r="24" spans="1:17" x14ac:dyDescent="0.3">
      <c r="A24" s="21" t="s">
        <v>341</v>
      </c>
      <c r="B24" s="16" t="s">
        <v>179</v>
      </c>
      <c r="C24" s="16" t="s">
        <v>340</v>
      </c>
      <c r="D24" s="22" t="s">
        <v>50</v>
      </c>
      <c r="E24" s="22" t="s">
        <v>51</v>
      </c>
      <c r="F24" s="197">
        <f t="shared" si="3"/>
        <v>0.47030675448840648</v>
      </c>
      <c r="G24" s="79">
        <v>3.1688167106286749E-3</v>
      </c>
      <c r="H24" s="13">
        <v>2.7E-2</v>
      </c>
      <c r="I24" s="15">
        <v>0.32</v>
      </c>
      <c r="J24" s="13"/>
      <c r="K24" s="79">
        <v>8.530033777777779E-2</v>
      </c>
      <c r="L24" s="13"/>
      <c r="M24" s="13">
        <v>0</v>
      </c>
      <c r="N24" s="79">
        <v>3.4837600000000003E-2</v>
      </c>
      <c r="O24" s="13"/>
      <c r="Q24" s="199">
        <f>'Parameters, country spec'!C27</f>
        <v>5.3104837157993301E-2</v>
      </c>
    </row>
    <row r="25" spans="1:17" x14ac:dyDescent="0.3">
      <c r="B25" s="17" t="s">
        <v>180</v>
      </c>
      <c r="C25" s="16" t="s">
        <v>342</v>
      </c>
      <c r="D25" s="22" t="s">
        <v>50</v>
      </c>
      <c r="E25" s="22" t="s">
        <v>51</v>
      </c>
      <c r="F25" s="222">
        <f t="shared" si="3"/>
        <v>0.2869642483479431</v>
      </c>
      <c r="G25" s="19">
        <f>'Processed feed'!$F$34</f>
        <v>4.6516123381761657E-2</v>
      </c>
      <c r="H25" s="19">
        <f>'Processed feed'!$G$34</f>
        <v>1.7031692380172825E-2</v>
      </c>
      <c r="I25" s="19">
        <f>'Processed feed'!$H$34</f>
        <v>0.11985265008269767</v>
      </c>
      <c r="J25" s="19"/>
      <c r="K25" s="19">
        <f>'Processed feed'!$J$34</f>
        <v>1.8388105226884718E-2</v>
      </c>
      <c r="L25" s="19"/>
      <c r="M25" s="148">
        <f>'Processed feed'!$L$34</f>
        <v>0</v>
      </c>
      <c r="N25" s="19">
        <f>'Processed feed'!$M$34</f>
        <v>2.1975677276426256E-2</v>
      </c>
      <c r="O25" s="19"/>
      <c r="P25" s="19">
        <f>'Processed feed'!$O$34</f>
        <v>6.3200000000000006E-2</v>
      </c>
      <c r="Q25" s="199">
        <f>'Parameters, country spec'!C28</f>
        <v>2.7193781346605266E-2</v>
      </c>
    </row>
    <row r="26" spans="1:17" x14ac:dyDescent="0.3">
      <c r="B26" s="17" t="s">
        <v>343</v>
      </c>
      <c r="C26" s="16" t="s">
        <v>342</v>
      </c>
      <c r="D26" s="22" t="s">
        <v>50</v>
      </c>
      <c r="E26" s="22" t="s">
        <v>51</v>
      </c>
      <c r="F26" s="222">
        <f t="shared" si="3"/>
        <v>1.1071334743047214</v>
      </c>
      <c r="G26" s="19">
        <f>'Processed feed'!$F$39</f>
        <v>0</v>
      </c>
      <c r="H26" s="19">
        <f>'Processed feed'!$G$39</f>
        <v>2.8063257713868049E-2</v>
      </c>
      <c r="I26" s="19">
        <f>'Processed feed'!$H$39</f>
        <v>0.33260157290510284</v>
      </c>
      <c r="J26" s="19"/>
      <c r="K26" s="19">
        <f>'Processed feed'!$J$39</f>
        <v>5.9259141947504347E-2</v>
      </c>
      <c r="L26" s="19"/>
      <c r="M26" s="148">
        <f>'Processed feed'!$L$39</f>
        <v>0</v>
      </c>
      <c r="N26" s="19">
        <f>'Processed feed'!$M$39</f>
        <v>3.6209501738246289E-2</v>
      </c>
      <c r="O26" s="19">
        <f>'Processed feed'!$N$39</f>
        <v>0.4</v>
      </c>
      <c r="P26" s="19">
        <f>'Processed feed'!$O$39</f>
        <v>0.251</v>
      </c>
      <c r="Q26" s="199">
        <f>'Parameters, country spec'!C29</f>
        <v>3.5916314986082429E-2</v>
      </c>
    </row>
    <row r="27" spans="1:17" x14ac:dyDescent="0.3">
      <c r="B27" s="16" t="s">
        <v>182</v>
      </c>
      <c r="C27" s="16" t="s">
        <v>344</v>
      </c>
      <c r="D27" s="22" t="s">
        <v>50</v>
      </c>
      <c r="E27" s="22" t="s">
        <v>51</v>
      </c>
      <c r="F27" s="222"/>
      <c r="G27" s="106"/>
      <c r="H27" s="7"/>
      <c r="I27" s="105"/>
      <c r="J27" s="7"/>
      <c r="K27" s="106"/>
      <c r="L27" s="7"/>
      <c r="M27" s="7"/>
      <c r="N27" s="106"/>
      <c r="O27" s="7"/>
      <c r="P27" s="7"/>
      <c r="Q27" s="199">
        <f>'Parameters, country spec'!C30</f>
        <v>0.13313408330019627</v>
      </c>
    </row>
    <row r="28" spans="1:17" x14ac:dyDescent="0.3">
      <c r="A28" s="82"/>
      <c r="B28" s="16" t="s">
        <v>345</v>
      </c>
      <c r="C28" s="83" t="s">
        <v>346</v>
      </c>
      <c r="D28" s="22" t="s">
        <v>50</v>
      </c>
      <c r="E28" s="22" t="s">
        <v>51</v>
      </c>
      <c r="F28" s="222">
        <f t="shared" si="3"/>
        <v>0.37010359041258334</v>
      </c>
      <c r="G28" s="80">
        <f t="shared" ref="G28:N28" si="4">AVERAGE(G18:G26)</f>
        <v>3.9674302407070046E-2</v>
      </c>
      <c r="H28" s="80">
        <f t="shared" si="4"/>
        <v>2.6010550010448986E-2</v>
      </c>
      <c r="I28" s="80">
        <f t="shared" si="4"/>
        <v>0.22693935810975566</v>
      </c>
      <c r="J28" s="80"/>
      <c r="K28" s="80">
        <f t="shared" si="4"/>
        <v>4.3918448883678338E-2</v>
      </c>
      <c r="L28" s="80"/>
      <c r="M28" s="80">
        <f t="shared" si="4"/>
        <v>0</v>
      </c>
      <c r="N28" s="80">
        <f t="shared" si="4"/>
        <v>3.3560931001630281E-2</v>
      </c>
      <c r="O28" s="80"/>
      <c r="P28" s="80"/>
      <c r="Q28" s="199">
        <f>'Parameters, country spec'!C31</f>
        <v>0.1236547415949409</v>
      </c>
    </row>
    <row r="29" spans="1:17" x14ac:dyDescent="0.3">
      <c r="A29" s="198"/>
      <c r="B29" s="24" t="s">
        <v>347</v>
      </c>
      <c r="C29" s="25"/>
      <c r="D29" s="101"/>
      <c r="E29" s="101"/>
      <c r="F29" s="26">
        <f>SUMPRODUCT(F18:F28,$Q$18:$Q$28)</f>
        <v>0.34107120115955414</v>
      </c>
      <c r="G29" s="26">
        <f t="shared" ref="G29:P29" si="5">SUMPRODUCT(G18:G28,$Q$18:$Q$28)</f>
        <v>4.8569169448640315E-2</v>
      </c>
      <c r="H29" s="26">
        <f t="shared" si="5"/>
        <v>2.305014188926904E-2</v>
      </c>
      <c r="I29" s="26">
        <f t="shared" si="5"/>
        <v>0.17999034665000382</v>
      </c>
      <c r="J29" s="26"/>
      <c r="K29" s="26">
        <f t="shared" si="5"/>
        <v>3.4620203909351374E-2</v>
      </c>
      <c r="L29" s="26"/>
      <c r="M29" s="26">
        <f t="shared" si="5"/>
        <v>0</v>
      </c>
      <c r="N29" s="26">
        <f t="shared" si="5"/>
        <v>2.9741171225244414E-2</v>
      </c>
      <c r="O29" s="26">
        <f t="shared" si="5"/>
        <v>1.4366525994432972E-2</v>
      </c>
      <c r="P29" s="26">
        <f t="shared" si="5"/>
        <v>1.0733642042612143E-2</v>
      </c>
      <c r="Q29" s="200"/>
    </row>
    <row r="30" spans="1:17" x14ac:dyDescent="0.3">
      <c r="A30" s="21" t="s">
        <v>333</v>
      </c>
      <c r="B30" s="16" t="s">
        <v>172</v>
      </c>
      <c r="C30" s="16" t="s">
        <v>334</v>
      </c>
      <c r="D30" s="22" t="s">
        <v>52</v>
      </c>
      <c r="E30" s="22" t="s">
        <v>53</v>
      </c>
      <c r="F30" s="197">
        <f>SUM(G30:P30)</f>
        <v>0.3569765535539059</v>
      </c>
      <c r="G30" s="79">
        <v>6.4330297358443381E-2</v>
      </c>
      <c r="H30" s="13">
        <v>2.7E-2</v>
      </c>
      <c r="I30" s="15">
        <v>0.19</v>
      </c>
      <c r="J30" s="13"/>
      <c r="K30" s="79">
        <v>4.0808656195462478E-2</v>
      </c>
      <c r="L30" s="13"/>
      <c r="M30" s="13">
        <v>0</v>
      </c>
      <c r="N30" s="79">
        <v>3.4837600000000003E-2</v>
      </c>
      <c r="O30" s="13"/>
      <c r="Q30" s="199">
        <f>'Parameters, country spec'!D21</f>
        <v>0.24551366744057773</v>
      </c>
    </row>
    <row r="31" spans="1:17" x14ac:dyDescent="0.3">
      <c r="A31" s="21" t="s">
        <v>335</v>
      </c>
      <c r="B31" s="16" t="s">
        <v>174</v>
      </c>
      <c r="C31" s="16" t="s">
        <v>334</v>
      </c>
      <c r="D31" s="22" t="s">
        <v>52</v>
      </c>
      <c r="E31" s="22" t="s">
        <v>53</v>
      </c>
      <c r="F31" s="197">
        <f t="shared" ref="F31:F40" si="6">SUM(G31:P31)</f>
        <v>0.34238359782823441</v>
      </c>
      <c r="G31" s="79">
        <v>6.2649071876813428E-2</v>
      </c>
      <c r="H31" s="13">
        <v>2.7E-2</v>
      </c>
      <c r="I31" s="15">
        <v>0.19</v>
      </c>
      <c r="J31" s="13"/>
      <c r="K31" s="79">
        <v>2.7896925951420983E-2</v>
      </c>
      <c r="L31" s="13"/>
      <c r="M31" s="13">
        <v>0</v>
      </c>
      <c r="N31" s="79">
        <v>3.4837600000000003E-2</v>
      </c>
      <c r="O31" s="13"/>
      <c r="Q31" s="199">
        <f>'Parameters, country spec'!D22</f>
        <v>2.5654510704344589E-3</v>
      </c>
    </row>
    <row r="32" spans="1:17" x14ac:dyDescent="0.3">
      <c r="A32" s="21" t="s">
        <v>336</v>
      </c>
      <c r="B32" s="16" t="s">
        <v>175</v>
      </c>
      <c r="C32" s="16" t="s">
        <v>334</v>
      </c>
      <c r="D32" s="22" t="s">
        <v>52</v>
      </c>
      <c r="E32" s="22" t="s">
        <v>53</v>
      </c>
      <c r="F32" s="197">
        <f t="shared" si="6"/>
        <v>0.35522536975783686</v>
      </c>
      <c r="G32" s="79">
        <v>5.6711069109087971E-2</v>
      </c>
      <c r="H32" s="13">
        <v>2.7E-2</v>
      </c>
      <c r="I32" s="15">
        <v>0.19</v>
      </c>
      <c r="J32" s="13"/>
      <c r="K32" s="79">
        <v>4.6676700648748841E-2</v>
      </c>
      <c r="L32" s="13"/>
      <c r="M32" s="13">
        <v>0</v>
      </c>
      <c r="N32" s="79">
        <v>3.4837600000000003E-2</v>
      </c>
      <c r="O32" s="13"/>
      <c r="Q32" s="199">
        <f>'Parameters, country spec'!D23</f>
        <v>4.1303762233994797E-2</v>
      </c>
    </row>
    <row r="33" spans="1:17" x14ac:dyDescent="0.3">
      <c r="A33" s="21" t="s">
        <v>337</v>
      </c>
      <c r="B33" s="16" t="s">
        <v>176</v>
      </c>
      <c r="C33" s="16" t="s">
        <v>334</v>
      </c>
      <c r="D33" s="22" t="s">
        <v>52</v>
      </c>
      <c r="E33" s="22" t="s">
        <v>53</v>
      </c>
      <c r="F33" s="197">
        <f t="shared" si="6"/>
        <v>0.33256180694350668</v>
      </c>
      <c r="G33" s="79">
        <v>4.99522666930306E-2</v>
      </c>
      <c r="H33" s="13">
        <v>2.7E-2</v>
      </c>
      <c r="I33" s="13">
        <v>0.19</v>
      </c>
      <c r="J33" s="13"/>
      <c r="K33" s="79">
        <v>3.0771940250476016E-2</v>
      </c>
      <c r="L33" s="13"/>
      <c r="M33" s="13">
        <v>0</v>
      </c>
      <c r="N33" s="79">
        <v>3.4837600000000003E-2</v>
      </c>
      <c r="O33" s="13"/>
      <c r="Q33" s="199">
        <f>'Parameters, country spec'!D24</f>
        <v>2.6167600918431479E-2</v>
      </c>
    </row>
    <row r="34" spans="1:17" x14ac:dyDescent="0.3">
      <c r="A34" s="21" t="s">
        <v>338</v>
      </c>
      <c r="B34" s="16" t="s">
        <v>177</v>
      </c>
      <c r="C34" s="16" t="s">
        <v>334</v>
      </c>
      <c r="D34" s="22" t="s">
        <v>52</v>
      </c>
      <c r="E34" s="22" t="s">
        <v>53</v>
      </c>
      <c r="F34" s="197">
        <f t="shared" si="6"/>
        <v>0.35472897058825098</v>
      </c>
      <c r="G34" s="79">
        <v>7.3741076533864705E-2</v>
      </c>
      <c r="H34" s="13">
        <v>2.7E-2</v>
      </c>
      <c r="I34" s="13">
        <v>0.19</v>
      </c>
      <c r="J34" s="13"/>
      <c r="K34" s="79">
        <v>2.9150294054386239E-2</v>
      </c>
      <c r="L34" s="13"/>
      <c r="M34" s="13">
        <v>0</v>
      </c>
      <c r="N34" s="79">
        <v>3.4837600000000003E-2</v>
      </c>
      <c r="O34" s="13"/>
      <c r="Q34" s="199">
        <f>'Parameters, country spec'!D25</f>
        <v>0.30682794802396129</v>
      </c>
    </row>
    <row r="35" spans="1:17" x14ac:dyDescent="0.3">
      <c r="A35" s="21" t="s">
        <v>339</v>
      </c>
      <c r="B35" s="16" t="s">
        <v>178</v>
      </c>
      <c r="C35" s="16" t="s">
        <v>340</v>
      </c>
      <c r="D35" s="22" t="s">
        <v>52</v>
      </c>
      <c r="E35" s="22" t="s">
        <v>53</v>
      </c>
      <c r="F35" s="197">
        <f t="shared" si="6"/>
        <v>0.43885153790044362</v>
      </c>
      <c r="G35" s="79">
        <v>0</v>
      </c>
      <c r="H35" s="13">
        <v>2.7E-2</v>
      </c>
      <c r="I35" s="15">
        <v>0.32</v>
      </c>
      <c r="J35" s="13"/>
      <c r="K35" s="79">
        <v>5.7013937900443575E-2</v>
      </c>
      <c r="L35" s="15"/>
      <c r="M35" s="13">
        <v>0</v>
      </c>
      <c r="N35" s="79">
        <v>3.4837600000000003E-2</v>
      </c>
      <c r="O35" s="13"/>
      <c r="Q35" s="199">
        <f>'Parameters, country spec'!D26</f>
        <v>4.6178119267820264E-3</v>
      </c>
    </row>
    <row r="36" spans="1:17" x14ac:dyDescent="0.3">
      <c r="A36" s="21" t="s">
        <v>341</v>
      </c>
      <c r="B36" s="16" t="s">
        <v>179</v>
      </c>
      <c r="C36" s="16" t="s">
        <v>340</v>
      </c>
      <c r="D36" s="22" t="s">
        <v>52</v>
      </c>
      <c r="E36" s="22" t="s">
        <v>53</v>
      </c>
      <c r="F36" s="197">
        <f t="shared" si="6"/>
        <v>0.47030675448840648</v>
      </c>
      <c r="G36" s="79">
        <v>3.1688167106286749E-3</v>
      </c>
      <c r="H36" s="13">
        <v>2.7E-2</v>
      </c>
      <c r="I36" s="15">
        <v>0.32</v>
      </c>
      <c r="J36" s="13"/>
      <c r="K36" s="79">
        <v>8.530033777777779E-2</v>
      </c>
      <c r="L36" s="13"/>
      <c r="M36" s="13">
        <v>0</v>
      </c>
      <c r="N36" s="79">
        <v>3.4837600000000003E-2</v>
      </c>
      <c r="O36" s="13"/>
      <c r="Q36" s="199">
        <f>'Parameters, country spec'!D27</f>
        <v>5.3104837157993301E-2</v>
      </c>
    </row>
    <row r="37" spans="1:17" x14ac:dyDescent="0.3">
      <c r="B37" s="17" t="s">
        <v>180</v>
      </c>
      <c r="C37" s="16" t="s">
        <v>342</v>
      </c>
      <c r="D37" s="22" t="s">
        <v>52</v>
      </c>
      <c r="E37" s="22" t="s">
        <v>53</v>
      </c>
      <c r="F37" s="222">
        <f t="shared" si="6"/>
        <v>0.2869642483479431</v>
      </c>
      <c r="G37" s="19">
        <f>'Processed feed'!$F$34</f>
        <v>4.6516123381761657E-2</v>
      </c>
      <c r="H37" s="19">
        <f>'Processed feed'!$G$34</f>
        <v>1.7031692380172825E-2</v>
      </c>
      <c r="I37" s="19">
        <f>'Processed feed'!$H$34</f>
        <v>0.11985265008269767</v>
      </c>
      <c r="J37" s="19"/>
      <c r="K37" s="19">
        <f>'Processed feed'!$J$34</f>
        <v>1.8388105226884718E-2</v>
      </c>
      <c r="L37" s="19"/>
      <c r="M37" s="148">
        <f>'Processed feed'!$L$34</f>
        <v>0</v>
      </c>
      <c r="N37" s="19">
        <f>'Processed feed'!$M$34</f>
        <v>2.1975677276426256E-2</v>
      </c>
      <c r="O37" s="19"/>
      <c r="P37" s="19">
        <f>'Processed feed'!$O$34</f>
        <v>6.3200000000000006E-2</v>
      </c>
      <c r="Q37" s="199">
        <f>'Parameters, country spec'!D28</f>
        <v>2.7193781346605266E-2</v>
      </c>
    </row>
    <row r="38" spans="1:17" x14ac:dyDescent="0.3">
      <c r="B38" s="17" t="s">
        <v>343</v>
      </c>
      <c r="C38" s="16" t="s">
        <v>342</v>
      </c>
      <c r="D38" s="22" t="s">
        <v>52</v>
      </c>
      <c r="E38" s="22" t="s">
        <v>53</v>
      </c>
      <c r="F38" s="222">
        <f t="shared" si="6"/>
        <v>1.1071334743047214</v>
      </c>
      <c r="G38" s="19">
        <f>'Processed feed'!$F$39</f>
        <v>0</v>
      </c>
      <c r="H38" s="19">
        <f>'Processed feed'!$G$39</f>
        <v>2.8063257713868049E-2</v>
      </c>
      <c r="I38" s="19">
        <f>'Processed feed'!$H$39</f>
        <v>0.33260157290510284</v>
      </c>
      <c r="J38" s="19"/>
      <c r="K38" s="19">
        <f>'Processed feed'!$J$39</f>
        <v>5.9259141947504347E-2</v>
      </c>
      <c r="L38" s="19"/>
      <c r="M38" s="148">
        <f>'Processed feed'!$L$39</f>
        <v>0</v>
      </c>
      <c r="N38" s="19">
        <f>'Processed feed'!$M$39</f>
        <v>3.6209501738246289E-2</v>
      </c>
      <c r="O38" s="19">
        <f>'Processed feed'!$N$39</f>
        <v>0.4</v>
      </c>
      <c r="P38" s="19">
        <f>'Processed feed'!$O$39</f>
        <v>0.251</v>
      </c>
      <c r="Q38" s="199">
        <f>'Parameters, country spec'!D29</f>
        <v>3.5916314986082429E-2</v>
      </c>
    </row>
    <row r="39" spans="1:17" x14ac:dyDescent="0.3">
      <c r="B39" s="16" t="s">
        <v>182</v>
      </c>
      <c r="C39" s="16" t="s">
        <v>344</v>
      </c>
      <c r="D39" s="22" t="s">
        <v>52</v>
      </c>
      <c r="E39" s="22" t="s">
        <v>53</v>
      </c>
      <c r="F39" s="222"/>
      <c r="G39" s="106"/>
      <c r="H39" s="7"/>
      <c r="I39" s="105"/>
      <c r="J39" s="7"/>
      <c r="K39" s="106"/>
      <c r="L39" s="7"/>
      <c r="M39" s="7"/>
      <c r="N39" s="106"/>
      <c r="O39" s="7"/>
      <c r="P39" s="7"/>
      <c r="Q39" s="199">
        <f>'Parameters, country spec'!D30</f>
        <v>0.13313408330019627</v>
      </c>
    </row>
    <row r="40" spans="1:17" x14ac:dyDescent="0.3">
      <c r="A40" s="82"/>
      <c r="B40" s="16" t="s">
        <v>345</v>
      </c>
      <c r="C40" s="83" t="s">
        <v>346</v>
      </c>
      <c r="D40" s="22" t="s">
        <v>52</v>
      </c>
      <c r="E40" s="22" t="s">
        <v>53</v>
      </c>
      <c r="F40" s="222">
        <f t="shared" si="6"/>
        <v>0.37010359041258334</v>
      </c>
      <c r="G40" s="80">
        <f t="shared" ref="G40:N40" si="7">AVERAGE(G30:G38)</f>
        <v>3.9674302407070046E-2</v>
      </c>
      <c r="H40" s="80">
        <f t="shared" si="7"/>
        <v>2.6010550010448986E-2</v>
      </c>
      <c r="I40" s="80">
        <f t="shared" si="7"/>
        <v>0.22693935810975566</v>
      </c>
      <c r="J40" s="80"/>
      <c r="K40" s="80">
        <f t="shared" si="7"/>
        <v>4.3918448883678338E-2</v>
      </c>
      <c r="L40" s="80"/>
      <c r="M40" s="80">
        <f t="shared" si="7"/>
        <v>0</v>
      </c>
      <c r="N40" s="80">
        <f t="shared" si="7"/>
        <v>3.3560931001630281E-2</v>
      </c>
      <c r="O40" s="80"/>
      <c r="P40" s="80"/>
      <c r="Q40" s="199">
        <f>'Parameters, country spec'!D31</f>
        <v>0.1236547415949409</v>
      </c>
    </row>
    <row r="41" spans="1:17" x14ac:dyDescent="0.3">
      <c r="A41" s="198"/>
      <c r="B41" s="24" t="s">
        <v>347</v>
      </c>
      <c r="C41" s="25"/>
      <c r="D41" s="101"/>
      <c r="E41" s="101"/>
      <c r="F41" s="26">
        <f>SUMPRODUCT(F30:F40,$Q$30:$Q$40)</f>
        <v>0.34107120115955414</v>
      </c>
      <c r="G41" s="26">
        <f t="shared" ref="G41:P41" si="8">SUMPRODUCT(G30:G40,$Q$30:$Q$40)</f>
        <v>4.8569169448640315E-2</v>
      </c>
      <c r="H41" s="26">
        <f t="shared" si="8"/>
        <v>2.305014188926904E-2</v>
      </c>
      <c r="I41" s="26">
        <f t="shared" si="8"/>
        <v>0.17999034665000382</v>
      </c>
      <c r="J41" s="26"/>
      <c r="K41" s="26">
        <f t="shared" si="8"/>
        <v>3.4620203909351374E-2</v>
      </c>
      <c r="L41" s="26"/>
      <c r="M41" s="26">
        <f t="shared" si="8"/>
        <v>0</v>
      </c>
      <c r="N41" s="26">
        <f t="shared" si="8"/>
        <v>2.9741171225244414E-2</v>
      </c>
      <c r="O41" s="26">
        <f t="shared" si="8"/>
        <v>1.4366525994432972E-2</v>
      </c>
      <c r="P41" s="26">
        <f t="shared" si="8"/>
        <v>1.0733642042612143E-2</v>
      </c>
      <c r="Q41" s="200"/>
    </row>
    <row r="42" spans="1:17" x14ac:dyDescent="0.3">
      <c r="A42" s="21" t="s">
        <v>333</v>
      </c>
      <c r="B42" s="16" t="s">
        <v>172</v>
      </c>
      <c r="C42" s="16" t="s">
        <v>334</v>
      </c>
      <c r="D42" s="22" t="s">
        <v>54</v>
      </c>
      <c r="E42" s="22" t="s">
        <v>55</v>
      </c>
      <c r="F42" s="197">
        <f>SUM(G42:P42)</f>
        <v>0.3569765535539059</v>
      </c>
      <c r="G42" s="79">
        <v>6.4330297358443381E-2</v>
      </c>
      <c r="H42" s="13">
        <v>2.7E-2</v>
      </c>
      <c r="I42" s="15">
        <v>0.19</v>
      </c>
      <c r="J42" s="13"/>
      <c r="K42" s="79">
        <v>4.0808656195462478E-2</v>
      </c>
      <c r="L42" s="13"/>
      <c r="M42" s="13">
        <v>0</v>
      </c>
      <c r="N42" s="79">
        <v>3.4837600000000003E-2</v>
      </c>
      <c r="O42" s="13"/>
      <c r="Q42" s="199">
        <f>'Parameters, country spec'!E21</f>
        <v>0.24551366744057773</v>
      </c>
    </row>
    <row r="43" spans="1:17" x14ac:dyDescent="0.3">
      <c r="A43" s="21" t="s">
        <v>335</v>
      </c>
      <c r="B43" s="16" t="s">
        <v>174</v>
      </c>
      <c r="C43" s="16" t="s">
        <v>334</v>
      </c>
      <c r="D43" s="22" t="s">
        <v>54</v>
      </c>
      <c r="E43" s="22" t="s">
        <v>55</v>
      </c>
      <c r="F43" s="197">
        <f t="shared" ref="F43:F52" si="9">SUM(G43:P43)</f>
        <v>0.34238359782823441</v>
      </c>
      <c r="G43" s="79">
        <v>6.2649071876813428E-2</v>
      </c>
      <c r="H43" s="13">
        <v>2.7E-2</v>
      </c>
      <c r="I43" s="15">
        <v>0.19</v>
      </c>
      <c r="J43" s="13"/>
      <c r="K43" s="79">
        <v>2.7896925951420983E-2</v>
      </c>
      <c r="L43" s="13"/>
      <c r="M43" s="13">
        <v>0</v>
      </c>
      <c r="N43" s="79">
        <v>3.4837600000000003E-2</v>
      </c>
      <c r="O43" s="13"/>
      <c r="Q43" s="199">
        <f>'Parameters, country spec'!E22</f>
        <v>2.5654510704344589E-3</v>
      </c>
    </row>
    <row r="44" spans="1:17" x14ac:dyDescent="0.3">
      <c r="A44" s="21" t="s">
        <v>336</v>
      </c>
      <c r="B44" s="16" t="s">
        <v>175</v>
      </c>
      <c r="C44" s="16" t="s">
        <v>334</v>
      </c>
      <c r="D44" s="22" t="s">
        <v>54</v>
      </c>
      <c r="E44" s="22" t="s">
        <v>55</v>
      </c>
      <c r="F44" s="197">
        <f t="shared" si="9"/>
        <v>0.35522536975783686</v>
      </c>
      <c r="G44" s="79">
        <v>5.6711069109087971E-2</v>
      </c>
      <c r="H44" s="13">
        <v>2.7E-2</v>
      </c>
      <c r="I44" s="15">
        <v>0.19</v>
      </c>
      <c r="J44" s="13"/>
      <c r="K44" s="79">
        <v>4.6676700648748841E-2</v>
      </c>
      <c r="L44" s="13"/>
      <c r="M44" s="13">
        <v>0</v>
      </c>
      <c r="N44" s="79">
        <v>3.4837600000000003E-2</v>
      </c>
      <c r="O44" s="13"/>
      <c r="Q44" s="199">
        <f>'Parameters, country spec'!E23</f>
        <v>4.1303762233994797E-2</v>
      </c>
    </row>
    <row r="45" spans="1:17" x14ac:dyDescent="0.3">
      <c r="A45" s="21" t="s">
        <v>337</v>
      </c>
      <c r="B45" s="16" t="s">
        <v>176</v>
      </c>
      <c r="C45" s="16" t="s">
        <v>334</v>
      </c>
      <c r="D45" s="22" t="s">
        <v>54</v>
      </c>
      <c r="E45" s="22" t="s">
        <v>55</v>
      </c>
      <c r="F45" s="197">
        <f t="shared" si="9"/>
        <v>0.33256180694350668</v>
      </c>
      <c r="G45" s="79">
        <v>4.99522666930306E-2</v>
      </c>
      <c r="H45" s="13">
        <v>2.7E-2</v>
      </c>
      <c r="I45" s="13">
        <v>0.19</v>
      </c>
      <c r="J45" s="13"/>
      <c r="K45" s="79">
        <v>3.0771940250476016E-2</v>
      </c>
      <c r="L45" s="13"/>
      <c r="M45" s="13">
        <v>0</v>
      </c>
      <c r="N45" s="79">
        <v>3.4837600000000003E-2</v>
      </c>
      <c r="O45" s="13"/>
      <c r="Q45" s="199">
        <f>'Parameters, country spec'!E24</f>
        <v>2.6167600918431479E-2</v>
      </c>
    </row>
    <row r="46" spans="1:17" x14ac:dyDescent="0.3">
      <c r="A46" s="21" t="s">
        <v>338</v>
      </c>
      <c r="B46" s="16" t="s">
        <v>177</v>
      </c>
      <c r="C46" s="16" t="s">
        <v>334</v>
      </c>
      <c r="D46" s="22" t="s">
        <v>54</v>
      </c>
      <c r="E46" s="22" t="s">
        <v>55</v>
      </c>
      <c r="F46" s="197">
        <f t="shared" si="9"/>
        <v>0.35472897058825098</v>
      </c>
      <c r="G46" s="79">
        <v>7.3741076533864705E-2</v>
      </c>
      <c r="H46" s="13">
        <v>2.7E-2</v>
      </c>
      <c r="I46" s="13">
        <v>0.19</v>
      </c>
      <c r="J46" s="13"/>
      <c r="K46" s="79">
        <v>2.9150294054386239E-2</v>
      </c>
      <c r="L46" s="13"/>
      <c r="M46" s="13">
        <v>0</v>
      </c>
      <c r="N46" s="79">
        <v>3.4837600000000003E-2</v>
      </c>
      <c r="O46" s="13"/>
      <c r="Q46" s="199">
        <f>'Parameters, country spec'!E25</f>
        <v>0.30682794802396129</v>
      </c>
    </row>
    <row r="47" spans="1:17" x14ac:dyDescent="0.3">
      <c r="A47" s="21" t="s">
        <v>339</v>
      </c>
      <c r="B47" s="16" t="s">
        <v>178</v>
      </c>
      <c r="C47" s="16" t="s">
        <v>340</v>
      </c>
      <c r="D47" s="22" t="s">
        <v>54</v>
      </c>
      <c r="E47" s="22" t="s">
        <v>55</v>
      </c>
      <c r="F47" s="197">
        <f t="shared" si="9"/>
        <v>0.43885153790044362</v>
      </c>
      <c r="G47" s="79">
        <v>0</v>
      </c>
      <c r="H47" s="13">
        <v>2.7E-2</v>
      </c>
      <c r="I47" s="15">
        <v>0.32</v>
      </c>
      <c r="J47" s="13"/>
      <c r="K47" s="79">
        <v>5.7013937900443575E-2</v>
      </c>
      <c r="L47" s="15"/>
      <c r="M47" s="13">
        <v>0</v>
      </c>
      <c r="N47" s="79">
        <v>3.4837600000000003E-2</v>
      </c>
      <c r="O47" s="13"/>
      <c r="Q47" s="199">
        <f>'Parameters, country spec'!E26</f>
        <v>4.6178119267820264E-3</v>
      </c>
    </row>
    <row r="48" spans="1:17" x14ac:dyDescent="0.3">
      <c r="A48" s="21" t="s">
        <v>341</v>
      </c>
      <c r="B48" s="16" t="s">
        <v>179</v>
      </c>
      <c r="C48" s="16" t="s">
        <v>340</v>
      </c>
      <c r="D48" s="22" t="s">
        <v>54</v>
      </c>
      <c r="E48" s="22" t="s">
        <v>55</v>
      </c>
      <c r="F48" s="197">
        <f t="shared" si="9"/>
        <v>0.47030675448840648</v>
      </c>
      <c r="G48" s="79">
        <v>3.1688167106286749E-3</v>
      </c>
      <c r="H48" s="13">
        <v>2.7E-2</v>
      </c>
      <c r="I48" s="15">
        <v>0.32</v>
      </c>
      <c r="J48" s="13"/>
      <c r="K48" s="79">
        <v>8.530033777777779E-2</v>
      </c>
      <c r="L48" s="13"/>
      <c r="M48" s="13">
        <v>0</v>
      </c>
      <c r="N48" s="79">
        <v>3.4837600000000003E-2</v>
      </c>
      <c r="O48" s="13"/>
      <c r="Q48" s="199">
        <f>'Parameters, country spec'!E27</f>
        <v>5.3104837157993301E-2</v>
      </c>
    </row>
    <row r="49" spans="1:17" x14ac:dyDescent="0.3">
      <c r="B49" s="17" t="s">
        <v>180</v>
      </c>
      <c r="C49" s="16" t="s">
        <v>342</v>
      </c>
      <c r="D49" s="22" t="s">
        <v>54</v>
      </c>
      <c r="E49" s="22" t="s">
        <v>55</v>
      </c>
      <c r="F49" s="222">
        <f t="shared" si="9"/>
        <v>0.2869642483479431</v>
      </c>
      <c r="G49" s="19">
        <f>'Processed feed'!$F$34</f>
        <v>4.6516123381761657E-2</v>
      </c>
      <c r="H49" s="19">
        <f>'Processed feed'!$G$34</f>
        <v>1.7031692380172825E-2</v>
      </c>
      <c r="I49" s="19">
        <f>'Processed feed'!$H$34</f>
        <v>0.11985265008269767</v>
      </c>
      <c r="J49" s="19"/>
      <c r="K49" s="19">
        <f>'Processed feed'!$J$34</f>
        <v>1.8388105226884718E-2</v>
      </c>
      <c r="L49" s="19"/>
      <c r="M49" s="148">
        <f>'Processed feed'!$L$34</f>
        <v>0</v>
      </c>
      <c r="N49" s="19">
        <f>'Processed feed'!$M$34</f>
        <v>2.1975677276426256E-2</v>
      </c>
      <c r="O49" s="19"/>
      <c r="P49" s="19">
        <f>'Processed feed'!$O$34</f>
        <v>6.3200000000000006E-2</v>
      </c>
      <c r="Q49" s="199">
        <f>'Parameters, country spec'!E28</f>
        <v>2.7193781346605266E-2</v>
      </c>
    </row>
    <row r="50" spans="1:17" x14ac:dyDescent="0.3">
      <c r="B50" s="17" t="s">
        <v>343</v>
      </c>
      <c r="C50" s="16" t="s">
        <v>342</v>
      </c>
      <c r="D50" s="22" t="s">
        <v>54</v>
      </c>
      <c r="E50" s="22" t="s">
        <v>55</v>
      </c>
      <c r="F50" s="222">
        <f t="shared" si="9"/>
        <v>1.1071334743047214</v>
      </c>
      <c r="G50" s="19">
        <f>'Processed feed'!$F$39</f>
        <v>0</v>
      </c>
      <c r="H50" s="19">
        <f>'Processed feed'!$G$39</f>
        <v>2.8063257713868049E-2</v>
      </c>
      <c r="I50" s="19">
        <f>'Processed feed'!$H$39</f>
        <v>0.33260157290510284</v>
      </c>
      <c r="J50" s="19"/>
      <c r="K50" s="19">
        <f>'Processed feed'!$J$39</f>
        <v>5.9259141947504347E-2</v>
      </c>
      <c r="L50" s="19"/>
      <c r="M50" s="148">
        <f>'Processed feed'!$L$39</f>
        <v>0</v>
      </c>
      <c r="N50" s="19">
        <f>'Processed feed'!$M$39</f>
        <v>3.6209501738246289E-2</v>
      </c>
      <c r="O50" s="19">
        <f>'Processed feed'!$N$39</f>
        <v>0.4</v>
      </c>
      <c r="P50" s="19">
        <f>'Processed feed'!$O$39</f>
        <v>0.251</v>
      </c>
      <c r="Q50" s="199">
        <f>'Parameters, country spec'!E29</f>
        <v>3.5916314986082429E-2</v>
      </c>
    </row>
    <row r="51" spans="1:17" x14ac:dyDescent="0.3">
      <c r="B51" s="16" t="s">
        <v>182</v>
      </c>
      <c r="C51" s="16" t="s">
        <v>344</v>
      </c>
      <c r="D51" s="22" t="s">
        <v>54</v>
      </c>
      <c r="E51" s="22" t="s">
        <v>55</v>
      </c>
      <c r="F51" s="222"/>
      <c r="G51" s="106"/>
      <c r="H51" s="7"/>
      <c r="I51" s="105"/>
      <c r="J51" s="7"/>
      <c r="K51" s="106"/>
      <c r="L51" s="7"/>
      <c r="M51" s="7"/>
      <c r="N51" s="106"/>
      <c r="O51" s="7"/>
      <c r="P51" s="7"/>
      <c r="Q51" s="199">
        <f>'Parameters, country spec'!E30</f>
        <v>0.13313408330019627</v>
      </c>
    </row>
    <row r="52" spans="1:17" x14ac:dyDescent="0.3">
      <c r="A52" s="82"/>
      <c r="B52" s="16" t="s">
        <v>345</v>
      </c>
      <c r="C52" s="83" t="s">
        <v>346</v>
      </c>
      <c r="D52" s="22" t="s">
        <v>54</v>
      </c>
      <c r="E52" s="22" t="s">
        <v>55</v>
      </c>
      <c r="F52" s="222">
        <f t="shared" si="9"/>
        <v>0.37010359041258334</v>
      </c>
      <c r="G52" s="80">
        <f t="shared" ref="G52:N52" si="10">AVERAGE(G42:G50)</f>
        <v>3.9674302407070046E-2</v>
      </c>
      <c r="H52" s="80">
        <f t="shared" si="10"/>
        <v>2.6010550010448986E-2</v>
      </c>
      <c r="I52" s="80">
        <f t="shared" si="10"/>
        <v>0.22693935810975566</v>
      </c>
      <c r="J52" s="80"/>
      <c r="K52" s="80">
        <f t="shared" si="10"/>
        <v>4.3918448883678338E-2</v>
      </c>
      <c r="L52" s="80"/>
      <c r="M52" s="80">
        <f t="shared" si="10"/>
        <v>0</v>
      </c>
      <c r="N52" s="80">
        <f t="shared" si="10"/>
        <v>3.3560931001630281E-2</v>
      </c>
      <c r="O52" s="80"/>
      <c r="P52" s="80"/>
      <c r="Q52" s="199">
        <f>'Parameters, country spec'!E31</f>
        <v>0.1236547415949409</v>
      </c>
    </row>
    <row r="53" spans="1:17" x14ac:dyDescent="0.3">
      <c r="A53" s="198"/>
      <c r="B53" s="24" t="s">
        <v>347</v>
      </c>
      <c r="C53" s="25"/>
      <c r="D53" s="101"/>
      <c r="E53" s="101"/>
      <c r="F53" s="26">
        <f>SUMPRODUCT(F42:F52,$Q$42:$Q$52)</f>
        <v>0.34107120115955414</v>
      </c>
      <c r="G53" s="26">
        <f t="shared" ref="G53:P53" si="11">SUMPRODUCT(G42:G52,$Q$42:$Q$52)</f>
        <v>4.8569169448640315E-2</v>
      </c>
      <c r="H53" s="26">
        <f t="shared" si="11"/>
        <v>2.305014188926904E-2</v>
      </c>
      <c r="I53" s="26">
        <f t="shared" si="11"/>
        <v>0.17999034665000382</v>
      </c>
      <c r="J53" s="26"/>
      <c r="K53" s="26">
        <f t="shared" si="11"/>
        <v>3.4620203909351374E-2</v>
      </c>
      <c r="L53" s="26"/>
      <c r="M53" s="26">
        <f t="shared" si="11"/>
        <v>0</v>
      </c>
      <c r="N53" s="26">
        <f t="shared" si="11"/>
        <v>2.9741171225244414E-2</v>
      </c>
      <c r="O53" s="26">
        <f t="shared" si="11"/>
        <v>1.4366525994432972E-2</v>
      </c>
      <c r="P53" s="26">
        <f t="shared" si="11"/>
        <v>1.0733642042612143E-2</v>
      </c>
      <c r="Q53" s="200"/>
    </row>
    <row r="54" spans="1:17" x14ac:dyDescent="0.3">
      <c r="A54" s="21" t="s">
        <v>333</v>
      </c>
      <c r="B54" s="16" t="s">
        <v>172</v>
      </c>
      <c r="C54" s="16" t="s">
        <v>334</v>
      </c>
      <c r="D54" s="22" t="s">
        <v>118</v>
      </c>
      <c r="E54" s="22" t="s">
        <v>57</v>
      </c>
      <c r="F54" s="197">
        <f>SUM(G54:P54)</f>
        <v>0.3569765535539059</v>
      </c>
      <c r="G54" s="79">
        <v>6.4330297358443381E-2</v>
      </c>
      <c r="H54" s="13">
        <v>2.7E-2</v>
      </c>
      <c r="I54" s="15">
        <v>0.19</v>
      </c>
      <c r="J54" s="13"/>
      <c r="K54" s="79">
        <v>4.0808656195462478E-2</v>
      </c>
      <c r="L54" s="13"/>
      <c r="M54" s="13">
        <v>0</v>
      </c>
      <c r="N54" s="79">
        <v>3.4837600000000003E-2</v>
      </c>
      <c r="O54" s="13"/>
      <c r="Q54" s="199">
        <f>'Parameters, country spec'!F21</f>
        <v>0.24551366744057773</v>
      </c>
    </row>
    <row r="55" spans="1:17" x14ac:dyDescent="0.3">
      <c r="A55" s="21" t="s">
        <v>335</v>
      </c>
      <c r="B55" s="16" t="s">
        <v>174</v>
      </c>
      <c r="C55" s="16" t="s">
        <v>334</v>
      </c>
      <c r="D55" s="22" t="s">
        <v>118</v>
      </c>
      <c r="E55" s="22" t="s">
        <v>57</v>
      </c>
      <c r="F55" s="197">
        <f t="shared" ref="F55:F64" si="12">SUM(G55:P55)</f>
        <v>0.34238359782823441</v>
      </c>
      <c r="G55" s="79">
        <v>6.2649071876813428E-2</v>
      </c>
      <c r="H55" s="13">
        <v>2.7E-2</v>
      </c>
      <c r="I55" s="15">
        <v>0.19</v>
      </c>
      <c r="J55" s="13"/>
      <c r="K55" s="79">
        <v>2.7896925951420983E-2</v>
      </c>
      <c r="L55" s="13"/>
      <c r="M55" s="13">
        <v>0</v>
      </c>
      <c r="N55" s="79">
        <v>3.4837600000000003E-2</v>
      </c>
      <c r="O55" s="13"/>
      <c r="Q55" s="199">
        <f>'Parameters, country spec'!F22</f>
        <v>2.5654510704344589E-3</v>
      </c>
    </row>
    <row r="56" spans="1:17" x14ac:dyDescent="0.3">
      <c r="A56" s="21" t="s">
        <v>336</v>
      </c>
      <c r="B56" s="16" t="s">
        <v>175</v>
      </c>
      <c r="C56" s="16" t="s">
        <v>334</v>
      </c>
      <c r="D56" s="22" t="s">
        <v>118</v>
      </c>
      <c r="E56" s="22" t="s">
        <v>57</v>
      </c>
      <c r="F56" s="197">
        <f t="shared" si="12"/>
        <v>0.35522536975783686</v>
      </c>
      <c r="G56" s="79">
        <v>5.6711069109087971E-2</v>
      </c>
      <c r="H56" s="13">
        <v>2.7E-2</v>
      </c>
      <c r="I56" s="15">
        <v>0.19</v>
      </c>
      <c r="J56" s="13"/>
      <c r="K56" s="79">
        <v>4.6676700648748841E-2</v>
      </c>
      <c r="L56" s="13"/>
      <c r="M56" s="13">
        <v>0</v>
      </c>
      <c r="N56" s="79">
        <v>3.4837600000000003E-2</v>
      </c>
      <c r="O56" s="13"/>
      <c r="Q56" s="199">
        <f>'Parameters, country spec'!F23</f>
        <v>4.1303762233994797E-2</v>
      </c>
    </row>
    <row r="57" spans="1:17" x14ac:dyDescent="0.3">
      <c r="A57" s="21" t="s">
        <v>337</v>
      </c>
      <c r="B57" s="16" t="s">
        <v>176</v>
      </c>
      <c r="C57" s="16" t="s">
        <v>334</v>
      </c>
      <c r="D57" s="22" t="s">
        <v>118</v>
      </c>
      <c r="E57" s="22" t="s">
        <v>57</v>
      </c>
      <c r="F57" s="197">
        <f t="shared" si="12"/>
        <v>0.33256180694350668</v>
      </c>
      <c r="G57" s="79">
        <v>4.99522666930306E-2</v>
      </c>
      <c r="H57" s="13">
        <v>2.7E-2</v>
      </c>
      <c r="I57" s="13">
        <v>0.19</v>
      </c>
      <c r="J57" s="13"/>
      <c r="K57" s="79">
        <v>3.0771940250476016E-2</v>
      </c>
      <c r="L57" s="13"/>
      <c r="M57" s="13">
        <v>0</v>
      </c>
      <c r="N57" s="79">
        <v>3.4837600000000003E-2</v>
      </c>
      <c r="O57" s="13"/>
      <c r="Q57" s="199">
        <f>'Parameters, country spec'!F24</f>
        <v>2.6167600918431479E-2</v>
      </c>
    </row>
    <row r="58" spans="1:17" x14ac:dyDescent="0.3">
      <c r="A58" s="21" t="s">
        <v>338</v>
      </c>
      <c r="B58" s="16" t="s">
        <v>177</v>
      </c>
      <c r="C58" s="16" t="s">
        <v>334</v>
      </c>
      <c r="D58" s="22" t="s">
        <v>118</v>
      </c>
      <c r="E58" s="22" t="s">
        <v>57</v>
      </c>
      <c r="F58" s="197">
        <f t="shared" si="12"/>
        <v>0.35472897058825098</v>
      </c>
      <c r="G58" s="79">
        <v>7.3741076533864705E-2</v>
      </c>
      <c r="H58" s="13">
        <v>2.7E-2</v>
      </c>
      <c r="I58" s="13">
        <v>0.19</v>
      </c>
      <c r="J58" s="13"/>
      <c r="K58" s="79">
        <v>2.9150294054386239E-2</v>
      </c>
      <c r="L58" s="13"/>
      <c r="M58" s="13">
        <v>0</v>
      </c>
      <c r="N58" s="79">
        <v>3.4837600000000003E-2</v>
      </c>
      <c r="O58" s="13"/>
      <c r="Q58" s="199">
        <f>'Parameters, country spec'!F25</f>
        <v>0.30682794802396129</v>
      </c>
    </row>
    <row r="59" spans="1:17" x14ac:dyDescent="0.3">
      <c r="A59" s="21" t="s">
        <v>339</v>
      </c>
      <c r="B59" s="16" t="s">
        <v>178</v>
      </c>
      <c r="C59" s="16" t="s">
        <v>340</v>
      </c>
      <c r="D59" s="22" t="s">
        <v>118</v>
      </c>
      <c r="E59" s="22" t="s">
        <v>57</v>
      </c>
      <c r="F59" s="197">
        <f t="shared" si="12"/>
        <v>0.43885153790044362</v>
      </c>
      <c r="G59" s="79">
        <v>0</v>
      </c>
      <c r="H59" s="13">
        <v>2.7E-2</v>
      </c>
      <c r="I59" s="15">
        <v>0.32</v>
      </c>
      <c r="J59" s="13"/>
      <c r="K59" s="79">
        <v>5.7013937900443575E-2</v>
      </c>
      <c r="L59" s="15"/>
      <c r="M59" s="13">
        <v>0</v>
      </c>
      <c r="N59" s="79">
        <v>3.4837600000000003E-2</v>
      </c>
      <c r="O59" s="13"/>
      <c r="Q59" s="199">
        <f>'Parameters, country spec'!F26</f>
        <v>4.6178119267820264E-3</v>
      </c>
    </row>
    <row r="60" spans="1:17" x14ac:dyDescent="0.3">
      <c r="A60" s="21" t="s">
        <v>341</v>
      </c>
      <c r="B60" s="16" t="s">
        <v>179</v>
      </c>
      <c r="C60" s="16" t="s">
        <v>340</v>
      </c>
      <c r="D60" s="22" t="s">
        <v>118</v>
      </c>
      <c r="E60" s="22" t="s">
        <v>57</v>
      </c>
      <c r="F60" s="197">
        <f t="shared" si="12"/>
        <v>0.47030675448840648</v>
      </c>
      <c r="G60" s="79">
        <v>3.1688167106286749E-3</v>
      </c>
      <c r="H60" s="13">
        <v>2.7E-2</v>
      </c>
      <c r="I60" s="15">
        <v>0.32</v>
      </c>
      <c r="J60" s="13"/>
      <c r="K60" s="79">
        <v>8.530033777777779E-2</v>
      </c>
      <c r="L60" s="13"/>
      <c r="M60" s="13">
        <v>0</v>
      </c>
      <c r="N60" s="79">
        <v>3.4837600000000003E-2</v>
      </c>
      <c r="O60" s="13"/>
      <c r="Q60" s="199">
        <f>'Parameters, country spec'!F27</f>
        <v>5.3104837157993301E-2</v>
      </c>
    </row>
    <row r="61" spans="1:17" x14ac:dyDescent="0.3">
      <c r="B61" s="17" t="s">
        <v>180</v>
      </c>
      <c r="C61" s="16" t="s">
        <v>342</v>
      </c>
      <c r="D61" s="22" t="s">
        <v>118</v>
      </c>
      <c r="E61" s="22" t="s">
        <v>57</v>
      </c>
      <c r="F61" s="222">
        <f t="shared" si="12"/>
        <v>0.2869642483479431</v>
      </c>
      <c r="G61" s="19">
        <f>'Processed feed'!$F$34</f>
        <v>4.6516123381761657E-2</v>
      </c>
      <c r="H61" s="19">
        <f>'Processed feed'!$G$34</f>
        <v>1.7031692380172825E-2</v>
      </c>
      <c r="I61" s="19">
        <f>'Processed feed'!$H$34</f>
        <v>0.11985265008269767</v>
      </c>
      <c r="J61" s="19"/>
      <c r="K61" s="19">
        <f>'Processed feed'!$J$34</f>
        <v>1.8388105226884718E-2</v>
      </c>
      <c r="L61" s="19"/>
      <c r="M61" s="148">
        <f>'Processed feed'!$L$34</f>
        <v>0</v>
      </c>
      <c r="N61" s="19">
        <f>'Processed feed'!$M$34</f>
        <v>2.1975677276426256E-2</v>
      </c>
      <c r="O61" s="19"/>
      <c r="P61" s="19">
        <f>'Processed feed'!$O$34</f>
        <v>6.3200000000000006E-2</v>
      </c>
      <c r="Q61" s="199">
        <f>'Parameters, country spec'!F28</f>
        <v>2.7193781346605266E-2</v>
      </c>
    </row>
    <row r="62" spans="1:17" x14ac:dyDescent="0.3">
      <c r="B62" s="17" t="s">
        <v>343</v>
      </c>
      <c r="C62" s="16" t="s">
        <v>342</v>
      </c>
      <c r="D62" s="22" t="s">
        <v>118</v>
      </c>
      <c r="E62" s="22" t="s">
        <v>57</v>
      </c>
      <c r="F62" s="222">
        <f t="shared" si="12"/>
        <v>1.1071334743047214</v>
      </c>
      <c r="G62" s="19">
        <f>'Processed feed'!$F$39</f>
        <v>0</v>
      </c>
      <c r="H62" s="19">
        <f>'Processed feed'!$G$39</f>
        <v>2.8063257713868049E-2</v>
      </c>
      <c r="I62" s="19">
        <f>'Processed feed'!$H$39</f>
        <v>0.33260157290510284</v>
      </c>
      <c r="J62" s="19"/>
      <c r="K62" s="19">
        <f>'Processed feed'!$J$39</f>
        <v>5.9259141947504347E-2</v>
      </c>
      <c r="L62" s="19"/>
      <c r="M62" s="148">
        <f>'Processed feed'!$L$39</f>
        <v>0</v>
      </c>
      <c r="N62" s="19">
        <f>'Processed feed'!$M$39</f>
        <v>3.6209501738246289E-2</v>
      </c>
      <c r="O62" s="19">
        <f>'Processed feed'!$N$39</f>
        <v>0.4</v>
      </c>
      <c r="P62" s="19">
        <f>'Processed feed'!$O$39</f>
        <v>0.251</v>
      </c>
      <c r="Q62" s="199">
        <f>'Parameters, country spec'!F29</f>
        <v>3.5916314986082429E-2</v>
      </c>
    </row>
    <row r="63" spans="1:17" x14ac:dyDescent="0.3">
      <c r="B63" s="16" t="s">
        <v>182</v>
      </c>
      <c r="C63" s="16" t="s">
        <v>344</v>
      </c>
      <c r="D63" s="22" t="s">
        <v>118</v>
      </c>
      <c r="E63" s="22" t="s">
        <v>57</v>
      </c>
      <c r="F63" s="222"/>
      <c r="G63" s="106"/>
      <c r="H63" s="7"/>
      <c r="I63" s="105"/>
      <c r="J63" s="7"/>
      <c r="K63" s="106"/>
      <c r="L63" s="7"/>
      <c r="M63" s="7"/>
      <c r="N63" s="106"/>
      <c r="O63" s="7"/>
      <c r="P63" s="7"/>
      <c r="Q63" s="199">
        <f>'Parameters, country spec'!F30</f>
        <v>0.13313408330019627</v>
      </c>
    </row>
    <row r="64" spans="1:17" x14ac:dyDescent="0.3">
      <c r="A64" s="82"/>
      <c r="B64" s="16" t="s">
        <v>345</v>
      </c>
      <c r="C64" s="83" t="s">
        <v>346</v>
      </c>
      <c r="D64" s="22" t="s">
        <v>118</v>
      </c>
      <c r="E64" s="22" t="s">
        <v>57</v>
      </c>
      <c r="F64" s="222">
        <f t="shared" si="12"/>
        <v>0.37010359041258334</v>
      </c>
      <c r="G64" s="80">
        <f t="shared" ref="G64:N64" si="13">AVERAGE(G54:G62)</f>
        <v>3.9674302407070046E-2</v>
      </c>
      <c r="H64" s="80">
        <f t="shared" si="13"/>
        <v>2.6010550010448986E-2</v>
      </c>
      <c r="I64" s="80">
        <f t="shared" si="13"/>
        <v>0.22693935810975566</v>
      </c>
      <c r="J64" s="80"/>
      <c r="K64" s="80">
        <f t="shared" si="13"/>
        <v>4.3918448883678338E-2</v>
      </c>
      <c r="L64" s="80"/>
      <c r="M64" s="80">
        <f t="shared" si="13"/>
        <v>0</v>
      </c>
      <c r="N64" s="80">
        <f t="shared" si="13"/>
        <v>3.3560931001630281E-2</v>
      </c>
      <c r="O64" s="80"/>
      <c r="P64" s="80"/>
      <c r="Q64" s="199">
        <f>'Parameters, country spec'!F31</f>
        <v>0.1236547415949409</v>
      </c>
    </row>
    <row r="65" spans="1:17" x14ac:dyDescent="0.3">
      <c r="A65" s="198"/>
      <c r="B65" s="24" t="s">
        <v>347</v>
      </c>
      <c r="C65" s="25"/>
      <c r="D65" s="101"/>
      <c r="E65" s="101"/>
      <c r="F65" s="26">
        <f>SUMPRODUCT(F54:F64,$Q$54:$Q$64)</f>
        <v>0.34107120115955414</v>
      </c>
      <c r="G65" s="26">
        <f t="shared" ref="G65:P65" si="14">SUMPRODUCT(G54:G64,$Q$54:$Q$64)</f>
        <v>4.8569169448640315E-2</v>
      </c>
      <c r="H65" s="26">
        <f t="shared" si="14"/>
        <v>2.305014188926904E-2</v>
      </c>
      <c r="I65" s="26">
        <f t="shared" si="14"/>
        <v>0.17999034665000382</v>
      </c>
      <c r="J65" s="26"/>
      <c r="K65" s="26">
        <f t="shared" si="14"/>
        <v>3.4620203909351374E-2</v>
      </c>
      <c r="L65" s="26"/>
      <c r="M65" s="26">
        <f t="shared" si="14"/>
        <v>0</v>
      </c>
      <c r="N65" s="26">
        <f t="shared" si="14"/>
        <v>2.9741171225244414E-2</v>
      </c>
      <c r="O65" s="26">
        <f t="shared" si="14"/>
        <v>1.4366525994432972E-2</v>
      </c>
      <c r="P65" s="26">
        <f t="shared" si="14"/>
        <v>1.0733642042612143E-2</v>
      </c>
      <c r="Q65" s="200"/>
    </row>
    <row r="66" spans="1:17" x14ac:dyDescent="0.3">
      <c r="A66" s="21" t="s">
        <v>333</v>
      </c>
      <c r="B66" s="16" t="s">
        <v>172</v>
      </c>
      <c r="C66" s="16" t="s">
        <v>334</v>
      </c>
      <c r="D66" s="22" t="s">
        <v>58</v>
      </c>
      <c r="E66" s="22" t="s">
        <v>59</v>
      </c>
      <c r="F66" s="197">
        <f>SUM(G66:P66)</f>
        <v>0.3569765535539059</v>
      </c>
      <c r="G66" s="79">
        <v>6.4330297358443381E-2</v>
      </c>
      <c r="H66" s="13">
        <v>2.7E-2</v>
      </c>
      <c r="I66" s="15">
        <v>0.19</v>
      </c>
      <c r="J66" s="13"/>
      <c r="K66" s="79">
        <v>4.0808656195462478E-2</v>
      </c>
      <c r="L66" s="13"/>
      <c r="M66" s="13">
        <v>0</v>
      </c>
      <c r="N66" s="79">
        <v>3.4837600000000003E-2</v>
      </c>
      <c r="O66" s="13"/>
      <c r="Q66" s="199">
        <f>'Parameters, country spec'!G21</f>
        <v>0.24551366744057773</v>
      </c>
    </row>
    <row r="67" spans="1:17" x14ac:dyDescent="0.3">
      <c r="A67" s="21" t="s">
        <v>335</v>
      </c>
      <c r="B67" s="16" t="s">
        <v>174</v>
      </c>
      <c r="C67" s="16" t="s">
        <v>334</v>
      </c>
      <c r="D67" s="22" t="s">
        <v>58</v>
      </c>
      <c r="E67" s="22" t="s">
        <v>59</v>
      </c>
      <c r="F67" s="197">
        <f t="shared" ref="F67:F76" si="15">SUM(G67:P67)</f>
        <v>0.34238359782823441</v>
      </c>
      <c r="G67" s="79">
        <v>6.2649071876813428E-2</v>
      </c>
      <c r="H67" s="13">
        <v>2.7E-2</v>
      </c>
      <c r="I67" s="15">
        <v>0.19</v>
      </c>
      <c r="J67" s="13"/>
      <c r="K67" s="79">
        <v>2.7896925951420983E-2</v>
      </c>
      <c r="L67" s="13"/>
      <c r="M67" s="13">
        <v>0</v>
      </c>
      <c r="N67" s="79">
        <v>3.4837600000000003E-2</v>
      </c>
      <c r="O67" s="13"/>
      <c r="Q67" s="199">
        <f>'Parameters, country spec'!G22</f>
        <v>2.5654510704344589E-3</v>
      </c>
    </row>
    <row r="68" spans="1:17" x14ac:dyDescent="0.3">
      <c r="A68" s="21" t="s">
        <v>336</v>
      </c>
      <c r="B68" s="16" t="s">
        <v>175</v>
      </c>
      <c r="C68" s="16" t="s">
        <v>334</v>
      </c>
      <c r="D68" s="22" t="s">
        <v>58</v>
      </c>
      <c r="E68" s="22" t="s">
        <v>59</v>
      </c>
      <c r="F68" s="197">
        <f t="shared" si="15"/>
        <v>0.35522536975783686</v>
      </c>
      <c r="G68" s="79">
        <v>5.6711069109087971E-2</v>
      </c>
      <c r="H68" s="13">
        <v>2.7E-2</v>
      </c>
      <c r="I68" s="15">
        <v>0.19</v>
      </c>
      <c r="J68" s="13"/>
      <c r="K68" s="79">
        <v>4.6676700648748841E-2</v>
      </c>
      <c r="L68" s="13"/>
      <c r="M68" s="13">
        <v>0</v>
      </c>
      <c r="N68" s="79">
        <v>3.4837600000000003E-2</v>
      </c>
      <c r="O68" s="13"/>
      <c r="Q68" s="199">
        <f>'Parameters, country spec'!G23</f>
        <v>4.1303762233994797E-2</v>
      </c>
    </row>
    <row r="69" spans="1:17" x14ac:dyDescent="0.3">
      <c r="A69" s="21" t="s">
        <v>337</v>
      </c>
      <c r="B69" s="16" t="s">
        <v>176</v>
      </c>
      <c r="C69" s="16" t="s">
        <v>334</v>
      </c>
      <c r="D69" s="22" t="s">
        <v>58</v>
      </c>
      <c r="E69" s="22" t="s">
        <v>59</v>
      </c>
      <c r="F69" s="197">
        <f t="shared" si="15"/>
        <v>0.33256180694350668</v>
      </c>
      <c r="G69" s="79">
        <v>4.99522666930306E-2</v>
      </c>
      <c r="H69" s="13">
        <v>2.7E-2</v>
      </c>
      <c r="I69" s="13">
        <v>0.19</v>
      </c>
      <c r="J69" s="13"/>
      <c r="K69" s="79">
        <v>3.0771940250476016E-2</v>
      </c>
      <c r="L69" s="13"/>
      <c r="M69" s="13">
        <v>0</v>
      </c>
      <c r="N69" s="79">
        <v>3.4837600000000003E-2</v>
      </c>
      <c r="O69" s="13"/>
      <c r="Q69" s="199">
        <f>'Parameters, country spec'!G24</f>
        <v>2.6167600918431479E-2</v>
      </c>
    </row>
    <row r="70" spans="1:17" x14ac:dyDescent="0.3">
      <c r="A70" s="21" t="s">
        <v>338</v>
      </c>
      <c r="B70" s="16" t="s">
        <v>177</v>
      </c>
      <c r="C70" s="16" t="s">
        <v>334</v>
      </c>
      <c r="D70" s="22" t="s">
        <v>58</v>
      </c>
      <c r="E70" s="22" t="s">
        <v>59</v>
      </c>
      <c r="F70" s="197">
        <f t="shared" si="15"/>
        <v>0.35472897058825098</v>
      </c>
      <c r="G70" s="79">
        <v>7.3741076533864705E-2</v>
      </c>
      <c r="H70" s="13">
        <v>2.7E-2</v>
      </c>
      <c r="I70" s="13">
        <v>0.19</v>
      </c>
      <c r="J70" s="13"/>
      <c r="K70" s="79">
        <v>2.9150294054386239E-2</v>
      </c>
      <c r="L70" s="13"/>
      <c r="M70" s="13">
        <v>0</v>
      </c>
      <c r="N70" s="79">
        <v>3.4837600000000003E-2</v>
      </c>
      <c r="O70" s="13"/>
      <c r="Q70" s="199">
        <f>'Parameters, country spec'!G25</f>
        <v>0.30682794802396129</v>
      </c>
    </row>
    <row r="71" spans="1:17" x14ac:dyDescent="0.3">
      <c r="A71" s="21" t="s">
        <v>339</v>
      </c>
      <c r="B71" s="16" t="s">
        <v>178</v>
      </c>
      <c r="C71" s="16" t="s">
        <v>340</v>
      </c>
      <c r="D71" s="22" t="s">
        <v>58</v>
      </c>
      <c r="E71" s="22" t="s">
        <v>59</v>
      </c>
      <c r="F71" s="197">
        <f t="shared" si="15"/>
        <v>0.43885153790044362</v>
      </c>
      <c r="G71" s="79">
        <v>0</v>
      </c>
      <c r="H71" s="13">
        <v>2.7E-2</v>
      </c>
      <c r="I71" s="15">
        <v>0.32</v>
      </c>
      <c r="J71" s="13"/>
      <c r="K71" s="79">
        <v>5.7013937900443575E-2</v>
      </c>
      <c r="L71" s="15"/>
      <c r="M71" s="13">
        <v>0</v>
      </c>
      <c r="N71" s="79">
        <v>3.4837600000000003E-2</v>
      </c>
      <c r="O71" s="13"/>
      <c r="Q71" s="199">
        <f>'Parameters, country spec'!G26</f>
        <v>4.6178119267820264E-3</v>
      </c>
    </row>
    <row r="72" spans="1:17" x14ac:dyDescent="0.3">
      <c r="A72" s="21" t="s">
        <v>341</v>
      </c>
      <c r="B72" s="16" t="s">
        <v>179</v>
      </c>
      <c r="C72" s="16" t="s">
        <v>340</v>
      </c>
      <c r="D72" s="22" t="s">
        <v>58</v>
      </c>
      <c r="E72" s="22" t="s">
        <v>59</v>
      </c>
      <c r="F72" s="197">
        <f t="shared" si="15"/>
        <v>0.47030675448840648</v>
      </c>
      <c r="G72" s="79">
        <v>3.1688167106286749E-3</v>
      </c>
      <c r="H72" s="13">
        <v>2.7E-2</v>
      </c>
      <c r="I72" s="15">
        <v>0.32</v>
      </c>
      <c r="J72" s="13"/>
      <c r="K72" s="79">
        <v>8.530033777777779E-2</v>
      </c>
      <c r="L72" s="13"/>
      <c r="M72" s="13">
        <v>0</v>
      </c>
      <c r="N72" s="79">
        <v>3.4837600000000003E-2</v>
      </c>
      <c r="O72" s="13"/>
      <c r="Q72" s="199">
        <f>'Parameters, country spec'!G27</f>
        <v>5.3104837157993301E-2</v>
      </c>
    </row>
    <row r="73" spans="1:17" x14ac:dyDescent="0.3">
      <c r="B73" s="17" t="s">
        <v>180</v>
      </c>
      <c r="C73" s="16" t="s">
        <v>342</v>
      </c>
      <c r="D73" s="22" t="s">
        <v>58</v>
      </c>
      <c r="E73" s="22" t="s">
        <v>59</v>
      </c>
      <c r="F73" s="222">
        <f t="shared" si="15"/>
        <v>0.2869642483479431</v>
      </c>
      <c r="G73" s="19">
        <f>'Processed feed'!$F$34</f>
        <v>4.6516123381761657E-2</v>
      </c>
      <c r="H73" s="19">
        <f>'Processed feed'!$G$34</f>
        <v>1.7031692380172825E-2</v>
      </c>
      <c r="I73" s="19">
        <f>'Processed feed'!$H$34</f>
        <v>0.11985265008269767</v>
      </c>
      <c r="J73" s="19"/>
      <c r="K73" s="19">
        <f>'Processed feed'!$J$34</f>
        <v>1.8388105226884718E-2</v>
      </c>
      <c r="L73" s="19"/>
      <c r="M73" s="148">
        <f>'Processed feed'!$L$34</f>
        <v>0</v>
      </c>
      <c r="N73" s="19">
        <f>'Processed feed'!$M$34</f>
        <v>2.1975677276426256E-2</v>
      </c>
      <c r="O73" s="19"/>
      <c r="P73" s="19">
        <f>'Processed feed'!$O$34</f>
        <v>6.3200000000000006E-2</v>
      </c>
      <c r="Q73" s="199">
        <f>'Parameters, country spec'!G28</f>
        <v>2.7193781346605266E-2</v>
      </c>
    </row>
    <row r="74" spans="1:17" x14ac:dyDescent="0.3">
      <c r="B74" s="17" t="s">
        <v>343</v>
      </c>
      <c r="C74" s="16" t="s">
        <v>342</v>
      </c>
      <c r="D74" s="22" t="s">
        <v>58</v>
      </c>
      <c r="E74" s="22" t="s">
        <v>59</v>
      </c>
      <c r="F74" s="222">
        <f t="shared" si="15"/>
        <v>1.1071334743047214</v>
      </c>
      <c r="G74" s="19">
        <f>'Processed feed'!$F$39</f>
        <v>0</v>
      </c>
      <c r="H74" s="19">
        <f>'Processed feed'!$G$39</f>
        <v>2.8063257713868049E-2</v>
      </c>
      <c r="I74" s="19">
        <f>'Processed feed'!$H$39</f>
        <v>0.33260157290510284</v>
      </c>
      <c r="J74" s="19"/>
      <c r="K74" s="19">
        <f>'Processed feed'!$J$39</f>
        <v>5.9259141947504347E-2</v>
      </c>
      <c r="L74" s="19"/>
      <c r="M74" s="148">
        <f>'Processed feed'!$L$39</f>
        <v>0</v>
      </c>
      <c r="N74" s="19">
        <f>'Processed feed'!$M$39</f>
        <v>3.6209501738246289E-2</v>
      </c>
      <c r="O74" s="19">
        <f>'Processed feed'!$N$39</f>
        <v>0.4</v>
      </c>
      <c r="P74" s="19">
        <f>'Processed feed'!$O$39</f>
        <v>0.251</v>
      </c>
      <c r="Q74" s="199">
        <f>'Parameters, country spec'!G29</f>
        <v>3.5916314986082429E-2</v>
      </c>
    </row>
    <row r="75" spans="1:17" x14ac:dyDescent="0.3">
      <c r="B75" s="16" t="s">
        <v>182</v>
      </c>
      <c r="C75" s="16" t="s">
        <v>344</v>
      </c>
      <c r="D75" s="22" t="s">
        <v>58</v>
      </c>
      <c r="E75" s="22" t="s">
        <v>59</v>
      </c>
      <c r="F75" s="222"/>
      <c r="G75" s="106"/>
      <c r="H75" s="7"/>
      <c r="I75" s="105"/>
      <c r="J75" s="7"/>
      <c r="K75" s="106"/>
      <c r="L75" s="7"/>
      <c r="M75" s="7"/>
      <c r="N75" s="106"/>
      <c r="O75" s="7"/>
      <c r="P75" s="7"/>
      <c r="Q75" s="199">
        <f>'Parameters, country spec'!G30</f>
        <v>0.13313408330019627</v>
      </c>
    </row>
    <row r="76" spans="1:17" x14ac:dyDescent="0.3">
      <c r="A76" s="82"/>
      <c r="B76" s="16" t="s">
        <v>345</v>
      </c>
      <c r="C76" s="83" t="s">
        <v>346</v>
      </c>
      <c r="D76" s="22" t="s">
        <v>58</v>
      </c>
      <c r="E76" s="22" t="s">
        <v>59</v>
      </c>
      <c r="F76" s="222">
        <f t="shared" si="15"/>
        <v>0.37010359041258334</v>
      </c>
      <c r="G76" s="80">
        <f t="shared" ref="G76:N76" si="16">AVERAGE(G66:G74)</f>
        <v>3.9674302407070046E-2</v>
      </c>
      <c r="H76" s="80">
        <f t="shared" si="16"/>
        <v>2.6010550010448986E-2</v>
      </c>
      <c r="I76" s="80">
        <f t="shared" si="16"/>
        <v>0.22693935810975566</v>
      </c>
      <c r="J76" s="80"/>
      <c r="K76" s="80">
        <f t="shared" si="16"/>
        <v>4.3918448883678338E-2</v>
      </c>
      <c r="L76" s="80"/>
      <c r="M76" s="80">
        <f t="shared" si="16"/>
        <v>0</v>
      </c>
      <c r="N76" s="80">
        <f t="shared" si="16"/>
        <v>3.3560931001630281E-2</v>
      </c>
      <c r="O76" s="80"/>
      <c r="P76" s="80"/>
      <c r="Q76" s="199">
        <f>'Parameters, country spec'!G31</f>
        <v>0.1236547415949409</v>
      </c>
    </row>
    <row r="77" spans="1:17" x14ac:dyDescent="0.3">
      <c r="A77" s="198"/>
      <c r="B77" s="24" t="s">
        <v>347</v>
      </c>
      <c r="C77" s="25"/>
      <c r="D77" s="101"/>
      <c r="E77" s="101"/>
      <c r="F77" s="26">
        <f>SUMPRODUCT(F66:F76,$Q$66:$Q$76)</f>
        <v>0.34107120115955414</v>
      </c>
      <c r="G77" s="26">
        <f t="shared" ref="G77:P77" si="17">SUMPRODUCT(G66:G76,$Q$66:$Q$76)</f>
        <v>4.8569169448640315E-2</v>
      </c>
      <c r="H77" s="26">
        <f t="shared" si="17"/>
        <v>2.305014188926904E-2</v>
      </c>
      <c r="I77" s="26">
        <f t="shared" si="17"/>
        <v>0.17999034665000382</v>
      </c>
      <c r="J77" s="26"/>
      <c r="K77" s="26">
        <f t="shared" si="17"/>
        <v>3.4620203909351374E-2</v>
      </c>
      <c r="L77" s="26"/>
      <c r="M77" s="26">
        <f t="shared" si="17"/>
        <v>0</v>
      </c>
      <c r="N77" s="26">
        <f t="shared" si="17"/>
        <v>2.9741171225244414E-2</v>
      </c>
      <c r="O77" s="26">
        <f t="shared" si="17"/>
        <v>1.4366525994432972E-2</v>
      </c>
      <c r="P77" s="26">
        <f t="shared" si="17"/>
        <v>1.0733642042612143E-2</v>
      </c>
      <c r="Q77" s="200"/>
    </row>
    <row r="78" spans="1:17" x14ac:dyDescent="0.3">
      <c r="A78" s="21" t="s">
        <v>333</v>
      </c>
      <c r="B78" s="16" t="s">
        <v>172</v>
      </c>
      <c r="C78" s="16" t="s">
        <v>334</v>
      </c>
      <c r="D78" s="22" t="s">
        <v>60</v>
      </c>
      <c r="E78" s="22" t="s">
        <v>61</v>
      </c>
      <c r="F78" s="197">
        <f>SUM(G78:P78)</f>
        <v>0.3569765535539059</v>
      </c>
      <c r="G78" s="79">
        <v>6.4330297358443381E-2</v>
      </c>
      <c r="H78" s="13">
        <v>2.7E-2</v>
      </c>
      <c r="I78" s="15">
        <v>0.19</v>
      </c>
      <c r="J78" s="13"/>
      <c r="K78" s="79">
        <v>4.0808656195462478E-2</v>
      </c>
      <c r="L78" s="13"/>
      <c r="M78" s="13">
        <v>0</v>
      </c>
      <c r="N78" s="79">
        <v>3.4837600000000003E-2</v>
      </c>
      <c r="O78" s="13"/>
      <c r="Q78" s="199">
        <f>'Parameters, country spec'!H21</f>
        <v>0.24551366744057773</v>
      </c>
    </row>
    <row r="79" spans="1:17" x14ac:dyDescent="0.3">
      <c r="A79" s="21" t="s">
        <v>335</v>
      </c>
      <c r="B79" s="16" t="s">
        <v>174</v>
      </c>
      <c r="C79" s="16" t="s">
        <v>334</v>
      </c>
      <c r="D79" s="22" t="s">
        <v>60</v>
      </c>
      <c r="E79" s="22" t="s">
        <v>61</v>
      </c>
      <c r="F79" s="197">
        <f t="shared" ref="F79:F88" si="18">SUM(G79:P79)</f>
        <v>0.34238359782823441</v>
      </c>
      <c r="G79" s="79">
        <v>6.2649071876813428E-2</v>
      </c>
      <c r="H79" s="13">
        <v>2.7E-2</v>
      </c>
      <c r="I79" s="15">
        <v>0.19</v>
      </c>
      <c r="J79" s="13"/>
      <c r="K79" s="79">
        <v>2.7896925951420983E-2</v>
      </c>
      <c r="L79" s="13"/>
      <c r="M79" s="13">
        <v>0</v>
      </c>
      <c r="N79" s="79">
        <v>3.4837600000000003E-2</v>
      </c>
      <c r="O79" s="13"/>
      <c r="Q79" s="199">
        <f>'Parameters, country spec'!H22</f>
        <v>2.5654510704344589E-3</v>
      </c>
    </row>
    <row r="80" spans="1:17" x14ac:dyDescent="0.3">
      <c r="A80" s="21" t="s">
        <v>336</v>
      </c>
      <c r="B80" s="16" t="s">
        <v>175</v>
      </c>
      <c r="C80" s="16" t="s">
        <v>334</v>
      </c>
      <c r="D80" s="22" t="s">
        <v>60</v>
      </c>
      <c r="E80" s="22" t="s">
        <v>61</v>
      </c>
      <c r="F80" s="197">
        <f t="shared" si="18"/>
        <v>0.35522536975783686</v>
      </c>
      <c r="G80" s="79">
        <v>5.6711069109087971E-2</v>
      </c>
      <c r="H80" s="13">
        <v>2.7E-2</v>
      </c>
      <c r="I80" s="15">
        <v>0.19</v>
      </c>
      <c r="J80" s="13"/>
      <c r="K80" s="79">
        <v>4.6676700648748841E-2</v>
      </c>
      <c r="L80" s="13"/>
      <c r="M80" s="13">
        <v>0</v>
      </c>
      <c r="N80" s="79">
        <v>3.4837600000000003E-2</v>
      </c>
      <c r="O80" s="13"/>
      <c r="Q80" s="199">
        <f>'Parameters, country spec'!H23</f>
        <v>4.1303762233994797E-2</v>
      </c>
    </row>
    <row r="81" spans="1:17" x14ac:dyDescent="0.3">
      <c r="A81" s="21" t="s">
        <v>337</v>
      </c>
      <c r="B81" s="16" t="s">
        <v>176</v>
      </c>
      <c r="C81" s="16" t="s">
        <v>334</v>
      </c>
      <c r="D81" s="22" t="s">
        <v>60</v>
      </c>
      <c r="E81" s="22" t="s">
        <v>61</v>
      </c>
      <c r="F81" s="197">
        <f t="shared" si="18"/>
        <v>0.33256180694350668</v>
      </c>
      <c r="G81" s="79">
        <v>4.99522666930306E-2</v>
      </c>
      <c r="H81" s="13">
        <v>2.7E-2</v>
      </c>
      <c r="I81" s="13">
        <v>0.19</v>
      </c>
      <c r="J81" s="13"/>
      <c r="K81" s="79">
        <v>3.0771940250476016E-2</v>
      </c>
      <c r="L81" s="13"/>
      <c r="M81" s="13">
        <v>0</v>
      </c>
      <c r="N81" s="79">
        <v>3.4837600000000003E-2</v>
      </c>
      <c r="O81" s="13"/>
      <c r="Q81" s="199">
        <f>'Parameters, country spec'!H24</f>
        <v>2.6167600918431479E-2</v>
      </c>
    </row>
    <row r="82" spans="1:17" x14ac:dyDescent="0.3">
      <c r="A82" s="21" t="s">
        <v>338</v>
      </c>
      <c r="B82" s="16" t="s">
        <v>177</v>
      </c>
      <c r="C82" s="16" t="s">
        <v>334</v>
      </c>
      <c r="D82" s="22" t="s">
        <v>60</v>
      </c>
      <c r="E82" s="22" t="s">
        <v>61</v>
      </c>
      <c r="F82" s="197">
        <f t="shared" si="18"/>
        <v>0.35472897058825098</v>
      </c>
      <c r="G82" s="79">
        <v>7.3741076533864705E-2</v>
      </c>
      <c r="H82" s="13">
        <v>2.7E-2</v>
      </c>
      <c r="I82" s="13">
        <v>0.19</v>
      </c>
      <c r="J82" s="13"/>
      <c r="K82" s="79">
        <v>2.9150294054386239E-2</v>
      </c>
      <c r="L82" s="13"/>
      <c r="M82" s="13">
        <v>0</v>
      </c>
      <c r="N82" s="79">
        <v>3.4837600000000003E-2</v>
      </c>
      <c r="O82" s="13"/>
      <c r="Q82" s="199">
        <f>'Parameters, country spec'!H25</f>
        <v>0.30682794802396129</v>
      </c>
    </row>
    <row r="83" spans="1:17" x14ac:dyDescent="0.3">
      <c r="A83" s="21" t="s">
        <v>339</v>
      </c>
      <c r="B83" s="16" t="s">
        <v>178</v>
      </c>
      <c r="C83" s="16" t="s">
        <v>340</v>
      </c>
      <c r="D83" s="22" t="s">
        <v>60</v>
      </c>
      <c r="E83" s="22" t="s">
        <v>61</v>
      </c>
      <c r="F83" s="197">
        <f t="shared" si="18"/>
        <v>0.43885153790044362</v>
      </c>
      <c r="G83" s="79">
        <v>0</v>
      </c>
      <c r="H83" s="13">
        <v>2.7E-2</v>
      </c>
      <c r="I83" s="15">
        <v>0.32</v>
      </c>
      <c r="J83" s="13"/>
      <c r="K83" s="79">
        <v>5.7013937900443575E-2</v>
      </c>
      <c r="L83" s="15"/>
      <c r="M83" s="13">
        <v>0</v>
      </c>
      <c r="N83" s="79">
        <v>3.4837600000000003E-2</v>
      </c>
      <c r="O83" s="13"/>
      <c r="Q83" s="199">
        <f>'Parameters, country spec'!H26</f>
        <v>4.6178119267820264E-3</v>
      </c>
    </row>
    <row r="84" spans="1:17" x14ac:dyDescent="0.3">
      <c r="A84" s="21" t="s">
        <v>341</v>
      </c>
      <c r="B84" s="16" t="s">
        <v>179</v>
      </c>
      <c r="C84" s="16" t="s">
        <v>340</v>
      </c>
      <c r="D84" s="22" t="s">
        <v>60</v>
      </c>
      <c r="E84" s="22" t="s">
        <v>61</v>
      </c>
      <c r="F84" s="197">
        <f t="shared" si="18"/>
        <v>0.47030675448840648</v>
      </c>
      <c r="G84" s="79">
        <v>3.1688167106286749E-3</v>
      </c>
      <c r="H84" s="13">
        <v>2.7E-2</v>
      </c>
      <c r="I84" s="15">
        <v>0.32</v>
      </c>
      <c r="J84" s="13"/>
      <c r="K84" s="79">
        <v>8.530033777777779E-2</v>
      </c>
      <c r="L84" s="13"/>
      <c r="M84" s="13">
        <v>0</v>
      </c>
      <c r="N84" s="79">
        <v>3.4837600000000003E-2</v>
      </c>
      <c r="O84" s="13"/>
      <c r="Q84" s="199">
        <f>'Parameters, country spec'!H27</f>
        <v>5.3104837157993301E-2</v>
      </c>
    </row>
    <row r="85" spans="1:17" x14ac:dyDescent="0.3">
      <c r="B85" s="17" t="s">
        <v>180</v>
      </c>
      <c r="C85" s="16" t="s">
        <v>342</v>
      </c>
      <c r="D85" s="22" t="s">
        <v>60</v>
      </c>
      <c r="E85" s="22" t="s">
        <v>61</v>
      </c>
      <c r="F85" s="222">
        <f t="shared" si="18"/>
        <v>0.2869642483479431</v>
      </c>
      <c r="G85" s="19">
        <f>'Processed feed'!$F$34</f>
        <v>4.6516123381761657E-2</v>
      </c>
      <c r="H85" s="19">
        <f>'Processed feed'!$G$34</f>
        <v>1.7031692380172825E-2</v>
      </c>
      <c r="I85" s="19">
        <f>'Processed feed'!$H$34</f>
        <v>0.11985265008269767</v>
      </c>
      <c r="J85" s="19"/>
      <c r="K85" s="19">
        <f>'Processed feed'!$J$34</f>
        <v>1.8388105226884718E-2</v>
      </c>
      <c r="L85" s="19"/>
      <c r="M85" s="148">
        <f>'Processed feed'!$L$34</f>
        <v>0</v>
      </c>
      <c r="N85" s="19">
        <f>'Processed feed'!$M$34</f>
        <v>2.1975677276426256E-2</v>
      </c>
      <c r="O85" s="19"/>
      <c r="P85" s="19">
        <f>'Processed feed'!$O$34</f>
        <v>6.3200000000000006E-2</v>
      </c>
      <c r="Q85" s="199">
        <f>'Parameters, country spec'!H28</f>
        <v>2.7193781346605266E-2</v>
      </c>
    </row>
    <row r="86" spans="1:17" x14ac:dyDescent="0.3">
      <c r="B86" s="17" t="s">
        <v>343</v>
      </c>
      <c r="C86" s="16" t="s">
        <v>342</v>
      </c>
      <c r="D86" s="22" t="s">
        <v>60</v>
      </c>
      <c r="E86" s="22" t="s">
        <v>61</v>
      </c>
      <c r="F86" s="222">
        <f t="shared" si="18"/>
        <v>1.1071334743047214</v>
      </c>
      <c r="G86" s="19">
        <f>'Processed feed'!$F$39</f>
        <v>0</v>
      </c>
      <c r="H86" s="19">
        <f>'Processed feed'!$G$39</f>
        <v>2.8063257713868049E-2</v>
      </c>
      <c r="I86" s="19">
        <f>'Processed feed'!$H$39</f>
        <v>0.33260157290510284</v>
      </c>
      <c r="J86" s="19"/>
      <c r="K86" s="19">
        <f>'Processed feed'!$J$39</f>
        <v>5.9259141947504347E-2</v>
      </c>
      <c r="L86" s="19"/>
      <c r="M86" s="148">
        <f>'Processed feed'!$L$39</f>
        <v>0</v>
      </c>
      <c r="N86" s="19">
        <f>'Processed feed'!$M$39</f>
        <v>3.6209501738246289E-2</v>
      </c>
      <c r="O86" s="19">
        <f>'Processed feed'!$N$39</f>
        <v>0.4</v>
      </c>
      <c r="P86" s="19">
        <f>'Processed feed'!$O$39</f>
        <v>0.251</v>
      </c>
      <c r="Q86" s="199">
        <f>'Parameters, country spec'!H29</f>
        <v>3.5916314986082429E-2</v>
      </c>
    </row>
    <row r="87" spans="1:17" x14ac:dyDescent="0.3">
      <c r="B87" s="16" t="s">
        <v>182</v>
      </c>
      <c r="C87" s="16" t="s">
        <v>344</v>
      </c>
      <c r="D87" s="22" t="s">
        <v>60</v>
      </c>
      <c r="E87" s="22" t="s">
        <v>61</v>
      </c>
      <c r="F87" s="222"/>
      <c r="G87" s="106"/>
      <c r="H87" s="7"/>
      <c r="I87" s="105"/>
      <c r="J87" s="7"/>
      <c r="K87" s="106"/>
      <c r="L87" s="7"/>
      <c r="M87" s="7"/>
      <c r="N87" s="106"/>
      <c r="O87" s="7"/>
      <c r="P87" s="7"/>
      <c r="Q87" s="199">
        <f>'Parameters, country spec'!H30</f>
        <v>0.13313408330019627</v>
      </c>
    </row>
    <row r="88" spans="1:17" x14ac:dyDescent="0.3">
      <c r="A88" s="82"/>
      <c r="B88" s="16" t="s">
        <v>345</v>
      </c>
      <c r="C88" s="83" t="s">
        <v>346</v>
      </c>
      <c r="D88" s="22" t="s">
        <v>60</v>
      </c>
      <c r="E88" s="22" t="s">
        <v>61</v>
      </c>
      <c r="F88" s="222">
        <f t="shared" si="18"/>
        <v>0.37010359041258334</v>
      </c>
      <c r="G88" s="80">
        <f t="shared" ref="G88:N88" si="19">AVERAGE(G78:G86)</f>
        <v>3.9674302407070046E-2</v>
      </c>
      <c r="H88" s="80">
        <f t="shared" si="19"/>
        <v>2.6010550010448986E-2</v>
      </c>
      <c r="I88" s="80">
        <f t="shared" si="19"/>
        <v>0.22693935810975566</v>
      </c>
      <c r="J88" s="80"/>
      <c r="K88" s="80">
        <f t="shared" si="19"/>
        <v>4.3918448883678338E-2</v>
      </c>
      <c r="L88" s="80"/>
      <c r="M88" s="80">
        <f t="shared" si="19"/>
        <v>0</v>
      </c>
      <c r="N88" s="80">
        <f t="shared" si="19"/>
        <v>3.3560931001630281E-2</v>
      </c>
      <c r="O88" s="80"/>
      <c r="P88" s="80"/>
      <c r="Q88" s="199">
        <f>'Parameters, country spec'!H31</f>
        <v>0.1236547415949409</v>
      </c>
    </row>
    <row r="89" spans="1:17" x14ac:dyDescent="0.3">
      <c r="A89" s="198"/>
      <c r="B89" s="24" t="s">
        <v>347</v>
      </c>
      <c r="C89" s="25"/>
      <c r="D89" s="101"/>
      <c r="E89" s="101"/>
      <c r="F89" s="26">
        <f>SUMPRODUCT(F78:F88,$Q$78:$Q$88)</f>
        <v>0.34107120115955414</v>
      </c>
      <c r="G89" s="26">
        <f t="shared" ref="G89:P89" si="20">SUMPRODUCT(G78:G88,$Q$78:$Q$88)</f>
        <v>4.8569169448640315E-2</v>
      </c>
      <c r="H89" s="26">
        <f t="shared" si="20"/>
        <v>2.305014188926904E-2</v>
      </c>
      <c r="I89" s="26">
        <f t="shared" si="20"/>
        <v>0.17999034665000382</v>
      </c>
      <c r="J89" s="26"/>
      <c r="K89" s="26">
        <f t="shared" si="20"/>
        <v>3.4620203909351374E-2</v>
      </c>
      <c r="L89" s="26"/>
      <c r="M89" s="26">
        <f t="shared" si="20"/>
        <v>0</v>
      </c>
      <c r="N89" s="26">
        <f t="shared" si="20"/>
        <v>2.9741171225244414E-2</v>
      </c>
      <c r="O89" s="26">
        <f t="shared" si="20"/>
        <v>1.4366525994432972E-2</v>
      </c>
      <c r="P89" s="26">
        <f t="shared" si="20"/>
        <v>1.0733642042612143E-2</v>
      </c>
      <c r="Q89" s="200"/>
    </row>
    <row r="90" spans="1:17" x14ac:dyDescent="0.3">
      <c r="A90" s="21" t="s">
        <v>333</v>
      </c>
      <c r="B90" s="16" t="s">
        <v>172</v>
      </c>
      <c r="C90" s="16" t="s">
        <v>334</v>
      </c>
      <c r="D90" s="22" t="s">
        <v>62</v>
      </c>
      <c r="E90" s="22" t="s">
        <v>63</v>
      </c>
      <c r="F90" s="197">
        <f>SUM(G90:P90)</f>
        <v>0.3569765535539059</v>
      </c>
      <c r="G90" s="79">
        <v>6.4330297358443381E-2</v>
      </c>
      <c r="H90" s="13">
        <v>2.7E-2</v>
      </c>
      <c r="I90" s="15">
        <v>0.19</v>
      </c>
      <c r="J90" s="13"/>
      <c r="K90" s="79">
        <v>4.0808656195462478E-2</v>
      </c>
      <c r="L90" s="13"/>
      <c r="M90" s="13">
        <v>0</v>
      </c>
      <c r="N90" s="79">
        <v>3.4837600000000003E-2</v>
      </c>
      <c r="O90" s="13"/>
      <c r="Q90" s="199">
        <f>'Parameters, country spec'!I21</f>
        <v>0.24551366744057773</v>
      </c>
    </row>
    <row r="91" spans="1:17" x14ac:dyDescent="0.3">
      <c r="A91" s="21" t="s">
        <v>335</v>
      </c>
      <c r="B91" s="16" t="s">
        <v>174</v>
      </c>
      <c r="C91" s="16" t="s">
        <v>334</v>
      </c>
      <c r="D91" s="22" t="s">
        <v>62</v>
      </c>
      <c r="E91" s="22" t="s">
        <v>63</v>
      </c>
      <c r="F91" s="197">
        <f t="shared" ref="F91:F100" si="21">SUM(G91:P91)</f>
        <v>0.34238359782823441</v>
      </c>
      <c r="G91" s="79">
        <v>6.2649071876813428E-2</v>
      </c>
      <c r="H91" s="13">
        <v>2.7E-2</v>
      </c>
      <c r="I91" s="15">
        <v>0.19</v>
      </c>
      <c r="J91" s="13"/>
      <c r="K91" s="79">
        <v>2.7896925951420983E-2</v>
      </c>
      <c r="L91" s="13"/>
      <c r="M91" s="13">
        <v>0</v>
      </c>
      <c r="N91" s="79">
        <v>3.4837600000000003E-2</v>
      </c>
      <c r="O91" s="13"/>
      <c r="Q91" s="199">
        <f>'Parameters, country spec'!I22</f>
        <v>2.5654510704344589E-3</v>
      </c>
    </row>
    <row r="92" spans="1:17" x14ac:dyDescent="0.3">
      <c r="A92" s="21" t="s">
        <v>336</v>
      </c>
      <c r="B92" s="16" t="s">
        <v>175</v>
      </c>
      <c r="C92" s="16" t="s">
        <v>334</v>
      </c>
      <c r="D92" s="22" t="s">
        <v>62</v>
      </c>
      <c r="E92" s="22" t="s">
        <v>63</v>
      </c>
      <c r="F92" s="197">
        <f t="shared" si="21"/>
        <v>0.35522536975783686</v>
      </c>
      <c r="G92" s="79">
        <v>5.6711069109087971E-2</v>
      </c>
      <c r="H92" s="13">
        <v>2.7E-2</v>
      </c>
      <c r="I92" s="15">
        <v>0.19</v>
      </c>
      <c r="J92" s="13"/>
      <c r="K92" s="79">
        <v>4.6676700648748841E-2</v>
      </c>
      <c r="L92" s="13"/>
      <c r="M92" s="13">
        <v>0</v>
      </c>
      <c r="N92" s="79">
        <v>3.4837600000000003E-2</v>
      </c>
      <c r="O92" s="13"/>
      <c r="Q92" s="199">
        <f>'Parameters, country spec'!I23</f>
        <v>4.1303762233994797E-2</v>
      </c>
    </row>
    <row r="93" spans="1:17" x14ac:dyDescent="0.3">
      <c r="A93" s="21" t="s">
        <v>337</v>
      </c>
      <c r="B93" s="16" t="s">
        <v>176</v>
      </c>
      <c r="C93" s="16" t="s">
        <v>334</v>
      </c>
      <c r="D93" s="22" t="s">
        <v>62</v>
      </c>
      <c r="E93" s="22" t="s">
        <v>63</v>
      </c>
      <c r="F93" s="197">
        <f t="shared" si="21"/>
        <v>0.33256180694350668</v>
      </c>
      <c r="G93" s="79">
        <v>4.99522666930306E-2</v>
      </c>
      <c r="H93" s="13">
        <v>2.7E-2</v>
      </c>
      <c r="I93" s="13">
        <v>0.19</v>
      </c>
      <c r="J93" s="13"/>
      <c r="K93" s="79">
        <v>3.0771940250476016E-2</v>
      </c>
      <c r="L93" s="13"/>
      <c r="M93" s="13">
        <v>0</v>
      </c>
      <c r="N93" s="79">
        <v>3.4837600000000003E-2</v>
      </c>
      <c r="O93" s="13"/>
      <c r="Q93" s="199">
        <f>'Parameters, country spec'!I24</f>
        <v>2.6167600918431479E-2</v>
      </c>
    </row>
    <row r="94" spans="1:17" x14ac:dyDescent="0.3">
      <c r="A94" s="21" t="s">
        <v>338</v>
      </c>
      <c r="B94" s="16" t="s">
        <v>177</v>
      </c>
      <c r="C94" s="16" t="s">
        <v>334</v>
      </c>
      <c r="D94" s="22" t="s">
        <v>62</v>
      </c>
      <c r="E94" s="22" t="s">
        <v>63</v>
      </c>
      <c r="F94" s="197">
        <f t="shared" si="21"/>
        <v>0.35472897058825098</v>
      </c>
      <c r="G94" s="79">
        <v>7.3741076533864705E-2</v>
      </c>
      <c r="H94" s="13">
        <v>2.7E-2</v>
      </c>
      <c r="I94" s="13">
        <v>0.19</v>
      </c>
      <c r="J94" s="13"/>
      <c r="K94" s="79">
        <v>2.9150294054386239E-2</v>
      </c>
      <c r="L94" s="13"/>
      <c r="M94" s="13">
        <v>0</v>
      </c>
      <c r="N94" s="79">
        <v>3.4837600000000003E-2</v>
      </c>
      <c r="O94" s="13"/>
      <c r="Q94" s="199">
        <f>'Parameters, country spec'!I25</f>
        <v>0.30682794802396129</v>
      </c>
    </row>
    <row r="95" spans="1:17" x14ac:dyDescent="0.3">
      <c r="A95" s="21" t="s">
        <v>339</v>
      </c>
      <c r="B95" s="16" t="s">
        <v>178</v>
      </c>
      <c r="C95" s="16" t="s">
        <v>340</v>
      </c>
      <c r="D95" s="22" t="s">
        <v>62</v>
      </c>
      <c r="E95" s="22" t="s">
        <v>63</v>
      </c>
      <c r="F95" s="197">
        <f t="shared" si="21"/>
        <v>0.43885153790044362</v>
      </c>
      <c r="G95" s="79">
        <v>0</v>
      </c>
      <c r="H95" s="13">
        <v>2.7E-2</v>
      </c>
      <c r="I95" s="15">
        <v>0.32</v>
      </c>
      <c r="J95" s="13"/>
      <c r="K95" s="79">
        <v>5.7013937900443575E-2</v>
      </c>
      <c r="L95" s="15"/>
      <c r="M95" s="13">
        <v>0</v>
      </c>
      <c r="N95" s="79">
        <v>3.4837600000000003E-2</v>
      </c>
      <c r="O95" s="13"/>
      <c r="Q95" s="199">
        <f>'Parameters, country spec'!I26</f>
        <v>4.6178119267820264E-3</v>
      </c>
    </row>
    <row r="96" spans="1:17" x14ac:dyDescent="0.3">
      <c r="A96" s="21" t="s">
        <v>341</v>
      </c>
      <c r="B96" s="16" t="s">
        <v>179</v>
      </c>
      <c r="C96" s="16" t="s">
        <v>340</v>
      </c>
      <c r="D96" s="22" t="s">
        <v>62</v>
      </c>
      <c r="E96" s="22" t="s">
        <v>63</v>
      </c>
      <c r="F96" s="197">
        <f t="shared" si="21"/>
        <v>0.47030675448840648</v>
      </c>
      <c r="G96" s="79">
        <v>3.1688167106286749E-3</v>
      </c>
      <c r="H96" s="13">
        <v>2.7E-2</v>
      </c>
      <c r="I96" s="15">
        <v>0.32</v>
      </c>
      <c r="J96" s="13"/>
      <c r="K96" s="79">
        <v>8.530033777777779E-2</v>
      </c>
      <c r="L96" s="13"/>
      <c r="M96" s="13">
        <v>0</v>
      </c>
      <c r="N96" s="79">
        <v>3.4837600000000003E-2</v>
      </c>
      <c r="O96" s="13"/>
      <c r="Q96" s="199">
        <f>'Parameters, country spec'!I27</f>
        <v>5.3104837157993301E-2</v>
      </c>
    </row>
    <row r="97" spans="1:17" x14ac:dyDescent="0.3">
      <c r="B97" s="17" t="s">
        <v>180</v>
      </c>
      <c r="C97" s="16" t="s">
        <v>342</v>
      </c>
      <c r="D97" s="22" t="s">
        <v>62</v>
      </c>
      <c r="E97" s="22" t="s">
        <v>63</v>
      </c>
      <c r="F97" s="222">
        <f t="shared" si="21"/>
        <v>0.2869642483479431</v>
      </c>
      <c r="G97" s="19">
        <f>'Processed feed'!$F$34</f>
        <v>4.6516123381761657E-2</v>
      </c>
      <c r="H97" s="19">
        <f>'Processed feed'!$G$34</f>
        <v>1.7031692380172825E-2</v>
      </c>
      <c r="I97" s="19">
        <f>'Processed feed'!$H$34</f>
        <v>0.11985265008269767</v>
      </c>
      <c r="J97" s="19"/>
      <c r="K97" s="19">
        <f>'Processed feed'!$J$34</f>
        <v>1.8388105226884718E-2</v>
      </c>
      <c r="L97" s="19"/>
      <c r="M97" s="148">
        <f>'Processed feed'!$L$34</f>
        <v>0</v>
      </c>
      <c r="N97" s="19">
        <f>'Processed feed'!$M$34</f>
        <v>2.1975677276426256E-2</v>
      </c>
      <c r="O97" s="19"/>
      <c r="P97" s="19">
        <f>'Processed feed'!$O$34</f>
        <v>6.3200000000000006E-2</v>
      </c>
      <c r="Q97" s="199">
        <f>'Parameters, country spec'!I28</f>
        <v>2.7193781346605266E-2</v>
      </c>
    </row>
    <row r="98" spans="1:17" x14ac:dyDescent="0.3">
      <c r="B98" s="17" t="s">
        <v>343</v>
      </c>
      <c r="C98" s="16" t="s">
        <v>342</v>
      </c>
      <c r="D98" s="22" t="s">
        <v>62</v>
      </c>
      <c r="E98" s="22" t="s">
        <v>63</v>
      </c>
      <c r="F98" s="222">
        <f t="shared" si="21"/>
        <v>1.1071334743047214</v>
      </c>
      <c r="G98" s="19">
        <f>'Processed feed'!$F$39</f>
        <v>0</v>
      </c>
      <c r="H98" s="19">
        <f>'Processed feed'!$G$39</f>
        <v>2.8063257713868049E-2</v>
      </c>
      <c r="I98" s="19">
        <f>'Processed feed'!$H$39</f>
        <v>0.33260157290510284</v>
      </c>
      <c r="J98" s="19"/>
      <c r="K98" s="19">
        <f>'Processed feed'!$J$39</f>
        <v>5.9259141947504347E-2</v>
      </c>
      <c r="L98" s="19"/>
      <c r="M98" s="148">
        <f>'Processed feed'!$L$39</f>
        <v>0</v>
      </c>
      <c r="N98" s="19">
        <f>'Processed feed'!$M$39</f>
        <v>3.6209501738246289E-2</v>
      </c>
      <c r="O98" s="19">
        <f>'Processed feed'!$N$39</f>
        <v>0.4</v>
      </c>
      <c r="P98" s="19">
        <f>'Processed feed'!$O$39</f>
        <v>0.251</v>
      </c>
      <c r="Q98" s="199">
        <f>'Parameters, country spec'!I29</f>
        <v>3.5916314986082429E-2</v>
      </c>
    </row>
    <row r="99" spans="1:17" x14ac:dyDescent="0.3">
      <c r="B99" s="16" t="s">
        <v>182</v>
      </c>
      <c r="C99" s="16" t="s">
        <v>344</v>
      </c>
      <c r="D99" s="22" t="s">
        <v>62</v>
      </c>
      <c r="E99" s="22" t="s">
        <v>63</v>
      </c>
      <c r="F99" s="222"/>
      <c r="G99" s="106"/>
      <c r="H99" s="7"/>
      <c r="I99" s="105"/>
      <c r="J99" s="7"/>
      <c r="K99" s="106"/>
      <c r="L99" s="7"/>
      <c r="M99" s="7"/>
      <c r="N99" s="106"/>
      <c r="O99" s="7"/>
      <c r="P99" s="7"/>
      <c r="Q99" s="199">
        <f>'Parameters, country spec'!I30</f>
        <v>0.13313408330019627</v>
      </c>
    </row>
    <row r="100" spans="1:17" x14ac:dyDescent="0.3">
      <c r="A100" s="82"/>
      <c r="B100" s="16" t="s">
        <v>345</v>
      </c>
      <c r="C100" s="83" t="s">
        <v>346</v>
      </c>
      <c r="D100" s="22" t="s">
        <v>62</v>
      </c>
      <c r="E100" s="22" t="s">
        <v>63</v>
      </c>
      <c r="F100" s="222">
        <f t="shared" si="21"/>
        <v>0.37010359041258334</v>
      </c>
      <c r="G100" s="80">
        <f t="shared" ref="G100:N100" si="22">AVERAGE(G90:G98)</f>
        <v>3.9674302407070046E-2</v>
      </c>
      <c r="H100" s="80">
        <f t="shared" si="22"/>
        <v>2.6010550010448986E-2</v>
      </c>
      <c r="I100" s="80">
        <f t="shared" si="22"/>
        <v>0.22693935810975566</v>
      </c>
      <c r="J100" s="80"/>
      <c r="K100" s="80">
        <f t="shared" si="22"/>
        <v>4.3918448883678338E-2</v>
      </c>
      <c r="L100" s="80"/>
      <c r="M100" s="80">
        <f t="shared" si="22"/>
        <v>0</v>
      </c>
      <c r="N100" s="80">
        <f t="shared" si="22"/>
        <v>3.3560931001630281E-2</v>
      </c>
      <c r="O100" s="80"/>
      <c r="P100" s="80"/>
      <c r="Q100" s="199">
        <f>'Parameters, country spec'!I31</f>
        <v>0.1236547415949409</v>
      </c>
    </row>
    <row r="101" spans="1:17" x14ac:dyDescent="0.3">
      <c r="A101" s="198"/>
      <c r="B101" s="24" t="s">
        <v>347</v>
      </c>
      <c r="C101" s="25"/>
      <c r="D101" s="101"/>
      <c r="E101" s="101"/>
      <c r="F101" s="26">
        <f>SUMPRODUCT(F90:F100,$Q$90:$Q$100)</f>
        <v>0.34107120115955414</v>
      </c>
      <c r="G101" s="26">
        <f>SUMPRODUCT(G90:G100,$Q$90:$Q$100)</f>
        <v>4.8569169448640315E-2</v>
      </c>
      <c r="H101" s="26">
        <f>SUMPRODUCT(H90:H100,$Q$90:$Q$100)</f>
        <v>2.305014188926904E-2</v>
      </c>
      <c r="I101" s="26">
        <f>SUMPRODUCT(I90:I100,$Q$90:$Q$100)</f>
        <v>0.17999034665000382</v>
      </c>
      <c r="J101" s="26"/>
      <c r="K101" s="26">
        <f>SUMPRODUCT(K90:K100,$Q$90:$Q$100)</f>
        <v>3.4620203909351374E-2</v>
      </c>
      <c r="L101" s="26"/>
      <c r="M101" s="26">
        <f t="shared" ref="M101" si="23">SUMPRODUCT(M90:M100,$Q$90:$Q$100)</f>
        <v>0</v>
      </c>
      <c r="N101" s="26">
        <f>SUMPRODUCT(N90:N100,$Q$90:$Q$100)</f>
        <v>2.9741171225244414E-2</v>
      </c>
      <c r="O101" s="26">
        <f>SUMPRODUCT(O90:O100,$Q$90:$Q$100)</f>
        <v>1.4366525994432972E-2</v>
      </c>
      <c r="P101" s="26">
        <f>SUMPRODUCT(P90:P100,$Q$90:$Q$100)</f>
        <v>1.0733642042612143E-2</v>
      </c>
      <c r="Q101" s="200"/>
    </row>
    <row r="102" spans="1:17" x14ac:dyDescent="0.3">
      <c r="A102" s="21" t="s">
        <v>333</v>
      </c>
      <c r="B102" s="16" t="s">
        <v>172</v>
      </c>
      <c r="C102" s="16" t="s">
        <v>334</v>
      </c>
      <c r="D102" s="22" t="s">
        <v>64</v>
      </c>
      <c r="E102" s="22" t="s">
        <v>65</v>
      </c>
      <c r="F102" s="197">
        <f>SUM(G102:P102)</f>
        <v>0.3569765535539059</v>
      </c>
      <c r="G102" s="79">
        <v>6.4330297358443381E-2</v>
      </c>
      <c r="H102" s="13">
        <v>2.7E-2</v>
      </c>
      <c r="I102" s="15">
        <v>0.19</v>
      </c>
      <c r="J102" s="13"/>
      <c r="K102" s="79">
        <v>4.0808656195462478E-2</v>
      </c>
      <c r="L102" s="13"/>
      <c r="M102" s="13">
        <v>0</v>
      </c>
      <c r="N102" s="79">
        <v>3.4837600000000003E-2</v>
      </c>
      <c r="O102" s="13"/>
      <c r="Q102" s="199">
        <f>'Parameters, country spec'!J21</f>
        <v>0.24551366744057773</v>
      </c>
    </row>
    <row r="103" spans="1:17" x14ac:dyDescent="0.3">
      <c r="A103" s="21" t="s">
        <v>335</v>
      </c>
      <c r="B103" s="16" t="s">
        <v>174</v>
      </c>
      <c r="C103" s="16" t="s">
        <v>334</v>
      </c>
      <c r="D103" s="22" t="s">
        <v>64</v>
      </c>
      <c r="E103" s="22" t="s">
        <v>65</v>
      </c>
      <c r="F103" s="197">
        <f t="shared" ref="F103:F112" si="24">SUM(G103:P103)</f>
        <v>0.34238359782823441</v>
      </c>
      <c r="G103" s="79">
        <v>6.2649071876813428E-2</v>
      </c>
      <c r="H103" s="13">
        <v>2.7E-2</v>
      </c>
      <c r="I103" s="15">
        <v>0.19</v>
      </c>
      <c r="J103" s="13"/>
      <c r="K103" s="79">
        <v>2.7896925951420983E-2</v>
      </c>
      <c r="L103" s="13"/>
      <c r="M103" s="13">
        <v>0</v>
      </c>
      <c r="N103" s="79">
        <v>3.4837600000000003E-2</v>
      </c>
      <c r="O103" s="13"/>
      <c r="Q103" s="199">
        <f>'Parameters, country spec'!J22</f>
        <v>2.5654510704344589E-3</v>
      </c>
    </row>
    <row r="104" spans="1:17" x14ac:dyDescent="0.3">
      <c r="A104" s="21" t="s">
        <v>336</v>
      </c>
      <c r="B104" s="16" t="s">
        <v>175</v>
      </c>
      <c r="C104" s="16" t="s">
        <v>334</v>
      </c>
      <c r="D104" s="22" t="s">
        <v>64</v>
      </c>
      <c r="E104" s="22" t="s">
        <v>65</v>
      </c>
      <c r="F104" s="197">
        <f t="shared" si="24"/>
        <v>0.35522536975783686</v>
      </c>
      <c r="G104" s="79">
        <v>5.6711069109087971E-2</v>
      </c>
      <c r="H104" s="13">
        <v>2.7E-2</v>
      </c>
      <c r="I104" s="15">
        <v>0.19</v>
      </c>
      <c r="J104" s="13"/>
      <c r="K104" s="79">
        <v>4.6676700648748841E-2</v>
      </c>
      <c r="L104" s="13"/>
      <c r="M104" s="13">
        <v>0</v>
      </c>
      <c r="N104" s="79">
        <v>3.4837600000000003E-2</v>
      </c>
      <c r="O104" s="13"/>
      <c r="Q104" s="199">
        <f>'Parameters, country spec'!J23</f>
        <v>4.1303762233994797E-2</v>
      </c>
    </row>
    <row r="105" spans="1:17" x14ac:dyDescent="0.3">
      <c r="A105" s="21" t="s">
        <v>337</v>
      </c>
      <c r="B105" s="16" t="s">
        <v>176</v>
      </c>
      <c r="C105" s="16" t="s">
        <v>334</v>
      </c>
      <c r="D105" s="22" t="s">
        <v>64</v>
      </c>
      <c r="E105" s="22" t="s">
        <v>65</v>
      </c>
      <c r="F105" s="197">
        <f t="shared" si="24"/>
        <v>0.33256180694350668</v>
      </c>
      <c r="G105" s="79">
        <v>4.99522666930306E-2</v>
      </c>
      <c r="H105" s="13">
        <v>2.7E-2</v>
      </c>
      <c r="I105" s="13">
        <v>0.19</v>
      </c>
      <c r="J105" s="13"/>
      <c r="K105" s="79">
        <v>3.0771940250476016E-2</v>
      </c>
      <c r="L105" s="13"/>
      <c r="M105" s="13">
        <v>0</v>
      </c>
      <c r="N105" s="79">
        <v>3.4837600000000003E-2</v>
      </c>
      <c r="O105" s="13"/>
      <c r="Q105" s="199">
        <f>'Parameters, country spec'!J24</f>
        <v>2.6167600918431479E-2</v>
      </c>
    </row>
    <row r="106" spans="1:17" x14ac:dyDescent="0.3">
      <c r="A106" s="21" t="s">
        <v>338</v>
      </c>
      <c r="B106" s="16" t="s">
        <v>177</v>
      </c>
      <c r="C106" s="16" t="s">
        <v>334</v>
      </c>
      <c r="D106" s="22" t="s">
        <v>64</v>
      </c>
      <c r="E106" s="22" t="s">
        <v>65</v>
      </c>
      <c r="F106" s="197">
        <f t="shared" si="24"/>
        <v>0.35472897058825098</v>
      </c>
      <c r="G106" s="79">
        <v>7.3741076533864705E-2</v>
      </c>
      <c r="H106" s="13">
        <v>2.7E-2</v>
      </c>
      <c r="I106" s="13">
        <v>0.19</v>
      </c>
      <c r="J106" s="13"/>
      <c r="K106" s="79">
        <v>2.9150294054386239E-2</v>
      </c>
      <c r="L106" s="13"/>
      <c r="M106" s="13">
        <v>0</v>
      </c>
      <c r="N106" s="79">
        <v>3.4837600000000003E-2</v>
      </c>
      <c r="O106" s="13"/>
      <c r="Q106" s="199">
        <f>'Parameters, country spec'!J25</f>
        <v>0.30682794802396129</v>
      </c>
    </row>
    <row r="107" spans="1:17" x14ac:dyDescent="0.3">
      <c r="A107" s="21" t="s">
        <v>339</v>
      </c>
      <c r="B107" s="16" t="s">
        <v>178</v>
      </c>
      <c r="C107" s="16" t="s">
        <v>340</v>
      </c>
      <c r="D107" s="22" t="s">
        <v>64</v>
      </c>
      <c r="E107" s="22" t="s">
        <v>65</v>
      </c>
      <c r="F107" s="197">
        <f t="shared" si="24"/>
        <v>0.43885153790044362</v>
      </c>
      <c r="G107" s="79">
        <v>0</v>
      </c>
      <c r="H107" s="13">
        <v>2.7E-2</v>
      </c>
      <c r="I107" s="15">
        <v>0.32</v>
      </c>
      <c r="J107" s="13"/>
      <c r="K107" s="79">
        <v>5.7013937900443575E-2</v>
      </c>
      <c r="L107" s="15"/>
      <c r="M107" s="13">
        <v>0</v>
      </c>
      <c r="N107" s="79">
        <v>3.4837600000000003E-2</v>
      </c>
      <c r="O107" s="13"/>
      <c r="Q107" s="199">
        <f>'Parameters, country spec'!J26</f>
        <v>4.6178119267820264E-3</v>
      </c>
    </row>
    <row r="108" spans="1:17" x14ac:dyDescent="0.3">
      <c r="A108" s="21" t="s">
        <v>341</v>
      </c>
      <c r="B108" s="16" t="s">
        <v>179</v>
      </c>
      <c r="C108" s="16" t="s">
        <v>340</v>
      </c>
      <c r="D108" s="22" t="s">
        <v>64</v>
      </c>
      <c r="E108" s="22" t="s">
        <v>65</v>
      </c>
      <c r="F108" s="197">
        <f t="shared" si="24"/>
        <v>0.47030675448840648</v>
      </c>
      <c r="G108" s="79">
        <v>3.1688167106286749E-3</v>
      </c>
      <c r="H108" s="13">
        <v>2.7E-2</v>
      </c>
      <c r="I108" s="15">
        <v>0.32</v>
      </c>
      <c r="J108" s="13"/>
      <c r="K108" s="79">
        <v>8.530033777777779E-2</v>
      </c>
      <c r="L108" s="13"/>
      <c r="M108" s="13">
        <v>0</v>
      </c>
      <c r="N108" s="79">
        <v>3.4837600000000003E-2</v>
      </c>
      <c r="O108" s="13"/>
      <c r="Q108" s="199">
        <f>'Parameters, country spec'!J27</f>
        <v>5.3104837157993301E-2</v>
      </c>
    </row>
    <row r="109" spans="1:17" x14ac:dyDescent="0.3">
      <c r="B109" s="17" t="s">
        <v>180</v>
      </c>
      <c r="C109" s="16" t="s">
        <v>342</v>
      </c>
      <c r="D109" s="22" t="s">
        <v>64</v>
      </c>
      <c r="E109" s="22" t="s">
        <v>65</v>
      </c>
      <c r="F109" s="222">
        <f t="shared" si="24"/>
        <v>0.2869642483479431</v>
      </c>
      <c r="G109" s="19">
        <f>'Processed feed'!$F$34</f>
        <v>4.6516123381761657E-2</v>
      </c>
      <c r="H109" s="19">
        <f>'Processed feed'!$G$34</f>
        <v>1.7031692380172825E-2</v>
      </c>
      <c r="I109" s="19">
        <f>'Processed feed'!$H$34</f>
        <v>0.11985265008269767</v>
      </c>
      <c r="J109" s="19"/>
      <c r="K109" s="19">
        <f>'Processed feed'!$J$34</f>
        <v>1.8388105226884718E-2</v>
      </c>
      <c r="L109" s="19"/>
      <c r="M109" s="148">
        <f>'Processed feed'!$L$34</f>
        <v>0</v>
      </c>
      <c r="N109" s="19">
        <f>'Processed feed'!$M$34</f>
        <v>2.1975677276426256E-2</v>
      </c>
      <c r="O109" s="19"/>
      <c r="P109" s="19">
        <f>'Processed feed'!$O$34</f>
        <v>6.3200000000000006E-2</v>
      </c>
      <c r="Q109" s="199">
        <f>'Parameters, country spec'!J28</f>
        <v>2.7193781346605266E-2</v>
      </c>
    </row>
    <row r="110" spans="1:17" x14ac:dyDescent="0.3">
      <c r="B110" s="17" t="s">
        <v>343</v>
      </c>
      <c r="C110" s="16" t="s">
        <v>342</v>
      </c>
      <c r="D110" s="22" t="s">
        <v>64</v>
      </c>
      <c r="E110" s="22" t="s">
        <v>65</v>
      </c>
      <c r="F110" s="222">
        <f t="shared" si="24"/>
        <v>1.1071334743047214</v>
      </c>
      <c r="G110" s="19">
        <f>'Processed feed'!$F$39</f>
        <v>0</v>
      </c>
      <c r="H110" s="19">
        <f>'Processed feed'!$G$39</f>
        <v>2.8063257713868049E-2</v>
      </c>
      <c r="I110" s="19">
        <f>'Processed feed'!$H$39</f>
        <v>0.33260157290510284</v>
      </c>
      <c r="J110" s="19"/>
      <c r="K110" s="19">
        <f>'Processed feed'!$J$39</f>
        <v>5.9259141947504347E-2</v>
      </c>
      <c r="L110" s="19"/>
      <c r="M110" s="148">
        <f>'Processed feed'!$L$39</f>
        <v>0</v>
      </c>
      <c r="N110" s="19">
        <f>'Processed feed'!$M$39</f>
        <v>3.6209501738246289E-2</v>
      </c>
      <c r="O110" s="19">
        <f>'Processed feed'!$N$39</f>
        <v>0.4</v>
      </c>
      <c r="P110" s="19">
        <f>'Processed feed'!$O$39</f>
        <v>0.251</v>
      </c>
      <c r="Q110" s="199">
        <f>'Parameters, country spec'!J29</f>
        <v>3.5916314986082429E-2</v>
      </c>
    </row>
    <row r="111" spans="1:17" x14ac:dyDescent="0.3">
      <c r="B111" s="16" t="s">
        <v>182</v>
      </c>
      <c r="C111" s="16" t="s">
        <v>344</v>
      </c>
      <c r="D111" s="22" t="s">
        <v>64</v>
      </c>
      <c r="E111" s="22" t="s">
        <v>65</v>
      </c>
      <c r="F111" s="222"/>
      <c r="G111" s="106"/>
      <c r="H111" s="7"/>
      <c r="I111" s="105"/>
      <c r="J111" s="7"/>
      <c r="K111" s="106"/>
      <c r="L111" s="7"/>
      <c r="M111" s="7"/>
      <c r="N111" s="106"/>
      <c r="O111" s="7"/>
      <c r="P111" s="7"/>
      <c r="Q111" s="199">
        <f>'Parameters, country spec'!J30</f>
        <v>0.13313408330019627</v>
      </c>
    </row>
    <row r="112" spans="1:17" x14ac:dyDescent="0.3">
      <c r="A112" s="82"/>
      <c r="B112" s="16" t="s">
        <v>345</v>
      </c>
      <c r="C112" s="83" t="s">
        <v>346</v>
      </c>
      <c r="D112" s="22" t="s">
        <v>64</v>
      </c>
      <c r="E112" s="22" t="s">
        <v>65</v>
      </c>
      <c r="F112" s="222">
        <f t="shared" si="24"/>
        <v>0.37010359041258334</v>
      </c>
      <c r="G112" s="80">
        <f t="shared" ref="G112:N112" si="25">AVERAGE(G102:G110)</f>
        <v>3.9674302407070046E-2</v>
      </c>
      <c r="H112" s="80">
        <f t="shared" si="25"/>
        <v>2.6010550010448986E-2</v>
      </c>
      <c r="I112" s="80">
        <f t="shared" si="25"/>
        <v>0.22693935810975566</v>
      </c>
      <c r="J112" s="80"/>
      <c r="K112" s="80">
        <f t="shared" si="25"/>
        <v>4.3918448883678338E-2</v>
      </c>
      <c r="L112" s="80"/>
      <c r="M112" s="80">
        <f t="shared" si="25"/>
        <v>0</v>
      </c>
      <c r="N112" s="80">
        <f t="shared" si="25"/>
        <v>3.3560931001630281E-2</v>
      </c>
      <c r="O112" s="80"/>
      <c r="P112" s="80"/>
      <c r="Q112" s="199">
        <f>'Parameters, country spec'!J31</f>
        <v>0.1236547415949409</v>
      </c>
    </row>
    <row r="113" spans="1:17" x14ac:dyDescent="0.3">
      <c r="A113" s="198"/>
      <c r="B113" s="24" t="s">
        <v>347</v>
      </c>
      <c r="C113" s="25"/>
      <c r="D113" s="101"/>
      <c r="E113" s="101"/>
      <c r="F113" s="26">
        <f>SUMPRODUCT(F102:F112,$Q$102:$Q$112)</f>
        <v>0.34107120115955414</v>
      </c>
      <c r="G113" s="26">
        <f t="shared" ref="G113:P113" si="26">SUMPRODUCT(G102:G112,$Q$102:$Q$112)</f>
        <v>4.8569169448640315E-2</v>
      </c>
      <c r="H113" s="26">
        <f t="shared" si="26"/>
        <v>2.305014188926904E-2</v>
      </c>
      <c r="I113" s="26">
        <f t="shared" si="26"/>
        <v>0.17999034665000382</v>
      </c>
      <c r="J113" s="26"/>
      <c r="K113" s="26">
        <f t="shared" si="26"/>
        <v>3.4620203909351374E-2</v>
      </c>
      <c r="L113" s="26"/>
      <c r="M113" s="26">
        <f t="shared" si="26"/>
        <v>0</v>
      </c>
      <c r="N113" s="26">
        <f t="shared" si="26"/>
        <v>2.9741171225244414E-2</v>
      </c>
      <c r="O113" s="26">
        <f t="shared" si="26"/>
        <v>1.4366525994432972E-2</v>
      </c>
      <c r="P113" s="26">
        <f t="shared" si="26"/>
        <v>1.0733642042612143E-2</v>
      </c>
      <c r="Q113" s="200"/>
    </row>
    <row r="114" spans="1:17" x14ac:dyDescent="0.3">
      <c r="A114" s="21" t="s">
        <v>333</v>
      </c>
      <c r="B114" s="16" t="s">
        <v>172</v>
      </c>
      <c r="C114" s="16" t="s">
        <v>334</v>
      </c>
      <c r="D114" s="22" t="s">
        <v>66</v>
      </c>
      <c r="E114" s="22" t="s">
        <v>67</v>
      </c>
      <c r="F114" s="197">
        <f>SUM(G114:P114)</f>
        <v>0.3569765535539059</v>
      </c>
      <c r="G114" s="79">
        <v>6.4330297358443381E-2</v>
      </c>
      <c r="H114" s="13">
        <v>2.7E-2</v>
      </c>
      <c r="I114" s="15">
        <v>0.19</v>
      </c>
      <c r="J114" s="13"/>
      <c r="K114" s="79">
        <v>4.0808656195462478E-2</v>
      </c>
      <c r="L114" s="13"/>
      <c r="M114" s="13">
        <v>0</v>
      </c>
      <c r="N114" s="79">
        <v>3.4837600000000003E-2</v>
      </c>
      <c r="O114" s="13"/>
      <c r="Q114" s="199">
        <f>'Parameters, country spec'!K21</f>
        <v>0.24551366744057773</v>
      </c>
    </row>
    <row r="115" spans="1:17" x14ac:dyDescent="0.3">
      <c r="A115" s="21" t="s">
        <v>335</v>
      </c>
      <c r="B115" s="16" t="s">
        <v>174</v>
      </c>
      <c r="C115" s="16" t="s">
        <v>334</v>
      </c>
      <c r="D115" s="22" t="s">
        <v>66</v>
      </c>
      <c r="E115" s="22" t="s">
        <v>67</v>
      </c>
      <c r="F115" s="197">
        <f t="shared" ref="F115:F124" si="27">SUM(G115:P115)</f>
        <v>0.34238359782823441</v>
      </c>
      <c r="G115" s="79">
        <v>6.2649071876813428E-2</v>
      </c>
      <c r="H115" s="13">
        <v>2.7E-2</v>
      </c>
      <c r="I115" s="15">
        <v>0.19</v>
      </c>
      <c r="J115" s="13"/>
      <c r="K115" s="79">
        <v>2.7896925951420983E-2</v>
      </c>
      <c r="L115" s="13"/>
      <c r="M115" s="13">
        <v>0</v>
      </c>
      <c r="N115" s="79">
        <v>3.4837600000000003E-2</v>
      </c>
      <c r="O115" s="13"/>
      <c r="Q115" s="199">
        <f>'Parameters, country spec'!K22</f>
        <v>2.5654510704344589E-3</v>
      </c>
    </row>
    <row r="116" spans="1:17" x14ac:dyDescent="0.3">
      <c r="A116" s="21" t="s">
        <v>336</v>
      </c>
      <c r="B116" s="16" t="s">
        <v>175</v>
      </c>
      <c r="C116" s="16" t="s">
        <v>334</v>
      </c>
      <c r="D116" s="22" t="s">
        <v>66</v>
      </c>
      <c r="E116" s="22" t="s">
        <v>67</v>
      </c>
      <c r="F116" s="197">
        <f t="shared" si="27"/>
        <v>0.35522536975783686</v>
      </c>
      <c r="G116" s="79">
        <v>5.6711069109087971E-2</v>
      </c>
      <c r="H116" s="13">
        <v>2.7E-2</v>
      </c>
      <c r="I116" s="15">
        <v>0.19</v>
      </c>
      <c r="J116" s="13"/>
      <c r="K116" s="79">
        <v>4.6676700648748841E-2</v>
      </c>
      <c r="L116" s="13"/>
      <c r="M116" s="13">
        <v>0</v>
      </c>
      <c r="N116" s="79">
        <v>3.4837600000000003E-2</v>
      </c>
      <c r="O116" s="13"/>
      <c r="Q116" s="199">
        <f>'Parameters, country spec'!K23</f>
        <v>4.1303762233994797E-2</v>
      </c>
    </row>
    <row r="117" spans="1:17" x14ac:dyDescent="0.3">
      <c r="A117" s="21" t="s">
        <v>337</v>
      </c>
      <c r="B117" s="16" t="s">
        <v>176</v>
      </c>
      <c r="C117" s="16" t="s">
        <v>334</v>
      </c>
      <c r="D117" s="22" t="s">
        <v>66</v>
      </c>
      <c r="E117" s="22" t="s">
        <v>67</v>
      </c>
      <c r="F117" s="197">
        <f t="shared" si="27"/>
        <v>0.33256180694350668</v>
      </c>
      <c r="G117" s="79">
        <v>4.99522666930306E-2</v>
      </c>
      <c r="H117" s="13">
        <v>2.7E-2</v>
      </c>
      <c r="I117" s="13">
        <v>0.19</v>
      </c>
      <c r="J117" s="13"/>
      <c r="K117" s="79">
        <v>3.0771940250476016E-2</v>
      </c>
      <c r="L117" s="13"/>
      <c r="M117" s="13">
        <v>0</v>
      </c>
      <c r="N117" s="79">
        <v>3.4837600000000003E-2</v>
      </c>
      <c r="O117" s="13"/>
      <c r="Q117" s="199">
        <f>'Parameters, country spec'!K24</f>
        <v>2.6167600918431479E-2</v>
      </c>
    </row>
    <row r="118" spans="1:17" x14ac:dyDescent="0.3">
      <c r="A118" s="21" t="s">
        <v>338</v>
      </c>
      <c r="B118" s="16" t="s">
        <v>177</v>
      </c>
      <c r="C118" s="16" t="s">
        <v>334</v>
      </c>
      <c r="D118" s="22" t="s">
        <v>66</v>
      </c>
      <c r="E118" s="22" t="s">
        <v>67</v>
      </c>
      <c r="F118" s="197">
        <f t="shared" si="27"/>
        <v>0.35472897058825098</v>
      </c>
      <c r="G118" s="79">
        <v>7.3741076533864705E-2</v>
      </c>
      <c r="H118" s="13">
        <v>2.7E-2</v>
      </c>
      <c r="I118" s="13">
        <v>0.19</v>
      </c>
      <c r="J118" s="13"/>
      <c r="K118" s="79">
        <v>2.9150294054386239E-2</v>
      </c>
      <c r="L118" s="13"/>
      <c r="M118" s="13">
        <v>0</v>
      </c>
      <c r="N118" s="79">
        <v>3.4837600000000003E-2</v>
      </c>
      <c r="O118" s="13"/>
      <c r="Q118" s="199">
        <f>'Parameters, country spec'!K25</f>
        <v>0.30682794802396129</v>
      </c>
    </row>
    <row r="119" spans="1:17" x14ac:dyDescent="0.3">
      <c r="A119" s="21" t="s">
        <v>339</v>
      </c>
      <c r="B119" s="16" t="s">
        <v>178</v>
      </c>
      <c r="C119" s="16" t="s">
        <v>340</v>
      </c>
      <c r="D119" s="22" t="s">
        <v>66</v>
      </c>
      <c r="E119" s="22" t="s">
        <v>67</v>
      </c>
      <c r="F119" s="197">
        <f t="shared" si="27"/>
        <v>0.43885153790044362</v>
      </c>
      <c r="G119" s="79">
        <v>0</v>
      </c>
      <c r="H119" s="13">
        <v>2.7E-2</v>
      </c>
      <c r="I119" s="15">
        <v>0.32</v>
      </c>
      <c r="J119" s="13"/>
      <c r="K119" s="79">
        <v>5.7013937900443575E-2</v>
      </c>
      <c r="L119" s="15"/>
      <c r="M119" s="13">
        <v>0</v>
      </c>
      <c r="N119" s="79">
        <v>3.4837600000000003E-2</v>
      </c>
      <c r="O119" s="13"/>
      <c r="Q119" s="199">
        <f>'Parameters, country spec'!K26</f>
        <v>4.6178119267820264E-3</v>
      </c>
    </row>
    <row r="120" spans="1:17" x14ac:dyDescent="0.3">
      <c r="A120" s="21" t="s">
        <v>341</v>
      </c>
      <c r="B120" s="16" t="s">
        <v>179</v>
      </c>
      <c r="C120" s="16" t="s">
        <v>340</v>
      </c>
      <c r="D120" s="22" t="s">
        <v>66</v>
      </c>
      <c r="E120" s="22" t="s">
        <v>67</v>
      </c>
      <c r="F120" s="197">
        <f t="shared" si="27"/>
        <v>0.47030675448840648</v>
      </c>
      <c r="G120" s="79">
        <v>3.1688167106286749E-3</v>
      </c>
      <c r="H120" s="13">
        <v>2.7E-2</v>
      </c>
      <c r="I120" s="15">
        <v>0.32</v>
      </c>
      <c r="J120" s="13"/>
      <c r="K120" s="79">
        <v>8.530033777777779E-2</v>
      </c>
      <c r="L120" s="13"/>
      <c r="M120" s="13">
        <v>0</v>
      </c>
      <c r="N120" s="79">
        <v>3.4837600000000003E-2</v>
      </c>
      <c r="O120" s="13"/>
      <c r="Q120" s="199">
        <f>'Parameters, country spec'!K27</f>
        <v>5.3104837157993301E-2</v>
      </c>
    </row>
    <row r="121" spans="1:17" x14ac:dyDescent="0.3">
      <c r="B121" s="17" t="s">
        <v>180</v>
      </c>
      <c r="C121" s="16" t="s">
        <v>342</v>
      </c>
      <c r="D121" s="22" t="s">
        <v>66</v>
      </c>
      <c r="E121" s="22" t="s">
        <v>67</v>
      </c>
      <c r="F121" s="222">
        <f t="shared" si="27"/>
        <v>0.2869642483479431</v>
      </c>
      <c r="G121" s="19">
        <f>'Processed feed'!$F$34</f>
        <v>4.6516123381761657E-2</v>
      </c>
      <c r="H121" s="19">
        <f>'Processed feed'!$G$34</f>
        <v>1.7031692380172825E-2</v>
      </c>
      <c r="I121" s="19">
        <f>'Processed feed'!$H$34</f>
        <v>0.11985265008269767</v>
      </c>
      <c r="J121" s="19"/>
      <c r="K121" s="19">
        <f>'Processed feed'!$J$34</f>
        <v>1.8388105226884718E-2</v>
      </c>
      <c r="L121" s="19"/>
      <c r="M121" s="148">
        <f>'Processed feed'!$L$34</f>
        <v>0</v>
      </c>
      <c r="N121" s="19">
        <f>'Processed feed'!$M$34</f>
        <v>2.1975677276426256E-2</v>
      </c>
      <c r="O121" s="19"/>
      <c r="P121" s="19">
        <f>'Processed feed'!$O$34</f>
        <v>6.3200000000000006E-2</v>
      </c>
      <c r="Q121" s="199">
        <f>'Parameters, country spec'!K28</f>
        <v>2.7193781346605266E-2</v>
      </c>
    </row>
    <row r="122" spans="1:17" x14ac:dyDescent="0.3">
      <c r="B122" s="17" t="s">
        <v>343</v>
      </c>
      <c r="C122" s="16" t="s">
        <v>342</v>
      </c>
      <c r="D122" s="22" t="s">
        <v>66</v>
      </c>
      <c r="E122" s="22" t="s">
        <v>67</v>
      </c>
      <c r="F122" s="222">
        <f t="shared" si="27"/>
        <v>1.1071334743047214</v>
      </c>
      <c r="G122" s="19">
        <f>'Processed feed'!$F$39</f>
        <v>0</v>
      </c>
      <c r="H122" s="19">
        <f>'Processed feed'!$G$39</f>
        <v>2.8063257713868049E-2</v>
      </c>
      <c r="I122" s="19">
        <f>'Processed feed'!$H$39</f>
        <v>0.33260157290510284</v>
      </c>
      <c r="J122" s="19"/>
      <c r="K122" s="19">
        <f>'Processed feed'!$J$39</f>
        <v>5.9259141947504347E-2</v>
      </c>
      <c r="L122" s="19"/>
      <c r="M122" s="148">
        <f>'Processed feed'!$L$39</f>
        <v>0</v>
      </c>
      <c r="N122" s="19">
        <f>'Processed feed'!$M$39</f>
        <v>3.6209501738246289E-2</v>
      </c>
      <c r="O122" s="19">
        <f>'Processed feed'!$N$39</f>
        <v>0.4</v>
      </c>
      <c r="P122" s="19">
        <f>'Processed feed'!$O$39</f>
        <v>0.251</v>
      </c>
      <c r="Q122" s="199">
        <f>'Parameters, country spec'!K29</f>
        <v>3.5916314986082429E-2</v>
      </c>
    </row>
    <row r="123" spans="1:17" x14ac:dyDescent="0.3">
      <c r="B123" s="16" t="s">
        <v>182</v>
      </c>
      <c r="C123" s="16" t="s">
        <v>344</v>
      </c>
      <c r="D123" s="22" t="s">
        <v>66</v>
      </c>
      <c r="E123" s="22" t="s">
        <v>67</v>
      </c>
      <c r="F123" s="222"/>
      <c r="G123" s="106"/>
      <c r="H123" s="7"/>
      <c r="I123" s="105"/>
      <c r="J123" s="7"/>
      <c r="K123" s="106"/>
      <c r="L123" s="7"/>
      <c r="M123" s="7"/>
      <c r="N123" s="106"/>
      <c r="O123" s="7"/>
      <c r="P123" s="7"/>
      <c r="Q123" s="199">
        <f>'Parameters, country spec'!K30</f>
        <v>0.13313408330019627</v>
      </c>
    </row>
    <row r="124" spans="1:17" x14ac:dyDescent="0.3">
      <c r="A124" s="82"/>
      <c r="B124" s="16" t="s">
        <v>345</v>
      </c>
      <c r="C124" s="83" t="s">
        <v>346</v>
      </c>
      <c r="D124" s="22" t="s">
        <v>66</v>
      </c>
      <c r="E124" s="22" t="s">
        <v>67</v>
      </c>
      <c r="F124" s="222">
        <f t="shared" si="27"/>
        <v>0.37010359041258334</v>
      </c>
      <c r="G124" s="80">
        <f t="shared" ref="G124:N124" si="28">AVERAGE(G114:G122)</f>
        <v>3.9674302407070046E-2</v>
      </c>
      <c r="H124" s="80">
        <f t="shared" si="28"/>
        <v>2.6010550010448986E-2</v>
      </c>
      <c r="I124" s="80">
        <f t="shared" si="28"/>
        <v>0.22693935810975566</v>
      </c>
      <c r="J124" s="80"/>
      <c r="K124" s="80">
        <f t="shared" si="28"/>
        <v>4.3918448883678338E-2</v>
      </c>
      <c r="L124" s="80"/>
      <c r="M124" s="80">
        <f t="shared" si="28"/>
        <v>0</v>
      </c>
      <c r="N124" s="80">
        <f t="shared" si="28"/>
        <v>3.3560931001630281E-2</v>
      </c>
      <c r="O124" s="80"/>
      <c r="P124" s="80"/>
      <c r="Q124" s="199">
        <f>'Parameters, country spec'!K31</f>
        <v>0.1236547415949409</v>
      </c>
    </row>
    <row r="125" spans="1:17" x14ac:dyDescent="0.3">
      <c r="A125" s="198"/>
      <c r="B125" s="24" t="s">
        <v>347</v>
      </c>
      <c r="C125" s="25"/>
      <c r="D125" s="101"/>
      <c r="E125" s="101"/>
      <c r="F125" s="26">
        <f>SUMPRODUCT(F114:F124,$Q$114:$Q$124)</f>
        <v>0.34107120115955414</v>
      </c>
      <c r="G125" s="26">
        <f t="shared" ref="G125:P125" si="29">SUMPRODUCT(G114:G124,$Q$114:$Q$124)</f>
        <v>4.8569169448640315E-2</v>
      </c>
      <c r="H125" s="26">
        <f t="shared" si="29"/>
        <v>2.305014188926904E-2</v>
      </c>
      <c r="I125" s="26">
        <f t="shared" si="29"/>
        <v>0.17999034665000382</v>
      </c>
      <c r="J125" s="26"/>
      <c r="K125" s="26">
        <f t="shared" si="29"/>
        <v>3.4620203909351374E-2</v>
      </c>
      <c r="L125" s="26"/>
      <c r="M125" s="26">
        <f t="shared" si="29"/>
        <v>0</v>
      </c>
      <c r="N125" s="26">
        <f t="shared" si="29"/>
        <v>2.9741171225244414E-2</v>
      </c>
      <c r="O125" s="26">
        <f t="shared" si="29"/>
        <v>1.4366525994432972E-2</v>
      </c>
      <c r="P125" s="26">
        <f t="shared" si="29"/>
        <v>1.0733642042612143E-2</v>
      </c>
      <c r="Q125" s="200"/>
    </row>
    <row r="126" spans="1:17" x14ac:dyDescent="0.3">
      <c r="A126" s="21" t="s">
        <v>333</v>
      </c>
      <c r="B126" s="16" t="s">
        <v>172</v>
      </c>
      <c r="C126" s="16" t="s">
        <v>334</v>
      </c>
      <c r="D126" s="22" t="s">
        <v>68</v>
      </c>
      <c r="E126" s="22" t="s">
        <v>69</v>
      </c>
      <c r="F126" s="197">
        <f>SUM(G126:P126)</f>
        <v>0.3569765535539059</v>
      </c>
      <c r="G126" s="79">
        <v>6.4330297358443381E-2</v>
      </c>
      <c r="H126" s="13">
        <v>2.7E-2</v>
      </c>
      <c r="I126" s="15">
        <v>0.19</v>
      </c>
      <c r="J126" s="13"/>
      <c r="K126" s="79">
        <v>4.0808656195462478E-2</v>
      </c>
      <c r="L126" s="13"/>
      <c r="M126" s="13">
        <v>0</v>
      </c>
      <c r="N126" s="79">
        <v>3.4837600000000003E-2</v>
      </c>
      <c r="O126" s="13"/>
      <c r="Q126" s="199">
        <f>'Parameters, country spec'!L21</f>
        <v>0.24551366744057773</v>
      </c>
    </row>
    <row r="127" spans="1:17" x14ac:dyDescent="0.3">
      <c r="A127" s="21" t="s">
        <v>335</v>
      </c>
      <c r="B127" s="16" t="s">
        <v>174</v>
      </c>
      <c r="C127" s="16" t="s">
        <v>334</v>
      </c>
      <c r="D127" s="22" t="s">
        <v>68</v>
      </c>
      <c r="E127" s="22" t="s">
        <v>69</v>
      </c>
      <c r="F127" s="197">
        <f t="shared" ref="F127:F134" si="30">SUM(G127:P127)</f>
        <v>0.34238359782823441</v>
      </c>
      <c r="G127" s="79">
        <v>6.2649071876813428E-2</v>
      </c>
      <c r="H127" s="13">
        <v>2.7E-2</v>
      </c>
      <c r="I127" s="15">
        <v>0.19</v>
      </c>
      <c r="J127" s="13"/>
      <c r="K127" s="79">
        <v>2.7896925951420983E-2</v>
      </c>
      <c r="L127" s="13"/>
      <c r="M127" s="13">
        <v>0</v>
      </c>
      <c r="N127" s="79">
        <v>3.4837600000000003E-2</v>
      </c>
      <c r="O127" s="13"/>
      <c r="Q127" s="199">
        <f>'Parameters, country spec'!L22</f>
        <v>2.5654510704344589E-3</v>
      </c>
    </row>
    <row r="128" spans="1:17" x14ac:dyDescent="0.3">
      <c r="A128" s="21" t="s">
        <v>336</v>
      </c>
      <c r="B128" s="16" t="s">
        <v>175</v>
      </c>
      <c r="C128" s="16" t="s">
        <v>334</v>
      </c>
      <c r="D128" s="22" t="s">
        <v>68</v>
      </c>
      <c r="E128" s="22" t="s">
        <v>69</v>
      </c>
      <c r="F128" s="197">
        <f t="shared" si="30"/>
        <v>0.35522536975783686</v>
      </c>
      <c r="G128" s="79">
        <v>5.6711069109087971E-2</v>
      </c>
      <c r="H128" s="13">
        <v>2.7E-2</v>
      </c>
      <c r="I128" s="15">
        <v>0.19</v>
      </c>
      <c r="J128" s="13"/>
      <c r="K128" s="79">
        <v>4.6676700648748841E-2</v>
      </c>
      <c r="L128" s="13"/>
      <c r="M128" s="13">
        <v>0</v>
      </c>
      <c r="N128" s="79">
        <v>3.4837600000000003E-2</v>
      </c>
      <c r="O128" s="13"/>
      <c r="Q128" s="199">
        <f>'Parameters, country spec'!L23</f>
        <v>4.1303762233994797E-2</v>
      </c>
    </row>
    <row r="129" spans="1:17" x14ac:dyDescent="0.3">
      <c r="A129" s="21" t="s">
        <v>337</v>
      </c>
      <c r="B129" s="16" t="s">
        <v>176</v>
      </c>
      <c r="C129" s="16" t="s">
        <v>334</v>
      </c>
      <c r="D129" s="22" t="s">
        <v>68</v>
      </c>
      <c r="E129" s="22" t="s">
        <v>69</v>
      </c>
      <c r="F129" s="197">
        <f t="shared" si="30"/>
        <v>0.33256180694350668</v>
      </c>
      <c r="G129" s="79">
        <v>4.99522666930306E-2</v>
      </c>
      <c r="H129" s="13">
        <v>2.7E-2</v>
      </c>
      <c r="I129" s="13">
        <v>0.19</v>
      </c>
      <c r="J129" s="13"/>
      <c r="K129" s="79">
        <v>3.0771940250476016E-2</v>
      </c>
      <c r="L129" s="13"/>
      <c r="M129" s="13">
        <v>0</v>
      </c>
      <c r="N129" s="79">
        <v>3.4837600000000003E-2</v>
      </c>
      <c r="O129" s="13"/>
      <c r="Q129" s="199">
        <f>'Parameters, country spec'!L24</f>
        <v>2.6167600918431479E-2</v>
      </c>
    </row>
    <row r="130" spans="1:17" x14ac:dyDescent="0.3">
      <c r="A130" s="21" t="s">
        <v>338</v>
      </c>
      <c r="B130" s="16" t="s">
        <v>177</v>
      </c>
      <c r="C130" s="16" t="s">
        <v>334</v>
      </c>
      <c r="D130" s="22" t="s">
        <v>68</v>
      </c>
      <c r="E130" s="22" t="s">
        <v>69</v>
      </c>
      <c r="F130" s="197">
        <f t="shared" si="30"/>
        <v>0.35472897058825098</v>
      </c>
      <c r="G130" s="79">
        <v>7.3741076533864705E-2</v>
      </c>
      <c r="H130" s="13">
        <v>2.7E-2</v>
      </c>
      <c r="I130" s="13">
        <v>0.19</v>
      </c>
      <c r="J130" s="13"/>
      <c r="K130" s="79">
        <v>2.9150294054386239E-2</v>
      </c>
      <c r="L130" s="13"/>
      <c r="M130" s="13">
        <v>0</v>
      </c>
      <c r="N130" s="79">
        <v>3.4837600000000003E-2</v>
      </c>
      <c r="O130" s="13"/>
      <c r="Q130" s="199">
        <f>'Parameters, country spec'!L25</f>
        <v>0.30682794802396129</v>
      </c>
    </row>
    <row r="131" spans="1:17" x14ac:dyDescent="0.3">
      <c r="A131" s="21" t="s">
        <v>339</v>
      </c>
      <c r="B131" s="16" t="s">
        <v>178</v>
      </c>
      <c r="C131" s="16" t="s">
        <v>340</v>
      </c>
      <c r="D131" s="22" t="s">
        <v>68</v>
      </c>
      <c r="E131" s="22" t="s">
        <v>69</v>
      </c>
      <c r="F131" s="197">
        <f t="shared" si="30"/>
        <v>0.43885153790044362</v>
      </c>
      <c r="G131" s="79">
        <v>0</v>
      </c>
      <c r="H131" s="13">
        <v>2.7E-2</v>
      </c>
      <c r="I131" s="15">
        <v>0.32</v>
      </c>
      <c r="J131" s="13"/>
      <c r="K131" s="79">
        <v>5.7013937900443575E-2</v>
      </c>
      <c r="L131" s="15"/>
      <c r="M131" s="13">
        <v>0</v>
      </c>
      <c r="N131" s="79">
        <v>3.4837600000000003E-2</v>
      </c>
      <c r="O131" s="13"/>
      <c r="Q131" s="199">
        <f>'Parameters, country spec'!L26</f>
        <v>4.6178119267820264E-3</v>
      </c>
    </row>
    <row r="132" spans="1:17" x14ac:dyDescent="0.3">
      <c r="A132" s="21" t="s">
        <v>341</v>
      </c>
      <c r="B132" s="16" t="s">
        <v>179</v>
      </c>
      <c r="C132" s="16" t="s">
        <v>340</v>
      </c>
      <c r="D132" s="22" t="s">
        <v>68</v>
      </c>
      <c r="E132" s="22" t="s">
        <v>69</v>
      </c>
      <c r="F132" s="197">
        <f t="shared" si="30"/>
        <v>0.47030675448840648</v>
      </c>
      <c r="G132" s="79">
        <v>3.1688167106286749E-3</v>
      </c>
      <c r="H132" s="13">
        <v>2.7E-2</v>
      </c>
      <c r="I132" s="15">
        <v>0.32</v>
      </c>
      <c r="J132" s="13"/>
      <c r="K132" s="79">
        <v>8.530033777777779E-2</v>
      </c>
      <c r="L132" s="13"/>
      <c r="M132" s="13">
        <v>0</v>
      </c>
      <c r="N132" s="79">
        <v>3.4837600000000003E-2</v>
      </c>
      <c r="O132" s="13"/>
      <c r="Q132" s="199">
        <f>'Parameters, country spec'!L27</f>
        <v>5.3104837157993301E-2</v>
      </c>
    </row>
    <row r="133" spans="1:17" x14ac:dyDescent="0.3">
      <c r="B133" s="17" t="s">
        <v>180</v>
      </c>
      <c r="C133" s="16" t="s">
        <v>342</v>
      </c>
      <c r="D133" s="22" t="s">
        <v>68</v>
      </c>
      <c r="E133" s="22" t="s">
        <v>69</v>
      </c>
      <c r="F133" s="222">
        <f t="shared" si="30"/>
        <v>0.2869642483479431</v>
      </c>
      <c r="G133" s="19">
        <f>'Processed feed'!$F$34</f>
        <v>4.6516123381761657E-2</v>
      </c>
      <c r="H133" s="19">
        <f>'Processed feed'!$G$34</f>
        <v>1.7031692380172825E-2</v>
      </c>
      <c r="I133" s="19">
        <f>'Processed feed'!$H$34</f>
        <v>0.11985265008269767</v>
      </c>
      <c r="J133" s="19"/>
      <c r="K133" s="19">
        <f>'Processed feed'!$J$34</f>
        <v>1.8388105226884718E-2</v>
      </c>
      <c r="L133" s="19"/>
      <c r="M133" s="148">
        <f>'Processed feed'!$L$34</f>
        <v>0</v>
      </c>
      <c r="N133" s="19">
        <f>'Processed feed'!$M$34</f>
        <v>2.1975677276426256E-2</v>
      </c>
      <c r="O133" s="19"/>
      <c r="P133" s="19">
        <f>'Processed feed'!$O$34</f>
        <v>6.3200000000000006E-2</v>
      </c>
      <c r="Q133" s="199">
        <f>'Parameters, country spec'!L28</f>
        <v>2.7193781346605266E-2</v>
      </c>
    </row>
    <row r="134" spans="1:17" x14ac:dyDescent="0.3">
      <c r="B134" s="17" t="s">
        <v>343</v>
      </c>
      <c r="C134" s="16" t="s">
        <v>342</v>
      </c>
      <c r="D134" s="22" t="s">
        <v>68</v>
      </c>
      <c r="E134" s="22" t="s">
        <v>69</v>
      </c>
      <c r="F134" s="222">
        <f t="shared" si="30"/>
        <v>1.1071334743047214</v>
      </c>
      <c r="G134" s="19">
        <f>'Processed feed'!$F$39</f>
        <v>0</v>
      </c>
      <c r="H134" s="19">
        <f>'Processed feed'!$G$39</f>
        <v>2.8063257713868049E-2</v>
      </c>
      <c r="I134" s="19">
        <f>'Processed feed'!$H$39</f>
        <v>0.33260157290510284</v>
      </c>
      <c r="J134" s="19"/>
      <c r="K134" s="19">
        <f>'Processed feed'!$J$39</f>
        <v>5.9259141947504347E-2</v>
      </c>
      <c r="L134" s="19"/>
      <c r="M134" s="148">
        <f>'Processed feed'!$L$39</f>
        <v>0</v>
      </c>
      <c r="N134" s="19">
        <f>'Processed feed'!$M$39</f>
        <v>3.6209501738246289E-2</v>
      </c>
      <c r="O134" s="19">
        <f>'Processed feed'!$N$39</f>
        <v>0.4</v>
      </c>
      <c r="P134" s="19">
        <f>'Processed feed'!$O$39</f>
        <v>0.251</v>
      </c>
      <c r="Q134" s="199">
        <f>'Parameters, country spec'!L29</f>
        <v>3.5916314986082429E-2</v>
      </c>
    </row>
    <row r="135" spans="1:17" x14ac:dyDescent="0.3">
      <c r="B135" s="16" t="s">
        <v>182</v>
      </c>
      <c r="C135" s="16" t="s">
        <v>344</v>
      </c>
      <c r="D135" s="22" t="s">
        <v>68</v>
      </c>
      <c r="E135" s="22" t="s">
        <v>69</v>
      </c>
      <c r="F135" s="222"/>
      <c r="G135" s="106"/>
      <c r="H135" s="7"/>
      <c r="I135" s="105"/>
      <c r="J135" s="7"/>
      <c r="K135" s="106"/>
      <c r="L135" s="7"/>
      <c r="M135" s="7"/>
      <c r="N135" s="106"/>
      <c r="O135" s="7"/>
      <c r="P135" s="7"/>
      <c r="Q135" s="199">
        <f>'Parameters, country spec'!L30</f>
        <v>0.13313408330019627</v>
      </c>
    </row>
    <row r="136" spans="1:17" x14ac:dyDescent="0.3">
      <c r="A136" s="82"/>
      <c r="B136" s="16" t="s">
        <v>345</v>
      </c>
      <c r="C136" s="83" t="s">
        <v>346</v>
      </c>
      <c r="D136" s="22" t="s">
        <v>68</v>
      </c>
      <c r="E136" s="22" t="s">
        <v>69</v>
      </c>
      <c r="F136" s="222">
        <f>SUM(G136:P136)</f>
        <v>0.37010359041258334</v>
      </c>
      <c r="G136" s="80">
        <f>AVERAGE(G126:G134)</f>
        <v>3.9674302407070046E-2</v>
      </c>
      <c r="H136" s="80">
        <f>AVERAGE(H126:H134)</f>
        <v>2.6010550010448986E-2</v>
      </c>
      <c r="I136" s="80">
        <f t="shared" ref="I136:N136" si="31">AVERAGE(I126:I134)</f>
        <v>0.22693935810975566</v>
      </c>
      <c r="J136" s="80"/>
      <c r="K136" s="80">
        <f t="shared" si="31"/>
        <v>4.3918448883678338E-2</v>
      </c>
      <c r="L136" s="80"/>
      <c r="M136" s="80">
        <f t="shared" si="31"/>
        <v>0</v>
      </c>
      <c r="N136" s="80">
        <f t="shared" si="31"/>
        <v>3.3560931001630281E-2</v>
      </c>
      <c r="O136" s="80"/>
      <c r="P136" s="80"/>
      <c r="Q136" s="199">
        <f>'Parameters, country spec'!L31</f>
        <v>0.1236547415949409</v>
      </c>
    </row>
    <row r="137" spans="1:17" x14ac:dyDescent="0.3">
      <c r="A137" s="198"/>
      <c r="B137" s="24" t="s">
        <v>347</v>
      </c>
      <c r="C137" s="25"/>
      <c r="D137" s="101"/>
      <c r="E137" s="101"/>
      <c r="F137" s="26">
        <f>SUMPRODUCT(F126:F136,$Q$126:$Q$136)</f>
        <v>0.34107120115955414</v>
      </c>
      <c r="G137" s="26">
        <f t="shared" ref="G137:P137" si="32">SUMPRODUCT(G126:G136,$Q$126:$Q$136)</f>
        <v>4.8569169448640315E-2</v>
      </c>
      <c r="H137" s="26">
        <f t="shared" si="32"/>
        <v>2.305014188926904E-2</v>
      </c>
      <c r="I137" s="26">
        <f t="shared" si="32"/>
        <v>0.17999034665000382</v>
      </c>
      <c r="J137" s="26"/>
      <c r="K137" s="26">
        <f t="shared" si="32"/>
        <v>3.4620203909351374E-2</v>
      </c>
      <c r="L137" s="26"/>
      <c r="M137" s="26">
        <f t="shared" si="32"/>
        <v>0</v>
      </c>
      <c r="N137" s="26">
        <f t="shared" si="32"/>
        <v>2.9741171225244414E-2</v>
      </c>
      <c r="O137" s="26">
        <f t="shared" si="32"/>
        <v>1.4366525994432972E-2</v>
      </c>
      <c r="P137" s="26">
        <f t="shared" si="32"/>
        <v>1.0733642042612143E-2</v>
      </c>
      <c r="Q137" s="20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79998168889431442"/>
  </sheetPr>
  <dimension ref="A2:Q137"/>
  <sheetViews>
    <sheetView topLeftCell="A70" zoomScale="74" zoomScaleNormal="80" workbookViewId="0">
      <selection activeCell="G88" sqref="G88"/>
    </sheetView>
  </sheetViews>
  <sheetFormatPr defaultRowHeight="14.4" x14ac:dyDescent="0.3"/>
  <cols>
    <col min="1" max="1" width="8.6640625" customWidth="1"/>
    <col min="2" max="2" width="30.44140625" customWidth="1"/>
    <col min="3" max="3" width="19" customWidth="1"/>
    <col min="4" max="4" width="12.88671875" customWidth="1"/>
    <col min="5" max="5" width="11.33203125" customWidth="1"/>
    <col min="6" max="10" width="12.6640625" customWidth="1"/>
    <col min="11" max="11" width="14.33203125" customWidth="1"/>
    <col min="12" max="16" width="12.6640625" customWidth="1"/>
  </cols>
  <sheetData>
    <row r="2" spans="1:17" ht="21" x14ac:dyDescent="0.4">
      <c r="A2" s="2" t="s">
        <v>348</v>
      </c>
      <c r="F2" t="s">
        <v>324</v>
      </c>
      <c r="O2" t="s">
        <v>325</v>
      </c>
    </row>
    <row r="3" spans="1:17" x14ac:dyDescent="0.3">
      <c r="H3" s="8"/>
      <c r="I3" s="8"/>
      <c r="J3" s="8"/>
      <c r="K3" s="8"/>
      <c r="L3" s="8"/>
      <c r="M3" s="8"/>
      <c r="N3" s="8"/>
    </row>
    <row r="4" spans="1:17" ht="28.8" x14ac:dyDescent="0.3">
      <c r="A4" s="208" t="s">
        <v>326</v>
      </c>
      <c r="B4" s="191"/>
      <c r="C4" s="191"/>
      <c r="D4" s="191"/>
      <c r="E4" s="191"/>
      <c r="F4" s="192" t="s">
        <v>81</v>
      </c>
      <c r="G4" s="192" t="s">
        <v>82</v>
      </c>
      <c r="H4" s="193"/>
      <c r="I4" s="192" t="s">
        <v>83</v>
      </c>
      <c r="J4" s="102"/>
      <c r="K4" s="192" t="s">
        <v>84</v>
      </c>
      <c r="L4" s="102"/>
      <c r="M4" s="102"/>
      <c r="N4" s="102"/>
      <c r="O4" s="103" t="s">
        <v>85</v>
      </c>
      <c r="P4" s="194" t="s">
        <v>86</v>
      </c>
      <c r="Q4" s="192" t="s">
        <v>327</v>
      </c>
    </row>
    <row r="5" spans="1:17" ht="57" customHeight="1" x14ac:dyDescent="0.3">
      <c r="A5" s="96" t="s">
        <v>27</v>
      </c>
      <c r="B5" s="96" t="s">
        <v>326</v>
      </c>
      <c r="C5" s="96" t="s">
        <v>328</v>
      </c>
      <c r="D5" s="96" t="s">
        <v>30</v>
      </c>
      <c r="E5" s="196" t="s">
        <v>31</v>
      </c>
      <c r="F5" s="195"/>
      <c r="G5" s="97" t="s">
        <v>329</v>
      </c>
      <c r="H5" s="97" t="s">
        <v>93</v>
      </c>
      <c r="I5" s="97" t="s">
        <v>330</v>
      </c>
      <c r="J5" s="97" t="s">
        <v>331</v>
      </c>
      <c r="K5" s="97" t="s">
        <v>96</v>
      </c>
      <c r="L5" s="97" t="s">
        <v>97</v>
      </c>
      <c r="M5" s="97" t="s">
        <v>98</v>
      </c>
      <c r="N5" s="97" t="s">
        <v>99</v>
      </c>
      <c r="O5" s="97" t="s">
        <v>100</v>
      </c>
      <c r="P5" s="196" t="s">
        <v>332</v>
      </c>
      <c r="Q5" s="97"/>
    </row>
    <row r="6" spans="1:17" x14ac:dyDescent="0.3">
      <c r="A6" s="21" t="s">
        <v>333</v>
      </c>
      <c r="B6" s="16" t="s">
        <v>172</v>
      </c>
      <c r="C6" s="16" t="s">
        <v>334</v>
      </c>
      <c r="D6" s="22" t="s">
        <v>113</v>
      </c>
      <c r="E6" s="22" t="s">
        <v>49</v>
      </c>
      <c r="F6" s="225">
        <f>SUM(G6:P6)</f>
        <v>2.0655355021385218E-4</v>
      </c>
      <c r="G6" s="203">
        <v>8.0930691575108743E-5</v>
      </c>
      <c r="H6" s="204">
        <v>9.5000000000000005E-5</v>
      </c>
      <c r="I6" s="205"/>
      <c r="J6" s="206"/>
      <c r="K6" s="207">
        <v>1.8076858638743458E-5</v>
      </c>
      <c r="L6" s="207"/>
      <c r="M6" s="207">
        <v>0</v>
      </c>
      <c r="N6" s="207">
        <v>1.2546000000000003E-5</v>
      </c>
      <c r="O6" s="207"/>
      <c r="P6" s="206"/>
      <c r="Q6" s="210">
        <f>'Parameters, country spec'!B21</f>
        <v>0.24551366744057773</v>
      </c>
    </row>
    <row r="7" spans="1:17" x14ac:dyDescent="0.3">
      <c r="A7" s="21" t="s">
        <v>335</v>
      </c>
      <c r="B7" s="16" t="s">
        <v>174</v>
      </c>
      <c r="C7" s="16" t="s">
        <v>334</v>
      </c>
      <c r="D7" s="22" t="s">
        <v>113</v>
      </c>
      <c r="E7" s="22" t="s">
        <v>49</v>
      </c>
      <c r="F7" s="223">
        <f t="shared" ref="F7:F16" si="0">SUM(G7:P7)</f>
        <v>1.9871902439798405E-4</v>
      </c>
      <c r="G7" s="98">
        <v>7.8815626877616721E-5</v>
      </c>
      <c r="H7" s="99">
        <v>9.5000000000000005E-5</v>
      </c>
      <c r="I7" s="15"/>
      <c r="J7" s="13"/>
      <c r="K7" s="100">
        <v>1.2357397520367332E-5</v>
      </c>
      <c r="L7" s="100"/>
      <c r="M7" s="100">
        <v>0</v>
      </c>
      <c r="N7" s="100">
        <v>1.2546000000000003E-5</v>
      </c>
      <c r="O7" s="100"/>
      <c r="P7" s="13"/>
      <c r="Q7" s="199">
        <f>'Parameters, country spec'!B22</f>
        <v>2.5654510704344589E-3</v>
      </c>
    </row>
    <row r="8" spans="1:17" x14ac:dyDescent="0.3">
      <c r="A8" s="21" t="s">
        <v>336</v>
      </c>
      <c r="B8" s="16" t="s">
        <v>175</v>
      </c>
      <c r="C8" s="16" t="s">
        <v>334</v>
      </c>
      <c r="D8" s="22" t="s">
        <v>113</v>
      </c>
      <c r="E8" s="22" t="s">
        <v>49</v>
      </c>
      <c r="F8" s="223">
        <f t="shared" si="0"/>
        <v>1.9956753055993292E-4</v>
      </c>
      <c r="G8" s="98">
        <v>7.134532609711123E-5</v>
      </c>
      <c r="H8" s="99">
        <v>9.5000000000000005E-5</v>
      </c>
      <c r="I8" s="15"/>
      <c r="J8" s="13"/>
      <c r="K8" s="100">
        <v>2.0676204462821701E-5</v>
      </c>
      <c r="L8" s="100"/>
      <c r="M8" s="100">
        <v>0</v>
      </c>
      <c r="N8" s="100">
        <v>1.2546000000000003E-5</v>
      </c>
      <c r="O8" s="100"/>
      <c r="P8" s="13"/>
      <c r="Q8" s="199">
        <f>'Parameters, country spec'!B23</f>
        <v>4.1303762233994797E-2</v>
      </c>
    </row>
    <row r="9" spans="1:17" x14ac:dyDescent="0.3">
      <c r="A9" s="21" t="s">
        <v>337</v>
      </c>
      <c r="B9" s="16" t="s">
        <v>176</v>
      </c>
      <c r="C9" s="16" t="s">
        <v>334</v>
      </c>
      <c r="D9" s="22" t="s">
        <v>113</v>
      </c>
      <c r="E9" s="22" t="s">
        <v>49</v>
      </c>
      <c r="F9" s="223">
        <f t="shared" si="0"/>
        <v>1.840193507270561E-4</v>
      </c>
      <c r="G9" s="98">
        <v>6.2842418816841267E-5</v>
      </c>
      <c r="H9" s="99">
        <v>9.5000000000000005E-5</v>
      </c>
      <c r="I9" s="13"/>
      <c r="J9" s="13"/>
      <c r="K9" s="100">
        <v>1.3630931910214812E-5</v>
      </c>
      <c r="L9" s="100"/>
      <c r="M9" s="100">
        <v>0</v>
      </c>
      <c r="N9" s="100">
        <v>1.2546000000000003E-5</v>
      </c>
      <c r="O9" s="100"/>
      <c r="P9" s="13"/>
      <c r="Q9" s="199">
        <f>'Parameters, country spec'!B24</f>
        <v>2.6167600918431479E-2</v>
      </c>
    </row>
    <row r="10" spans="1:17" x14ac:dyDescent="0.3">
      <c r="A10" s="21" t="s">
        <v>338</v>
      </c>
      <c r="B10" s="16" t="s">
        <v>177</v>
      </c>
      <c r="C10" s="16" t="s">
        <v>334</v>
      </c>
      <c r="D10" s="22" t="s">
        <v>113</v>
      </c>
      <c r="E10" s="22" t="s">
        <v>49</v>
      </c>
      <c r="F10" s="223">
        <f t="shared" si="0"/>
        <v>2.1322851393583626E-4</v>
      </c>
      <c r="G10" s="98">
        <v>9.2769916609057948E-5</v>
      </c>
      <c r="H10" s="99">
        <v>9.5000000000000005E-5</v>
      </c>
      <c r="I10" s="13"/>
      <c r="J10" s="13"/>
      <c r="K10" s="100">
        <v>1.291259732677831E-5</v>
      </c>
      <c r="L10" s="100"/>
      <c r="M10" s="100">
        <v>0</v>
      </c>
      <c r="N10" s="100">
        <v>1.2546000000000003E-5</v>
      </c>
      <c r="O10" s="100"/>
      <c r="P10" s="13"/>
      <c r="Q10" s="199">
        <f>'Parameters, country spec'!B25</f>
        <v>0.30682794802396129</v>
      </c>
    </row>
    <row r="11" spans="1:17" x14ac:dyDescent="0.3">
      <c r="A11" s="21" t="s">
        <v>339</v>
      </c>
      <c r="B11" s="16" t="s">
        <v>178</v>
      </c>
      <c r="C11" s="16" t="s">
        <v>340</v>
      </c>
      <c r="D11" s="22" t="s">
        <v>113</v>
      </c>
      <c r="E11" s="22" t="s">
        <v>49</v>
      </c>
      <c r="F11" s="223">
        <f t="shared" si="0"/>
        <v>1.3280125199673234E-4</v>
      </c>
      <c r="G11" s="98">
        <v>0</v>
      </c>
      <c r="H11" s="99">
        <v>9.5000000000000005E-5</v>
      </c>
      <c r="I11" s="15"/>
      <c r="J11" s="13"/>
      <c r="K11" s="100">
        <v>2.5255251996732317E-5</v>
      </c>
      <c r="L11" s="100"/>
      <c r="M11" s="100">
        <v>0</v>
      </c>
      <c r="N11" s="100">
        <v>1.2546000000000003E-5</v>
      </c>
      <c r="O11" s="100"/>
      <c r="P11" s="13"/>
      <c r="Q11" s="199">
        <f>'Parameters, country spec'!B26</f>
        <v>4.6178119267820264E-3</v>
      </c>
    </row>
    <row r="12" spans="1:17" x14ac:dyDescent="0.3">
      <c r="A12" s="21" t="s">
        <v>341</v>
      </c>
      <c r="B12" s="16" t="s">
        <v>179</v>
      </c>
      <c r="C12" s="16" t="s">
        <v>340</v>
      </c>
      <c r="D12" s="22" t="s">
        <v>113</v>
      </c>
      <c r="E12" s="22" t="s">
        <v>49</v>
      </c>
      <c r="F12" s="223">
        <f t="shared" si="0"/>
        <v>1.4931770127423491E-4</v>
      </c>
      <c r="G12" s="98">
        <v>3.9865279409015522E-6</v>
      </c>
      <c r="H12" s="99">
        <v>9.5000000000000005E-5</v>
      </c>
      <c r="I12" s="15"/>
      <c r="J12" s="13"/>
      <c r="K12" s="100">
        <v>3.7785173333333341E-5</v>
      </c>
      <c r="L12" s="100"/>
      <c r="M12" s="100">
        <v>0</v>
      </c>
      <c r="N12" s="100">
        <v>1.2546000000000003E-5</v>
      </c>
      <c r="O12" s="100"/>
      <c r="P12" s="13"/>
      <c r="Q12" s="199">
        <f>'Parameters, country spec'!B27</f>
        <v>5.3104837157993301E-2</v>
      </c>
    </row>
    <row r="13" spans="1:17" x14ac:dyDescent="0.3">
      <c r="B13" s="17" t="s">
        <v>180</v>
      </c>
      <c r="C13" s="16" t="s">
        <v>342</v>
      </c>
      <c r="D13" s="22" t="s">
        <v>113</v>
      </c>
      <c r="E13" s="22" t="s">
        <v>49</v>
      </c>
      <c r="F13" s="224">
        <f t="shared" si="0"/>
        <v>8.8724332534062934E-5</v>
      </c>
      <c r="G13" s="33">
        <f>'Processed feed'!$F$36</f>
        <v>1.2478043251867624E-8</v>
      </c>
      <c r="H13" s="33">
        <f>'Processed feed'!$G$36</f>
        <v>1.2778001234202703E-8</v>
      </c>
      <c r="I13" s="33">
        <f>'Processed feed'!$H$36</f>
        <v>0</v>
      </c>
      <c r="J13" s="33">
        <f>'Processed feed'!$I$36</f>
        <v>0</v>
      </c>
      <c r="K13" s="33">
        <f>'Processed feed'!$J$36</f>
        <v>1.7368124692456396E-9</v>
      </c>
      <c r="L13" s="33">
        <f>'Processed feed'!$K$36</f>
        <v>0</v>
      </c>
      <c r="M13" s="33">
        <f>'Processed feed'!$L$36</f>
        <v>0</v>
      </c>
      <c r="N13" s="33">
        <f>'Processed feed'!$M$36</f>
        <v>1.6875031945716541E-9</v>
      </c>
      <c r="O13" s="33">
        <f>'Processed feed'!$N$36</f>
        <v>0</v>
      </c>
      <c r="P13" s="33">
        <f>'Processed feed'!$O$36</f>
        <v>8.8695652173913049E-5</v>
      </c>
      <c r="Q13" s="199">
        <f>'Parameters, country spec'!B28</f>
        <v>2.7193781346605266E-2</v>
      </c>
    </row>
    <row r="14" spans="1:17" x14ac:dyDescent="0.3">
      <c r="B14" s="17" t="s">
        <v>343</v>
      </c>
      <c r="C14" s="16" t="s">
        <v>342</v>
      </c>
      <c r="D14" s="22" t="s">
        <v>113</v>
      </c>
      <c r="E14" s="22" t="s">
        <v>49</v>
      </c>
      <c r="F14" s="224">
        <f t="shared" si="0"/>
        <v>2.1138030954055875E-2</v>
      </c>
      <c r="G14" s="33">
        <f>'Processed feed'!$F$41</f>
        <v>0</v>
      </c>
      <c r="H14" s="33">
        <f>'Processed feed'!$G$41</f>
        <v>9.8741091956202427E-5</v>
      </c>
      <c r="I14" s="33">
        <f>'Processed feed'!$H$41</f>
        <v>0</v>
      </c>
      <c r="J14" s="33">
        <f>'Processed feed'!$I$41</f>
        <v>0</v>
      </c>
      <c r="K14" s="33">
        <f>'Processed feed'!$J$41</f>
        <v>2.6249801681962218E-5</v>
      </c>
      <c r="L14" s="33">
        <f>'Processed feed'!$K$41</f>
        <v>0</v>
      </c>
      <c r="M14" s="33">
        <f>'Processed feed'!$L$41</f>
        <v>0</v>
      </c>
      <c r="N14" s="33">
        <f>'Processed feed'!$M$41</f>
        <v>1.3040060417710694E-5</v>
      </c>
      <c r="O14" s="33">
        <f>'Processed feed'!$N$41</f>
        <v>0</v>
      </c>
      <c r="P14" s="33">
        <f>'Processed feed'!$O$41</f>
        <v>2.0999999999999998E-2</v>
      </c>
      <c r="Q14" s="199">
        <f>'Parameters, country spec'!B29</f>
        <v>3.5916314986082429E-2</v>
      </c>
    </row>
    <row r="15" spans="1:17" x14ac:dyDescent="0.3">
      <c r="B15" s="16" t="s">
        <v>182</v>
      </c>
      <c r="C15" s="16" t="s">
        <v>344</v>
      </c>
      <c r="D15" s="22" t="s">
        <v>113</v>
      </c>
      <c r="E15" s="22" t="s">
        <v>49</v>
      </c>
      <c r="F15" s="224"/>
      <c r="G15" s="13"/>
      <c r="H15" s="13"/>
      <c r="I15" s="13"/>
      <c r="J15" s="13"/>
      <c r="K15" s="13"/>
      <c r="L15" s="13"/>
      <c r="M15" s="13"/>
      <c r="N15" s="13"/>
      <c r="O15" s="13"/>
      <c r="P15" s="13"/>
      <c r="Q15" s="199">
        <f>'Parameters, country spec'!B30</f>
        <v>0.13313408330019627</v>
      </c>
    </row>
    <row r="16" spans="1:17" x14ac:dyDescent="0.3">
      <c r="A16" s="82"/>
      <c r="B16" s="16" t="s">
        <v>345</v>
      </c>
      <c r="C16" s="83" t="s">
        <v>346</v>
      </c>
      <c r="D16" s="22" t="s">
        <v>113</v>
      </c>
      <c r="E16" s="22" t="s">
        <v>49</v>
      </c>
      <c r="F16" s="224">
        <f t="shared" si="0"/>
        <v>1.5802961750240599E-4</v>
      </c>
      <c r="G16" s="81">
        <f t="shared" ref="G16:N16" si="1">AVERAGE(G6:G14)</f>
        <v>4.3411442884432146E-5</v>
      </c>
      <c r="H16" s="81">
        <f t="shared" si="1"/>
        <v>8.4861541106381856E-5</v>
      </c>
      <c r="I16" s="81">
        <f t="shared" si="1"/>
        <v>0</v>
      </c>
      <c r="J16" s="81">
        <f t="shared" si="1"/>
        <v>0</v>
      </c>
      <c r="K16" s="81">
        <f t="shared" si="1"/>
        <v>1.8549550409269192E-5</v>
      </c>
      <c r="L16" s="81">
        <f t="shared" si="1"/>
        <v>0</v>
      </c>
      <c r="M16" s="81">
        <f t="shared" si="1"/>
        <v>0</v>
      </c>
      <c r="N16" s="81">
        <f t="shared" si="1"/>
        <v>1.1207083102322808E-5</v>
      </c>
      <c r="O16" s="81"/>
      <c r="P16" s="81"/>
      <c r="Q16" s="199">
        <f>'Parameters, country spec'!B31</f>
        <v>0.1236547415949409</v>
      </c>
    </row>
    <row r="17" spans="1:17" x14ac:dyDescent="0.3">
      <c r="A17" s="198"/>
      <c r="B17" s="24" t="s">
        <v>347</v>
      </c>
      <c r="C17" s="25"/>
      <c r="D17" s="101"/>
      <c r="E17" s="101"/>
      <c r="F17" s="46">
        <f>SUMPRODUCT(F6:F16,$Q$6:$Q$16)</f>
        <v>9.1940100868726025E-4</v>
      </c>
      <c r="G17" s="46">
        <f t="shared" ref="G17:P17" si="2">SUMPRODUCT(G6:G16,$Q$6:$Q$16)</f>
        <v>5.8707531399373735E-5</v>
      </c>
      <c r="H17" s="46">
        <f t="shared" si="2"/>
        <v>7.8649898063155036E-5</v>
      </c>
      <c r="I17" s="46">
        <f t="shared" si="2"/>
        <v>0</v>
      </c>
      <c r="J17" s="46">
        <f t="shared" si="2"/>
        <v>0</v>
      </c>
      <c r="K17" s="46">
        <f t="shared" si="2"/>
        <v>1.5002240439069153E-5</v>
      </c>
      <c r="L17" s="46">
        <f t="shared" si="2"/>
        <v>0</v>
      </c>
      <c r="M17" s="46">
        <f t="shared" si="2"/>
        <v>0</v>
      </c>
      <c r="N17" s="46">
        <f t="shared" si="2"/>
        <v>1.0386753906319406E-5</v>
      </c>
      <c r="O17" s="46">
        <f t="shared" si="2"/>
        <v>0</v>
      </c>
      <c r="P17" s="46">
        <f t="shared" si="2"/>
        <v>7.5665458487934282E-4</v>
      </c>
      <c r="Q17" s="209"/>
    </row>
    <row r="18" spans="1:17" x14ac:dyDescent="0.3">
      <c r="A18" s="21" t="s">
        <v>333</v>
      </c>
      <c r="B18" s="16" t="s">
        <v>172</v>
      </c>
      <c r="C18" s="16" t="s">
        <v>334</v>
      </c>
      <c r="D18" s="22" t="s">
        <v>50</v>
      </c>
      <c r="E18" s="22" t="s">
        <v>51</v>
      </c>
      <c r="F18" s="225">
        <f>SUM(G18:P18)</f>
        <v>2.0655355021385218E-4</v>
      </c>
      <c r="G18" s="203">
        <v>8.0930691575108743E-5</v>
      </c>
      <c r="H18" s="204">
        <v>9.5000000000000005E-5</v>
      </c>
      <c r="I18" s="205"/>
      <c r="J18" s="206"/>
      <c r="K18" s="207">
        <v>1.8076858638743458E-5</v>
      </c>
      <c r="L18" s="207"/>
      <c r="M18" s="207">
        <v>0</v>
      </c>
      <c r="N18" s="207">
        <v>1.2546000000000003E-5</v>
      </c>
      <c r="O18" s="207"/>
      <c r="P18" s="206"/>
      <c r="Q18" s="210">
        <f>'Parameters, country spec'!C21</f>
        <v>0.24551366744057773</v>
      </c>
    </row>
    <row r="19" spans="1:17" x14ac:dyDescent="0.3">
      <c r="A19" s="21" t="s">
        <v>335</v>
      </c>
      <c r="B19" s="16" t="s">
        <v>174</v>
      </c>
      <c r="C19" s="16" t="s">
        <v>334</v>
      </c>
      <c r="D19" s="22" t="s">
        <v>50</v>
      </c>
      <c r="E19" s="22" t="s">
        <v>51</v>
      </c>
      <c r="F19" s="223">
        <f t="shared" ref="F19:F28" si="3">SUM(G19:P19)</f>
        <v>1.9871902439798405E-4</v>
      </c>
      <c r="G19" s="98">
        <v>7.8815626877616721E-5</v>
      </c>
      <c r="H19" s="99">
        <v>9.5000000000000005E-5</v>
      </c>
      <c r="I19" s="15"/>
      <c r="J19" s="13"/>
      <c r="K19" s="100">
        <v>1.2357397520367332E-5</v>
      </c>
      <c r="L19" s="100"/>
      <c r="M19" s="100">
        <v>0</v>
      </c>
      <c r="N19" s="100">
        <v>1.2546000000000003E-5</v>
      </c>
      <c r="O19" s="100"/>
      <c r="P19" s="13"/>
      <c r="Q19" s="199">
        <f>'Parameters, country spec'!C22</f>
        <v>2.5654510704344589E-3</v>
      </c>
    </row>
    <row r="20" spans="1:17" x14ac:dyDescent="0.3">
      <c r="A20" s="21" t="s">
        <v>336</v>
      </c>
      <c r="B20" s="16" t="s">
        <v>175</v>
      </c>
      <c r="C20" s="16" t="s">
        <v>334</v>
      </c>
      <c r="D20" s="22" t="s">
        <v>50</v>
      </c>
      <c r="E20" s="22" t="s">
        <v>51</v>
      </c>
      <c r="F20" s="223">
        <f t="shared" si="3"/>
        <v>1.9956753055993292E-4</v>
      </c>
      <c r="G20" s="98">
        <v>7.134532609711123E-5</v>
      </c>
      <c r="H20" s="99">
        <v>9.5000000000000005E-5</v>
      </c>
      <c r="I20" s="15"/>
      <c r="J20" s="13"/>
      <c r="K20" s="100">
        <v>2.0676204462821701E-5</v>
      </c>
      <c r="L20" s="100"/>
      <c r="M20" s="100">
        <v>0</v>
      </c>
      <c r="N20" s="100">
        <v>1.2546000000000003E-5</v>
      </c>
      <c r="O20" s="100"/>
      <c r="P20" s="13"/>
      <c r="Q20" s="199">
        <f>'Parameters, country spec'!C23</f>
        <v>4.1303762233994797E-2</v>
      </c>
    </row>
    <row r="21" spans="1:17" x14ac:dyDescent="0.3">
      <c r="A21" s="21" t="s">
        <v>337</v>
      </c>
      <c r="B21" s="16" t="s">
        <v>176</v>
      </c>
      <c r="C21" s="16" t="s">
        <v>334</v>
      </c>
      <c r="D21" s="22" t="s">
        <v>50</v>
      </c>
      <c r="E21" s="22" t="s">
        <v>51</v>
      </c>
      <c r="F21" s="223">
        <f t="shared" si="3"/>
        <v>1.840193507270561E-4</v>
      </c>
      <c r="G21" s="98">
        <v>6.2842418816841267E-5</v>
      </c>
      <c r="H21" s="99">
        <v>9.5000000000000005E-5</v>
      </c>
      <c r="I21" s="13"/>
      <c r="J21" s="13"/>
      <c r="K21" s="100">
        <v>1.3630931910214812E-5</v>
      </c>
      <c r="L21" s="100"/>
      <c r="M21" s="100">
        <v>0</v>
      </c>
      <c r="N21" s="100">
        <v>1.2546000000000003E-5</v>
      </c>
      <c r="O21" s="100"/>
      <c r="P21" s="13"/>
      <c r="Q21" s="199">
        <f>'Parameters, country spec'!C24</f>
        <v>2.6167600918431479E-2</v>
      </c>
    </row>
    <row r="22" spans="1:17" x14ac:dyDescent="0.3">
      <c r="A22" s="21" t="s">
        <v>338</v>
      </c>
      <c r="B22" s="16" t="s">
        <v>177</v>
      </c>
      <c r="C22" s="16" t="s">
        <v>334</v>
      </c>
      <c r="D22" s="22" t="s">
        <v>50</v>
      </c>
      <c r="E22" s="22" t="s">
        <v>51</v>
      </c>
      <c r="F22" s="223">
        <f t="shared" si="3"/>
        <v>2.1322851393583626E-4</v>
      </c>
      <c r="G22" s="98">
        <v>9.2769916609057948E-5</v>
      </c>
      <c r="H22" s="99">
        <v>9.5000000000000005E-5</v>
      </c>
      <c r="I22" s="13"/>
      <c r="J22" s="13"/>
      <c r="K22" s="100">
        <v>1.291259732677831E-5</v>
      </c>
      <c r="L22" s="100"/>
      <c r="M22" s="100">
        <v>0</v>
      </c>
      <c r="N22" s="100">
        <v>1.2546000000000003E-5</v>
      </c>
      <c r="O22" s="100"/>
      <c r="P22" s="13"/>
      <c r="Q22" s="199">
        <f>'Parameters, country spec'!C25</f>
        <v>0.30682794802396129</v>
      </c>
    </row>
    <row r="23" spans="1:17" x14ac:dyDescent="0.3">
      <c r="A23" s="21" t="s">
        <v>339</v>
      </c>
      <c r="B23" s="16" t="s">
        <v>178</v>
      </c>
      <c r="C23" s="16" t="s">
        <v>340</v>
      </c>
      <c r="D23" s="22" t="s">
        <v>50</v>
      </c>
      <c r="E23" s="22" t="s">
        <v>51</v>
      </c>
      <c r="F23" s="223">
        <f t="shared" si="3"/>
        <v>1.3280125199673234E-4</v>
      </c>
      <c r="G23" s="98">
        <v>0</v>
      </c>
      <c r="H23" s="99">
        <v>9.5000000000000005E-5</v>
      </c>
      <c r="I23" s="15"/>
      <c r="J23" s="13"/>
      <c r="K23" s="100">
        <v>2.5255251996732317E-5</v>
      </c>
      <c r="L23" s="100"/>
      <c r="M23" s="100">
        <v>0</v>
      </c>
      <c r="N23" s="100">
        <v>1.2546000000000003E-5</v>
      </c>
      <c r="O23" s="100"/>
      <c r="P23" s="13"/>
      <c r="Q23" s="199">
        <f>'Parameters, country spec'!C26</f>
        <v>4.6178119267820264E-3</v>
      </c>
    </row>
    <row r="24" spans="1:17" x14ac:dyDescent="0.3">
      <c r="A24" s="21" t="s">
        <v>341</v>
      </c>
      <c r="B24" s="16" t="s">
        <v>179</v>
      </c>
      <c r="C24" s="16" t="s">
        <v>340</v>
      </c>
      <c r="D24" s="22" t="s">
        <v>50</v>
      </c>
      <c r="E24" s="22" t="s">
        <v>51</v>
      </c>
      <c r="F24" s="223">
        <f t="shared" si="3"/>
        <v>1.4931770127423491E-4</v>
      </c>
      <c r="G24" s="98">
        <v>3.9865279409015522E-6</v>
      </c>
      <c r="H24" s="99">
        <v>9.5000000000000005E-5</v>
      </c>
      <c r="I24" s="15"/>
      <c r="J24" s="13"/>
      <c r="K24" s="100">
        <v>3.7785173333333341E-5</v>
      </c>
      <c r="L24" s="100"/>
      <c r="M24" s="100">
        <v>0</v>
      </c>
      <c r="N24" s="100">
        <v>1.2546000000000003E-5</v>
      </c>
      <c r="O24" s="100"/>
      <c r="P24" s="13"/>
      <c r="Q24" s="199">
        <f>'Parameters, country spec'!C27</f>
        <v>5.3104837157993301E-2</v>
      </c>
    </row>
    <row r="25" spans="1:17" x14ac:dyDescent="0.3">
      <c r="B25" s="17" t="s">
        <v>180</v>
      </c>
      <c r="C25" s="16" t="s">
        <v>342</v>
      </c>
      <c r="D25" s="22" t="s">
        <v>50</v>
      </c>
      <c r="E25" s="22" t="s">
        <v>51</v>
      </c>
      <c r="F25" s="224">
        <f t="shared" si="3"/>
        <v>8.8724332534062934E-5</v>
      </c>
      <c r="G25" s="33">
        <f>'Processed feed'!$F$36</f>
        <v>1.2478043251867624E-8</v>
      </c>
      <c r="H25" s="33">
        <f>'Processed feed'!$G$36</f>
        <v>1.2778001234202703E-8</v>
      </c>
      <c r="I25" s="33">
        <f>'Processed feed'!$H$36</f>
        <v>0</v>
      </c>
      <c r="J25" s="33">
        <f>'Processed feed'!$I$36</f>
        <v>0</v>
      </c>
      <c r="K25" s="33">
        <f>'Processed feed'!$J$36</f>
        <v>1.7368124692456396E-9</v>
      </c>
      <c r="L25" s="33">
        <f>'Processed feed'!$K$36</f>
        <v>0</v>
      </c>
      <c r="M25" s="33">
        <f>'Processed feed'!$L$36</f>
        <v>0</v>
      </c>
      <c r="N25" s="33">
        <f>'Processed feed'!$M$36</f>
        <v>1.6875031945716541E-9</v>
      </c>
      <c r="O25" s="33">
        <f>'Processed feed'!$N$36</f>
        <v>0</v>
      </c>
      <c r="P25" s="33">
        <f>'Processed feed'!$O$36</f>
        <v>8.8695652173913049E-5</v>
      </c>
      <c r="Q25" s="199">
        <f>'Parameters, country spec'!C28</f>
        <v>2.7193781346605266E-2</v>
      </c>
    </row>
    <row r="26" spans="1:17" x14ac:dyDescent="0.3">
      <c r="B26" s="17" t="s">
        <v>343</v>
      </c>
      <c r="C26" s="16" t="s">
        <v>342</v>
      </c>
      <c r="D26" s="22" t="s">
        <v>50</v>
      </c>
      <c r="E26" s="22" t="s">
        <v>51</v>
      </c>
      <c r="F26" s="224">
        <f t="shared" si="3"/>
        <v>2.1138030954055875E-2</v>
      </c>
      <c r="G26" s="33">
        <f>'Processed feed'!$F$41</f>
        <v>0</v>
      </c>
      <c r="H26" s="33">
        <f>'Processed feed'!$G$41</f>
        <v>9.8741091956202427E-5</v>
      </c>
      <c r="I26" s="33">
        <f>'Processed feed'!$H$41</f>
        <v>0</v>
      </c>
      <c r="J26" s="33">
        <f>'Processed feed'!$I$41</f>
        <v>0</v>
      </c>
      <c r="K26" s="33">
        <f>'Processed feed'!$J$41</f>
        <v>2.6249801681962218E-5</v>
      </c>
      <c r="L26" s="33">
        <f>'Processed feed'!$K$41</f>
        <v>0</v>
      </c>
      <c r="M26" s="33">
        <f>'Processed feed'!$L$41</f>
        <v>0</v>
      </c>
      <c r="N26" s="33">
        <f>'Processed feed'!$M$41</f>
        <v>1.3040060417710694E-5</v>
      </c>
      <c r="O26" s="33">
        <f>'Processed feed'!$N$41</f>
        <v>0</v>
      </c>
      <c r="P26" s="33">
        <f>'Processed feed'!$O$41</f>
        <v>2.0999999999999998E-2</v>
      </c>
      <c r="Q26" s="199">
        <f>'Parameters, country spec'!C29</f>
        <v>3.5916314986082429E-2</v>
      </c>
    </row>
    <row r="27" spans="1:17" x14ac:dyDescent="0.3">
      <c r="B27" s="16" t="s">
        <v>182</v>
      </c>
      <c r="C27" s="16" t="s">
        <v>344</v>
      </c>
      <c r="D27" s="22" t="s">
        <v>50</v>
      </c>
      <c r="E27" s="22" t="s">
        <v>51</v>
      </c>
      <c r="F27" s="224"/>
      <c r="G27" s="13"/>
      <c r="H27" s="13"/>
      <c r="I27" s="13"/>
      <c r="J27" s="13"/>
      <c r="K27" s="13"/>
      <c r="L27" s="13"/>
      <c r="M27" s="13"/>
      <c r="N27" s="13"/>
      <c r="O27" s="13"/>
      <c r="P27" s="13"/>
      <c r="Q27" s="199">
        <f>'Parameters, country spec'!C30</f>
        <v>0.13313408330019627</v>
      </c>
    </row>
    <row r="28" spans="1:17" x14ac:dyDescent="0.3">
      <c r="A28" s="82"/>
      <c r="B28" s="16" t="s">
        <v>345</v>
      </c>
      <c r="C28" s="83" t="s">
        <v>346</v>
      </c>
      <c r="D28" s="22" t="s">
        <v>50</v>
      </c>
      <c r="E28" s="22" t="s">
        <v>51</v>
      </c>
      <c r="F28" s="224">
        <f t="shared" si="3"/>
        <v>1.5802961750240599E-4</v>
      </c>
      <c r="G28" s="81">
        <f t="shared" ref="G28:N28" si="4">AVERAGE(G18:G26)</f>
        <v>4.3411442884432146E-5</v>
      </c>
      <c r="H28" s="81">
        <f t="shared" si="4"/>
        <v>8.4861541106381856E-5</v>
      </c>
      <c r="I28" s="81">
        <f t="shared" si="4"/>
        <v>0</v>
      </c>
      <c r="J28" s="81">
        <f t="shared" si="4"/>
        <v>0</v>
      </c>
      <c r="K28" s="81">
        <f t="shared" si="4"/>
        <v>1.8549550409269192E-5</v>
      </c>
      <c r="L28" s="81">
        <f t="shared" si="4"/>
        <v>0</v>
      </c>
      <c r="M28" s="81">
        <f t="shared" si="4"/>
        <v>0</v>
      </c>
      <c r="N28" s="81">
        <f t="shared" si="4"/>
        <v>1.1207083102322808E-5</v>
      </c>
      <c r="O28" s="81"/>
      <c r="P28" s="81"/>
      <c r="Q28" s="199">
        <f>'Parameters, country spec'!C31</f>
        <v>0.1236547415949409</v>
      </c>
    </row>
    <row r="29" spans="1:17" x14ac:dyDescent="0.3">
      <c r="A29" s="198"/>
      <c r="B29" s="24" t="s">
        <v>347</v>
      </c>
      <c r="C29" s="25"/>
      <c r="D29" s="101"/>
      <c r="E29" s="101"/>
      <c r="F29" s="46">
        <f>SUMPRODUCT(F18:F28,$Q$18:$Q$28)</f>
        <v>9.1940100868726025E-4</v>
      </c>
      <c r="G29" s="46">
        <f t="shared" ref="G29:P29" si="5">SUMPRODUCT(G18:G28,$Q$18:$Q$28)</f>
        <v>5.8707531399373735E-5</v>
      </c>
      <c r="H29" s="46">
        <f t="shared" si="5"/>
        <v>7.8649898063155036E-5</v>
      </c>
      <c r="I29" s="46">
        <f t="shared" si="5"/>
        <v>0</v>
      </c>
      <c r="J29" s="46">
        <f t="shared" si="5"/>
        <v>0</v>
      </c>
      <c r="K29" s="46">
        <f t="shared" si="5"/>
        <v>1.5002240439069153E-5</v>
      </c>
      <c r="L29" s="46">
        <f t="shared" si="5"/>
        <v>0</v>
      </c>
      <c r="M29" s="46">
        <f t="shared" si="5"/>
        <v>0</v>
      </c>
      <c r="N29" s="46">
        <f t="shared" si="5"/>
        <v>1.0386753906319406E-5</v>
      </c>
      <c r="O29" s="46">
        <f t="shared" si="5"/>
        <v>0</v>
      </c>
      <c r="P29" s="46">
        <f t="shared" si="5"/>
        <v>7.5665458487934282E-4</v>
      </c>
      <c r="Q29" s="200"/>
    </row>
    <row r="30" spans="1:17" x14ac:dyDescent="0.3">
      <c r="A30" s="21" t="s">
        <v>333</v>
      </c>
      <c r="B30" s="16" t="s">
        <v>172</v>
      </c>
      <c r="C30" s="16" t="s">
        <v>334</v>
      </c>
      <c r="D30" s="22" t="s">
        <v>52</v>
      </c>
      <c r="E30" s="22" t="s">
        <v>53</v>
      </c>
      <c r="F30" s="225">
        <f>SUM(G30:P30)</f>
        <v>2.0655355021385218E-4</v>
      </c>
      <c r="G30" s="203">
        <v>8.0930691575108743E-5</v>
      </c>
      <c r="H30" s="204">
        <v>9.5000000000000005E-5</v>
      </c>
      <c r="I30" s="205"/>
      <c r="J30" s="206"/>
      <c r="K30" s="207">
        <v>1.8076858638743458E-5</v>
      </c>
      <c r="L30" s="207"/>
      <c r="M30" s="207">
        <v>0</v>
      </c>
      <c r="N30" s="207">
        <v>1.2546000000000003E-5</v>
      </c>
      <c r="O30" s="207"/>
      <c r="P30" s="206"/>
      <c r="Q30" s="210">
        <f>'Parameters, country spec'!D21</f>
        <v>0.24551366744057773</v>
      </c>
    </row>
    <row r="31" spans="1:17" x14ac:dyDescent="0.3">
      <c r="A31" s="21" t="s">
        <v>335</v>
      </c>
      <c r="B31" s="16" t="s">
        <v>174</v>
      </c>
      <c r="C31" s="16" t="s">
        <v>334</v>
      </c>
      <c r="D31" s="22" t="s">
        <v>52</v>
      </c>
      <c r="E31" s="22" t="s">
        <v>53</v>
      </c>
      <c r="F31" s="223">
        <f t="shared" ref="F31:F40" si="6">SUM(G31:P31)</f>
        <v>1.9871902439798405E-4</v>
      </c>
      <c r="G31" s="98">
        <v>7.8815626877616721E-5</v>
      </c>
      <c r="H31" s="99">
        <v>9.5000000000000005E-5</v>
      </c>
      <c r="I31" s="15"/>
      <c r="J31" s="13"/>
      <c r="K31" s="100">
        <v>1.2357397520367332E-5</v>
      </c>
      <c r="L31" s="100"/>
      <c r="M31" s="100">
        <v>0</v>
      </c>
      <c r="N31" s="100">
        <v>1.2546000000000003E-5</v>
      </c>
      <c r="O31" s="100"/>
      <c r="P31" s="13"/>
      <c r="Q31" s="199">
        <f>'Parameters, country spec'!D22</f>
        <v>2.5654510704344589E-3</v>
      </c>
    </row>
    <row r="32" spans="1:17" x14ac:dyDescent="0.3">
      <c r="A32" s="21" t="s">
        <v>336</v>
      </c>
      <c r="B32" s="16" t="s">
        <v>175</v>
      </c>
      <c r="C32" s="16" t="s">
        <v>334</v>
      </c>
      <c r="D32" s="22" t="s">
        <v>52</v>
      </c>
      <c r="E32" s="22" t="s">
        <v>53</v>
      </c>
      <c r="F32" s="223">
        <f t="shared" si="6"/>
        <v>1.9956753055993292E-4</v>
      </c>
      <c r="G32" s="98">
        <v>7.134532609711123E-5</v>
      </c>
      <c r="H32" s="99">
        <v>9.5000000000000005E-5</v>
      </c>
      <c r="I32" s="15"/>
      <c r="J32" s="13"/>
      <c r="K32" s="100">
        <v>2.0676204462821701E-5</v>
      </c>
      <c r="L32" s="100"/>
      <c r="M32" s="100">
        <v>0</v>
      </c>
      <c r="N32" s="100">
        <v>1.2546000000000003E-5</v>
      </c>
      <c r="O32" s="100"/>
      <c r="P32" s="13"/>
      <c r="Q32" s="199">
        <f>'Parameters, country spec'!D23</f>
        <v>4.1303762233994797E-2</v>
      </c>
    </row>
    <row r="33" spans="1:17" x14ac:dyDescent="0.3">
      <c r="A33" s="21" t="s">
        <v>337</v>
      </c>
      <c r="B33" s="16" t="s">
        <v>176</v>
      </c>
      <c r="C33" s="16" t="s">
        <v>334</v>
      </c>
      <c r="D33" s="22" t="s">
        <v>52</v>
      </c>
      <c r="E33" s="22" t="s">
        <v>53</v>
      </c>
      <c r="F33" s="223">
        <f t="shared" si="6"/>
        <v>1.840193507270561E-4</v>
      </c>
      <c r="G33" s="98">
        <v>6.2842418816841267E-5</v>
      </c>
      <c r="H33" s="99">
        <v>9.5000000000000005E-5</v>
      </c>
      <c r="I33" s="13"/>
      <c r="J33" s="13"/>
      <c r="K33" s="100">
        <v>1.3630931910214812E-5</v>
      </c>
      <c r="L33" s="100"/>
      <c r="M33" s="100">
        <v>0</v>
      </c>
      <c r="N33" s="100">
        <v>1.2546000000000003E-5</v>
      </c>
      <c r="O33" s="100"/>
      <c r="P33" s="13"/>
      <c r="Q33" s="199">
        <f>'Parameters, country spec'!D24</f>
        <v>2.6167600918431479E-2</v>
      </c>
    </row>
    <row r="34" spans="1:17" x14ac:dyDescent="0.3">
      <c r="A34" s="21" t="s">
        <v>338</v>
      </c>
      <c r="B34" s="16" t="s">
        <v>177</v>
      </c>
      <c r="C34" s="16" t="s">
        <v>334</v>
      </c>
      <c r="D34" s="22" t="s">
        <v>52</v>
      </c>
      <c r="E34" s="22" t="s">
        <v>53</v>
      </c>
      <c r="F34" s="223">
        <f t="shared" si="6"/>
        <v>2.1322851393583626E-4</v>
      </c>
      <c r="G34" s="98">
        <v>9.2769916609057948E-5</v>
      </c>
      <c r="H34" s="99">
        <v>9.5000000000000005E-5</v>
      </c>
      <c r="I34" s="13"/>
      <c r="J34" s="13"/>
      <c r="K34" s="100">
        <v>1.291259732677831E-5</v>
      </c>
      <c r="L34" s="100"/>
      <c r="M34" s="100">
        <v>0</v>
      </c>
      <c r="N34" s="100">
        <v>1.2546000000000003E-5</v>
      </c>
      <c r="O34" s="100"/>
      <c r="P34" s="13"/>
      <c r="Q34" s="199">
        <f>'Parameters, country spec'!D25</f>
        <v>0.30682794802396129</v>
      </c>
    </row>
    <row r="35" spans="1:17" x14ac:dyDescent="0.3">
      <c r="A35" s="21" t="s">
        <v>339</v>
      </c>
      <c r="B35" s="16" t="s">
        <v>178</v>
      </c>
      <c r="C35" s="16" t="s">
        <v>340</v>
      </c>
      <c r="D35" s="22" t="s">
        <v>52</v>
      </c>
      <c r="E35" s="22" t="s">
        <v>53</v>
      </c>
      <c r="F35" s="223">
        <f t="shared" si="6"/>
        <v>1.3280125199673234E-4</v>
      </c>
      <c r="G35" s="98">
        <v>0</v>
      </c>
      <c r="H35" s="99">
        <v>9.5000000000000005E-5</v>
      </c>
      <c r="I35" s="15"/>
      <c r="J35" s="13"/>
      <c r="K35" s="100">
        <v>2.5255251996732317E-5</v>
      </c>
      <c r="L35" s="100"/>
      <c r="M35" s="100">
        <v>0</v>
      </c>
      <c r="N35" s="100">
        <v>1.2546000000000003E-5</v>
      </c>
      <c r="O35" s="100"/>
      <c r="P35" s="13"/>
      <c r="Q35" s="199">
        <f>'Parameters, country spec'!D26</f>
        <v>4.6178119267820264E-3</v>
      </c>
    </row>
    <row r="36" spans="1:17" x14ac:dyDescent="0.3">
      <c r="A36" s="21" t="s">
        <v>341</v>
      </c>
      <c r="B36" s="16" t="s">
        <v>179</v>
      </c>
      <c r="C36" s="16" t="s">
        <v>340</v>
      </c>
      <c r="D36" s="22" t="s">
        <v>52</v>
      </c>
      <c r="E36" s="22" t="s">
        <v>53</v>
      </c>
      <c r="F36" s="223">
        <f t="shared" si="6"/>
        <v>1.4931770127423491E-4</v>
      </c>
      <c r="G36" s="98">
        <v>3.9865279409015522E-6</v>
      </c>
      <c r="H36" s="99">
        <v>9.5000000000000005E-5</v>
      </c>
      <c r="I36" s="15"/>
      <c r="J36" s="13"/>
      <c r="K36" s="100">
        <v>3.7785173333333341E-5</v>
      </c>
      <c r="L36" s="100"/>
      <c r="M36" s="100">
        <v>0</v>
      </c>
      <c r="N36" s="100">
        <v>1.2546000000000003E-5</v>
      </c>
      <c r="O36" s="100"/>
      <c r="P36" s="13"/>
      <c r="Q36" s="199">
        <f>'Parameters, country spec'!D27</f>
        <v>5.3104837157993301E-2</v>
      </c>
    </row>
    <row r="37" spans="1:17" x14ac:dyDescent="0.3">
      <c r="B37" s="17" t="s">
        <v>180</v>
      </c>
      <c r="C37" s="16" t="s">
        <v>342</v>
      </c>
      <c r="D37" s="22" t="s">
        <v>52</v>
      </c>
      <c r="E37" s="22" t="s">
        <v>53</v>
      </c>
      <c r="F37" s="224">
        <f t="shared" si="6"/>
        <v>8.8724332534062934E-5</v>
      </c>
      <c r="G37" s="33">
        <f>'Processed feed'!$F$36</f>
        <v>1.2478043251867624E-8</v>
      </c>
      <c r="H37" s="33">
        <f>'Processed feed'!$G$36</f>
        <v>1.2778001234202703E-8</v>
      </c>
      <c r="I37" s="33">
        <f>'Processed feed'!$H$36</f>
        <v>0</v>
      </c>
      <c r="J37" s="33">
        <f>'Processed feed'!$I$36</f>
        <v>0</v>
      </c>
      <c r="K37" s="33">
        <f>'Processed feed'!$J$36</f>
        <v>1.7368124692456396E-9</v>
      </c>
      <c r="L37" s="33">
        <f>'Processed feed'!$K$36</f>
        <v>0</v>
      </c>
      <c r="M37" s="33">
        <f>'Processed feed'!$L$36</f>
        <v>0</v>
      </c>
      <c r="N37" s="33">
        <f>'Processed feed'!$M$36</f>
        <v>1.6875031945716541E-9</v>
      </c>
      <c r="O37" s="33">
        <f>'Processed feed'!$N$36</f>
        <v>0</v>
      </c>
      <c r="P37" s="33">
        <f>'Processed feed'!$O$36</f>
        <v>8.8695652173913049E-5</v>
      </c>
      <c r="Q37" s="199">
        <f>'Parameters, country spec'!D28</f>
        <v>2.7193781346605266E-2</v>
      </c>
    </row>
    <row r="38" spans="1:17" x14ac:dyDescent="0.3">
      <c r="B38" s="17" t="s">
        <v>343</v>
      </c>
      <c r="C38" s="16" t="s">
        <v>342</v>
      </c>
      <c r="D38" s="22" t="s">
        <v>52</v>
      </c>
      <c r="E38" s="22" t="s">
        <v>53</v>
      </c>
      <c r="F38" s="224">
        <f t="shared" si="6"/>
        <v>2.1138030954055875E-2</v>
      </c>
      <c r="G38" s="33">
        <f>'Processed feed'!$F$41</f>
        <v>0</v>
      </c>
      <c r="H38" s="33">
        <f>'Processed feed'!$G$41</f>
        <v>9.8741091956202427E-5</v>
      </c>
      <c r="I38" s="33">
        <f>'Processed feed'!$H$41</f>
        <v>0</v>
      </c>
      <c r="J38" s="33">
        <f>'Processed feed'!$I$41</f>
        <v>0</v>
      </c>
      <c r="K38" s="33">
        <f>'Processed feed'!$J$41</f>
        <v>2.6249801681962218E-5</v>
      </c>
      <c r="L38" s="33">
        <f>'Processed feed'!$K$41</f>
        <v>0</v>
      </c>
      <c r="M38" s="33">
        <f>'Processed feed'!$L$41</f>
        <v>0</v>
      </c>
      <c r="N38" s="33">
        <f>'Processed feed'!$M$41</f>
        <v>1.3040060417710694E-5</v>
      </c>
      <c r="O38" s="33">
        <f>'Processed feed'!$N$41</f>
        <v>0</v>
      </c>
      <c r="P38" s="33">
        <f>'Processed feed'!$O$41</f>
        <v>2.0999999999999998E-2</v>
      </c>
      <c r="Q38" s="199">
        <f>'Parameters, country spec'!D29</f>
        <v>3.5916314986082429E-2</v>
      </c>
    </row>
    <row r="39" spans="1:17" x14ac:dyDescent="0.3">
      <c r="B39" s="16" t="s">
        <v>182</v>
      </c>
      <c r="C39" s="16" t="s">
        <v>344</v>
      </c>
      <c r="D39" s="22" t="s">
        <v>52</v>
      </c>
      <c r="E39" s="22" t="s">
        <v>53</v>
      </c>
      <c r="F39" s="224"/>
      <c r="G39" s="13"/>
      <c r="H39" s="13"/>
      <c r="I39" s="13"/>
      <c r="J39" s="13"/>
      <c r="K39" s="13"/>
      <c r="L39" s="13"/>
      <c r="M39" s="13"/>
      <c r="N39" s="13"/>
      <c r="O39" s="13"/>
      <c r="P39" s="13"/>
      <c r="Q39" s="199">
        <f>'Parameters, country spec'!D30</f>
        <v>0.13313408330019627</v>
      </c>
    </row>
    <row r="40" spans="1:17" x14ac:dyDescent="0.3">
      <c r="A40" s="82"/>
      <c r="B40" s="16" t="s">
        <v>345</v>
      </c>
      <c r="C40" s="83" t="s">
        <v>346</v>
      </c>
      <c r="D40" s="22" t="s">
        <v>52</v>
      </c>
      <c r="E40" s="22" t="s">
        <v>53</v>
      </c>
      <c r="F40" s="224">
        <f t="shared" si="6"/>
        <v>1.5802961750240599E-4</v>
      </c>
      <c r="G40" s="81">
        <f t="shared" ref="G40:N40" si="7">AVERAGE(G30:G38)</f>
        <v>4.3411442884432146E-5</v>
      </c>
      <c r="H40" s="81">
        <f t="shared" si="7"/>
        <v>8.4861541106381856E-5</v>
      </c>
      <c r="I40" s="81">
        <f t="shared" si="7"/>
        <v>0</v>
      </c>
      <c r="J40" s="81">
        <f t="shared" si="7"/>
        <v>0</v>
      </c>
      <c r="K40" s="81">
        <f t="shared" si="7"/>
        <v>1.8549550409269192E-5</v>
      </c>
      <c r="L40" s="81">
        <f t="shared" si="7"/>
        <v>0</v>
      </c>
      <c r="M40" s="81">
        <f t="shared" si="7"/>
        <v>0</v>
      </c>
      <c r="N40" s="81">
        <f t="shared" si="7"/>
        <v>1.1207083102322808E-5</v>
      </c>
      <c r="O40" s="81"/>
      <c r="P40" s="81"/>
      <c r="Q40" s="199">
        <f>'Parameters, country spec'!D31</f>
        <v>0.1236547415949409</v>
      </c>
    </row>
    <row r="41" spans="1:17" x14ac:dyDescent="0.3">
      <c r="A41" s="198"/>
      <c r="B41" s="24" t="s">
        <v>347</v>
      </c>
      <c r="C41" s="25"/>
      <c r="D41" s="101"/>
      <c r="E41" s="101"/>
      <c r="F41" s="46">
        <f>SUMPRODUCT(F30:F40,$Q$30:$Q$40)</f>
        <v>9.1940100868726025E-4</v>
      </c>
      <c r="G41" s="46">
        <f t="shared" ref="G41:O41" si="8">SUMPRODUCT(G30:G40,$Q$30:$Q$40)</f>
        <v>5.8707531399373735E-5</v>
      </c>
      <c r="H41" s="46">
        <f t="shared" si="8"/>
        <v>7.8649898063155036E-5</v>
      </c>
      <c r="I41" s="46">
        <f t="shared" si="8"/>
        <v>0</v>
      </c>
      <c r="J41" s="46">
        <f t="shared" si="8"/>
        <v>0</v>
      </c>
      <c r="K41" s="46">
        <f t="shared" si="8"/>
        <v>1.5002240439069153E-5</v>
      </c>
      <c r="L41" s="46">
        <f t="shared" si="8"/>
        <v>0</v>
      </c>
      <c r="M41" s="46">
        <f t="shared" si="8"/>
        <v>0</v>
      </c>
      <c r="N41" s="46">
        <f t="shared" si="8"/>
        <v>1.0386753906319406E-5</v>
      </c>
      <c r="O41" s="46">
        <f t="shared" si="8"/>
        <v>0</v>
      </c>
      <c r="P41" s="46">
        <f>SUMPRODUCT(P30:P40,$Q$30:$Q$40)</f>
        <v>7.5665458487934282E-4</v>
      </c>
      <c r="Q41" s="200"/>
    </row>
    <row r="42" spans="1:17" x14ac:dyDescent="0.3">
      <c r="A42" s="21" t="s">
        <v>333</v>
      </c>
      <c r="B42" s="16" t="s">
        <v>172</v>
      </c>
      <c r="C42" s="16" t="s">
        <v>334</v>
      </c>
      <c r="D42" s="22" t="s">
        <v>54</v>
      </c>
      <c r="E42" s="22" t="s">
        <v>55</v>
      </c>
      <c r="F42" s="225">
        <f>SUM(G42:P42)</f>
        <v>2.0655355021385218E-4</v>
      </c>
      <c r="G42" s="203">
        <v>8.0930691575108743E-5</v>
      </c>
      <c r="H42" s="204">
        <v>9.5000000000000005E-5</v>
      </c>
      <c r="I42" s="205"/>
      <c r="J42" s="206"/>
      <c r="K42" s="207">
        <v>1.8076858638743458E-5</v>
      </c>
      <c r="L42" s="207"/>
      <c r="M42" s="207">
        <v>0</v>
      </c>
      <c r="N42" s="207">
        <v>1.2546000000000003E-5</v>
      </c>
      <c r="O42" s="207"/>
      <c r="P42" s="206"/>
      <c r="Q42" s="210">
        <f>'Parameters, country spec'!E21</f>
        <v>0.24551366744057773</v>
      </c>
    </row>
    <row r="43" spans="1:17" x14ac:dyDescent="0.3">
      <c r="A43" s="21" t="s">
        <v>335</v>
      </c>
      <c r="B43" s="16" t="s">
        <v>174</v>
      </c>
      <c r="C43" s="16" t="s">
        <v>334</v>
      </c>
      <c r="D43" s="22" t="s">
        <v>54</v>
      </c>
      <c r="E43" s="22" t="s">
        <v>55</v>
      </c>
      <c r="F43" s="223">
        <f t="shared" ref="F43:F52" si="9">SUM(G43:P43)</f>
        <v>1.9871902439798405E-4</v>
      </c>
      <c r="G43" s="98">
        <v>7.8815626877616721E-5</v>
      </c>
      <c r="H43" s="99">
        <v>9.5000000000000005E-5</v>
      </c>
      <c r="I43" s="15"/>
      <c r="J43" s="13"/>
      <c r="K43" s="100">
        <v>1.2357397520367332E-5</v>
      </c>
      <c r="L43" s="100"/>
      <c r="M43" s="100">
        <v>0</v>
      </c>
      <c r="N43" s="100">
        <v>1.2546000000000003E-5</v>
      </c>
      <c r="O43" s="100"/>
      <c r="P43" s="13"/>
      <c r="Q43" s="199">
        <f>'Parameters, country spec'!E22</f>
        <v>2.5654510704344589E-3</v>
      </c>
    </row>
    <row r="44" spans="1:17" x14ac:dyDescent="0.3">
      <c r="A44" s="21" t="s">
        <v>336</v>
      </c>
      <c r="B44" s="16" t="s">
        <v>175</v>
      </c>
      <c r="C44" s="16" t="s">
        <v>334</v>
      </c>
      <c r="D44" s="22" t="s">
        <v>54</v>
      </c>
      <c r="E44" s="22" t="s">
        <v>55</v>
      </c>
      <c r="F44" s="223">
        <f t="shared" si="9"/>
        <v>1.9956753055993292E-4</v>
      </c>
      <c r="G44" s="98">
        <v>7.134532609711123E-5</v>
      </c>
      <c r="H44" s="99">
        <v>9.5000000000000005E-5</v>
      </c>
      <c r="I44" s="15"/>
      <c r="J44" s="13"/>
      <c r="K44" s="100">
        <v>2.0676204462821701E-5</v>
      </c>
      <c r="L44" s="100"/>
      <c r="M44" s="100">
        <v>0</v>
      </c>
      <c r="N44" s="100">
        <v>1.2546000000000003E-5</v>
      </c>
      <c r="O44" s="100"/>
      <c r="P44" s="13"/>
      <c r="Q44" s="199">
        <f>'Parameters, country spec'!E23</f>
        <v>4.1303762233994797E-2</v>
      </c>
    </row>
    <row r="45" spans="1:17" x14ac:dyDescent="0.3">
      <c r="A45" s="21" t="s">
        <v>337</v>
      </c>
      <c r="B45" s="16" t="s">
        <v>176</v>
      </c>
      <c r="C45" s="16" t="s">
        <v>334</v>
      </c>
      <c r="D45" s="22" t="s">
        <v>54</v>
      </c>
      <c r="E45" s="22" t="s">
        <v>55</v>
      </c>
      <c r="F45" s="223">
        <f t="shared" si="9"/>
        <v>1.840193507270561E-4</v>
      </c>
      <c r="G45" s="98">
        <v>6.2842418816841267E-5</v>
      </c>
      <c r="H45" s="99">
        <v>9.5000000000000005E-5</v>
      </c>
      <c r="I45" s="13"/>
      <c r="J45" s="13"/>
      <c r="K45" s="100">
        <v>1.3630931910214812E-5</v>
      </c>
      <c r="L45" s="100"/>
      <c r="M45" s="100">
        <v>0</v>
      </c>
      <c r="N45" s="100">
        <v>1.2546000000000003E-5</v>
      </c>
      <c r="O45" s="100"/>
      <c r="P45" s="13"/>
      <c r="Q45" s="199">
        <f>'Parameters, country spec'!E24</f>
        <v>2.6167600918431479E-2</v>
      </c>
    </row>
    <row r="46" spans="1:17" x14ac:dyDescent="0.3">
      <c r="A46" s="21" t="s">
        <v>338</v>
      </c>
      <c r="B46" s="16" t="s">
        <v>177</v>
      </c>
      <c r="C46" s="16" t="s">
        <v>334</v>
      </c>
      <c r="D46" s="22" t="s">
        <v>54</v>
      </c>
      <c r="E46" s="22" t="s">
        <v>55</v>
      </c>
      <c r="F46" s="223">
        <f t="shared" si="9"/>
        <v>2.1322851393583626E-4</v>
      </c>
      <c r="G46" s="98">
        <v>9.2769916609057948E-5</v>
      </c>
      <c r="H46" s="99">
        <v>9.5000000000000005E-5</v>
      </c>
      <c r="I46" s="13"/>
      <c r="J46" s="13"/>
      <c r="K46" s="100">
        <v>1.291259732677831E-5</v>
      </c>
      <c r="L46" s="100"/>
      <c r="M46" s="100">
        <v>0</v>
      </c>
      <c r="N46" s="100">
        <v>1.2546000000000003E-5</v>
      </c>
      <c r="O46" s="100"/>
      <c r="P46" s="13"/>
      <c r="Q46" s="199">
        <f>'Parameters, country spec'!E25</f>
        <v>0.30682794802396129</v>
      </c>
    </row>
    <row r="47" spans="1:17" x14ac:dyDescent="0.3">
      <c r="A47" s="21" t="s">
        <v>339</v>
      </c>
      <c r="B47" s="16" t="s">
        <v>178</v>
      </c>
      <c r="C47" s="16" t="s">
        <v>340</v>
      </c>
      <c r="D47" s="22" t="s">
        <v>54</v>
      </c>
      <c r="E47" s="22" t="s">
        <v>55</v>
      </c>
      <c r="F47" s="223">
        <f t="shared" si="9"/>
        <v>1.3280125199673234E-4</v>
      </c>
      <c r="G47" s="98">
        <v>0</v>
      </c>
      <c r="H47" s="99">
        <v>9.5000000000000005E-5</v>
      </c>
      <c r="I47" s="15"/>
      <c r="J47" s="13"/>
      <c r="K47" s="100">
        <v>2.5255251996732317E-5</v>
      </c>
      <c r="L47" s="100"/>
      <c r="M47" s="100">
        <v>0</v>
      </c>
      <c r="N47" s="100">
        <v>1.2546000000000003E-5</v>
      </c>
      <c r="O47" s="100"/>
      <c r="P47" s="13"/>
      <c r="Q47" s="199">
        <f>'Parameters, country spec'!E26</f>
        <v>4.6178119267820264E-3</v>
      </c>
    </row>
    <row r="48" spans="1:17" x14ac:dyDescent="0.3">
      <c r="A48" s="21" t="s">
        <v>341</v>
      </c>
      <c r="B48" s="16" t="s">
        <v>179</v>
      </c>
      <c r="C48" s="16" t="s">
        <v>340</v>
      </c>
      <c r="D48" s="22" t="s">
        <v>54</v>
      </c>
      <c r="E48" s="22" t="s">
        <v>55</v>
      </c>
      <c r="F48" s="223">
        <f t="shared" si="9"/>
        <v>1.4931770127423491E-4</v>
      </c>
      <c r="G48" s="98">
        <v>3.9865279409015522E-6</v>
      </c>
      <c r="H48" s="99">
        <v>9.5000000000000005E-5</v>
      </c>
      <c r="I48" s="15"/>
      <c r="J48" s="13"/>
      <c r="K48" s="100">
        <v>3.7785173333333341E-5</v>
      </c>
      <c r="L48" s="100"/>
      <c r="M48" s="100">
        <v>0</v>
      </c>
      <c r="N48" s="100">
        <v>1.2546000000000003E-5</v>
      </c>
      <c r="O48" s="100"/>
      <c r="P48" s="13"/>
      <c r="Q48" s="199">
        <f>'Parameters, country spec'!E27</f>
        <v>5.3104837157993301E-2</v>
      </c>
    </row>
    <row r="49" spans="1:17" x14ac:dyDescent="0.3">
      <c r="B49" s="17" t="s">
        <v>180</v>
      </c>
      <c r="C49" s="16" t="s">
        <v>342</v>
      </c>
      <c r="D49" s="22" t="s">
        <v>54</v>
      </c>
      <c r="E49" s="22" t="s">
        <v>55</v>
      </c>
      <c r="F49" s="224">
        <f t="shared" si="9"/>
        <v>8.8724332534062934E-5</v>
      </c>
      <c r="G49" s="33">
        <f>'Processed feed'!$F$36</f>
        <v>1.2478043251867624E-8</v>
      </c>
      <c r="H49" s="33">
        <f>'Processed feed'!$G$36</f>
        <v>1.2778001234202703E-8</v>
      </c>
      <c r="I49" s="33">
        <f>'Processed feed'!$H$36</f>
        <v>0</v>
      </c>
      <c r="J49" s="33">
        <f>'Processed feed'!$I$36</f>
        <v>0</v>
      </c>
      <c r="K49" s="33">
        <f>'Processed feed'!$J$36</f>
        <v>1.7368124692456396E-9</v>
      </c>
      <c r="L49" s="33">
        <f>'Processed feed'!$K$36</f>
        <v>0</v>
      </c>
      <c r="M49" s="33">
        <f>'Processed feed'!$L$36</f>
        <v>0</v>
      </c>
      <c r="N49" s="33">
        <f>'Processed feed'!$M$36</f>
        <v>1.6875031945716541E-9</v>
      </c>
      <c r="O49" s="33">
        <f>'Processed feed'!$N$36</f>
        <v>0</v>
      </c>
      <c r="P49" s="33">
        <f>'Processed feed'!$O$36</f>
        <v>8.8695652173913049E-5</v>
      </c>
      <c r="Q49" s="199">
        <f>'Parameters, country spec'!E28</f>
        <v>2.7193781346605266E-2</v>
      </c>
    </row>
    <row r="50" spans="1:17" x14ac:dyDescent="0.3">
      <c r="B50" s="17" t="s">
        <v>343</v>
      </c>
      <c r="C50" s="16" t="s">
        <v>342</v>
      </c>
      <c r="D50" s="22" t="s">
        <v>54</v>
      </c>
      <c r="E50" s="22" t="s">
        <v>55</v>
      </c>
      <c r="F50" s="224">
        <f t="shared" si="9"/>
        <v>2.1138030954055875E-2</v>
      </c>
      <c r="G50" s="33">
        <f>'Processed feed'!$F$41</f>
        <v>0</v>
      </c>
      <c r="H50" s="33">
        <f>'Processed feed'!$G$41</f>
        <v>9.8741091956202427E-5</v>
      </c>
      <c r="I50" s="33">
        <f>'Processed feed'!$H$41</f>
        <v>0</v>
      </c>
      <c r="J50" s="33">
        <f>'Processed feed'!$I$41</f>
        <v>0</v>
      </c>
      <c r="K50" s="33">
        <f>'Processed feed'!$J$41</f>
        <v>2.6249801681962218E-5</v>
      </c>
      <c r="L50" s="33">
        <f>'Processed feed'!$K$41</f>
        <v>0</v>
      </c>
      <c r="M50" s="33">
        <f>'Processed feed'!$L$41</f>
        <v>0</v>
      </c>
      <c r="N50" s="33">
        <f>'Processed feed'!$M$41</f>
        <v>1.3040060417710694E-5</v>
      </c>
      <c r="O50" s="33">
        <f>'Processed feed'!$N$41</f>
        <v>0</v>
      </c>
      <c r="P50" s="33">
        <f>'Processed feed'!$O$41</f>
        <v>2.0999999999999998E-2</v>
      </c>
      <c r="Q50" s="199">
        <f>'Parameters, country spec'!E29</f>
        <v>3.5916314986082429E-2</v>
      </c>
    </row>
    <row r="51" spans="1:17" x14ac:dyDescent="0.3">
      <c r="B51" s="16" t="s">
        <v>182</v>
      </c>
      <c r="C51" s="16" t="s">
        <v>344</v>
      </c>
      <c r="D51" s="22" t="s">
        <v>54</v>
      </c>
      <c r="E51" s="22" t="s">
        <v>55</v>
      </c>
      <c r="F51" s="224"/>
      <c r="G51" s="13"/>
      <c r="H51" s="13"/>
      <c r="I51" s="13"/>
      <c r="J51" s="13"/>
      <c r="K51" s="13"/>
      <c r="L51" s="13"/>
      <c r="M51" s="13"/>
      <c r="N51" s="13"/>
      <c r="O51" s="13"/>
      <c r="P51" s="13"/>
      <c r="Q51" s="199">
        <f>'Parameters, country spec'!E30</f>
        <v>0.13313408330019627</v>
      </c>
    </row>
    <row r="52" spans="1:17" x14ac:dyDescent="0.3">
      <c r="A52" s="82"/>
      <c r="B52" s="16" t="s">
        <v>345</v>
      </c>
      <c r="C52" s="83" t="s">
        <v>346</v>
      </c>
      <c r="D52" s="22" t="s">
        <v>54</v>
      </c>
      <c r="E52" s="22" t="s">
        <v>55</v>
      </c>
      <c r="F52" s="224">
        <f t="shared" si="9"/>
        <v>1.070237744358936E-2</v>
      </c>
      <c r="G52" s="81">
        <f t="shared" ref="G52:P52" si="10">AVERAGE(G42:G50)</f>
        <v>4.3411442884432146E-5</v>
      </c>
      <c r="H52" s="81">
        <f t="shared" si="10"/>
        <v>8.4861541106381856E-5</v>
      </c>
      <c r="I52" s="81">
        <f t="shared" si="10"/>
        <v>0</v>
      </c>
      <c r="J52" s="81">
        <f t="shared" si="10"/>
        <v>0</v>
      </c>
      <c r="K52" s="81">
        <f t="shared" si="10"/>
        <v>1.8549550409269192E-5</v>
      </c>
      <c r="L52" s="81">
        <f t="shared" si="10"/>
        <v>0</v>
      </c>
      <c r="M52" s="81">
        <f t="shared" si="10"/>
        <v>0</v>
      </c>
      <c r="N52" s="81">
        <f t="shared" si="10"/>
        <v>1.1207083102322808E-5</v>
      </c>
      <c r="O52" s="81">
        <f t="shared" si="10"/>
        <v>0</v>
      </c>
      <c r="P52" s="81">
        <f t="shared" si="10"/>
        <v>1.0544347826086955E-2</v>
      </c>
      <c r="Q52" s="199">
        <f>'Parameters, country spec'!E31</f>
        <v>0.1236547415949409</v>
      </c>
    </row>
    <row r="53" spans="1:17" x14ac:dyDescent="0.3">
      <c r="A53" s="198"/>
      <c r="B53" s="24" t="s">
        <v>347</v>
      </c>
      <c r="C53" s="25"/>
      <c r="D53" s="101"/>
      <c r="E53" s="101"/>
      <c r="F53" s="46">
        <f>SUMPRODUCT(F42:F52,$Q$42:$Q$52)</f>
        <v>2.2232596144092197E-3</v>
      </c>
      <c r="G53" s="46">
        <f t="shared" ref="G53:P53" si="11">SUMPRODUCT(G42:G52,$Q$42:$Q$52)</f>
        <v>5.8707531399373735E-5</v>
      </c>
      <c r="H53" s="46">
        <f t="shared" si="11"/>
        <v>7.8649898063155036E-5</v>
      </c>
      <c r="I53" s="46">
        <f t="shared" si="11"/>
        <v>0</v>
      </c>
      <c r="J53" s="46">
        <f t="shared" si="11"/>
        <v>0</v>
      </c>
      <c r="K53" s="46">
        <f t="shared" si="11"/>
        <v>1.5002240439069153E-5</v>
      </c>
      <c r="L53" s="46">
        <f t="shared" si="11"/>
        <v>0</v>
      </c>
      <c r="M53" s="46">
        <f t="shared" si="11"/>
        <v>0</v>
      </c>
      <c r="N53" s="46">
        <f t="shared" si="11"/>
        <v>1.0386753906319406E-5</v>
      </c>
      <c r="O53" s="46">
        <f t="shared" si="11"/>
        <v>0</v>
      </c>
      <c r="P53" s="46">
        <f t="shared" si="11"/>
        <v>2.060513190601302E-3</v>
      </c>
      <c r="Q53" s="200"/>
    </row>
    <row r="54" spans="1:17" x14ac:dyDescent="0.3">
      <c r="A54" s="21" t="s">
        <v>333</v>
      </c>
      <c r="B54" s="16" t="s">
        <v>172</v>
      </c>
      <c r="C54" s="16" t="s">
        <v>334</v>
      </c>
      <c r="D54" s="22" t="s">
        <v>118</v>
      </c>
      <c r="E54" s="22" t="s">
        <v>57</v>
      </c>
      <c r="F54" s="225">
        <f>SUM(G54:P54)</f>
        <v>2.0655355021385218E-4</v>
      </c>
      <c r="G54" s="203">
        <v>8.0930691575108743E-5</v>
      </c>
      <c r="H54" s="204">
        <v>9.5000000000000005E-5</v>
      </c>
      <c r="I54" s="205"/>
      <c r="J54" s="206"/>
      <c r="K54" s="207">
        <v>1.8076858638743458E-5</v>
      </c>
      <c r="L54" s="207"/>
      <c r="M54" s="207">
        <v>0</v>
      </c>
      <c r="N54" s="207">
        <v>1.2546000000000003E-5</v>
      </c>
      <c r="O54" s="207"/>
      <c r="P54" s="206"/>
      <c r="Q54" s="210">
        <f>'Parameters, country spec'!F21</f>
        <v>0.24551366744057773</v>
      </c>
    </row>
    <row r="55" spans="1:17" x14ac:dyDescent="0.3">
      <c r="A55" s="21" t="s">
        <v>335</v>
      </c>
      <c r="B55" s="16" t="s">
        <v>174</v>
      </c>
      <c r="C55" s="16" t="s">
        <v>334</v>
      </c>
      <c r="D55" s="22" t="s">
        <v>118</v>
      </c>
      <c r="E55" s="22" t="s">
        <v>57</v>
      </c>
      <c r="F55" s="223">
        <f t="shared" ref="F55:F64" si="12">SUM(G55:P55)</f>
        <v>1.9871902439798405E-4</v>
      </c>
      <c r="G55" s="98">
        <v>7.8815626877616721E-5</v>
      </c>
      <c r="H55" s="99">
        <v>9.5000000000000005E-5</v>
      </c>
      <c r="I55" s="15"/>
      <c r="J55" s="13"/>
      <c r="K55" s="100">
        <v>1.2357397520367332E-5</v>
      </c>
      <c r="L55" s="100"/>
      <c r="M55" s="100">
        <v>0</v>
      </c>
      <c r="N55" s="100">
        <v>1.2546000000000003E-5</v>
      </c>
      <c r="O55" s="100"/>
      <c r="P55" s="13"/>
      <c r="Q55" s="199">
        <f>'Parameters, country spec'!F22</f>
        <v>2.5654510704344589E-3</v>
      </c>
    </row>
    <row r="56" spans="1:17" x14ac:dyDescent="0.3">
      <c r="A56" s="21" t="s">
        <v>336</v>
      </c>
      <c r="B56" s="16" t="s">
        <v>175</v>
      </c>
      <c r="C56" s="16" t="s">
        <v>334</v>
      </c>
      <c r="D56" s="22" t="s">
        <v>118</v>
      </c>
      <c r="E56" s="22" t="s">
        <v>57</v>
      </c>
      <c r="F56" s="223">
        <f t="shared" si="12"/>
        <v>1.9956753055993292E-4</v>
      </c>
      <c r="G56" s="98">
        <v>7.134532609711123E-5</v>
      </c>
      <c r="H56" s="99">
        <v>9.5000000000000005E-5</v>
      </c>
      <c r="I56" s="15"/>
      <c r="J56" s="13"/>
      <c r="K56" s="100">
        <v>2.0676204462821701E-5</v>
      </c>
      <c r="L56" s="100"/>
      <c r="M56" s="100">
        <v>0</v>
      </c>
      <c r="N56" s="100">
        <v>1.2546000000000003E-5</v>
      </c>
      <c r="O56" s="100"/>
      <c r="P56" s="13"/>
      <c r="Q56" s="199">
        <f>'Parameters, country spec'!F23</f>
        <v>4.1303762233994797E-2</v>
      </c>
    </row>
    <row r="57" spans="1:17" x14ac:dyDescent="0.3">
      <c r="A57" s="21" t="s">
        <v>337</v>
      </c>
      <c r="B57" s="16" t="s">
        <v>176</v>
      </c>
      <c r="C57" s="16" t="s">
        <v>334</v>
      </c>
      <c r="D57" s="22" t="s">
        <v>118</v>
      </c>
      <c r="E57" s="22" t="s">
        <v>57</v>
      </c>
      <c r="F57" s="223">
        <f t="shared" si="12"/>
        <v>1.840193507270561E-4</v>
      </c>
      <c r="G57" s="98">
        <v>6.2842418816841267E-5</v>
      </c>
      <c r="H57" s="99">
        <v>9.5000000000000005E-5</v>
      </c>
      <c r="I57" s="13"/>
      <c r="J57" s="13"/>
      <c r="K57" s="100">
        <v>1.3630931910214812E-5</v>
      </c>
      <c r="L57" s="100"/>
      <c r="M57" s="100">
        <v>0</v>
      </c>
      <c r="N57" s="100">
        <v>1.2546000000000003E-5</v>
      </c>
      <c r="O57" s="100"/>
      <c r="P57" s="13"/>
      <c r="Q57" s="199">
        <f>'Parameters, country spec'!F24</f>
        <v>2.6167600918431479E-2</v>
      </c>
    </row>
    <row r="58" spans="1:17" x14ac:dyDescent="0.3">
      <c r="A58" s="21" t="s">
        <v>338</v>
      </c>
      <c r="B58" s="16" t="s">
        <v>177</v>
      </c>
      <c r="C58" s="16" t="s">
        <v>334</v>
      </c>
      <c r="D58" s="22" t="s">
        <v>118</v>
      </c>
      <c r="E58" s="22" t="s">
        <v>57</v>
      </c>
      <c r="F58" s="223">
        <f t="shared" si="12"/>
        <v>2.1322851393583626E-4</v>
      </c>
      <c r="G58" s="98">
        <v>9.2769916609057948E-5</v>
      </c>
      <c r="H58" s="99">
        <v>9.5000000000000005E-5</v>
      </c>
      <c r="I58" s="13"/>
      <c r="J58" s="13"/>
      <c r="K58" s="100">
        <v>1.291259732677831E-5</v>
      </c>
      <c r="L58" s="100"/>
      <c r="M58" s="100">
        <v>0</v>
      </c>
      <c r="N58" s="100">
        <v>1.2546000000000003E-5</v>
      </c>
      <c r="O58" s="100"/>
      <c r="P58" s="13"/>
      <c r="Q58" s="199">
        <f>'Parameters, country spec'!F25</f>
        <v>0.30682794802396129</v>
      </c>
    </row>
    <row r="59" spans="1:17" x14ac:dyDescent="0.3">
      <c r="A59" s="21" t="s">
        <v>339</v>
      </c>
      <c r="B59" s="16" t="s">
        <v>178</v>
      </c>
      <c r="C59" s="16" t="s">
        <v>340</v>
      </c>
      <c r="D59" s="22" t="s">
        <v>118</v>
      </c>
      <c r="E59" s="22" t="s">
        <v>57</v>
      </c>
      <c r="F59" s="223">
        <f t="shared" si="12"/>
        <v>1.3280125199673234E-4</v>
      </c>
      <c r="G59" s="98">
        <v>0</v>
      </c>
      <c r="H59" s="99">
        <v>9.5000000000000005E-5</v>
      </c>
      <c r="I59" s="15"/>
      <c r="J59" s="13"/>
      <c r="K59" s="100">
        <v>2.5255251996732317E-5</v>
      </c>
      <c r="L59" s="100"/>
      <c r="M59" s="100">
        <v>0</v>
      </c>
      <c r="N59" s="100">
        <v>1.2546000000000003E-5</v>
      </c>
      <c r="O59" s="100"/>
      <c r="P59" s="13"/>
      <c r="Q59" s="199">
        <f>'Parameters, country spec'!F26</f>
        <v>4.6178119267820264E-3</v>
      </c>
    </row>
    <row r="60" spans="1:17" x14ac:dyDescent="0.3">
      <c r="A60" s="21" t="s">
        <v>341</v>
      </c>
      <c r="B60" s="16" t="s">
        <v>179</v>
      </c>
      <c r="C60" s="16" t="s">
        <v>340</v>
      </c>
      <c r="D60" s="22" t="s">
        <v>118</v>
      </c>
      <c r="E60" s="22" t="s">
        <v>57</v>
      </c>
      <c r="F60" s="223">
        <f t="shared" si="12"/>
        <v>1.4931770127423491E-4</v>
      </c>
      <c r="G60" s="98">
        <v>3.9865279409015522E-6</v>
      </c>
      <c r="H60" s="99">
        <v>9.5000000000000005E-5</v>
      </c>
      <c r="I60" s="15"/>
      <c r="J60" s="13"/>
      <c r="K60" s="100">
        <v>3.7785173333333341E-5</v>
      </c>
      <c r="L60" s="100"/>
      <c r="M60" s="100">
        <v>0</v>
      </c>
      <c r="N60" s="100">
        <v>1.2546000000000003E-5</v>
      </c>
      <c r="O60" s="100"/>
      <c r="P60" s="13"/>
      <c r="Q60" s="199">
        <f>'Parameters, country spec'!F27</f>
        <v>5.3104837157993301E-2</v>
      </c>
    </row>
    <row r="61" spans="1:17" x14ac:dyDescent="0.3">
      <c r="B61" s="17" t="s">
        <v>180</v>
      </c>
      <c r="C61" s="16" t="s">
        <v>342</v>
      </c>
      <c r="D61" s="22" t="s">
        <v>118</v>
      </c>
      <c r="E61" s="22" t="s">
        <v>57</v>
      </c>
      <c r="F61" s="224">
        <f t="shared" si="12"/>
        <v>8.8724332534062934E-5</v>
      </c>
      <c r="G61" s="33">
        <f>'Processed feed'!$F$36</f>
        <v>1.2478043251867624E-8</v>
      </c>
      <c r="H61" s="33">
        <f>'Processed feed'!$G$36</f>
        <v>1.2778001234202703E-8</v>
      </c>
      <c r="I61" s="33">
        <f>'Processed feed'!$H$36</f>
        <v>0</v>
      </c>
      <c r="J61" s="33">
        <f>'Processed feed'!$I$36</f>
        <v>0</v>
      </c>
      <c r="K61" s="33">
        <f>'Processed feed'!$J$36</f>
        <v>1.7368124692456396E-9</v>
      </c>
      <c r="L61" s="33">
        <f>'Processed feed'!$K$36</f>
        <v>0</v>
      </c>
      <c r="M61" s="33">
        <f>'Processed feed'!$L$36</f>
        <v>0</v>
      </c>
      <c r="N61" s="33">
        <f>'Processed feed'!$M$36</f>
        <v>1.6875031945716541E-9</v>
      </c>
      <c r="O61" s="33">
        <f>'Processed feed'!$N$36</f>
        <v>0</v>
      </c>
      <c r="P61" s="33">
        <f>'Processed feed'!$O$36</f>
        <v>8.8695652173913049E-5</v>
      </c>
      <c r="Q61" s="199">
        <f>'Parameters, country spec'!F28</f>
        <v>2.7193781346605266E-2</v>
      </c>
    </row>
    <row r="62" spans="1:17" x14ac:dyDescent="0.3">
      <c r="B62" s="17" t="s">
        <v>343</v>
      </c>
      <c r="C62" s="16" t="s">
        <v>342</v>
      </c>
      <c r="D62" s="22" t="s">
        <v>118</v>
      </c>
      <c r="E62" s="22" t="s">
        <v>57</v>
      </c>
      <c r="F62" s="224">
        <f t="shared" si="12"/>
        <v>2.1138030954055875E-2</v>
      </c>
      <c r="G62" s="33">
        <f>'Processed feed'!$F$41</f>
        <v>0</v>
      </c>
      <c r="H62" s="33">
        <f>'Processed feed'!$G$41</f>
        <v>9.8741091956202427E-5</v>
      </c>
      <c r="I62" s="33">
        <f>'Processed feed'!$H$41</f>
        <v>0</v>
      </c>
      <c r="J62" s="33">
        <f>'Processed feed'!$I$41</f>
        <v>0</v>
      </c>
      <c r="K62" s="33">
        <f>'Processed feed'!$J$41</f>
        <v>2.6249801681962218E-5</v>
      </c>
      <c r="L62" s="33">
        <f>'Processed feed'!$K$41</f>
        <v>0</v>
      </c>
      <c r="M62" s="33">
        <f>'Processed feed'!$L$41</f>
        <v>0</v>
      </c>
      <c r="N62" s="33">
        <f>'Processed feed'!$M$41</f>
        <v>1.3040060417710694E-5</v>
      </c>
      <c r="O62" s="33">
        <f>'Processed feed'!$N$41</f>
        <v>0</v>
      </c>
      <c r="P62" s="33">
        <f>'Processed feed'!$O$41</f>
        <v>2.0999999999999998E-2</v>
      </c>
      <c r="Q62" s="199">
        <f>'Parameters, country spec'!F29</f>
        <v>3.5916314986082429E-2</v>
      </c>
    </row>
    <row r="63" spans="1:17" x14ac:dyDescent="0.3">
      <c r="B63" s="16" t="s">
        <v>182</v>
      </c>
      <c r="C63" s="16" t="s">
        <v>344</v>
      </c>
      <c r="D63" s="22" t="s">
        <v>118</v>
      </c>
      <c r="E63" s="22" t="s">
        <v>57</v>
      </c>
      <c r="F63" s="224"/>
      <c r="G63" s="13"/>
      <c r="H63" s="13"/>
      <c r="I63" s="13"/>
      <c r="J63" s="13"/>
      <c r="K63" s="13"/>
      <c r="L63" s="13"/>
      <c r="M63" s="13"/>
      <c r="N63" s="13"/>
      <c r="O63" s="13"/>
      <c r="P63" s="13"/>
      <c r="Q63" s="199">
        <f>'Parameters, country spec'!F30</f>
        <v>0.13313408330019627</v>
      </c>
    </row>
    <row r="64" spans="1:17" x14ac:dyDescent="0.3">
      <c r="A64" s="82"/>
      <c r="B64" s="16" t="s">
        <v>345</v>
      </c>
      <c r="C64" s="83" t="s">
        <v>346</v>
      </c>
      <c r="D64" s="22" t="s">
        <v>118</v>
      </c>
      <c r="E64" s="22" t="s">
        <v>57</v>
      </c>
      <c r="F64" s="224">
        <f t="shared" si="12"/>
        <v>1.5802961750240599E-4</v>
      </c>
      <c r="G64" s="81">
        <f t="shared" ref="G64:N64" si="13">AVERAGE(G54:G62)</f>
        <v>4.3411442884432146E-5</v>
      </c>
      <c r="H64" s="81">
        <f t="shared" si="13"/>
        <v>8.4861541106381856E-5</v>
      </c>
      <c r="I64" s="81">
        <f t="shared" si="13"/>
        <v>0</v>
      </c>
      <c r="J64" s="81">
        <f t="shared" si="13"/>
        <v>0</v>
      </c>
      <c r="K64" s="81">
        <f t="shared" si="13"/>
        <v>1.8549550409269192E-5</v>
      </c>
      <c r="L64" s="81">
        <f t="shared" si="13"/>
        <v>0</v>
      </c>
      <c r="M64" s="81">
        <f t="shared" si="13"/>
        <v>0</v>
      </c>
      <c r="N64" s="81">
        <f t="shared" si="13"/>
        <v>1.1207083102322808E-5</v>
      </c>
      <c r="O64" s="81"/>
      <c r="P64" s="81"/>
      <c r="Q64" s="199">
        <f>'Parameters, country spec'!F31</f>
        <v>0.1236547415949409</v>
      </c>
    </row>
    <row r="65" spans="1:17" x14ac:dyDescent="0.3">
      <c r="A65" s="198"/>
      <c r="B65" s="24" t="s">
        <v>347</v>
      </c>
      <c r="C65" s="25"/>
      <c r="D65" s="101"/>
      <c r="E65" s="101"/>
      <c r="F65" s="46">
        <f>SUMPRODUCT(F54:F64,$Q$54:$Q$64)</f>
        <v>9.1940100868726025E-4</v>
      </c>
      <c r="G65" s="46">
        <f t="shared" ref="G65:O65" si="14">SUMPRODUCT(G54:G64,$Q$54:$Q$64)</f>
        <v>5.8707531399373735E-5</v>
      </c>
      <c r="H65" s="46">
        <f t="shared" si="14"/>
        <v>7.8649898063155036E-5</v>
      </c>
      <c r="I65" s="46">
        <f t="shared" si="14"/>
        <v>0</v>
      </c>
      <c r="J65" s="46">
        <f t="shared" si="14"/>
        <v>0</v>
      </c>
      <c r="K65" s="46">
        <f t="shared" si="14"/>
        <v>1.5002240439069153E-5</v>
      </c>
      <c r="L65" s="46">
        <f t="shared" si="14"/>
        <v>0</v>
      </c>
      <c r="M65" s="46">
        <f t="shared" si="14"/>
        <v>0</v>
      </c>
      <c r="N65" s="46">
        <f t="shared" si="14"/>
        <v>1.0386753906319406E-5</v>
      </c>
      <c r="O65" s="46">
        <f t="shared" si="14"/>
        <v>0</v>
      </c>
      <c r="P65" s="46">
        <f>SUMPRODUCT(P54:P64,$Q$54:$Q$64)</f>
        <v>7.5665458487934282E-4</v>
      </c>
      <c r="Q65" s="200"/>
    </row>
    <row r="66" spans="1:17" x14ac:dyDescent="0.3">
      <c r="A66" s="21" t="s">
        <v>333</v>
      </c>
      <c r="B66" s="16" t="s">
        <v>172</v>
      </c>
      <c r="C66" s="16" t="s">
        <v>334</v>
      </c>
      <c r="D66" s="22" t="s">
        <v>58</v>
      </c>
      <c r="E66" s="22" t="s">
        <v>59</v>
      </c>
      <c r="F66" s="225">
        <f>SUM(G66:P66)</f>
        <v>2.0655355021385218E-4</v>
      </c>
      <c r="G66" s="203">
        <v>8.0930691575108743E-5</v>
      </c>
      <c r="H66" s="204">
        <v>9.5000000000000005E-5</v>
      </c>
      <c r="I66" s="205"/>
      <c r="J66" s="206"/>
      <c r="K66" s="207">
        <v>1.8076858638743458E-5</v>
      </c>
      <c r="L66" s="207"/>
      <c r="M66" s="207">
        <v>0</v>
      </c>
      <c r="N66" s="207">
        <v>1.2546000000000003E-5</v>
      </c>
      <c r="O66" s="207"/>
      <c r="P66" s="206"/>
      <c r="Q66" s="210">
        <f>'Parameters, country spec'!G21</f>
        <v>0.24551366744057773</v>
      </c>
    </row>
    <row r="67" spans="1:17" x14ac:dyDescent="0.3">
      <c r="A67" s="21" t="s">
        <v>335</v>
      </c>
      <c r="B67" s="16" t="s">
        <v>174</v>
      </c>
      <c r="C67" s="16" t="s">
        <v>334</v>
      </c>
      <c r="D67" s="22" t="s">
        <v>58</v>
      </c>
      <c r="E67" s="22" t="s">
        <v>59</v>
      </c>
      <c r="F67" s="223">
        <f t="shared" ref="F67:F76" si="15">SUM(G67:P67)</f>
        <v>1.9871902439798405E-4</v>
      </c>
      <c r="G67" s="98">
        <v>7.8815626877616721E-5</v>
      </c>
      <c r="H67" s="99">
        <v>9.5000000000000005E-5</v>
      </c>
      <c r="I67" s="15"/>
      <c r="J67" s="13"/>
      <c r="K67" s="100">
        <v>1.2357397520367332E-5</v>
      </c>
      <c r="L67" s="100"/>
      <c r="M67" s="100">
        <v>0</v>
      </c>
      <c r="N67" s="100">
        <v>1.2546000000000003E-5</v>
      </c>
      <c r="O67" s="100"/>
      <c r="P67" s="13"/>
      <c r="Q67" s="199">
        <f>'Parameters, country spec'!G22</f>
        <v>2.5654510704344589E-3</v>
      </c>
    </row>
    <row r="68" spans="1:17" x14ac:dyDescent="0.3">
      <c r="A68" s="21" t="s">
        <v>336</v>
      </c>
      <c r="B68" s="16" t="s">
        <v>175</v>
      </c>
      <c r="C68" s="16" t="s">
        <v>334</v>
      </c>
      <c r="D68" s="22" t="s">
        <v>58</v>
      </c>
      <c r="E68" s="22" t="s">
        <v>59</v>
      </c>
      <c r="F68" s="223">
        <f t="shared" si="15"/>
        <v>1.9956753055993292E-4</v>
      </c>
      <c r="G68" s="98">
        <v>7.134532609711123E-5</v>
      </c>
      <c r="H68" s="99">
        <v>9.5000000000000005E-5</v>
      </c>
      <c r="I68" s="15"/>
      <c r="J68" s="13"/>
      <c r="K68" s="100">
        <v>2.0676204462821701E-5</v>
      </c>
      <c r="L68" s="100"/>
      <c r="M68" s="100">
        <v>0</v>
      </c>
      <c r="N68" s="100">
        <v>1.2546000000000003E-5</v>
      </c>
      <c r="O68" s="100"/>
      <c r="P68" s="13"/>
      <c r="Q68" s="199">
        <f>'Parameters, country spec'!G23</f>
        <v>4.1303762233994797E-2</v>
      </c>
    </row>
    <row r="69" spans="1:17" x14ac:dyDescent="0.3">
      <c r="A69" s="21" t="s">
        <v>337</v>
      </c>
      <c r="B69" s="16" t="s">
        <v>176</v>
      </c>
      <c r="C69" s="16" t="s">
        <v>334</v>
      </c>
      <c r="D69" s="22" t="s">
        <v>58</v>
      </c>
      <c r="E69" s="22" t="s">
        <v>59</v>
      </c>
      <c r="F69" s="223">
        <f t="shared" si="15"/>
        <v>1.840193507270561E-4</v>
      </c>
      <c r="G69" s="98">
        <v>6.2842418816841267E-5</v>
      </c>
      <c r="H69" s="99">
        <v>9.5000000000000005E-5</v>
      </c>
      <c r="I69" s="13"/>
      <c r="J69" s="13"/>
      <c r="K69" s="100">
        <v>1.3630931910214812E-5</v>
      </c>
      <c r="L69" s="100"/>
      <c r="M69" s="100">
        <v>0</v>
      </c>
      <c r="N69" s="100">
        <v>1.2546000000000003E-5</v>
      </c>
      <c r="O69" s="100"/>
      <c r="P69" s="13"/>
      <c r="Q69" s="199">
        <f>'Parameters, country spec'!G24</f>
        <v>2.6167600918431479E-2</v>
      </c>
    </row>
    <row r="70" spans="1:17" x14ac:dyDescent="0.3">
      <c r="A70" s="21" t="s">
        <v>338</v>
      </c>
      <c r="B70" s="16" t="s">
        <v>177</v>
      </c>
      <c r="C70" s="16" t="s">
        <v>334</v>
      </c>
      <c r="D70" s="22" t="s">
        <v>58</v>
      </c>
      <c r="E70" s="22" t="s">
        <v>59</v>
      </c>
      <c r="F70" s="223">
        <f t="shared" si="15"/>
        <v>2.1322851393583626E-4</v>
      </c>
      <c r="G70" s="98">
        <v>9.2769916609057948E-5</v>
      </c>
      <c r="H70" s="99">
        <v>9.5000000000000005E-5</v>
      </c>
      <c r="I70" s="13"/>
      <c r="J70" s="13"/>
      <c r="K70" s="100">
        <v>1.291259732677831E-5</v>
      </c>
      <c r="L70" s="100"/>
      <c r="M70" s="100">
        <v>0</v>
      </c>
      <c r="N70" s="100">
        <v>1.2546000000000003E-5</v>
      </c>
      <c r="O70" s="100"/>
      <c r="P70" s="13"/>
      <c r="Q70" s="199">
        <f>'Parameters, country spec'!G25</f>
        <v>0.30682794802396129</v>
      </c>
    </row>
    <row r="71" spans="1:17" x14ac:dyDescent="0.3">
      <c r="A71" s="21" t="s">
        <v>339</v>
      </c>
      <c r="B71" s="16" t="s">
        <v>178</v>
      </c>
      <c r="C71" s="16" t="s">
        <v>340</v>
      </c>
      <c r="D71" s="22" t="s">
        <v>58</v>
      </c>
      <c r="E71" s="22" t="s">
        <v>59</v>
      </c>
      <c r="F71" s="223">
        <f t="shared" si="15"/>
        <v>1.3280125199673234E-4</v>
      </c>
      <c r="G71" s="98">
        <v>0</v>
      </c>
      <c r="H71" s="99">
        <v>9.5000000000000005E-5</v>
      </c>
      <c r="I71" s="15"/>
      <c r="J71" s="13"/>
      <c r="K71" s="100">
        <v>2.5255251996732317E-5</v>
      </c>
      <c r="L71" s="100"/>
      <c r="M71" s="100">
        <v>0</v>
      </c>
      <c r="N71" s="100">
        <v>1.2546000000000003E-5</v>
      </c>
      <c r="O71" s="100"/>
      <c r="P71" s="13"/>
      <c r="Q71" s="199">
        <f>'Parameters, country spec'!G26</f>
        <v>4.6178119267820264E-3</v>
      </c>
    </row>
    <row r="72" spans="1:17" x14ac:dyDescent="0.3">
      <c r="A72" s="21" t="s">
        <v>341</v>
      </c>
      <c r="B72" s="16" t="s">
        <v>179</v>
      </c>
      <c r="C72" s="16" t="s">
        <v>340</v>
      </c>
      <c r="D72" s="22" t="s">
        <v>58</v>
      </c>
      <c r="E72" s="22" t="s">
        <v>59</v>
      </c>
      <c r="F72" s="223">
        <f t="shared" si="15"/>
        <v>1.4931770127423491E-4</v>
      </c>
      <c r="G72" s="98">
        <v>3.9865279409015522E-6</v>
      </c>
      <c r="H72" s="99">
        <v>9.5000000000000005E-5</v>
      </c>
      <c r="I72" s="15"/>
      <c r="J72" s="13"/>
      <c r="K72" s="100">
        <v>3.7785173333333341E-5</v>
      </c>
      <c r="L72" s="100"/>
      <c r="M72" s="100">
        <v>0</v>
      </c>
      <c r="N72" s="100">
        <v>1.2546000000000003E-5</v>
      </c>
      <c r="O72" s="100"/>
      <c r="P72" s="13"/>
      <c r="Q72" s="199">
        <f>'Parameters, country spec'!G27</f>
        <v>5.3104837157993301E-2</v>
      </c>
    </row>
    <row r="73" spans="1:17" x14ac:dyDescent="0.3">
      <c r="B73" s="17" t="s">
        <v>180</v>
      </c>
      <c r="C73" s="16" t="s">
        <v>342</v>
      </c>
      <c r="D73" s="22" t="s">
        <v>58</v>
      </c>
      <c r="E73" s="22" t="s">
        <v>59</v>
      </c>
      <c r="F73" s="224">
        <f t="shared" si="15"/>
        <v>8.8724332534062934E-5</v>
      </c>
      <c r="G73" s="33">
        <f>'Processed feed'!$F$36</f>
        <v>1.2478043251867624E-8</v>
      </c>
      <c r="H73" s="33">
        <f>'Processed feed'!$G$36</f>
        <v>1.2778001234202703E-8</v>
      </c>
      <c r="I73" s="33">
        <f>'Processed feed'!$H$36</f>
        <v>0</v>
      </c>
      <c r="J73" s="33">
        <f>'Processed feed'!$I$36</f>
        <v>0</v>
      </c>
      <c r="K73" s="33">
        <f>'Processed feed'!$J$36</f>
        <v>1.7368124692456396E-9</v>
      </c>
      <c r="L73" s="33">
        <f>'Processed feed'!$K$36</f>
        <v>0</v>
      </c>
      <c r="M73" s="33">
        <f>'Processed feed'!$L$36</f>
        <v>0</v>
      </c>
      <c r="N73" s="33">
        <f>'Processed feed'!$M$36</f>
        <v>1.6875031945716541E-9</v>
      </c>
      <c r="O73" s="33">
        <f>'Processed feed'!$N$36</f>
        <v>0</v>
      </c>
      <c r="P73" s="33">
        <f>'Processed feed'!$O$36</f>
        <v>8.8695652173913049E-5</v>
      </c>
      <c r="Q73" s="199">
        <f>'Parameters, country spec'!G28</f>
        <v>2.7193781346605266E-2</v>
      </c>
    </row>
    <row r="74" spans="1:17" x14ac:dyDescent="0.3">
      <c r="B74" s="17" t="s">
        <v>343</v>
      </c>
      <c r="C74" s="16" t="s">
        <v>342</v>
      </c>
      <c r="D74" s="22" t="s">
        <v>58</v>
      </c>
      <c r="E74" s="22" t="s">
        <v>59</v>
      </c>
      <c r="F74" s="224">
        <f t="shared" si="15"/>
        <v>2.1138030954055875E-2</v>
      </c>
      <c r="G74" s="33">
        <f>'Processed feed'!$F$41</f>
        <v>0</v>
      </c>
      <c r="H74" s="33">
        <f>'Processed feed'!$G$41</f>
        <v>9.8741091956202427E-5</v>
      </c>
      <c r="I74" s="33">
        <f>'Processed feed'!$H$41</f>
        <v>0</v>
      </c>
      <c r="J74" s="33">
        <f>'Processed feed'!$I$41</f>
        <v>0</v>
      </c>
      <c r="K74" s="33">
        <f>'Processed feed'!$J$41</f>
        <v>2.6249801681962218E-5</v>
      </c>
      <c r="L74" s="33">
        <f>'Processed feed'!$K$41</f>
        <v>0</v>
      </c>
      <c r="M74" s="33">
        <f>'Processed feed'!$L$41</f>
        <v>0</v>
      </c>
      <c r="N74" s="33">
        <f>'Processed feed'!$M$41</f>
        <v>1.3040060417710694E-5</v>
      </c>
      <c r="O74" s="33">
        <f>'Processed feed'!$N$41</f>
        <v>0</v>
      </c>
      <c r="P74" s="33">
        <f>'Processed feed'!$O$41</f>
        <v>2.0999999999999998E-2</v>
      </c>
      <c r="Q74" s="199">
        <f>'Parameters, country spec'!G29</f>
        <v>3.5916314986082429E-2</v>
      </c>
    </row>
    <row r="75" spans="1:17" x14ac:dyDescent="0.3">
      <c r="B75" s="16" t="s">
        <v>182</v>
      </c>
      <c r="C75" s="16" t="s">
        <v>344</v>
      </c>
      <c r="D75" s="22" t="s">
        <v>58</v>
      </c>
      <c r="E75" s="22" t="s">
        <v>59</v>
      </c>
      <c r="F75" s="224"/>
      <c r="G75" s="13"/>
      <c r="H75" s="13"/>
      <c r="I75" s="13"/>
      <c r="J75" s="13"/>
      <c r="K75" s="13"/>
      <c r="L75" s="13"/>
      <c r="M75" s="13"/>
      <c r="N75" s="13"/>
      <c r="O75" s="13"/>
      <c r="P75" s="13"/>
      <c r="Q75" s="199">
        <f>'Parameters, country spec'!G30</f>
        <v>0.13313408330019627</v>
      </c>
    </row>
    <row r="76" spans="1:17" x14ac:dyDescent="0.3">
      <c r="A76" s="82"/>
      <c r="B76" s="16" t="s">
        <v>345</v>
      </c>
      <c r="C76" s="83" t="s">
        <v>346</v>
      </c>
      <c r="D76" s="22" t="s">
        <v>58</v>
      </c>
      <c r="E76" s="22" t="s">
        <v>59</v>
      </c>
      <c r="F76" s="224">
        <f t="shared" si="15"/>
        <v>1.5802961750240599E-4</v>
      </c>
      <c r="G76" s="81">
        <f t="shared" ref="G76:N76" si="16">AVERAGE(G66:G74)</f>
        <v>4.3411442884432146E-5</v>
      </c>
      <c r="H76" s="81">
        <f t="shared" si="16"/>
        <v>8.4861541106381856E-5</v>
      </c>
      <c r="I76" s="81">
        <f t="shared" si="16"/>
        <v>0</v>
      </c>
      <c r="J76" s="81">
        <f t="shared" si="16"/>
        <v>0</v>
      </c>
      <c r="K76" s="81">
        <f t="shared" si="16"/>
        <v>1.8549550409269192E-5</v>
      </c>
      <c r="L76" s="81">
        <f t="shared" si="16"/>
        <v>0</v>
      </c>
      <c r="M76" s="81">
        <f t="shared" si="16"/>
        <v>0</v>
      </c>
      <c r="N76" s="81">
        <f t="shared" si="16"/>
        <v>1.1207083102322808E-5</v>
      </c>
      <c r="O76" s="81"/>
      <c r="P76" s="81"/>
      <c r="Q76" s="199">
        <f>'Parameters, country spec'!G31</f>
        <v>0.1236547415949409</v>
      </c>
    </row>
    <row r="77" spans="1:17" x14ac:dyDescent="0.3">
      <c r="A77" s="198"/>
      <c r="B77" s="24" t="s">
        <v>347</v>
      </c>
      <c r="C77" s="25"/>
      <c r="D77" s="101"/>
      <c r="E77" s="101"/>
      <c r="F77" s="46">
        <f>SUMPRODUCT(F66:F76,$Q$66:$Q$76)</f>
        <v>9.1940100868726025E-4</v>
      </c>
      <c r="G77" s="46">
        <f t="shared" ref="G77:P77" si="17">SUMPRODUCT(G66:G76,$Q$66:$Q$76)</f>
        <v>5.8707531399373735E-5</v>
      </c>
      <c r="H77" s="46">
        <f t="shared" si="17"/>
        <v>7.8649898063155036E-5</v>
      </c>
      <c r="I77" s="46">
        <f t="shared" si="17"/>
        <v>0</v>
      </c>
      <c r="J77" s="46">
        <f t="shared" si="17"/>
        <v>0</v>
      </c>
      <c r="K77" s="46">
        <f t="shared" si="17"/>
        <v>1.5002240439069153E-5</v>
      </c>
      <c r="L77" s="46">
        <f t="shared" si="17"/>
        <v>0</v>
      </c>
      <c r="M77" s="46">
        <f>SUMPRODUCT(M66:M76,$Q$66:$Q$76)</f>
        <v>0</v>
      </c>
      <c r="N77" s="46">
        <f t="shared" si="17"/>
        <v>1.0386753906319406E-5</v>
      </c>
      <c r="O77" s="46">
        <f t="shared" si="17"/>
        <v>0</v>
      </c>
      <c r="P77" s="46">
        <f t="shared" si="17"/>
        <v>7.5665458487934282E-4</v>
      </c>
      <c r="Q77" s="200"/>
    </row>
    <row r="78" spans="1:17" x14ac:dyDescent="0.3">
      <c r="A78" s="21" t="s">
        <v>333</v>
      </c>
      <c r="B78" s="16" t="s">
        <v>172</v>
      </c>
      <c r="C78" s="16" t="s">
        <v>334</v>
      </c>
      <c r="D78" s="22" t="s">
        <v>60</v>
      </c>
      <c r="E78" s="22" t="s">
        <v>61</v>
      </c>
      <c r="F78" s="225">
        <f>SUM(G78:P78)</f>
        <v>2.0655355021385218E-4</v>
      </c>
      <c r="G78" s="203">
        <v>8.0930691575108743E-5</v>
      </c>
      <c r="H78" s="204">
        <v>9.5000000000000005E-5</v>
      </c>
      <c r="I78" s="205"/>
      <c r="J78" s="206"/>
      <c r="K78" s="207">
        <v>1.8076858638743458E-5</v>
      </c>
      <c r="L78" s="207"/>
      <c r="M78" s="207">
        <v>0</v>
      </c>
      <c r="N78" s="207">
        <v>1.2546000000000003E-5</v>
      </c>
      <c r="O78" s="207"/>
      <c r="P78" s="206"/>
      <c r="Q78" s="210">
        <f>'Parameters, country spec'!H21</f>
        <v>0.24551366744057773</v>
      </c>
    </row>
    <row r="79" spans="1:17" x14ac:dyDescent="0.3">
      <c r="A79" s="21" t="s">
        <v>335</v>
      </c>
      <c r="B79" s="16" t="s">
        <v>174</v>
      </c>
      <c r="C79" s="16" t="s">
        <v>334</v>
      </c>
      <c r="D79" s="22" t="s">
        <v>60</v>
      </c>
      <c r="E79" s="22" t="s">
        <v>61</v>
      </c>
      <c r="F79" s="223">
        <f t="shared" ref="F79:F88" si="18">SUM(G79:P79)</f>
        <v>1.9871902439798405E-4</v>
      </c>
      <c r="G79" s="98">
        <v>7.8815626877616721E-5</v>
      </c>
      <c r="H79" s="99">
        <v>9.5000000000000005E-5</v>
      </c>
      <c r="I79" s="15"/>
      <c r="J79" s="13"/>
      <c r="K79" s="100">
        <v>1.2357397520367332E-5</v>
      </c>
      <c r="L79" s="100"/>
      <c r="M79" s="100">
        <v>0</v>
      </c>
      <c r="N79" s="100">
        <v>1.2546000000000003E-5</v>
      </c>
      <c r="O79" s="100"/>
      <c r="P79" s="13"/>
      <c r="Q79" s="199">
        <f>'Parameters, country spec'!H22</f>
        <v>2.5654510704344589E-3</v>
      </c>
    </row>
    <row r="80" spans="1:17" x14ac:dyDescent="0.3">
      <c r="A80" s="21" t="s">
        <v>336</v>
      </c>
      <c r="B80" s="16" t="s">
        <v>175</v>
      </c>
      <c r="C80" s="16" t="s">
        <v>334</v>
      </c>
      <c r="D80" s="22" t="s">
        <v>60</v>
      </c>
      <c r="E80" s="22" t="s">
        <v>61</v>
      </c>
      <c r="F80" s="223">
        <f t="shared" si="18"/>
        <v>1.9956753055993292E-4</v>
      </c>
      <c r="G80" s="98">
        <v>7.134532609711123E-5</v>
      </c>
      <c r="H80" s="99">
        <v>9.5000000000000005E-5</v>
      </c>
      <c r="I80" s="15"/>
      <c r="J80" s="13"/>
      <c r="K80" s="100">
        <v>2.0676204462821701E-5</v>
      </c>
      <c r="L80" s="100"/>
      <c r="M80" s="100">
        <v>0</v>
      </c>
      <c r="N80" s="100">
        <v>1.2546000000000003E-5</v>
      </c>
      <c r="O80" s="100"/>
      <c r="P80" s="13"/>
      <c r="Q80" s="199">
        <f>'Parameters, country spec'!H23</f>
        <v>4.1303762233994797E-2</v>
      </c>
    </row>
    <row r="81" spans="1:17" x14ac:dyDescent="0.3">
      <c r="A81" s="21" t="s">
        <v>337</v>
      </c>
      <c r="B81" s="16" t="s">
        <v>176</v>
      </c>
      <c r="C81" s="16" t="s">
        <v>334</v>
      </c>
      <c r="D81" s="22" t="s">
        <v>60</v>
      </c>
      <c r="E81" s="22" t="s">
        <v>61</v>
      </c>
      <c r="F81" s="223">
        <f t="shared" si="18"/>
        <v>1.840193507270561E-4</v>
      </c>
      <c r="G81" s="98">
        <v>6.2842418816841267E-5</v>
      </c>
      <c r="H81" s="99">
        <v>9.5000000000000005E-5</v>
      </c>
      <c r="I81" s="13"/>
      <c r="J81" s="13"/>
      <c r="K81" s="100">
        <v>1.3630931910214812E-5</v>
      </c>
      <c r="L81" s="100"/>
      <c r="M81" s="100">
        <v>0</v>
      </c>
      <c r="N81" s="100">
        <v>1.2546000000000003E-5</v>
      </c>
      <c r="O81" s="100"/>
      <c r="P81" s="13"/>
      <c r="Q81" s="199">
        <f>'Parameters, country spec'!H24</f>
        <v>2.6167600918431479E-2</v>
      </c>
    </row>
    <row r="82" spans="1:17" x14ac:dyDescent="0.3">
      <c r="A82" s="21" t="s">
        <v>338</v>
      </c>
      <c r="B82" s="16" t="s">
        <v>177</v>
      </c>
      <c r="C82" s="16" t="s">
        <v>334</v>
      </c>
      <c r="D82" s="22" t="s">
        <v>60</v>
      </c>
      <c r="E82" s="22" t="s">
        <v>61</v>
      </c>
      <c r="F82" s="223">
        <f t="shared" si="18"/>
        <v>2.1322851393583626E-4</v>
      </c>
      <c r="G82" s="98">
        <v>9.2769916609057948E-5</v>
      </c>
      <c r="H82" s="99">
        <v>9.5000000000000005E-5</v>
      </c>
      <c r="I82" s="13"/>
      <c r="J82" s="13"/>
      <c r="K82" s="100">
        <v>1.291259732677831E-5</v>
      </c>
      <c r="L82" s="100"/>
      <c r="M82" s="100">
        <v>0</v>
      </c>
      <c r="N82" s="100">
        <v>1.2546000000000003E-5</v>
      </c>
      <c r="O82" s="100"/>
      <c r="P82" s="13"/>
      <c r="Q82" s="199">
        <f>'Parameters, country spec'!H25</f>
        <v>0.30682794802396129</v>
      </c>
    </row>
    <row r="83" spans="1:17" x14ac:dyDescent="0.3">
      <c r="A83" s="21" t="s">
        <v>339</v>
      </c>
      <c r="B83" s="16" t="s">
        <v>178</v>
      </c>
      <c r="C83" s="16" t="s">
        <v>340</v>
      </c>
      <c r="D83" s="22" t="s">
        <v>60</v>
      </c>
      <c r="E83" s="22" t="s">
        <v>61</v>
      </c>
      <c r="F83" s="223">
        <f t="shared" si="18"/>
        <v>1.3280125199673234E-4</v>
      </c>
      <c r="G83" s="98">
        <v>0</v>
      </c>
      <c r="H83" s="99">
        <v>9.5000000000000005E-5</v>
      </c>
      <c r="I83" s="15"/>
      <c r="J83" s="13"/>
      <c r="K83" s="100">
        <v>2.5255251996732317E-5</v>
      </c>
      <c r="L83" s="100"/>
      <c r="M83" s="100">
        <v>0</v>
      </c>
      <c r="N83" s="100">
        <v>1.2546000000000003E-5</v>
      </c>
      <c r="O83" s="100"/>
      <c r="P83" s="13"/>
      <c r="Q83" s="199">
        <f>'Parameters, country spec'!H26</f>
        <v>4.6178119267820264E-3</v>
      </c>
    </row>
    <row r="84" spans="1:17" x14ac:dyDescent="0.3">
      <c r="A84" s="21" t="s">
        <v>341</v>
      </c>
      <c r="B84" s="16" t="s">
        <v>179</v>
      </c>
      <c r="C84" s="16" t="s">
        <v>340</v>
      </c>
      <c r="D84" s="22" t="s">
        <v>60</v>
      </c>
      <c r="E84" s="22" t="s">
        <v>61</v>
      </c>
      <c r="F84" s="223">
        <f t="shared" si="18"/>
        <v>1.4931770127423491E-4</v>
      </c>
      <c r="G84" s="98">
        <v>3.9865279409015522E-6</v>
      </c>
      <c r="H84" s="99">
        <v>9.5000000000000005E-5</v>
      </c>
      <c r="I84" s="15"/>
      <c r="J84" s="13"/>
      <c r="K84" s="100">
        <v>3.7785173333333341E-5</v>
      </c>
      <c r="L84" s="100"/>
      <c r="M84" s="100">
        <v>0</v>
      </c>
      <c r="N84" s="100">
        <v>1.2546000000000003E-5</v>
      </c>
      <c r="O84" s="100"/>
      <c r="P84" s="13"/>
      <c r="Q84" s="199">
        <f>'Parameters, country spec'!H27</f>
        <v>5.3104837157993301E-2</v>
      </c>
    </row>
    <row r="85" spans="1:17" x14ac:dyDescent="0.3">
      <c r="B85" s="17" t="s">
        <v>180</v>
      </c>
      <c r="C85" s="16" t="s">
        <v>342</v>
      </c>
      <c r="D85" s="22" t="s">
        <v>60</v>
      </c>
      <c r="E85" s="22" t="s">
        <v>61</v>
      </c>
      <c r="F85" s="224">
        <f t="shared" si="18"/>
        <v>8.8724332534062934E-5</v>
      </c>
      <c r="G85" s="33">
        <f>'Processed feed'!$F$36</f>
        <v>1.2478043251867624E-8</v>
      </c>
      <c r="H85" s="33">
        <f>'Processed feed'!$G$36</f>
        <v>1.2778001234202703E-8</v>
      </c>
      <c r="I85" s="33">
        <f>'Processed feed'!$H$36</f>
        <v>0</v>
      </c>
      <c r="J85" s="33">
        <f>'Processed feed'!$I$36</f>
        <v>0</v>
      </c>
      <c r="K85" s="33">
        <f>'Processed feed'!$J$36</f>
        <v>1.7368124692456396E-9</v>
      </c>
      <c r="L85" s="33">
        <f>'Processed feed'!$K$36</f>
        <v>0</v>
      </c>
      <c r="M85" s="33">
        <f>'Processed feed'!$L$36</f>
        <v>0</v>
      </c>
      <c r="N85" s="33">
        <f>'Processed feed'!$M$36</f>
        <v>1.6875031945716541E-9</v>
      </c>
      <c r="O85" s="33">
        <f>'Processed feed'!$N$36</f>
        <v>0</v>
      </c>
      <c r="P85" s="33">
        <f>'Processed feed'!$O$36</f>
        <v>8.8695652173913049E-5</v>
      </c>
      <c r="Q85" s="199">
        <f>'Parameters, country spec'!H28</f>
        <v>2.7193781346605266E-2</v>
      </c>
    </row>
    <row r="86" spans="1:17" x14ac:dyDescent="0.3">
      <c r="B86" s="17" t="s">
        <v>343</v>
      </c>
      <c r="C86" s="16" t="s">
        <v>342</v>
      </c>
      <c r="D86" s="22" t="s">
        <v>60</v>
      </c>
      <c r="E86" s="22" t="s">
        <v>61</v>
      </c>
      <c r="F86" s="224">
        <f t="shared" si="18"/>
        <v>2.1138030954055875E-2</v>
      </c>
      <c r="G86" s="33">
        <f>'Processed feed'!$F$41</f>
        <v>0</v>
      </c>
      <c r="H86" s="33">
        <f>'Processed feed'!$G$41</f>
        <v>9.8741091956202427E-5</v>
      </c>
      <c r="I86" s="33">
        <f>'Processed feed'!$H$41</f>
        <v>0</v>
      </c>
      <c r="J86" s="33">
        <f>'Processed feed'!$I$41</f>
        <v>0</v>
      </c>
      <c r="K86" s="33">
        <f>'Processed feed'!$J$41</f>
        <v>2.6249801681962218E-5</v>
      </c>
      <c r="L86" s="33">
        <f>'Processed feed'!$K$41</f>
        <v>0</v>
      </c>
      <c r="M86" s="33">
        <f>'Processed feed'!$L$41</f>
        <v>0</v>
      </c>
      <c r="N86" s="33">
        <f>'Processed feed'!$M$41</f>
        <v>1.3040060417710694E-5</v>
      </c>
      <c r="O86" s="33">
        <f>'Processed feed'!$N$41</f>
        <v>0</v>
      </c>
      <c r="P86" s="33">
        <f>'Processed feed'!$O$41</f>
        <v>2.0999999999999998E-2</v>
      </c>
      <c r="Q86" s="199">
        <f>'Parameters, country spec'!H29</f>
        <v>3.5916314986082429E-2</v>
      </c>
    </row>
    <row r="87" spans="1:17" x14ac:dyDescent="0.3">
      <c r="B87" s="16" t="s">
        <v>182</v>
      </c>
      <c r="C87" s="16" t="s">
        <v>344</v>
      </c>
      <c r="D87" s="22" t="s">
        <v>60</v>
      </c>
      <c r="E87" s="22" t="s">
        <v>61</v>
      </c>
      <c r="F87" s="224"/>
      <c r="G87" s="13"/>
      <c r="H87" s="13"/>
      <c r="I87" s="13"/>
      <c r="J87" s="13"/>
      <c r="K87" s="13"/>
      <c r="L87" s="13"/>
      <c r="M87" s="13"/>
      <c r="N87" s="13"/>
      <c r="O87" s="13"/>
      <c r="P87" s="13"/>
      <c r="Q87" s="199">
        <f>'Parameters, country spec'!H30</f>
        <v>0.13313408330019627</v>
      </c>
    </row>
    <row r="88" spans="1:17" x14ac:dyDescent="0.3">
      <c r="A88" s="82"/>
      <c r="B88" s="16" t="s">
        <v>345</v>
      </c>
      <c r="C88" s="83" t="s">
        <v>346</v>
      </c>
      <c r="D88" s="22" t="s">
        <v>60</v>
      </c>
      <c r="E88" s="22" t="s">
        <v>61</v>
      </c>
      <c r="F88" s="224">
        <f t="shared" si="18"/>
        <v>1.070237744358936E-2</v>
      </c>
      <c r="G88" s="81">
        <f t="shared" ref="G88:P88" si="19">AVERAGE(G78:G86)</f>
        <v>4.3411442884432146E-5</v>
      </c>
      <c r="H88" s="81">
        <f t="shared" si="19"/>
        <v>8.4861541106381856E-5</v>
      </c>
      <c r="I88" s="81">
        <f t="shared" si="19"/>
        <v>0</v>
      </c>
      <c r="J88" s="81">
        <f t="shared" si="19"/>
        <v>0</v>
      </c>
      <c r="K88" s="81">
        <f t="shared" si="19"/>
        <v>1.8549550409269192E-5</v>
      </c>
      <c r="L88" s="81">
        <f t="shared" si="19"/>
        <v>0</v>
      </c>
      <c r="M88" s="81">
        <f t="shared" si="19"/>
        <v>0</v>
      </c>
      <c r="N88" s="81">
        <f t="shared" si="19"/>
        <v>1.1207083102322808E-5</v>
      </c>
      <c r="O88" s="81">
        <f t="shared" si="19"/>
        <v>0</v>
      </c>
      <c r="P88" s="81">
        <f t="shared" si="19"/>
        <v>1.0544347826086955E-2</v>
      </c>
      <c r="Q88" s="199">
        <f>'Parameters, country spec'!H31</f>
        <v>0.1236547415949409</v>
      </c>
    </row>
    <row r="89" spans="1:17" x14ac:dyDescent="0.3">
      <c r="A89" s="198"/>
      <c r="B89" s="24" t="s">
        <v>347</v>
      </c>
      <c r="C89" s="25"/>
      <c r="D89" s="101"/>
      <c r="E89" s="101"/>
      <c r="F89" s="46">
        <f>SUMPRODUCT(F78:F88,$Q$78:$Q$88)</f>
        <v>2.2232596144092197E-3</v>
      </c>
      <c r="G89" s="46">
        <f t="shared" ref="G89:P89" si="20">SUMPRODUCT(G78:G88,$Q$78:$Q$88)</f>
        <v>5.8707531399373735E-5</v>
      </c>
      <c r="H89" s="46">
        <f t="shared" si="20"/>
        <v>7.8649898063155036E-5</v>
      </c>
      <c r="I89" s="46">
        <f t="shared" si="20"/>
        <v>0</v>
      </c>
      <c r="J89" s="46">
        <f t="shared" si="20"/>
        <v>0</v>
      </c>
      <c r="K89" s="46">
        <f t="shared" si="20"/>
        <v>1.5002240439069153E-5</v>
      </c>
      <c r="L89" s="46">
        <f t="shared" si="20"/>
        <v>0</v>
      </c>
      <c r="M89" s="46">
        <f t="shared" si="20"/>
        <v>0</v>
      </c>
      <c r="N89" s="46">
        <f t="shared" si="20"/>
        <v>1.0386753906319406E-5</v>
      </c>
      <c r="O89" s="46">
        <f t="shared" si="20"/>
        <v>0</v>
      </c>
      <c r="P89" s="46">
        <f t="shared" si="20"/>
        <v>2.060513190601302E-3</v>
      </c>
      <c r="Q89" s="209"/>
    </row>
    <row r="90" spans="1:17" x14ac:dyDescent="0.3">
      <c r="A90" s="21" t="s">
        <v>333</v>
      </c>
      <c r="B90" s="16" t="s">
        <v>172</v>
      </c>
      <c r="C90" s="16" t="s">
        <v>334</v>
      </c>
      <c r="D90" s="22" t="s">
        <v>62</v>
      </c>
      <c r="E90" s="22" t="s">
        <v>63</v>
      </c>
      <c r="F90" s="225">
        <f>SUM(G90:P90)</f>
        <v>2.0655355021385218E-4</v>
      </c>
      <c r="G90" s="203">
        <v>8.0930691575108743E-5</v>
      </c>
      <c r="H90" s="204">
        <v>9.5000000000000005E-5</v>
      </c>
      <c r="I90" s="205"/>
      <c r="J90" s="206"/>
      <c r="K90" s="207">
        <v>1.8076858638743458E-5</v>
      </c>
      <c r="L90" s="207"/>
      <c r="M90" s="207">
        <v>0</v>
      </c>
      <c r="N90" s="207">
        <v>1.2546000000000003E-5</v>
      </c>
      <c r="O90" s="207"/>
      <c r="P90" s="206"/>
      <c r="Q90" s="210">
        <f>'Parameters, country spec'!I21</f>
        <v>0.24551366744057773</v>
      </c>
    </row>
    <row r="91" spans="1:17" x14ac:dyDescent="0.3">
      <c r="A91" s="21" t="s">
        <v>335</v>
      </c>
      <c r="B91" s="16" t="s">
        <v>174</v>
      </c>
      <c r="C91" s="16" t="s">
        <v>334</v>
      </c>
      <c r="D91" s="22" t="s">
        <v>62</v>
      </c>
      <c r="E91" s="22" t="s">
        <v>63</v>
      </c>
      <c r="F91" s="223">
        <f t="shared" ref="F91:F100" si="21">SUM(G91:P91)</f>
        <v>1.9871902439798405E-4</v>
      </c>
      <c r="G91" s="98">
        <v>7.8815626877616721E-5</v>
      </c>
      <c r="H91" s="99">
        <v>9.5000000000000005E-5</v>
      </c>
      <c r="I91" s="15"/>
      <c r="J91" s="13"/>
      <c r="K91" s="100">
        <v>1.2357397520367332E-5</v>
      </c>
      <c r="L91" s="100"/>
      <c r="M91" s="100">
        <v>0</v>
      </c>
      <c r="N91" s="100">
        <v>1.2546000000000003E-5</v>
      </c>
      <c r="O91" s="100"/>
      <c r="P91" s="13"/>
      <c r="Q91" s="199">
        <f>'Parameters, country spec'!I22</f>
        <v>2.5654510704344589E-3</v>
      </c>
    </row>
    <row r="92" spans="1:17" x14ac:dyDescent="0.3">
      <c r="A92" s="21" t="s">
        <v>336</v>
      </c>
      <c r="B92" s="16" t="s">
        <v>175</v>
      </c>
      <c r="C92" s="16" t="s">
        <v>334</v>
      </c>
      <c r="D92" s="22" t="s">
        <v>62</v>
      </c>
      <c r="E92" s="22" t="s">
        <v>63</v>
      </c>
      <c r="F92" s="223">
        <f t="shared" si="21"/>
        <v>1.9956753055993292E-4</v>
      </c>
      <c r="G92" s="98">
        <v>7.134532609711123E-5</v>
      </c>
      <c r="H92" s="99">
        <v>9.5000000000000005E-5</v>
      </c>
      <c r="I92" s="15"/>
      <c r="J92" s="13"/>
      <c r="K92" s="100">
        <v>2.0676204462821701E-5</v>
      </c>
      <c r="L92" s="100"/>
      <c r="M92" s="100">
        <v>0</v>
      </c>
      <c r="N92" s="100">
        <v>1.2546000000000003E-5</v>
      </c>
      <c r="O92" s="100"/>
      <c r="P92" s="13"/>
      <c r="Q92" s="199">
        <f>'Parameters, country spec'!I23</f>
        <v>4.1303762233994797E-2</v>
      </c>
    </row>
    <row r="93" spans="1:17" x14ac:dyDescent="0.3">
      <c r="A93" s="21" t="s">
        <v>337</v>
      </c>
      <c r="B93" s="16" t="s">
        <v>176</v>
      </c>
      <c r="C93" s="16" t="s">
        <v>334</v>
      </c>
      <c r="D93" s="22" t="s">
        <v>62</v>
      </c>
      <c r="E93" s="22" t="s">
        <v>63</v>
      </c>
      <c r="F93" s="223">
        <f t="shared" si="21"/>
        <v>1.840193507270561E-4</v>
      </c>
      <c r="G93" s="98">
        <v>6.2842418816841267E-5</v>
      </c>
      <c r="H93" s="99">
        <v>9.5000000000000005E-5</v>
      </c>
      <c r="I93" s="13"/>
      <c r="J93" s="13"/>
      <c r="K93" s="100">
        <v>1.3630931910214812E-5</v>
      </c>
      <c r="L93" s="100"/>
      <c r="M93" s="100">
        <v>0</v>
      </c>
      <c r="N93" s="100">
        <v>1.2546000000000003E-5</v>
      </c>
      <c r="O93" s="100"/>
      <c r="P93" s="13"/>
      <c r="Q93" s="199">
        <f>'Parameters, country spec'!I24</f>
        <v>2.6167600918431479E-2</v>
      </c>
    </row>
    <row r="94" spans="1:17" x14ac:dyDescent="0.3">
      <c r="A94" s="21" t="s">
        <v>338</v>
      </c>
      <c r="B94" s="16" t="s">
        <v>177</v>
      </c>
      <c r="C94" s="16" t="s">
        <v>334</v>
      </c>
      <c r="D94" s="22" t="s">
        <v>62</v>
      </c>
      <c r="E94" s="22" t="s">
        <v>63</v>
      </c>
      <c r="F94" s="223">
        <f t="shared" si="21"/>
        <v>2.1322851393583626E-4</v>
      </c>
      <c r="G94" s="98">
        <v>9.2769916609057948E-5</v>
      </c>
      <c r="H94" s="99">
        <v>9.5000000000000005E-5</v>
      </c>
      <c r="I94" s="13"/>
      <c r="J94" s="13"/>
      <c r="K94" s="100">
        <v>1.291259732677831E-5</v>
      </c>
      <c r="L94" s="100"/>
      <c r="M94" s="100">
        <v>0</v>
      </c>
      <c r="N94" s="100">
        <v>1.2546000000000003E-5</v>
      </c>
      <c r="O94" s="100"/>
      <c r="P94" s="13"/>
      <c r="Q94" s="199">
        <f>'Parameters, country spec'!I25</f>
        <v>0.30682794802396129</v>
      </c>
    </row>
    <row r="95" spans="1:17" x14ac:dyDescent="0.3">
      <c r="A95" s="21" t="s">
        <v>339</v>
      </c>
      <c r="B95" s="16" t="s">
        <v>178</v>
      </c>
      <c r="C95" s="16" t="s">
        <v>340</v>
      </c>
      <c r="D95" s="22" t="s">
        <v>62</v>
      </c>
      <c r="E95" s="22" t="s">
        <v>63</v>
      </c>
      <c r="F95" s="223">
        <f t="shared" si="21"/>
        <v>1.3280125199673234E-4</v>
      </c>
      <c r="G95" s="98">
        <v>0</v>
      </c>
      <c r="H95" s="99">
        <v>9.5000000000000005E-5</v>
      </c>
      <c r="I95" s="15"/>
      <c r="J95" s="13"/>
      <c r="K95" s="100">
        <v>2.5255251996732317E-5</v>
      </c>
      <c r="L95" s="100"/>
      <c r="M95" s="100">
        <v>0</v>
      </c>
      <c r="N95" s="100">
        <v>1.2546000000000003E-5</v>
      </c>
      <c r="O95" s="100"/>
      <c r="P95" s="13"/>
      <c r="Q95" s="199">
        <f>'Parameters, country spec'!I26</f>
        <v>4.6178119267820264E-3</v>
      </c>
    </row>
    <row r="96" spans="1:17" x14ac:dyDescent="0.3">
      <c r="A96" s="21" t="s">
        <v>341</v>
      </c>
      <c r="B96" s="16" t="s">
        <v>179</v>
      </c>
      <c r="C96" s="16" t="s">
        <v>340</v>
      </c>
      <c r="D96" s="22" t="s">
        <v>62</v>
      </c>
      <c r="E96" s="22" t="s">
        <v>63</v>
      </c>
      <c r="F96" s="223">
        <f t="shared" si="21"/>
        <v>1.4931770127423491E-4</v>
      </c>
      <c r="G96" s="98">
        <v>3.9865279409015522E-6</v>
      </c>
      <c r="H96" s="99">
        <v>9.5000000000000005E-5</v>
      </c>
      <c r="I96" s="15"/>
      <c r="J96" s="13"/>
      <c r="K96" s="100">
        <v>3.7785173333333341E-5</v>
      </c>
      <c r="L96" s="100"/>
      <c r="M96" s="100">
        <v>0</v>
      </c>
      <c r="N96" s="100">
        <v>1.2546000000000003E-5</v>
      </c>
      <c r="O96" s="100"/>
      <c r="P96" s="13"/>
      <c r="Q96" s="199">
        <f>'Parameters, country spec'!I27</f>
        <v>5.3104837157993301E-2</v>
      </c>
    </row>
    <row r="97" spans="1:17" x14ac:dyDescent="0.3">
      <c r="B97" s="17" t="s">
        <v>180</v>
      </c>
      <c r="C97" s="16" t="s">
        <v>342</v>
      </c>
      <c r="D97" s="22" t="s">
        <v>62</v>
      </c>
      <c r="E97" s="22" t="s">
        <v>63</v>
      </c>
      <c r="F97" s="224">
        <f t="shared" si="21"/>
        <v>8.8724332534062934E-5</v>
      </c>
      <c r="G97" s="33">
        <f>'Processed feed'!$F$36</f>
        <v>1.2478043251867624E-8</v>
      </c>
      <c r="H97" s="33">
        <f>'Processed feed'!$G$36</f>
        <v>1.2778001234202703E-8</v>
      </c>
      <c r="I97" s="33">
        <f>'Processed feed'!$H$36</f>
        <v>0</v>
      </c>
      <c r="J97" s="33">
        <f>'Processed feed'!$I$36</f>
        <v>0</v>
      </c>
      <c r="K97" s="33">
        <f>'Processed feed'!$J$36</f>
        <v>1.7368124692456396E-9</v>
      </c>
      <c r="L97" s="33">
        <f>'Processed feed'!$K$36</f>
        <v>0</v>
      </c>
      <c r="M97" s="33">
        <f>'Processed feed'!$L$36</f>
        <v>0</v>
      </c>
      <c r="N97" s="33">
        <f>'Processed feed'!$M$36</f>
        <v>1.6875031945716541E-9</v>
      </c>
      <c r="O97" s="33">
        <f>'Processed feed'!$N$36</f>
        <v>0</v>
      </c>
      <c r="P97" s="33">
        <f>'Processed feed'!$O$36</f>
        <v>8.8695652173913049E-5</v>
      </c>
      <c r="Q97" s="199">
        <f>'Parameters, country spec'!I28</f>
        <v>2.7193781346605266E-2</v>
      </c>
    </row>
    <row r="98" spans="1:17" x14ac:dyDescent="0.3">
      <c r="B98" s="17" t="s">
        <v>343</v>
      </c>
      <c r="C98" s="16" t="s">
        <v>342</v>
      </c>
      <c r="D98" s="22" t="s">
        <v>62</v>
      </c>
      <c r="E98" s="22" t="s">
        <v>63</v>
      </c>
      <c r="F98" s="224">
        <f t="shared" si="21"/>
        <v>2.1138030954055875E-2</v>
      </c>
      <c r="G98" s="33">
        <f>'Processed feed'!$F$41</f>
        <v>0</v>
      </c>
      <c r="H98" s="33">
        <f>'Processed feed'!$G$41</f>
        <v>9.8741091956202427E-5</v>
      </c>
      <c r="I98" s="33">
        <f>'Processed feed'!$H$41</f>
        <v>0</v>
      </c>
      <c r="J98" s="33">
        <f>'Processed feed'!$I$41</f>
        <v>0</v>
      </c>
      <c r="K98" s="33">
        <f>'Processed feed'!$J$41</f>
        <v>2.6249801681962218E-5</v>
      </c>
      <c r="L98" s="33">
        <f>'Processed feed'!$K$41</f>
        <v>0</v>
      </c>
      <c r="M98" s="33">
        <f>'Processed feed'!$L$41</f>
        <v>0</v>
      </c>
      <c r="N98" s="33">
        <f>'Processed feed'!$M$41</f>
        <v>1.3040060417710694E-5</v>
      </c>
      <c r="O98" s="33">
        <f>'Processed feed'!$N$41</f>
        <v>0</v>
      </c>
      <c r="P98" s="33">
        <f>'Processed feed'!$O$41</f>
        <v>2.0999999999999998E-2</v>
      </c>
      <c r="Q98" s="199">
        <f>'Parameters, country spec'!I29</f>
        <v>3.5916314986082429E-2</v>
      </c>
    </row>
    <row r="99" spans="1:17" x14ac:dyDescent="0.3">
      <c r="B99" s="16" t="s">
        <v>182</v>
      </c>
      <c r="C99" s="16" t="s">
        <v>344</v>
      </c>
      <c r="D99" s="22" t="s">
        <v>62</v>
      </c>
      <c r="E99" s="22" t="s">
        <v>63</v>
      </c>
      <c r="F99" s="224"/>
      <c r="G99" s="13"/>
      <c r="H99" s="13"/>
      <c r="I99" s="13"/>
      <c r="J99" s="13"/>
      <c r="K99" s="13"/>
      <c r="L99" s="13"/>
      <c r="M99" s="13"/>
      <c r="N99" s="13"/>
      <c r="O99" s="13"/>
      <c r="P99" s="13"/>
      <c r="Q99" s="199">
        <f>'Parameters, country spec'!I30</f>
        <v>0.13313408330019627</v>
      </c>
    </row>
    <row r="100" spans="1:17" x14ac:dyDescent="0.3">
      <c r="A100" s="82"/>
      <c r="B100" s="16" t="s">
        <v>345</v>
      </c>
      <c r="C100" s="83" t="s">
        <v>346</v>
      </c>
      <c r="D100" s="22" t="s">
        <v>62</v>
      </c>
      <c r="E100" s="22" t="s">
        <v>63</v>
      </c>
      <c r="F100" s="224">
        <f t="shared" si="21"/>
        <v>1.5802961750240599E-4</v>
      </c>
      <c r="G100" s="81">
        <f t="shared" ref="G100:N100" si="22">AVERAGE(G90:G98)</f>
        <v>4.3411442884432146E-5</v>
      </c>
      <c r="H100" s="81">
        <f t="shared" si="22"/>
        <v>8.4861541106381856E-5</v>
      </c>
      <c r="I100" s="81">
        <f t="shared" si="22"/>
        <v>0</v>
      </c>
      <c r="J100" s="81">
        <f t="shared" si="22"/>
        <v>0</v>
      </c>
      <c r="K100" s="81">
        <f t="shared" si="22"/>
        <v>1.8549550409269192E-5</v>
      </c>
      <c r="L100" s="81">
        <f t="shared" si="22"/>
        <v>0</v>
      </c>
      <c r="M100" s="81">
        <f t="shared" si="22"/>
        <v>0</v>
      </c>
      <c r="N100" s="81">
        <f t="shared" si="22"/>
        <v>1.1207083102322808E-5</v>
      </c>
      <c r="O100" s="81"/>
      <c r="P100" s="81"/>
      <c r="Q100" s="199">
        <f>'Parameters, country spec'!I31</f>
        <v>0.1236547415949409</v>
      </c>
    </row>
    <row r="101" spans="1:17" x14ac:dyDescent="0.3">
      <c r="A101" s="198"/>
      <c r="B101" s="24" t="s">
        <v>347</v>
      </c>
      <c r="C101" s="25"/>
      <c r="D101" s="101"/>
      <c r="E101" s="101"/>
      <c r="F101" s="46">
        <f>SUMPRODUCT(F90:F100,$Q$90:$Q$100)</f>
        <v>9.1940100868726025E-4</v>
      </c>
      <c r="G101" s="46">
        <f t="shared" ref="G101:P101" si="23">SUMPRODUCT(G90:G100,$Q$90:$Q$100)</f>
        <v>5.8707531399373735E-5</v>
      </c>
      <c r="H101" s="46">
        <f t="shared" si="23"/>
        <v>7.8649898063155036E-5</v>
      </c>
      <c r="I101" s="46">
        <f t="shared" si="23"/>
        <v>0</v>
      </c>
      <c r="J101" s="46">
        <f t="shared" si="23"/>
        <v>0</v>
      </c>
      <c r="K101" s="46">
        <f t="shared" si="23"/>
        <v>1.5002240439069153E-5</v>
      </c>
      <c r="L101" s="46">
        <f t="shared" si="23"/>
        <v>0</v>
      </c>
      <c r="M101" s="46">
        <f t="shared" si="23"/>
        <v>0</v>
      </c>
      <c r="N101" s="46">
        <f t="shared" si="23"/>
        <v>1.0386753906319406E-5</v>
      </c>
      <c r="O101" s="46">
        <f t="shared" si="23"/>
        <v>0</v>
      </c>
      <c r="P101" s="46">
        <f t="shared" si="23"/>
        <v>7.5665458487934282E-4</v>
      </c>
      <c r="Q101" s="200"/>
    </row>
    <row r="102" spans="1:17" x14ac:dyDescent="0.3">
      <c r="A102" s="21" t="s">
        <v>333</v>
      </c>
      <c r="B102" s="16" t="s">
        <v>172</v>
      </c>
      <c r="C102" s="16" t="s">
        <v>334</v>
      </c>
      <c r="D102" s="22" t="s">
        <v>64</v>
      </c>
      <c r="E102" s="22" t="s">
        <v>65</v>
      </c>
      <c r="F102" s="225">
        <f>SUM(G102:P102)</f>
        <v>2.0655355021385218E-4</v>
      </c>
      <c r="G102" s="203">
        <v>8.0930691575108743E-5</v>
      </c>
      <c r="H102" s="204">
        <v>9.5000000000000005E-5</v>
      </c>
      <c r="I102" s="205"/>
      <c r="J102" s="206"/>
      <c r="K102" s="207">
        <v>1.8076858638743458E-5</v>
      </c>
      <c r="L102" s="207"/>
      <c r="M102" s="207">
        <v>0</v>
      </c>
      <c r="N102" s="207">
        <v>1.2546000000000003E-5</v>
      </c>
      <c r="O102" s="207"/>
      <c r="P102" s="206"/>
      <c r="Q102" s="210">
        <f>'Parameters, country spec'!J21</f>
        <v>0.24551366744057773</v>
      </c>
    </row>
    <row r="103" spans="1:17" x14ac:dyDescent="0.3">
      <c r="A103" s="21" t="s">
        <v>335</v>
      </c>
      <c r="B103" s="16" t="s">
        <v>174</v>
      </c>
      <c r="C103" s="16" t="s">
        <v>334</v>
      </c>
      <c r="D103" s="22" t="s">
        <v>64</v>
      </c>
      <c r="E103" s="22" t="s">
        <v>65</v>
      </c>
      <c r="F103" s="223">
        <f t="shared" ref="F103:F112" si="24">SUM(G103:P103)</f>
        <v>1.9871902439798405E-4</v>
      </c>
      <c r="G103" s="98">
        <v>7.8815626877616721E-5</v>
      </c>
      <c r="H103" s="99">
        <v>9.5000000000000005E-5</v>
      </c>
      <c r="I103" s="15"/>
      <c r="J103" s="13"/>
      <c r="K103" s="100">
        <v>1.2357397520367332E-5</v>
      </c>
      <c r="L103" s="100"/>
      <c r="M103" s="100">
        <v>0</v>
      </c>
      <c r="N103" s="100">
        <v>1.2546000000000003E-5</v>
      </c>
      <c r="O103" s="100"/>
      <c r="P103" s="13"/>
      <c r="Q103" s="199">
        <f>'Parameters, country spec'!J22</f>
        <v>2.5654510704344589E-3</v>
      </c>
    </row>
    <row r="104" spans="1:17" x14ac:dyDescent="0.3">
      <c r="A104" s="21" t="s">
        <v>336</v>
      </c>
      <c r="B104" s="16" t="s">
        <v>175</v>
      </c>
      <c r="C104" s="16" t="s">
        <v>334</v>
      </c>
      <c r="D104" s="22" t="s">
        <v>64</v>
      </c>
      <c r="E104" s="22" t="s">
        <v>65</v>
      </c>
      <c r="F104" s="223">
        <f t="shared" si="24"/>
        <v>1.9956753055993292E-4</v>
      </c>
      <c r="G104" s="98">
        <v>7.134532609711123E-5</v>
      </c>
      <c r="H104" s="99">
        <v>9.5000000000000005E-5</v>
      </c>
      <c r="I104" s="15"/>
      <c r="J104" s="13"/>
      <c r="K104" s="100">
        <v>2.0676204462821701E-5</v>
      </c>
      <c r="L104" s="100"/>
      <c r="M104" s="100">
        <v>0</v>
      </c>
      <c r="N104" s="100">
        <v>1.2546000000000003E-5</v>
      </c>
      <c r="O104" s="100"/>
      <c r="P104" s="13"/>
      <c r="Q104" s="199">
        <f>'Parameters, country spec'!J23</f>
        <v>4.1303762233994797E-2</v>
      </c>
    </row>
    <row r="105" spans="1:17" x14ac:dyDescent="0.3">
      <c r="A105" s="21" t="s">
        <v>337</v>
      </c>
      <c r="B105" s="16" t="s">
        <v>176</v>
      </c>
      <c r="C105" s="16" t="s">
        <v>334</v>
      </c>
      <c r="D105" s="22" t="s">
        <v>64</v>
      </c>
      <c r="E105" s="22" t="s">
        <v>65</v>
      </c>
      <c r="F105" s="223">
        <f t="shared" si="24"/>
        <v>1.840193507270561E-4</v>
      </c>
      <c r="G105" s="98">
        <v>6.2842418816841267E-5</v>
      </c>
      <c r="H105" s="99">
        <v>9.5000000000000005E-5</v>
      </c>
      <c r="I105" s="13"/>
      <c r="J105" s="13"/>
      <c r="K105" s="100">
        <v>1.3630931910214812E-5</v>
      </c>
      <c r="L105" s="100"/>
      <c r="M105" s="100">
        <v>0</v>
      </c>
      <c r="N105" s="100">
        <v>1.2546000000000003E-5</v>
      </c>
      <c r="O105" s="100"/>
      <c r="P105" s="13"/>
      <c r="Q105" s="199">
        <f>'Parameters, country spec'!J24</f>
        <v>2.6167600918431479E-2</v>
      </c>
    </row>
    <row r="106" spans="1:17" x14ac:dyDescent="0.3">
      <c r="A106" s="21" t="s">
        <v>338</v>
      </c>
      <c r="B106" s="16" t="s">
        <v>177</v>
      </c>
      <c r="C106" s="16" t="s">
        <v>334</v>
      </c>
      <c r="D106" s="22" t="s">
        <v>64</v>
      </c>
      <c r="E106" s="22" t="s">
        <v>65</v>
      </c>
      <c r="F106" s="223">
        <f t="shared" si="24"/>
        <v>2.1322851393583626E-4</v>
      </c>
      <c r="G106" s="98">
        <v>9.2769916609057948E-5</v>
      </c>
      <c r="H106" s="99">
        <v>9.5000000000000005E-5</v>
      </c>
      <c r="I106" s="13"/>
      <c r="J106" s="13"/>
      <c r="K106" s="100">
        <v>1.291259732677831E-5</v>
      </c>
      <c r="L106" s="100"/>
      <c r="M106" s="100">
        <v>0</v>
      </c>
      <c r="N106" s="100">
        <v>1.2546000000000003E-5</v>
      </c>
      <c r="O106" s="100"/>
      <c r="P106" s="13"/>
      <c r="Q106" s="199">
        <f>'Parameters, country spec'!J25</f>
        <v>0.30682794802396129</v>
      </c>
    </row>
    <row r="107" spans="1:17" x14ac:dyDescent="0.3">
      <c r="A107" s="21" t="s">
        <v>339</v>
      </c>
      <c r="B107" s="16" t="s">
        <v>178</v>
      </c>
      <c r="C107" s="16" t="s">
        <v>340</v>
      </c>
      <c r="D107" s="22" t="s">
        <v>64</v>
      </c>
      <c r="E107" s="22" t="s">
        <v>65</v>
      </c>
      <c r="F107" s="223">
        <f t="shared" si="24"/>
        <v>1.3280125199673234E-4</v>
      </c>
      <c r="G107" s="98">
        <v>0</v>
      </c>
      <c r="H107" s="99">
        <v>9.5000000000000005E-5</v>
      </c>
      <c r="I107" s="15"/>
      <c r="J107" s="13"/>
      <c r="K107" s="100">
        <v>2.5255251996732317E-5</v>
      </c>
      <c r="L107" s="100"/>
      <c r="M107" s="100">
        <v>0</v>
      </c>
      <c r="N107" s="100">
        <v>1.2546000000000003E-5</v>
      </c>
      <c r="O107" s="100"/>
      <c r="P107" s="13"/>
      <c r="Q107" s="199">
        <f>'Parameters, country spec'!J26</f>
        <v>4.6178119267820264E-3</v>
      </c>
    </row>
    <row r="108" spans="1:17" x14ac:dyDescent="0.3">
      <c r="A108" s="21" t="s">
        <v>341</v>
      </c>
      <c r="B108" s="16" t="s">
        <v>179</v>
      </c>
      <c r="C108" s="16" t="s">
        <v>340</v>
      </c>
      <c r="D108" s="22" t="s">
        <v>64</v>
      </c>
      <c r="E108" s="22" t="s">
        <v>65</v>
      </c>
      <c r="F108" s="223">
        <f t="shared" si="24"/>
        <v>1.4931770127423491E-4</v>
      </c>
      <c r="G108" s="98">
        <v>3.9865279409015522E-6</v>
      </c>
      <c r="H108" s="99">
        <v>9.5000000000000005E-5</v>
      </c>
      <c r="I108" s="15"/>
      <c r="J108" s="13"/>
      <c r="K108" s="100">
        <v>3.7785173333333341E-5</v>
      </c>
      <c r="L108" s="100"/>
      <c r="M108" s="100">
        <v>0</v>
      </c>
      <c r="N108" s="100">
        <v>1.2546000000000003E-5</v>
      </c>
      <c r="O108" s="100"/>
      <c r="P108" s="13"/>
      <c r="Q108" s="199">
        <f>'Parameters, country spec'!J27</f>
        <v>5.3104837157993301E-2</v>
      </c>
    </row>
    <row r="109" spans="1:17" x14ac:dyDescent="0.3">
      <c r="B109" s="17" t="s">
        <v>180</v>
      </c>
      <c r="C109" s="16" t="s">
        <v>342</v>
      </c>
      <c r="D109" s="22" t="s">
        <v>64</v>
      </c>
      <c r="E109" s="22" t="s">
        <v>65</v>
      </c>
      <c r="F109" s="224">
        <f t="shared" si="24"/>
        <v>8.8724332534062934E-5</v>
      </c>
      <c r="G109" s="33">
        <f>'Processed feed'!$F$36</f>
        <v>1.2478043251867624E-8</v>
      </c>
      <c r="H109" s="33">
        <f>'Processed feed'!$G$36</f>
        <v>1.2778001234202703E-8</v>
      </c>
      <c r="I109" s="33">
        <f>'Processed feed'!$H$36</f>
        <v>0</v>
      </c>
      <c r="J109" s="33">
        <f>'Processed feed'!$I$36</f>
        <v>0</v>
      </c>
      <c r="K109" s="33">
        <f>'Processed feed'!$J$36</f>
        <v>1.7368124692456396E-9</v>
      </c>
      <c r="L109" s="33">
        <f>'Processed feed'!$K$36</f>
        <v>0</v>
      </c>
      <c r="M109" s="33">
        <f>'Processed feed'!$L$36</f>
        <v>0</v>
      </c>
      <c r="N109" s="33">
        <f>'Processed feed'!$M$36</f>
        <v>1.6875031945716541E-9</v>
      </c>
      <c r="O109" s="33">
        <f>'Processed feed'!$N$36</f>
        <v>0</v>
      </c>
      <c r="P109" s="33">
        <f>'Processed feed'!$O$36</f>
        <v>8.8695652173913049E-5</v>
      </c>
      <c r="Q109" s="199">
        <f>'Parameters, country spec'!J28</f>
        <v>2.7193781346605266E-2</v>
      </c>
    </row>
    <row r="110" spans="1:17" x14ac:dyDescent="0.3">
      <c r="B110" s="17" t="s">
        <v>343</v>
      </c>
      <c r="C110" s="16" t="s">
        <v>342</v>
      </c>
      <c r="D110" s="22" t="s">
        <v>64</v>
      </c>
      <c r="E110" s="22" t="s">
        <v>65</v>
      </c>
      <c r="F110" s="224">
        <f t="shared" si="24"/>
        <v>2.1138030954055875E-2</v>
      </c>
      <c r="G110" s="33">
        <f>'Processed feed'!$F$41</f>
        <v>0</v>
      </c>
      <c r="H110" s="33">
        <f>'Processed feed'!$G$41</f>
        <v>9.8741091956202427E-5</v>
      </c>
      <c r="I110" s="33">
        <f>'Processed feed'!$H$41</f>
        <v>0</v>
      </c>
      <c r="J110" s="33">
        <f>'Processed feed'!$I$41</f>
        <v>0</v>
      </c>
      <c r="K110" s="33">
        <f>'Processed feed'!$J$41</f>
        <v>2.6249801681962218E-5</v>
      </c>
      <c r="L110" s="33">
        <f>'Processed feed'!$K$41</f>
        <v>0</v>
      </c>
      <c r="M110" s="33">
        <f>'Processed feed'!$L$41</f>
        <v>0</v>
      </c>
      <c r="N110" s="33">
        <f>'Processed feed'!$M$41</f>
        <v>1.3040060417710694E-5</v>
      </c>
      <c r="O110" s="33">
        <f>'Processed feed'!$N$41</f>
        <v>0</v>
      </c>
      <c r="P110" s="33">
        <f>'Processed feed'!$O$41</f>
        <v>2.0999999999999998E-2</v>
      </c>
      <c r="Q110" s="199">
        <f>'Parameters, country spec'!J29</f>
        <v>3.5916314986082429E-2</v>
      </c>
    </row>
    <row r="111" spans="1:17" x14ac:dyDescent="0.3">
      <c r="B111" s="16" t="s">
        <v>182</v>
      </c>
      <c r="C111" s="16" t="s">
        <v>344</v>
      </c>
      <c r="D111" s="22" t="s">
        <v>64</v>
      </c>
      <c r="E111" s="22" t="s">
        <v>65</v>
      </c>
      <c r="F111" s="224"/>
      <c r="G111" s="13"/>
      <c r="H111" s="13"/>
      <c r="I111" s="13"/>
      <c r="J111" s="13"/>
      <c r="K111" s="13"/>
      <c r="L111" s="13"/>
      <c r="M111" s="13"/>
      <c r="N111" s="13"/>
      <c r="O111" s="13"/>
      <c r="P111" s="13"/>
      <c r="Q111" s="199">
        <f>'Parameters, country spec'!J30</f>
        <v>0.13313408330019627</v>
      </c>
    </row>
    <row r="112" spans="1:17" x14ac:dyDescent="0.3">
      <c r="A112" s="82"/>
      <c r="B112" s="16" t="s">
        <v>345</v>
      </c>
      <c r="C112" s="83" t="s">
        <v>346</v>
      </c>
      <c r="D112" s="22" t="s">
        <v>64</v>
      </c>
      <c r="E112" s="22" t="s">
        <v>65</v>
      </c>
      <c r="F112" s="224">
        <f t="shared" si="24"/>
        <v>1.070237744358936E-2</v>
      </c>
      <c r="G112" s="81">
        <f t="shared" ref="G112:P112" si="25">AVERAGE(G102:G110)</f>
        <v>4.3411442884432146E-5</v>
      </c>
      <c r="H112" s="81">
        <f t="shared" si="25"/>
        <v>8.4861541106381856E-5</v>
      </c>
      <c r="I112" s="81">
        <f t="shared" si="25"/>
        <v>0</v>
      </c>
      <c r="J112" s="81">
        <f t="shared" si="25"/>
        <v>0</v>
      </c>
      <c r="K112" s="81">
        <f t="shared" si="25"/>
        <v>1.8549550409269192E-5</v>
      </c>
      <c r="L112" s="81">
        <f t="shared" si="25"/>
        <v>0</v>
      </c>
      <c r="M112" s="81">
        <f t="shared" si="25"/>
        <v>0</v>
      </c>
      <c r="N112" s="81">
        <f t="shared" si="25"/>
        <v>1.1207083102322808E-5</v>
      </c>
      <c r="O112" s="81">
        <f t="shared" si="25"/>
        <v>0</v>
      </c>
      <c r="P112" s="81">
        <f t="shared" si="25"/>
        <v>1.0544347826086955E-2</v>
      </c>
      <c r="Q112" s="199">
        <f>'Parameters, country spec'!J31</f>
        <v>0.1236547415949409</v>
      </c>
    </row>
    <row r="113" spans="1:17" x14ac:dyDescent="0.3">
      <c r="A113" s="198"/>
      <c r="B113" s="24" t="s">
        <v>347</v>
      </c>
      <c r="C113" s="25"/>
      <c r="D113" s="101"/>
      <c r="E113" s="101"/>
      <c r="F113" s="46">
        <f>SUMPRODUCT(F102:F112,$Q$102:$Q$112)</f>
        <v>2.2232596144092197E-3</v>
      </c>
      <c r="G113" s="46">
        <f t="shared" ref="G113:P113" si="26">SUMPRODUCT(G102:G112,$Q$102:$Q$112)</f>
        <v>5.8707531399373735E-5</v>
      </c>
      <c r="H113" s="46">
        <f t="shared" si="26"/>
        <v>7.8649898063155036E-5</v>
      </c>
      <c r="I113" s="46">
        <f t="shared" si="26"/>
        <v>0</v>
      </c>
      <c r="J113" s="46">
        <f t="shared" si="26"/>
        <v>0</v>
      </c>
      <c r="K113" s="46">
        <f t="shared" si="26"/>
        <v>1.5002240439069153E-5</v>
      </c>
      <c r="L113" s="46">
        <f t="shared" si="26"/>
        <v>0</v>
      </c>
      <c r="M113" s="46">
        <f t="shared" si="26"/>
        <v>0</v>
      </c>
      <c r="N113" s="46">
        <f t="shared" si="26"/>
        <v>1.0386753906319406E-5</v>
      </c>
      <c r="O113" s="46">
        <f t="shared" si="26"/>
        <v>0</v>
      </c>
      <c r="P113" s="46">
        <f t="shared" si="26"/>
        <v>2.060513190601302E-3</v>
      </c>
      <c r="Q113" s="200"/>
    </row>
    <row r="114" spans="1:17" x14ac:dyDescent="0.3">
      <c r="A114" s="21" t="s">
        <v>333</v>
      </c>
      <c r="B114" s="16" t="s">
        <v>172</v>
      </c>
      <c r="C114" s="16" t="s">
        <v>334</v>
      </c>
      <c r="D114" s="22" t="s">
        <v>66</v>
      </c>
      <c r="E114" s="22" t="s">
        <v>67</v>
      </c>
      <c r="F114" s="225">
        <f>SUM(G114:P114)</f>
        <v>2.0655355021385218E-4</v>
      </c>
      <c r="G114" s="203">
        <v>8.0930691575108743E-5</v>
      </c>
      <c r="H114" s="204">
        <v>9.5000000000000005E-5</v>
      </c>
      <c r="I114" s="205"/>
      <c r="J114" s="206"/>
      <c r="K114" s="207">
        <v>1.8076858638743458E-5</v>
      </c>
      <c r="L114" s="207"/>
      <c r="M114" s="207">
        <v>0</v>
      </c>
      <c r="N114" s="207">
        <v>1.2546000000000003E-5</v>
      </c>
      <c r="O114" s="207"/>
      <c r="P114" s="206"/>
      <c r="Q114" s="210">
        <f>'Parameters, country spec'!K21</f>
        <v>0.24551366744057773</v>
      </c>
    </row>
    <row r="115" spans="1:17" x14ac:dyDescent="0.3">
      <c r="A115" s="21" t="s">
        <v>335</v>
      </c>
      <c r="B115" s="16" t="s">
        <v>174</v>
      </c>
      <c r="C115" s="16" t="s">
        <v>334</v>
      </c>
      <c r="D115" s="22" t="s">
        <v>66</v>
      </c>
      <c r="E115" s="22" t="s">
        <v>67</v>
      </c>
      <c r="F115" s="223">
        <f t="shared" ref="F115:F124" si="27">SUM(G115:P115)</f>
        <v>1.9871902439798405E-4</v>
      </c>
      <c r="G115" s="98">
        <v>7.8815626877616721E-5</v>
      </c>
      <c r="H115" s="99">
        <v>9.5000000000000005E-5</v>
      </c>
      <c r="I115" s="15"/>
      <c r="J115" s="13"/>
      <c r="K115" s="100">
        <v>1.2357397520367332E-5</v>
      </c>
      <c r="L115" s="100"/>
      <c r="M115" s="100">
        <v>0</v>
      </c>
      <c r="N115" s="100">
        <v>1.2546000000000003E-5</v>
      </c>
      <c r="O115" s="100"/>
      <c r="P115" s="13"/>
      <c r="Q115" s="199">
        <f>'Parameters, country spec'!K22</f>
        <v>2.5654510704344589E-3</v>
      </c>
    </row>
    <row r="116" spans="1:17" x14ac:dyDescent="0.3">
      <c r="A116" s="21" t="s">
        <v>336</v>
      </c>
      <c r="B116" s="16" t="s">
        <v>175</v>
      </c>
      <c r="C116" s="16" t="s">
        <v>334</v>
      </c>
      <c r="D116" s="22" t="s">
        <v>66</v>
      </c>
      <c r="E116" s="22" t="s">
        <v>67</v>
      </c>
      <c r="F116" s="223">
        <f t="shared" si="27"/>
        <v>1.9956753055993292E-4</v>
      </c>
      <c r="G116" s="98">
        <v>7.134532609711123E-5</v>
      </c>
      <c r="H116" s="99">
        <v>9.5000000000000005E-5</v>
      </c>
      <c r="I116" s="15"/>
      <c r="J116" s="13"/>
      <c r="K116" s="100">
        <v>2.0676204462821701E-5</v>
      </c>
      <c r="L116" s="100"/>
      <c r="M116" s="100">
        <v>0</v>
      </c>
      <c r="N116" s="100">
        <v>1.2546000000000003E-5</v>
      </c>
      <c r="O116" s="100"/>
      <c r="P116" s="13"/>
      <c r="Q116" s="199">
        <f>'Parameters, country spec'!K23</f>
        <v>4.1303762233994797E-2</v>
      </c>
    </row>
    <row r="117" spans="1:17" x14ac:dyDescent="0.3">
      <c r="A117" s="21" t="s">
        <v>337</v>
      </c>
      <c r="B117" s="16" t="s">
        <v>176</v>
      </c>
      <c r="C117" s="16" t="s">
        <v>334</v>
      </c>
      <c r="D117" s="22" t="s">
        <v>66</v>
      </c>
      <c r="E117" s="22" t="s">
        <v>67</v>
      </c>
      <c r="F117" s="223">
        <f t="shared" si="27"/>
        <v>1.840193507270561E-4</v>
      </c>
      <c r="G117" s="98">
        <v>6.2842418816841267E-5</v>
      </c>
      <c r="H117" s="99">
        <v>9.5000000000000005E-5</v>
      </c>
      <c r="I117" s="13"/>
      <c r="J117" s="13"/>
      <c r="K117" s="100">
        <v>1.3630931910214812E-5</v>
      </c>
      <c r="L117" s="100"/>
      <c r="M117" s="100">
        <v>0</v>
      </c>
      <c r="N117" s="100">
        <v>1.2546000000000003E-5</v>
      </c>
      <c r="O117" s="100"/>
      <c r="P117" s="13"/>
      <c r="Q117" s="199">
        <f>'Parameters, country spec'!K24</f>
        <v>2.6167600918431479E-2</v>
      </c>
    </row>
    <row r="118" spans="1:17" x14ac:dyDescent="0.3">
      <c r="A118" s="21" t="s">
        <v>338</v>
      </c>
      <c r="B118" s="16" t="s">
        <v>177</v>
      </c>
      <c r="C118" s="16" t="s">
        <v>334</v>
      </c>
      <c r="D118" s="22" t="s">
        <v>66</v>
      </c>
      <c r="E118" s="22" t="s">
        <v>67</v>
      </c>
      <c r="F118" s="223">
        <f t="shared" si="27"/>
        <v>2.1322851393583626E-4</v>
      </c>
      <c r="G118" s="98">
        <v>9.2769916609057948E-5</v>
      </c>
      <c r="H118" s="99">
        <v>9.5000000000000005E-5</v>
      </c>
      <c r="I118" s="13"/>
      <c r="J118" s="13"/>
      <c r="K118" s="100">
        <v>1.291259732677831E-5</v>
      </c>
      <c r="L118" s="100"/>
      <c r="M118" s="100">
        <v>0</v>
      </c>
      <c r="N118" s="100">
        <v>1.2546000000000003E-5</v>
      </c>
      <c r="O118" s="100"/>
      <c r="P118" s="13"/>
      <c r="Q118" s="199">
        <f>'Parameters, country spec'!K25</f>
        <v>0.30682794802396129</v>
      </c>
    </row>
    <row r="119" spans="1:17" x14ac:dyDescent="0.3">
      <c r="A119" s="21" t="s">
        <v>339</v>
      </c>
      <c r="B119" s="16" t="s">
        <v>178</v>
      </c>
      <c r="C119" s="16" t="s">
        <v>340</v>
      </c>
      <c r="D119" s="22" t="s">
        <v>66</v>
      </c>
      <c r="E119" s="22" t="s">
        <v>67</v>
      </c>
      <c r="F119" s="223">
        <f t="shared" si="27"/>
        <v>1.3280125199673234E-4</v>
      </c>
      <c r="G119" s="98">
        <v>0</v>
      </c>
      <c r="H119" s="99">
        <v>9.5000000000000005E-5</v>
      </c>
      <c r="I119" s="15"/>
      <c r="J119" s="13"/>
      <c r="K119" s="100">
        <v>2.5255251996732317E-5</v>
      </c>
      <c r="L119" s="100"/>
      <c r="M119" s="100">
        <v>0</v>
      </c>
      <c r="N119" s="100">
        <v>1.2546000000000003E-5</v>
      </c>
      <c r="O119" s="100"/>
      <c r="P119" s="13"/>
      <c r="Q119" s="199">
        <f>'Parameters, country spec'!K26</f>
        <v>4.6178119267820264E-3</v>
      </c>
    </row>
    <row r="120" spans="1:17" x14ac:dyDescent="0.3">
      <c r="A120" s="21" t="s">
        <v>341</v>
      </c>
      <c r="B120" s="16" t="s">
        <v>179</v>
      </c>
      <c r="C120" s="16" t="s">
        <v>340</v>
      </c>
      <c r="D120" s="22" t="s">
        <v>66</v>
      </c>
      <c r="E120" s="22" t="s">
        <v>67</v>
      </c>
      <c r="F120" s="223">
        <f t="shared" si="27"/>
        <v>1.4931770127423491E-4</v>
      </c>
      <c r="G120" s="98">
        <v>3.9865279409015522E-6</v>
      </c>
      <c r="H120" s="99">
        <v>9.5000000000000005E-5</v>
      </c>
      <c r="I120" s="15"/>
      <c r="J120" s="13"/>
      <c r="K120" s="100">
        <v>3.7785173333333341E-5</v>
      </c>
      <c r="L120" s="100"/>
      <c r="M120" s="100">
        <v>0</v>
      </c>
      <c r="N120" s="100">
        <v>1.2546000000000003E-5</v>
      </c>
      <c r="O120" s="100"/>
      <c r="P120" s="13"/>
      <c r="Q120" s="199">
        <f>'Parameters, country spec'!K27</f>
        <v>5.3104837157993301E-2</v>
      </c>
    </row>
    <row r="121" spans="1:17" x14ac:dyDescent="0.3">
      <c r="B121" s="17" t="s">
        <v>180</v>
      </c>
      <c r="C121" s="16" t="s">
        <v>342</v>
      </c>
      <c r="D121" s="22" t="s">
        <v>66</v>
      </c>
      <c r="E121" s="22" t="s">
        <v>67</v>
      </c>
      <c r="F121" s="224">
        <f t="shared" si="27"/>
        <v>8.8724332534062934E-5</v>
      </c>
      <c r="G121" s="33">
        <f>'Processed feed'!$F$36</f>
        <v>1.2478043251867624E-8</v>
      </c>
      <c r="H121" s="33">
        <f>'Processed feed'!$G$36</f>
        <v>1.2778001234202703E-8</v>
      </c>
      <c r="I121" s="33">
        <f>'Processed feed'!$H$36</f>
        <v>0</v>
      </c>
      <c r="J121" s="33">
        <f>'Processed feed'!$I$36</f>
        <v>0</v>
      </c>
      <c r="K121" s="33">
        <f>'Processed feed'!$J$36</f>
        <v>1.7368124692456396E-9</v>
      </c>
      <c r="L121" s="33">
        <f>'Processed feed'!$K$36</f>
        <v>0</v>
      </c>
      <c r="M121" s="33">
        <f>'Processed feed'!$L$36</f>
        <v>0</v>
      </c>
      <c r="N121" s="33">
        <f>'Processed feed'!$M$36</f>
        <v>1.6875031945716541E-9</v>
      </c>
      <c r="O121" s="33">
        <f>'Processed feed'!$N$36</f>
        <v>0</v>
      </c>
      <c r="P121" s="33">
        <f>'Processed feed'!$O$36</f>
        <v>8.8695652173913049E-5</v>
      </c>
      <c r="Q121" s="199">
        <f>'Parameters, country spec'!K28</f>
        <v>2.7193781346605266E-2</v>
      </c>
    </row>
    <row r="122" spans="1:17" x14ac:dyDescent="0.3">
      <c r="B122" s="17" t="s">
        <v>343</v>
      </c>
      <c r="C122" s="16" t="s">
        <v>342</v>
      </c>
      <c r="D122" s="22" t="s">
        <v>66</v>
      </c>
      <c r="E122" s="22" t="s">
        <v>67</v>
      </c>
      <c r="F122" s="224">
        <f t="shared" si="27"/>
        <v>2.1138030954055875E-2</v>
      </c>
      <c r="G122" s="33">
        <f>'Processed feed'!$F$41</f>
        <v>0</v>
      </c>
      <c r="H122" s="33">
        <f>'Processed feed'!$G$41</f>
        <v>9.8741091956202427E-5</v>
      </c>
      <c r="I122" s="33">
        <f>'Processed feed'!$H$41</f>
        <v>0</v>
      </c>
      <c r="J122" s="33">
        <f>'Processed feed'!$I$41</f>
        <v>0</v>
      </c>
      <c r="K122" s="33">
        <f>'Processed feed'!$J$41</f>
        <v>2.6249801681962218E-5</v>
      </c>
      <c r="L122" s="33">
        <f>'Processed feed'!$K$41</f>
        <v>0</v>
      </c>
      <c r="M122" s="33">
        <f>'Processed feed'!$L$41</f>
        <v>0</v>
      </c>
      <c r="N122" s="33">
        <f>'Processed feed'!$M$41</f>
        <v>1.3040060417710694E-5</v>
      </c>
      <c r="O122" s="33">
        <f>'Processed feed'!$N$41</f>
        <v>0</v>
      </c>
      <c r="P122" s="33">
        <f>'Processed feed'!$O$41</f>
        <v>2.0999999999999998E-2</v>
      </c>
      <c r="Q122" s="199">
        <f>'Parameters, country spec'!K29</f>
        <v>3.5916314986082429E-2</v>
      </c>
    </row>
    <row r="123" spans="1:17" x14ac:dyDescent="0.3">
      <c r="B123" s="16" t="s">
        <v>182</v>
      </c>
      <c r="C123" s="16" t="s">
        <v>344</v>
      </c>
      <c r="D123" s="22" t="s">
        <v>66</v>
      </c>
      <c r="E123" s="22" t="s">
        <v>67</v>
      </c>
      <c r="F123" s="224"/>
      <c r="G123" s="13"/>
      <c r="H123" s="13"/>
      <c r="I123" s="13"/>
      <c r="J123" s="13"/>
      <c r="K123" s="13"/>
      <c r="L123" s="13"/>
      <c r="M123" s="13"/>
      <c r="N123" s="13"/>
      <c r="O123" s="13"/>
      <c r="P123" s="13"/>
      <c r="Q123" s="199">
        <f>'Parameters, country spec'!K30</f>
        <v>0.13313408330019627</v>
      </c>
    </row>
    <row r="124" spans="1:17" x14ac:dyDescent="0.3">
      <c r="A124" s="82"/>
      <c r="B124" s="16" t="s">
        <v>345</v>
      </c>
      <c r="C124" s="83" t="s">
        <v>346</v>
      </c>
      <c r="D124" s="22" t="s">
        <v>66</v>
      </c>
      <c r="E124" s="22" t="s">
        <v>67</v>
      </c>
      <c r="F124" s="224">
        <f t="shared" si="27"/>
        <v>1.5802961750240599E-4</v>
      </c>
      <c r="G124" s="81">
        <f t="shared" ref="G124:N124" si="28">AVERAGE(G114:G122)</f>
        <v>4.3411442884432146E-5</v>
      </c>
      <c r="H124" s="81">
        <f t="shared" si="28"/>
        <v>8.4861541106381856E-5</v>
      </c>
      <c r="I124" s="81">
        <f t="shared" si="28"/>
        <v>0</v>
      </c>
      <c r="J124" s="81">
        <f t="shared" si="28"/>
        <v>0</v>
      </c>
      <c r="K124" s="81">
        <f t="shared" si="28"/>
        <v>1.8549550409269192E-5</v>
      </c>
      <c r="L124" s="81">
        <f t="shared" si="28"/>
        <v>0</v>
      </c>
      <c r="M124" s="81">
        <f t="shared" si="28"/>
        <v>0</v>
      </c>
      <c r="N124" s="81">
        <f t="shared" si="28"/>
        <v>1.1207083102322808E-5</v>
      </c>
      <c r="O124" s="81"/>
      <c r="P124" s="81"/>
      <c r="Q124" s="199">
        <f>'Parameters, country spec'!K31</f>
        <v>0.1236547415949409</v>
      </c>
    </row>
    <row r="125" spans="1:17" x14ac:dyDescent="0.3">
      <c r="A125" s="42"/>
      <c r="B125" s="43" t="s">
        <v>347</v>
      </c>
      <c r="C125" s="44"/>
      <c r="D125" s="45"/>
      <c r="E125" s="45"/>
      <c r="F125" s="46">
        <f>SUMPRODUCT(F114:F124,$Q$114:$Q$124)</f>
        <v>9.1940100868726025E-4</v>
      </c>
      <c r="G125" s="46">
        <f t="shared" ref="G125:P125" si="29">SUMPRODUCT(G114:G124,$Q$114:$Q$124)</f>
        <v>5.8707531399373735E-5</v>
      </c>
      <c r="H125" s="46">
        <f t="shared" si="29"/>
        <v>7.8649898063155036E-5</v>
      </c>
      <c r="I125" s="46">
        <f t="shared" si="29"/>
        <v>0</v>
      </c>
      <c r="J125" s="46">
        <f t="shared" si="29"/>
        <v>0</v>
      </c>
      <c r="K125" s="46">
        <f t="shared" si="29"/>
        <v>1.5002240439069153E-5</v>
      </c>
      <c r="L125" s="46">
        <f t="shared" si="29"/>
        <v>0</v>
      </c>
      <c r="M125" s="46">
        <f t="shared" si="29"/>
        <v>0</v>
      </c>
      <c r="N125" s="46">
        <f t="shared" si="29"/>
        <v>1.0386753906319406E-5</v>
      </c>
      <c r="O125" s="46">
        <f t="shared" si="29"/>
        <v>0</v>
      </c>
      <c r="P125" s="46">
        <f t="shared" si="29"/>
        <v>7.5665458487934282E-4</v>
      </c>
      <c r="Q125" s="200"/>
    </row>
    <row r="126" spans="1:17" x14ac:dyDescent="0.3">
      <c r="A126" s="201" t="s">
        <v>333</v>
      </c>
      <c r="B126" s="179" t="s">
        <v>172</v>
      </c>
      <c r="C126" s="179" t="s">
        <v>334</v>
      </c>
      <c r="D126" s="202" t="s">
        <v>68</v>
      </c>
      <c r="E126" s="202" t="s">
        <v>69</v>
      </c>
      <c r="F126" s="225">
        <f>SUM(G126:P126)</f>
        <v>2.0655355021385218E-4</v>
      </c>
      <c r="G126" s="203">
        <v>8.0930691575108743E-5</v>
      </c>
      <c r="H126" s="204">
        <v>9.5000000000000005E-5</v>
      </c>
      <c r="I126" s="205"/>
      <c r="J126" s="206"/>
      <c r="K126" s="207">
        <v>1.8076858638743458E-5</v>
      </c>
      <c r="L126" s="207"/>
      <c r="M126" s="207">
        <v>0</v>
      </c>
      <c r="N126" s="207">
        <v>1.2546000000000003E-5</v>
      </c>
      <c r="O126" s="207"/>
      <c r="P126" s="206"/>
      <c r="Q126" s="210">
        <f>'Parameters, country spec'!L21</f>
        <v>0.24551366744057773</v>
      </c>
    </row>
    <row r="127" spans="1:17" x14ac:dyDescent="0.3">
      <c r="A127" s="21" t="s">
        <v>335</v>
      </c>
      <c r="B127" s="16" t="s">
        <v>174</v>
      </c>
      <c r="C127" s="16" t="s">
        <v>334</v>
      </c>
      <c r="D127" s="22" t="s">
        <v>68</v>
      </c>
      <c r="E127" s="22" t="s">
        <v>69</v>
      </c>
      <c r="F127" s="223">
        <f t="shared" ref="F127:F136" si="30">SUM(G127:P127)</f>
        <v>1.9871902439798405E-4</v>
      </c>
      <c r="G127" s="98">
        <v>7.8815626877616721E-5</v>
      </c>
      <c r="H127" s="99">
        <v>9.5000000000000005E-5</v>
      </c>
      <c r="I127" s="15"/>
      <c r="J127" s="13"/>
      <c r="K127" s="100">
        <v>1.2357397520367332E-5</v>
      </c>
      <c r="L127" s="100"/>
      <c r="M127" s="100">
        <v>0</v>
      </c>
      <c r="N127" s="100">
        <v>1.2546000000000003E-5</v>
      </c>
      <c r="O127" s="100"/>
      <c r="P127" s="13"/>
      <c r="Q127" s="199">
        <f>'Parameters, country spec'!L22</f>
        <v>2.5654510704344589E-3</v>
      </c>
    </row>
    <row r="128" spans="1:17" x14ac:dyDescent="0.3">
      <c r="A128" s="21" t="s">
        <v>336</v>
      </c>
      <c r="B128" s="16" t="s">
        <v>175</v>
      </c>
      <c r="C128" s="16" t="s">
        <v>334</v>
      </c>
      <c r="D128" s="22" t="s">
        <v>68</v>
      </c>
      <c r="E128" s="22" t="s">
        <v>69</v>
      </c>
      <c r="F128" s="223">
        <f t="shared" si="30"/>
        <v>1.9956753055993292E-4</v>
      </c>
      <c r="G128" s="98">
        <v>7.134532609711123E-5</v>
      </c>
      <c r="H128" s="99">
        <v>9.5000000000000005E-5</v>
      </c>
      <c r="I128" s="15"/>
      <c r="J128" s="13"/>
      <c r="K128" s="100">
        <v>2.0676204462821701E-5</v>
      </c>
      <c r="L128" s="100"/>
      <c r="M128" s="100">
        <v>0</v>
      </c>
      <c r="N128" s="100">
        <v>1.2546000000000003E-5</v>
      </c>
      <c r="O128" s="100"/>
      <c r="P128" s="13"/>
      <c r="Q128" s="199">
        <f>'Parameters, country spec'!L23</f>
        <v>4.1303762233994797E-2</v>
      </c>
    </row>
    <row r="129" spans="1:17" x14ac:dyDescent="0.3">
      <c r="A129" s="21" t="s">
        <v>337</v>
      </c>
      <c r="B129" s="16" t="s">
        <v>176</v>
      </c>
      <c r="C129" s="16" t="s">
        <v>334</v>
      </c>
      <c r="D129" s="22" t="s">
        <v>68</v>
      </c>
      <c r="E129" s="22" t="s">
        <v>69</v>
      </c>
      <c r="F129" s="223">
        <f t="shared" si="30"/>
        <v>1.840193507270561E-4</v>
      </c>
      <c r="G129" s="98">
        <v>6.2842418816841267E-5</v>
      </c>
      <c r="H129" s="99">
        <v>9.5000000000000005E-5</v>
      </c>
      <c r="I129" s="13"/>
      <c r="J129" s="13"/>
      <c r="K129" s="100">
        <v>1.3630931910214812E-5</v>
      </c>
      <c r="L129" s="100"/>
      <c r="M129" s="100">
        <v>0</v>
      </c>
      <c r="N129" s="100">
        <v>1.2546000000000003E-5</v>
      </c>
      <c r="O129" s="100"/>
      <c r="P129" s="13"/>
      <c r="Q129" s="199">
        <f>'Parameters, country spec'!L24</f>
        <v>2.6167600918431479E-2</v>
      </c>
    </row>
    <row r="130" spans="1:17" x14ac:dyDescent="0.3">
      <c r="A130" s="21" t="s">
        <v>338</v>
      </c>
      <c r="B130" s="16" t="s">
        <v>177</v>
      </c>
      <c r="C130" s="16" t="s">
        <v>334</v>
      </c>
      <c r="D130" s="22" t="s">
        <v>68</v>
      </c>
      <c r="E130" s="22" t="s">
        <v>69</v>
      </c>
      <c r="F130" s="223">
        <f t="shared" si="30"/>
        <v>2.1322851393583626E-4</v>
      </c>
      <c r="G130" s="98">
        <v>9.2769916609057948E-5</v>
      </c>
      <c r="H130" s="99">
        <v>9.5000000000000005E-5</v>
      </c>
      <c r="I130" s="13"/>
      <c r="J130" s="13"/>
      <c r="K130" s="100">
        <v>1.291259732677831E-5</v>
      </c>
      <c r="L130" s="100"/>
      <c r="M130" s="100">
        <v>0</v>
      </c>
      <c r="N130" s="100">
        <v>1.2546000000000003E-5</v>
      </c>
      <c r="O130" s="100"/>
      <c r="P130" s="13"/>
      <c r="Q130" s="199">
        <f>'Parameters, country spec'!L25</f>
        <v>0.30682794802396129</v>
      </c>
    </row>
    <row r="131" spans="1:17" x14ac:dyDescent="0.3">
      <c r="A131" s="21" t="s">
        <v>339</v>
      </c>
      <c r="B131" s="16" t="s">
        <v>178</v>
      </c>
      <c r="C131" s="16" t="s">
        <v>340</v>
      </c>
      <c r="D131" s="22" t="s">
        <v>68</v>
      </c>
      <c r="E131" s="22" t="s">
        <v>69</v>
      </c>
      <c r="F131" s="223">
        <f t="shared" si="30"/>
        <v>1.3280125199673234E-4</v>
      </c>
      <c r="G131" s="98">
        <v>0</v>
      </c>
      <c r="H131" s="99">
        <v>9.5000000000000005E-5</v>
      </c>
      <c r="I131" s="15"/>
      <c r="J131" s="13"/>
      <c r="K131" s="100">
        <v>2.5255251996732317E-5</v>
      </c>
      <c r="L131" s="100"/>
      <c r="M131" s="100">
        <v>0</v>
      </c>
      <c r="N131" s="100">
        <v>1.2546000000000003E-5</v>
      </c>
      <c r="O131" s="100"/>
      <c r="P131" s="13"/>
      <c r="Q131" s="199">
        <f>'Parameters, country spec'!L26</f>
        <v>4.6178119267820264E-3</v>
      </c>
    </row>
    <row r="132" spans="1:17" x14ac:dyDescent="0.3">
      <c r="A132" s="21" t="s">
        <v>341</v>
      </c>
      <c r="B132" s="16" t="s">
        <v>179</v>
      </c>
      <c r="C132" s="16" t="s">
        <v>340</v>
      </c>
      <c r="D132" s="22" t="s">
        <v>68</v>
      </c>
      <c r="E132" s="22" t="s">
        <v>69</v>
      </c>
      <c r="F132" s="223">
        <f t="shared" si="30"/>
        <v>1.4931770127423491E-4</v>
      </c>
      <c r="G132" s="98">
        <v>3.9865279409015522E-6</v>
      </c>
      <c r="H132" s="99">
        <v>9.5000000000000005E-5</v>
      </c>
      <c r="I132" s="15"/>
      <c r="J132" s="13"/>
      <c r="K132" s="100">
        <v>3.7785173333333341E-5</v>
      </c>
      <c r="L132" s="100"/>
      <c r="M132" s="100">
        <v>0</v>
      </c>
      <c r="N132" s="100">
        <v>1.2546000000000003E-5</v>
      </c>
      <c r="O132" s="100"/>
      <c r="P132" s="13"/>
      <c r="Q132" s="199">
        <f>'Parameters, country spec'!L27</f>
        <v>5.3104837157993301E-2</v>
      </c>
    </row>
    <row r="133" spans="1:17" x14ac:dyDescent="0.3">
      <c r="B133" s="17" t="s">
        <v>180</v>
      </c>
      <c r="C133" s="16" t="s">
        <v>342</v>
      </c>
      <c r="D133" s="22" t="s">
        <v>68</v>
      </c>
      <c r="E133" s="22" t="s">
        <v>69</v>
      </c>
      <c r="F133" s="224">
        <f t="shared" si="30"/>
        <v>8.8724332534062934E-5</v>
      </c>
      <c r="G133" s="33">
        <f>'Processed feed'!$F$36</f>
        <v>1.2478043251867624E-8</v>
      </c>
      <c r="H133" s="33">
        <f>'Processed feed'!$G$36</f>
        <v>1.2778001234202703E-8</v>
      </c>
      <c r="I133" s="33">
        <f>'Processed feed'!$H$36</f>
        <v>0</v>
      </c>
      <c r="J133" s="33">
        <f>'Processed feed'!$I$36</f>
        <v>0</v>
      </c>
      <c r="K133" s="33">
        <f>'Processed feed'!$J$36</f>
        <v>1.7368124692456396E-9</v>
      </c>
      <c r="L133" s="33">
        <f>'Processed feed'!$K$36</f>
        <v>0</v>
      </c>
      <c r="M133" s="33">
        <f>'Processed feed'!$L$36</f>
        <v>0</v>
      </c>
      <c r="N133" s="33">
        <f>'Processed feed'!$M$36</f>
        <v>1.6875031945716541E-9</v>
      </c>
      <c r="O133" s="33">
        <f>'Processed feed'!$N$36</f>
        <v>0</v>
      </c>
      <c r="P133" s="33">
        <f>'Processed feed'!$O$36</f>
        <v>8.8695652173913049E-5</v>
      </c>
      <c r="Q133" s="199">
        <f>'Parameters, country spec'!L28</f>
        <v>2.7193781346605266E-2</v>
      </c>
    </row>
    <row r="134" spans="1:17" x14ac:dyDescent="0.3">
      <c r="B134" s="17" t="s">
        <v>343</v>
      </c>
      <c r="C134" s="16" t="s">
        <v>342</v>
      </c>
      <c r="D134" s="22" t="s">
        <v>68</v>
      </c>
      <c r="E134" s="22" t="s">
        <v>69</v>
      </c>
      <c r="F134" s="224">
        <f t="shared" si="30"/>
        <v>2.1138030954055875E-2</v>
      </c>
      <c r="G134" s="33">
        <f>'Processed feed'!$F$41</f>
        <v>0</v>
      </c>
      <c r="H134" s="33">
        <f>'Processed feed'!$G$41</f>
        <v>9.8741091956202427E-5</v>
      </c>
      <c r="I134" s="33">
        <f>'Processed feed'!$H$41</f>
        <v>0</v>
      </c>
      <c r="J134" s="33">
        <f>'Processed feed'!$I$41</f>
        <v>0</v>
      </c>
      <c r="K134" s="33">
        <f>'Processed feed'!$J$41</f>
        <v>2.6249801681962218E-5</v>
      </c>
      <c r="L134" s="33">
        <f>'Processed feed'!$K$41</f>
        <v>0</v>
      </c>
      <c r="M134" s="33">
        <f>'Processed feed'!$L$41</f>
        <v>0</v>
      </c>
      <c r="N134" s="33">
        <f>'Processed feed'!$M$41</f>
        <v>1.3040060417710694E-5</v>
      </c>
      <c r="O134" s="33">
        <f>'Processed feed'!$N$41</f>
        <v>0</v>
      </c>
      <c r="P134" s="33">
        <f>'Processed feed'!$O$41</f>
        <v>2.0999999999999998E-2</v>
      </c>
      <c r="Q134" s="199">
        <f>'Parameters, country spec'!L29</f>
        <v>3.5916314986082429E-2</v>
      </c>
    </row>
    <row r="135" spans="1:17" x14ac:dyDescent="0.3">
      <c r="B135" s="16" t="s">
        <v>182</v>
      </c>
      <c r="C135" s="16" t="s">
        <v>344</v>
      </c>
      <c r="D135" s="22" t="s">
        <v>68</v>
      </c>
      <c r="E135" s="22" t="s">
        <v>69</v>
      </c>
      <c r="F135" s="224"/>
      <c r="G135" s="13"/>
      <c r="H135" s="13"/>
      <c r="I135" s="13"/>
      <c r="J135" s="13"/>
      <c r="K135" s="13"/>
      <c r="L135" s="13"/>
      <c r="M135" s="13"/>
      <c r="N135" s="13"/>
      <c r="O135" s="13"/>
      <c r="P135" s="13"/>
      <c r="Q135" s="199">
        <f>'Parameters, country spec'!L30</f>
        <v>0.13313408330019627</v>
      </c>
    </row>
    <row r="136" spans="1:17" x14ac:dyDescent="0.3">
      <c r="A136" s="82"/>
      <c r="B136" s="16" t="s">
        <v>345</v>
      </c>
      <c r="C136" s="83" t="s">
        <v>346</v>
      </c>
      <c r="D136" s="22" t="s">
        <v>68</v>
      </c>
      <c r="E136" s="22" t="s">
        <v>69</v>
      </c>
      <c r="F136" s="224">
        <f t="shared" si="30"/>
        <v>1.5802961750240599E-4</v>
      </c>
      <c r="G136" s="81">
        <f t="shared" ref="G136:N136" si="31">AVERAGE(G126:G134)</f>
        <v>4.3411442884432146E-5</v>
      </c>
      <c r="H136" s="81">
        <f t="shared" si="31"/>
        <v>8.4861541106381856E-5</v>
      </c>
      <c r="I136" s="81">
        <f t="shared" si="31"/>
        <v>0</v>
      </c>
      <c r="J136" s="81">
        <f t="shared" si="31"/>
        <v>0</v>
      </c>
      <c r="K136" s="81">
        <f t="shared" si="31"/>
        <v>1.8549550409269192E-5</v>
      </c>
      <c r="L136" s="81">
        <f t="shared" si="31"/>
        <v>0</v>
      </c>
      <c r="M136" s="81">
        <f t="shared" si="31"/>
        <v>0</v>
      </c>
      <c r="N136" s="81">
        <f t="shared" si="31"/>
        <v>1.1207083102322808E-5</v>
      </c>
      <c r="O136" s="81"/>
      <c r="P136" s="81"/>
      <c r="Q136" s="199">
        <f>'Parameters, country spec'!L31</f>
        <v>0.1236547415949409</v>
      </c>
    </row>
    <row r="137" spans="1:17" x14ac:dyDescent="0.3">
      <c r="A137" s="198"/>
      <c r="B137" s="24" t="s">
        <v>347</v>
      </c>
      <c r="C137" s="25"/>
      <c r="D137" s="101"/>
      <c r="E137" s="101"/>
      <c r="F137" s="29">
        <f>SUMPRODUCT(F126:F136,$Q$126:$Q$136)</f>
        <v>9.1940100868726025E-4</v>
      </c>
      <c r="G137" s="29">
        <f t="shared" ref="G137:P137" si="32">SUMPRODUCT(G126:G136,$Q$126:$Q$136)</f>
        <v>5.8707531399373735E-5</v>
      </c>
      <c r="H137" s="29">
        <f t="shared" si="32"/>
        <v>7.8649898063155036E-5</v>
      </c>
      <c r="I137" s="29">
        <f t="shared" si="32"/>
        <v>0</v>
      </c>
      <c r="J137" s="29">
        <f t="shared" si="32"/>
        <v>0</v>
      </c>
      <c r="K137" s="29">
        <f t="shared" si="32"/>
        <v>1.5002240439069153E-5</v>
      </c>
      <c r="L137" s="29">
        <f t="shared" si="32"/>
        <v>0</v>
      </c>
      <c r="M137" s="29">
        <f t="shared" si="32"/>
        <v>0</v>
      </c>
      <c r="N137" s="29">
        <f t="shared" si="32"/>
        <v>1.0386753906319406E-5</v>
      </c>
      <c r="O137" s="29">
        <f t="shared" si="32"/>
        <v>0</v>
      </c>
      <c r="P137" s="29">
        <f t="shared" si="32"/>
        <v>7.5665458487934282E-4</v>
      </c>
      <c r="Q137" s="20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4" tint="0.79998168889431442"/>
  </sheetPr>
  <dimension ref="A2:Q137"/>
  <sheetViews>
    <sheetView topLeftCell="A69" zoomScale="80" zoomScaleNormal="80" workbookViewId="0">
      <selection activeCell="R93" sqref="R93"/>
    </sheetView>
  </sheetViews>
  <sheetFormatPr defaultRowHeight="14.4" x14ac:dyDescent="0.3"/>
  <cols>
    <col min="1" max="1" width="8.6640625" customWidth="1"/>
    <col min="2" max="2" width="30.44140625" customWidth="1"/>
    <col min="3" max="3" width="19" customWidth="1"/>
    <col min="4" max="4" width="12.88671875" customWidth="1"/>
    <col min="5" max="10" width="12.6640625" customWidth="1"/>
    <col min="11" max="11" width="14.5546875" customWidth="1"/>
    <col min="12" max="12" width="15" customWidth="1"/>
    <col min="13" max="16" width="12.6640625" customWidth="1"/>
  </cols>
  <sheetData>
    <row r="2" spans="1:17" ht="21" x14ac:dyDescent="0.4">
      <c r="A2" s="2" t="s">
        <v>349</v>
      </c>
      <c r="F2" t="s">
        <v>324</v>
      </c>
      <c r="O2" t="s">
        <v>325</v>
      </c>
    </row>
    <row r="3" spans="1:17" x14ac:dyDescent="0.3">
      <c r="H3" s="8"/>
      <c r="I3" s="8"/>
      <c r="J3" s="8"/>
      <c r="K3" s="8"/>
      <c r="L3" s="8"/>
      <c r="M3" s="8"/>
      <c r="N3" s="8"/>
    </row>
    <row r="4" spans="1:17" ht="28.8" x14ac:dyDescent="0.3">
      <c r="A4" s="208" t="s">
        <v>326</v>
      </c>
      <c r="B4" s="191"/>
      <c r="C4" s="191"/>
      <c r="D4" s="191"/>
      <c r="E4" s="191"/>
      <c r="F4" s="192" t="s">
        <v>81</v>
      </c>
      <c r="G4" s="192" t="s">
        <v>82</v>
      </c>
      <c r="H4" s="193"/>
      <c r="I4" s="192" t="s">
        <v>83</v>
      </c>
      <c r="J4" s="102"/>
      <c r="K4" s="192" t="s">
        <v>84</v>
      </c>
      <c r="L4" s="102"/>
      <c r="M4" s="102"/>
      <c r="N4" s="102"/>
      <c r="O4" s="103" t="s">
        <v>85</v>
      </c>
      <c r="P4" s="194" t="s">
        <v>86</v>
      </c>
      <c r="Q4" s="192" t="s">
        <v>327</v>
      </c>
    </row>
    <row r="5" spans="1:17" ht="55.5" customHeight="1" x14ac:dyDescent="0.3">
      <c r="A5" s="96" t="s">
        <v>27</v>
      </c>
      <c r="B5" s="96" t="s">
        <v>326</v>
      </c>
      <c r="C5" s="96" t="s">
        <v>328</v>
      </c>
      <c r="D5" s="96" t="s">
        <v>30</v>
      </c>
      <c r="E5" s="196" t="s">
        <v>31</v>
      </c>
      <c r="F5" s="195"/>
      <c r="G5" s="97" t="s">
        <v>329</v>
      </c>
      <c r="H5" s="97" t="s">
        <v>93</v>
      </c>
      <c r="I5" s="97" t="s">
        <v>330</v>
      </c>
      <c r="J5" s="97" t="s">
        <v>331</v>
      </c>
      <c r="K5" s="97" t="s">
        <v>96</v>
      </c>
      <c r="L5" s="97" t="s">
        <v>97</v>
      </c>
      <c r="M5" s="97" t="s">
        <v>98</v>
      </c>
      <c r="N5" s="97" t="s">
        <v>99</v>
      </c>
      <c r="O5" s="97" t="s">
        <v>100</v>
      </c>
      <c r="P5" s="196" t="s">
        <v>332</v>
      </c>
      <c r="Q5" s="97"/>
    </row>
    <row r="6" spans="1:17" x14ac:dyDescent="0.3">
      <c r="A6" s="201" t="s">
        <v>333</v>
      </c>
      <c r="B6" s="179" t="s">
        <v>172</v>
      </c>
      <c r="C6" s="179" t="s">
        <v>334</v>
      </c>
      <c r="D6" s="202" t="s">
        <v>113</v>
      </c>
      <c r="E6" s="202" t="s">
        <v>49</v>
      </c>
      <c r="F6" s="225">
        <f>SUM(G6:P6)</f>
        <v>8.3700497241450582E-4</v>
      </c>
      <c r="G6" s="203">
        <v>1.3527187113652022E-4</v>
      </c>
      <c r="H6" s="204">
        <v>1.1000000000000001E-6</v>
      </c>
      <c r="I6" s="207">
        <v>6.348790825230616E-4</v>
      </c>
      <c r="J6" s="207">
        <v>6.3487908252306166E-5</v>
      </c>
      <c r="K6" s="207">
        <v>1.0965445026178011E-6</v>
      </c>
      <c r="L6" s="207"/>
      <c r="M6" s="207">
        <v>0</v>
      </c>
      <c r="N6" s="207">
        <v>1.1695660000000001E-6</v>
      </c>
      <c r="O6" s="207"/>
      <c r="P6" s="206"/>
      <c r="Q6" s="210">
        <f>'Parameters, country spec'!B21</f>
        <v>0.24551366744057773</v>
      </c>
    </row>
    <row r="7" spans="1:17" x14ac:dyDescent="0.3">
      <c r="A7" s="21" t="s">
        <v>335</v>
      </c>
      <c r="B7" s="16" t="s">
        <v>174</v>
      </c>
      <c r="C7" s="16" t="s">
        <v>334</v>
      </c>
      <c r="D7" s="22" t="s">
        <v>113</v>
      </c>
      <c r="E7" s="22" t="s">
        <v>49</v>
      </c>
      <c r="F7" s="223">
        <f t="shared" ref="F7:F16" si="0">SUM(G7:P7)</f>
        <v>7.7064277808378814E-4</v>
      </c>
      <c r="G7" s="98">
        <v>1.3173663927780048E-4</v>
      </c>
      <c r="H7" s="99">
        <v>1.1000000000000001E-6</v>
      </c>
      <c r="I7" s="100">
        <v>5.7807906502645948E-4</v>
      </c>
      <c r="J7" s="100">
        <v>5.7807906502645948E-5</v>
      </c>
      <c r="K7" s="100">
        <v>7.4960127688222882E-7</v>
      </c>
      <c r="L7" s="100"/>
      <c r="M7" s="100">
        <v>0</v>
      </c>
      <c r="N7" s="100">
        <v>1.1695660000000001E-6</v>
      </c>
      <c r="O7" s="100"/>
      <c r="P7" s="13"/>
      <c r="Q7" s="199">
        <f>'Parameters, country spec'!B22</f>
        <v>2.5654510704344589E-3</v>
      </c>
    </row>
    <row r="8" spans="1:17" x14ac:dyDescent="0.3">
      <c r="A8" s="21" t="s">
        <v>336</v>
      </c>
      <c r="B8" s="16" t="s">
        <v>175</v>
      </c>
      <c r="C8" s="16" t="s">
        <v>334</v>
      </c>
      <c r="D8" s="22" t="s">
        <v>113</v>
      </c>
      <c r="E8" s="22" t="s">
        <v>49</v>
      </c>
      <c r="F8" s="223">
        <f t="shared" si="0"/>
        <v>7.4080189535590966E-4</v>
      </c>
      <c r="G8" s="98">
        <v>1.1925038042019814E-4</v>
      </c>
      <c r="H8" s="99">
        <v>1.1000000000000001E-6</v>
      </c>
      <c r="I8" s="100">
        <v>5.6184338890070615E-4</v>
      </c>
      <c r="J8" s="100">
        <v>5.6184338890070617E-5</v>
      </c>
      <c r="K8" s="100">
        <v>1.2542211449347684E-6</v>
      </c>
      <c r="L8" s="100"/>
      <c r="M8" s="100">
        <v>0</v>
      </c>
      <c r="N8" s="100">
        <v>1.1695660000000001E-6</v>
      </c>
      <c r="O8" s="100"/>
      <c r="P8" s="13"/>
      <c r="Q8" s="199">
        <f>'Parameters, country spec'!B23</f>
        <v>4.1303762233994797E-2</v>
      </c>
    </row>
    <row r="9" spans="1:17" x14ac:dyDescent="0.3">
      <c r="A9" s="21" t="s">
        <v>337</v>
      </c>
      <c r="B9" s="16" t="s">
        <v>176</v>
      </c>
      <c r="C9" s="16" t="s">
        <v>334</v>
      </c>
      <c r="D9" s="22" t="s">
        <v>113</v>
      </c>
      <c r="E9" s="22" t="s">
        <v>49</v>
      </c>
      <c r="F9" s="223">
        <f t="shared" si="0"/>
        <v>6.6289501004433845E-4</v>
      </c>
      <c r="G9" s="98">
        <v>1.0503816802565812E-4</v>
      </c>
      <c r="H9" s="99">
        <v>1.1000000000000001E-6</v>
      </c>
      <c r="I9" s="100">
        <v>5.0432765635150922E-4</v>
      </c>
      <c r="J9" s="100">
        <v>5.0432765635150922E-5</v>
      </c>
      <c r="K9" s="100">
        <v>8.2685403202016689E-7</v>
      </c>
      <c r="L9" s="100"/>
      <c r="M9" s="100">
        <v>0</v>
      </c>
      <c r="N9" s="100">
        <v>1.1695660000000001E-6</v>
      </c>
      <c r="O9" s="100"/>
      <c r="P9" s="13"/>
      <c r="Q9" s="199">
        <f>'Parameters, country spec'!B24</f>
        <v>2.6167600918431479E-2</v>
      </c>
    </row>
    <row r="10" spans="1:17" x14ac:dyDescent="0.3">
      <c r="A10" s="21" t="s">
        <v>338</v>
      </c>
      <c r="B10" s="16" t="s">
        <v>177</v>
      </c>
      <c r="C10" s="16" t="s">
        <v>334</v>
      </c>
      <c r="D10" s="22" t="s">
        <v>113</v>
      </c>
      <c r="E10" s="22" t="s">
        <v>49</v>
      </c>
      <c r="F10" s="223">
        <f t="shared" si="0"/>
        <v>9.1657094895803305E-4</v>
      </c>
      <c r="G10" s="98">
        <v>1.5506058283512638E-4</v>
      </c>
      <c r="H10" s="99">
        <v>1.1000000000000001E-6</v>
      </c>
      <c r="I10" s="100">
        <v>6.8950683668766316E-4</v>
      </c>
      <c r="J10" s="100">
        <v>6.8950683668766316E-5</v>
      </c>
      <c r="K10" s="100">
        <v>7.832797664771855E-7</v>
      </c>
      <c r="L10" s="100"/>
      <c r="M10" s="100">
        <v>0</v>
      </c>
      <c r="N10" s="100">
        <v>1.1695660000000001E-6</v>
      </c>
      <c r="O10" s="100"/>
      <c r="P10" s="13"/>
      <c r="Q10" s="199">
        <f>'Parameters, country spec'!B25</f>
        <v>0.30682794802396129</v>
      </c>
    </row>
    <row r="11" spans="1:17" x14ac:dyDescent="0.3">
      <c r="A11" s="21" t="s">
        <v>339</v>
      </c>
      <c r="B11" s="16" t="s">
        <v>178</v>
      </c>
      <c r="C11" s="16" t="s">
        <v>340</v>
      </c>
      <c r="D11" s="22" t="s">
        <v>113</v>
      </c>
      <c r="E11" s="22" t="s">
        <v>49</v>
      </c>
      <c r="F11" s="223">
        <f t="shared" si="0"/>
        <v>2.0683180874021213E-4</v>
      </c>
      <c r="G11" s="98">
        <v>0</v>
      </c>
      <c r="H11" s="99">
        <v>1.1000000000000001E-6</v>
      </c>
      <c r="I11" s="100">
        <v>1.8457296000000002E-4</v>
      </c>
      <c r="J11" s="100">
        <v>1.8457296000000003E-5</v>
      </c>
      <c r="K11" s="100">
        <v>1.5319867402121297E-6</v>
      </c>
      <c r="L11" s="100"/>
      <c r="M11" s="100">
        <v>0</v>
      </c>
      <c r="N11" s="100">
        <v>1.1695660000000001E-6</v>
      </c>
      <c r="O11" s="100"/>
      <c r="P11" s="13"/>
      <c r="Q11" s="199">
        <f>'Parameters, country spec'!B26</f>
        <v>4.6178119267820264E-3</v>
      </c>
    </row>
    <row r="12" spans="1:17" x14ac:dyDescent="0.3">
      <c r="A12" s="21" t="s">
        <v>341</v>
      </c>
      <c r="B12" s="16" t="s">
        <v>179</v>
      </c>
      <c r="C12" s="16" t="s">
        <v>340</v>
      </c>
      <c r="D12" s="22" t="s">
        <v>113</v>
      </c>
      <c r="E12" s="22" t="s">
        <v>49</v>
      </c>
      <c r="F12" s="223">
        <f t="shared" si="0"/>
        <v>2.3870339373407735E-4</v>
      </c>
      <c r="G12" s="98">
        <v>6.6632952642360706E-6</v>
      </c>
      <c r="H12" s="99">
        <v>1.1000000000000001E-6</v>
      </c>
      <c r="I12" s="100">
        <v>2.067986173968254E-4</v>
      </c>
      <c r="J12" s="100">
        <v>2.0679861739682541E-5</v>
      </c>
      <c r="K12" s="100">
        <v>2.2920533333333338E-6</v>
      </c>
      <c r="L12" s="100"/>
      <c r="M12" s="100">
        <v>0</v>
      </c>
      <c r="N12" s="100">
        <v>1.1695660000000001E-6</v>
      </c>
      <c r="O12" s="100"/>
      <c r="P12" s="13"/>
      <c r="Q12" s="199">
        <f>'Parameters, country spec'!B27</f>
        <v>5.3104837157993301E-2</v>
      </c>
    </row>
    <row r="13" spans="1:17" x14ac:dyDescent="0.3">
      <c r="B13" s="17" t="s">
        <v>180</v>
      </c>
      <c r="C13" s="16" t="s">
        <v>342</v>
      </c>
      <c r="D13" s="22" t="s">
        <v>113</v>
      </c>
      <c r="E13" s="22" t="s">
        <v>49</v>
      </c>
      <c r="F13" s="224">
        <f t="shared" si="0"/>
        <v>5.8000379334182534E-4</v>
      </c>
      <c r="G13" s="33">
        <f>'Processed feed'!$F$38</f>
        <v>2.5154866356233592E-4</v>
      </c>
      <c r="H13" s="33">
        <f>'Processed feed'!$G$38</f>
        <v>2.575956076270594E-4</v>
      </c>
      <c r="I13" s="33">
        <f>'Processed feed'!$H$38</f>
        <v>0</v>
      </c>
      <c r="J13" s="33">
        <f>'Processed feed'!$I$38</f>
        <v>0</v>
      </c>
      <c r="K13" s="33">
        <f>'Processed feed'!$J$38</f>
        <v>3.5012930046684228E-5</v>
      </c>
      <c r="L13" s="33">
        <f>'Processed feed'!$K$38</f>
        <v>0</v>
      </c>
      <c r="M13" s="33">
        <f>'Processed feed'!$L$38</f>
        <v>0</v>
      </c>
      <c r="N13" s="33">
        <f>'Processed feed'!$M$38</f>
        <v>3.4018889403043034E-5</v>
      </c>
      <c r="O13" s="33">
        <f>'Processed feed'!$N$38</f>
        <v>0</v>
      </c>
      <c r="P13" s="33">
        <f>'Processed feed'!$O$38</f>
        <v>1.8277027027027027E-6</v>
      </c>
      <c r="Q13" s="199">
        <f>'Parameters, country spec'!B28</f>
        <v>2.7193781346605266E-2</v>
      </c>
    </row>
    <row r="14" spans="1:17" x14ac:dyDescent="0.3">
      <c r="B14" s="17" t="s">
        <v>343</v>
      </c>
      <c r="C14" s="16" t="s">
        <v>342</v>
      </c>
      <c r="D14" s="22" t="s">
        <v>113</v>
      </c>
      <c r="E14" s="22" t="s">
        <v>49</v>
      </c>
      <c r="F14" s="224">
        <f t="shared" si="0"/>
        <v>1.123760611639415E-3</v>
      </c>
      <c r="G14" s="33">
        <f>'Processed feed'!$F$43</f>
        <v>0</v>
      </c>
      <c r="H14" s="33">
        <f>'Processed feed'!$G$43</f>
        <v>1.1433179068612911E-6</v>
      </c>
      <c r="I14" s="33">
        <f>'Processed feed'!$H$43</f>
        <v>1.9184142753672076E-4</v>
      </c>
      <c r="J14" s="33">
        <f>'Processed feed'!$I$43</f>
        <v>1.9184142753672074E-5</v>
      </c>
      <c r="K14" s="33">
        <f>'Processed feed'!$J$43</f>
        <v>1.592316248325986E-6</v>
      </c>
      <c r="L14" s="33">
        <f>'Processed feed'!$K$43</f>
        <v>0</v>
      </c>
      <c r="M14" s="33">
        <f>'Processed feed'!$L$43</f>
        <v>0</v>
      </c>
      <c r="N14" s="33">
        <f>'Processed feed'!$M$43</f>
        <v>1.21562341005103E-6</v>
      </c>
      <c r="O14" s="33">
        <f>'Processed feed'!$N$43</f>
        <v>0</v>
      </c>
      <c r="P14" s="33">
        <f>'Processed feed'!$O$43</f>
        <v>9.0878378378378389E-4</v>
      </c>
      <c r="Q14" s="199">
        <f>'Parameters, country spec'!B29</f>
        <v>3.5916314986082429E-2</v>
      </c>
    </row>
    <row r="15" spans="1:17" x14ac:dyDescent="0.3">
      <c r="B15" s="16" t="s">
        <v>182</v>
      </c>
      <c r="C15" s="16" t="s">
        <v>344</v>
      </c>
      <c r="D15" s="22" t="s">
        <v>113</v>
      </c>
      <c r="E15" s="22" t="s">
        <v>49</v>
      </c>
      <c r="F15" s="224"/>
      <c r="G15" s="13"/>
      <c r="H15" s="13"/>
      <c r="I15" s="13"/>
      <c r="J15" s="13"/>
      <c r="K15" s="13"/>
      <c r="L15" s="13"/>
      <c r="M15" s="13"/>
      <c r="N15" s="13"/>
      <c r="O15" s="13"/>
      <c r="P15" s="13"/>
      <c r="Q15" s="199">
        <f>'Parameters, country spec'!B30</f>
        <v>0.13313408330019627</v>
      </c>
    </row>
    <row r="16" spans="1:17" x14ac:dyDescent="0.3">
      <c r="A16" s="82"/>
      <c r="B16" s="16" t="s">
        <v>345</v>
      </c>
      <c r="C16" s="83" t="s">
        <v>346</v>
      </c>
      <c r="D16" s="22" t="s">
        <v>113</v>
      </c>
      <c r="E16" s="22" t="s">
        <v>49</v>
      </c>
      <c r="F16" s="224">
        <f t="shared" si="0"/>
        <v>5.7406708064729087E-4</v>
      </c>
      <c r="G16" s="81">
        <f t="shared" ref="G16:N16" si="1">AVERAGE(G6:G14)</f>
        <v>1.0050773339131949E-4</v>
      </c>
      <c r="H16" s="81">
        <f t="shared" si="1"/>
        <v>2.9604325059324526E-5</v>
      </c>
      <c r="I16" s="81">
        <f t="shared" si="1"/>
        <v>3.946498927136606E-4</v>
      </c>
      <c r="J16" s="81">
        <f t="shared" si="1"/>
        <v>3.9464989271366065E-5</v>
      </c>
      <c r="K16" s="81">
        <f t="shared" si="1"/>
        <v>5.0155318990542028E-6</v>
      </c>
      <c r="L16" s="81">
        <f t="shared" si="1"/>
        <v>0</v>
      </c>
      <c r="M16" s="81">
        <f t="shared" si="1"/>
        <v>0</v>
      </c>
      <c r="N16" s="81">
        <f t="shared" si="1"/>
        <v>4.8246083125660061E-6</v>
      </c>
      <c r="O16" s="81"/>
      <c r="P16" s="81"/>
      <c r="Q16" s="199">
        <f>'Parameters, country spec'!B31</f>
        <v>0.1236547415949409</v>
      </c>
    </row>
    <row r="17" spans="1:17" x14ac:dyDescent="0.3">
      <c r="A17" s="198"/>
      <c r="B17" s="24" t="s">
        <v>347</v>
      </c>
      <c r="C17" s="25"/>
      <c r="D17" s="101"/>
      <c r="E17" s="101"/>
      <c r="F17" s="46">
        <f>SUMPRODUCT(F6:F16,$Q$6:$Q$16)</f>
        <v>6.7739843588762662E-4</v>
      </c>
      <c r="G17" s="46">
        <f t="shared" ref="G17:P17" si="2">SUMPRODUCT(G6:G16,$Q$6:$Q$16)</f>
        <v>1.0842273412420079E-4</v>
      </c>
      <c r="H17" s="46">
        <f t="shared" si="2"/>
        <v>1.1454888747681036E-5</v>
      </c>
      <c r="I17" s="46">
        <f t="shared" si="2"/>
        <v>4.7284268168868647E-4</v>
      </c>
      <c r="J17" s="46">
        <f t="shared" si="2"/>
        <v>4.7284268168868639E-5</v>
      </c>
      <c r="K17" s="46">
        <f t="shared" si="2"/>
        <v>2.3432246320408002E-6</v>
      </c>
      <c r="L17" s="46">
        <f t="shared" si="2"/>
        <v>0</v>
      </c>
      <c r="M17" s="46">
        <f t="shared" si="2"/>
        <v>0</v>
      </c>
      <c r="N17" s="46">
        <f t="shared" si="2"/>
        <v>2.3607717458629587E-6</v>
      </c>
      <c r="O17" s="46">
        <f t="shared" si="2"/>
        <v>0</v>
      </c>
      <c r="P17" s="46">
        <f t="shared" si="2"/>
        <v>3.2689866780286108E-5</v>
      </c>
      <c r="Q17" s="209"/>
    </row>
    <row r="18" spans="1:17" x14ac:dyDescent="0.3">
      <c r="A18" s="21" t="s">
        <v>333</v>
      </c>
      <c r="B18" s="16" t="s">
        <v>172</v>
      </c>
      <c r="C18" s="16" t="s">
        <v>334</v>
      </c>
      <c r="D18" s="22" t="s">
        <v>50</v>
      </c>
      <c r="E18" s="22" t="s">
        <v>51</v>
      </c>
      <c r="F18" s="225">
        <f>SUM(G18:P18)</f>
        <v>8.3700497241450582E-4</v>
      </c>
      <c r="G18" s="203">
        <v>1.3527187113652022E-4</v>
      </c>
      <c r="H18" s="204">
        <v>1.1000000000000001E-6</v>
      </c>
      <c r="I18" s="207">
        <v>6.348790825230616E-4</v>
      </c>
      <c r="J18" s="207">
        <v>6.3487908252306166E-5</v>
      </c>
      <c r="K18" s="207">
        <v>1.0965445026178011E-6</v>
      </c>
      <c r="L18" s="207"/>
      <c r="M18" s="207">
        <v>0</v>
      </c>
      <c r="N18" s="207">
        <v>1.1695660000000001E-6</v>
      </c>
      <c r="O18" s="207"/>
      <c r="P18" s="206"/>
      <c r="Q18" s="210">
        <f>'Parameters, country spec'!C21</f>
        <v>0.24551366744057773</v>
      </c>
    </row>
    <row r="19" spans="1:17" x14ac:dyDescent="0.3">
      <c r="A19" s="21" t="s">
        <v>335</v>
      </c>
      <c r="B19" s="16" t="s">
        <v>174</v>
      </c>
      <c r="C19" s="16" t="s">
        <v>334</v>
      </c>
      <c r="D19" s="22" t="s">
        <v>50</v>
      </c>
      <c r="E19" s="22" t="s">
        <v>51</v>
      </c>
      <c r="F19" s="223">
        <f t="shared" ref="F19:F28" si="3">SUM(G19:P19)</f>
        <v>7.7064277808378814E-4</v>
      </c>
      <c r="G19" s="98">
        <v>1.3173663927780048E-4</v>
      </c>
      <c r="H19" s="99">
        <v>1.1000000000000001E-6</v>
      </c>
      <c r="I19" s="100">
        <v>5.7807906502645948E-4</v>
      </c>
      <c r="J19" s="100">
        <v>5.7807906502645948E-5</v>
      </c>
      <c r="K19" s="100">
        <v>7.4960127688222882E-7</v>
      </c>
      <c r="L19" s="100"/>
      <c r="M19" s="100">
        <v>0</v>
      </c>
      <c r="N19" s="100">
        <v>1.1695660000000001E-6</v>
      </c>
      <c r="O19" s="100"/>
      <c r="P19" s="13"/>
      <c r="Q19" s="199">
        <f>'Parameters, country spec'!C22</f>
        <v>2.5654510704344589E-3</v>
      </c>
    </row>
    <row r="20" spans="1:17" x14ac:dyDescent="0.3">
      <c r="A20" s="21" t="s">
        <v>336</v>
      </c>
      <c r="B20" s="16" t="s">
        <v>175</v>
      </c>
      <c r="C20" s="16" t="s">
        <v>334</v>
      </c>
      <c r="D20" s="22" t="s">
        <v>50</v>
      </c>
      <c r="E20" s="22" t="s">
        <v>51</v>
      </c>
      <c r="F20" s="223">
        <f t="shared" si="3"/>
        <v>7.4080189535590966E-4</v>
      </c>
      <c r="G20" s="98">
        <v>1.1925038042019814E-4</v>
      </c>
      <c r="H20" s="99">
        <v>1.1000000000000001E-6</v>
      </c>
      <c r="I20" s="100">
        <v>5.6184338890070615E-4</v>
      </c>
      <c r="J20" s="100">
        <v>5.6184338890070617E-5</v>
      </c>
      <c r="K20" s="100">
        <v>1.2542211449347684E-6</v>
      </c>
      <c r="L20" s="100"/>
      <c r="M20" s="100">
        <v>0</v>
      </c>
      <c r="N20" s="100">
        <v>1.1695660000000001E-6</v>
      </c>
      <c r="O20" s="100"/>
      <c r="P20" s="13"/>
      <c r="Q20" s="199">
        <f>'Parameters, country spec'!C23</f>
        <v>4.1303762233994797E-2</v>
      </c>
    </row>
    <row r="21" spans="1:17" x14ac:dyDescent="0.3">
      <c r="A21" s="21" t="s">
        <v>337</v>
      </c>
      <c r="B21" s="16" t="s">
        <v>176</v>
      </c>
      <c r="C21" s="16" t="s">
        <v>334</v>
      </c>
      <c r="D21" s="22" t="s">
        <v>50</v>
      </c>
      <c r="E21" s="22" t="s">
        <v>51</v>
      </c>
      <c r="F21" s="223">
        <f t="shared" si="3"/>
        <v>6.6289501004433845E-4</v>
      </c>
      <c r="G21" s="98">
        <v>1.0503816802565812E-4</v>
      </c>
      <c r="H21" s="99">
        <v>1.1000000000000001E-6</v>
      </c>
      <c r="I21" s="100">
        <v>5.0432765635150922E-4</v>
      </c>
      <c r="J21" s="100">
        <v>5.0432765635150922E-5</v>
      </c>
      <c r="K21" s="100">
        <v>8.2685403202016689E-7</v>
      </c>
      <c r="L21" s="100"/>
      <c r="M21" s="100">
        <v>0</v>
      </c>
      <c r="N21" s="100">
        <v>1.1695660000000001E-6</v>
      </c>
      <c r="O21" s="100"/>
      <c r="P21" s="13"/>
      <c r="Q21" s="199">
        <f>'Parameters, country spec'!C24</f>
        <v>2.6167600918431479E-2</v>
      </c>
    </row>
    <row r="22" spans="1:17" x14ac:dyDescent="0.3">
      <c r="A22" s="21" t="s">
        <v>338</v>
      </c>
      <c r="B22" s="16" t="s">
        <v>177</v>
      </c>
      <c r="C22" s="16" t="s">
        <v>334</v>
      </c>
      <c r="D22" s="22" t="s">
        <v>50</v>
      </c>
      <c r="E22" s="22" t="s">
        <v>51</v>
      </c>
      <c r="F22" s="223">
        <f t="shared" si="3"/>
        <v>9.1657094895803305E-4</v>
      </c>
      <c r="G22" s="98">
        <v>1.5506058283512638E-4</v>
      </c>
      <c r="H22" s="99">
        <v>1.1000000000000001E-6</v>
      </c>
      <c r="I22" s="100">
        <v>6.8950683668766316E-4</v>
      </c>
      <c r="J22" s="100">
        <v>6.8950683668766316E-5</v>
      </c>
      <c r="K22" s="100">
        <v>7.832797664771855E-7</v>
      </c>
      <c r="L22" s="100"/>
      <c r="M22" s="100">
        <v>0</v>
      </c>
      <c r="N22" s="100">
        <v>1.1695660000000001E-6</v>
      </c>
      <c r="O22" s="100"/>
      <c r="P22" s="13"/>
      <c r="Q22" s="199">
        <f>'Parameters, country spec'!C25</f>
        <v>0.30682794802396129</v>
      </c>
    </row>
    <row r="23" spans="1:17" x14ac:dyDescent="0.3">
      <c r="A23" s="21" t="s">
        <v>339</v>
      </c>
      <c r="B23" s="16" t="s">
        <v>178</v>
      </c>
      <c r="C23" s="16" t="s">
        <v>340</v>
      </c>
      <c r="D23" s="22" t="s">
        <v>50</v>
      </c>
      <c r="E23" s="22" t="s">
        <v>51</v>
      </c>
      <c r="F23" s="223">
        <f t="shared" si="3"/>
        <v>2.0683180874021213E-4</v>
      </c>
      <c r="G23" s="98">
        <v>0</v>
      </c>
      <c r="H23" s="99">
        <v>1.1000000000000001E-6</v>
      </c>
      <c r="I23" s="100">
        <v>1.8457296000000002E-4</v>
      </c>
      <c r="J23" s="100">
        <v>1.8457296000000003E-5</v>
      </c>
      <c r="K23" s="100">
        <v>1.5319867402121297E-6</v>
      </c>
      <c r="L23" s="100"/>
      <c r="M23" s="100">
        <v>0</v>
      </c>
      <c r="N23" s="100">
        <v>1.1695660000000001E-6</v>
      </c>
      <c r="O23" s="100"/>
      <c r="P23" s="13"/>
      <c r="Q23" s="199">
        <f>'Parameters, country spec'!C26</f>
        <v>4.6178119267820264E-3</v>
      </c>
    </row>
    <row r="24" spans="1:17" x14ac:dyDescent="0.3">
      <c r="A24" s="21" t="s">
        <v>341</v>
      </c>
      <c r="B24" s="16" t="s">
        <v>179</v>
      </c>
      <c r="C24" s="16" t="s">
        <v>340</v>
      </c>
      <c r="D24" s="22" t="s">
        <v>50</v>
      </c>
      <c r="E24" s="22" t="s">
        <v>51</v>
      </c>
      <c r="F24" s="223">
        <f t="shared" si="3"/>
        <v>2.3870339373407735E-4</v>
      </c>
      <c r="G24" s="98">
        <v>6.6632952642360706E-6</v>
      </c>
      <c r="H24" s="99">
        <v>1.1000000000000001E-6</v>
      </c>
      <c r="I24" s="100">
        <v>2.067986173968254E-4</v>
      </c>
      <c r="J24" s="100">
        <v>2.0679861739682541E-5</v>
      </c>
      <c r="K24" s="100">
        <v>2.2920533333333338E-6</v>
      </c>
      <c r="L24" s="100"/>
      <c r="M24" s="100">
        <v>0</v>
      </c>
      <c r="N24" s="100">
        <v>1.1695660000000001E-6</v>
      </c>
      <c r="O24" s="100"/>
      <c r="P24" s="13"/>
      <c r="Q24" s="199">
        <f>'Parameters, country spec'!C27</f>
        <v>5.3104837157993301E-2</v>
      </c>
    </row>
    <row r="25" spans="1:17" x14ac:dyDescent="0.3">
      <c r="B25" s="17" t="s">
        <v>180</v>
      </c>
      <c r="C25" s="16" t="s">
        <v>342</v>
      </c>
      <c r="D25" s="22" t="s">
        <v>50</v>
      </c>
      <c r="E25" s="22" t="s">
        <v>51</v>
      </c>
      <c r="F25" s="224">
        <f t="shared" si="3"/>
        <v>5.8000379334182534E-4</v>
      </c>
      <c r="G25" s="33">
        <f>'Processed feed'!$F$38</f>
        <v>2.5154866356233592E-4</v>
      </c>
      <c r="H25" s="33">
        <f>'Processed feed'!$G$38</f>
        <v>2.575956076270594E-4</v>
      </c>
      <c r="I25" s="33">
        <f>'Processed feed'!$H$38</f>
        <v>0</v>
      </c>
      <c r="J25" s="33">
        <f>'Processed feed'!$I$38</f>
        <v>0</v>
      </c>
      <c r="K25" s="33">
        <f>'Processed feed'!$J$38</f>
        <v>3.5012930046684228E-5</v>
      </c>
      <c r="L25" s="33">
        <f>'Processed feed'!$K$38</f>
        <v>0</v>
      </c>
      <c r="M25" s="33">
        <f>'Processed feed'!$L$38</f>
        <v>0</v>
      </c>
      <c r="N25" s="33">
        <f>'Processed feed'!$M$38</f>
        <v>3.4018889403043034E-5</v>
      </c>
      <c r="O25" s="33">
        <f>'Processed feed'!$N$38</f>
        <v>0</v>
      </c>
      <c r="P25" s="33">
        <f>'Processed feed'!$O$38</f>
        <v>1.8277027027027027E-6</v>
      </c>
      <c r="Q25" s="199">
        <f>'Parameters, country spec'!C28</f>
        <v>2.7193781346605266E-2</v>
      </c>
    </row>
    <row r="26" spans="1:17" x14ac:dyDescent="0.3">
      <c r="B26" s="17" t="s">
        <v>343</v>
      </c>
      <c r="C26" s="16" t="s">
        <v>342</v>
      </c>
      <c r="D26" s="22" t="s">
        <v>50</v>
      </c>
      <c r="E26" s="22" t="s">
        <v>51</v>
      </c>
      <c r="F26" s="224">
        <f t="shared" si="3"/>
        <v>1.123760611639415E-3</v>
      </c>
      <c r="G26" s="33">
        <f>'Processed feed'!$F$43</f>
        <v>0</v>
      </c>
      <c r="H26" s="33">
        <f>'Processed feed'!$G$43</f>
        <v>1.1433179068612911E-6</v>
      </c>
      <c r="I26" s="33">
        <f>'Processed feed'!$H$43</f>
        <v>1.9184142753672076E-4</v>
      </c>
      <c r="J26" s="33">
        <f>'Processed feed'!$I$43</f>
        <v>1.9184142753672074E-5</v>
      </c>
      <c r="K26" s="33">
        <f>'Processed feed'!$J$43</f>
        <v>1.592316248325986E-6</v>
      </c>
      <c r="L26" s="33">
        <f>'Processed feed'!$K$43</f>
        <v>0</v>
      </c>
      <c r="M26" s="33">
        <f>'Processed feed'!$L$43</f>
        <v>0</v>
      </c>
      <c r="N26" s="33">
        <f>'Processed feed'!$M$43</f>
        <v>1.21562341005103E-6</v>
      </c>
      <c r="O26" s="33">
        <f>'Processed feed'!$N$43</f>
        <v>0</v>
      </c>
      <c r="P26" s="33">
        <f>'Processed feed'!$O$43</f>
        <v>9.0878378378378389E-4</v>
      </c>
      <c r="Q26" s="199">
        <f>'Parameters, country spec'!C29</f>
        <v>3.5916314986082429E-2</v>
      </c>
    </row>
    <row r="27" spans="1:17" x14ac:dyDescent="0.3">
      <c r="B27" s="16" t="s">
        <v>182</v>
      </c>
      <c r="C27" s="16" t="s">
        <v>344</v>
      </c>
      <c r="D27" s="22" t="s">
        <v>50</v>
      </c>
      <c r="E27" s="22" t="s">
        <v>51</v>
      </c>
      <c r="F27" s="224"/>
      <c r="G27" s="13"/>
      <c r="H27" s="13"/>
      <c r="I27" s="13"/>
      <c r="J27" s="13"/>
      <c r="K27" s="13"/>
      <c r="L27" s="13"/>
      <c r="M27" s="13"/>
      <c r="N27" s="13"/>
      <c r="O27" s="13"/>
      <c r="P27" s="13"/>
      <c r="Q27" s="199">
        <f>'Parameters, country spec'!C30</f>
        <v>0.13313408330019627</v>
      </c>
    </row>
    <row r="28" spans="1:17" x14ac:dyDescent="0.3">
      <c r="A28" s="82"/>
      <c r="B28" s="16" t="s">
        <v>345</v>
      </c>
      <c r="C28" s="83" t="s">
        <v>346</v>
      </c>
      <c r="D28" s="22" t="s">
        <v>50</v>
      </c>
      <c r="E28" s="22" t="s">
        <v>51</v>
      </c>
      <c r="F28" s="224">
        <f t="shared" si="3"/>
        <v>5.7406708064729087E-4</v>
      </c>
      <c r="G28" s="81">
        <f t="shared" ref="G28:N28" si="4">AVERAGE(G18:G26)</f>
        <v>1.0050773339131949E-4</v>
      </c>
      <c r="H28" s="81">
        <f t="shared" si="4"/>
        <v>2.9604325059324526E-5</v>
      </c>
      <c r="I28" s="81">
        <f t="shared" si="4"/>
        <v>3.946498927136606E-4</v>
      </c>
      <c r="J28" s="81">
        <f t="shared" si="4"/>
        <v>3.9464989271366065E-5</v>
      </c>
      <c r="K28" s="81">
        <f t="shared" si="4"/>
        <v>5.0155318990542028E-6</v>
      </c>
      <c r="L28" s="81">
        <f t="shared" si="4"/>
        <v>0</v>
      </c>
      <c r="M28" s="81">
        <f t="shared" si="4"/>
        <v>0</v>
      </c>
      <c r="N28" s="81">
        <f t="shared" si="4"/>
        <v>4.8246083125660061E-6</v>
      </c>
      <c r="O28" s="81"/>
      <c r="P28" s="81"/>
      <c r="Q28" s="199">
        <f>'Parameters, country spec'!C31</f>
        <v>0.1236547415949409</v>
      </c>
    </row>
    <row r="29" spans="1:17" x14ac:dyDescent="0.3">
      <c r="A29" s="198"/>
      <c r="B29" s="24" t="s">
        <v>347</v>
      </c>
      <c r="C29" s="25"/>
      <c r="D29" s="101"/>
      <c r="E29" s="101"/>
      <c r="F29" s="46">
        <f>SUMPRODUCT(F18:F28,$Q$18:$Q$28)</f>
        <v>6.7739843588762662E-4</v>
      </c>
      <c r="G29" s="46">
        <f t="shared" ref="G29:P29" si="5">SUMPRODUCT(G18:G28,$Q$18:$Q$28)</f>
        <v>1.0842273412420079E-4</v>
      </c>
      <c r="H29" s="46">
        <f t="shared" si="5"/>
        <v>1.1454888747681036E-5</v>
      </c>
      <c r="I29" s="46">
        <f t="shared" si="5"/>
        <v>4.7284268168868647E-4</v>
      </c>
      <c r="J29" s="46">
        <f t="shared" si="5"/>
        <v>4.7284268168868639E-5</v>
      </c>
      <c r="K29" s="46">
        <f t="shared" si="5"/>
        <v>2.3432246320408002E-6</v>
      </c>
      <c r="L29" s="46">
        <f t="shared" si="5"/>
        <v>0</v>
      </c>
      <c r="M29" s="46">
        <f t="shared" si="5"/>
        <v>0</v>
      </c>
      <c r="N29" s="46">
        <f t="shared" si="5"/>
        <v>2.3607717458629587E-6</v>
      </c>
      <c r="O29" s="46">
        <f t="shared" si="5"/>
        <v>0</v>
      </c>
      <c r="P29" s="46">
        <f t="shared" si="5"/>
        <v>3.2689866780286108E-5</v>
      </c>
      <c r="Q29" s="200"/>
    </row>
    <row r="30" spans="1:17" x14ac:dyDescent="0.3">
      <c r="A30" s="21" t="s">
        <v>333</v>
      </c>
      <c r="B30" s="16" t="s">
        <v>172</v>
      </c>
      <c r="C30" s="16" t="s">
        <v>334</v>
      </c>
      <c r="D30" s="22" t="s">
        <v>52</v>
      </c>
      <c r="E30" s="22" t="s">
        <v>53</v>
      </c>
      <c r="F30" s="225">
        <f>SUM(G30:P30)</f>
        <v>8.3700497241450582E-4</v>
      </c>
      <c r="G30" s="203">
        <v>1.3527187113652022E-4</v>
      </c>
      <c r="H30" s="204">
        <v>1.1000000000000001E-6</v>
      </c>
      <c r="I30" s="207">
        <v>6.348790825230616E-4</v>
      </c>
      <c r="J30" s="207">
        <v>6.3487908252306166E-5</v>
      </c>
      <c r="K30" s="207">
        <v>1.0965445026178011E-6</v>
      </c>
      <c r="L30" s="207"/>
      <c r="M30" s="207">
        <v>0</v>
      </c>
      <c r="N30" s="207">
        <v>1.1695660000000001E-6</v>
      </c>
      <c r="O30" s="207"/>
      <c r="P30" s="206"/>
      <c r="Q30" s="210">
        <f>'Parameters, country spec'!D21</f>
        <v>0.24551366744057773</v>
      </c>
    </row>
    <row r="31" spans="1:17" x14ac:dyDescent="0.3">
      <c r="A31" s="21" t="s">
        <v>335</v>
      </c>
      <c r="B31" s="16" t="s">
        <v>174</v>
      </c>
      <c r="C31" s="16" t="s">
        <v>334</v>
      </c>
      <c r="D31" s="22" t="s">
        <v>52</v>
      </c>
      <c r="E31" s="22" t="s">
        <v>53</v>
      </c>
      <c r="F31" s="223">
        <f t="shared" ref="F31:F40" si="6">SUM(G31:P31)</f>
        <v>7.7064277808378814E-4</v>
      </c>
      <c r="G31" s="98">
        <v>1.3173663927780048E-4</v>
      </c>
      <c r="H31" s="99">
        <v>1.1000000000000001E-6</v>
      </c>
      <c r="I31" s="100">
        <v>5.7807906502645948E-4</v>
      </c>
      <c r="J31" s="100">
        <v>5.7807906502645948E-5</v>
      </c>
      <c r="K31" s="100">
        <v>7.4960127688222882E-7</v>
      </c>
      <c r="L31" s="100"/>
      <c r="M31" s="100">
        <v>0</v>
      </c>
      <c r="N31" s="100">
        <v>1.1695660000000001E-6</v>
      </c>
      <c r="O31" s="100"/>
      <c r="P31" s="13"/>
      <c r="Q31" s="199">
        <f>'Parameters, country spec'!D22</f>
        <v>2.5654510704344589E-3</v>
      </c>
    </row>
    <row r="32" spans="1:17" x14ac:dyDescent="0.3">
      <c r="A32" s="21" t="s">
        <v>336</v>
      </c>
      <c r="B32" s="16" t="s">
        <v>175</v>
      </c>
      <c r="C32" s="16" t="s">
        <v>334</v>
      </c>
      <c r="D32" s="22" t="s">
        <v>52</v>
      </c>
      <c r="E32" s="22" t="s">
        <v>53</v>
      </c>
      <c r="F32" s="223">
        <f t="shared" si="6"/>
        <v>7.4080189535590966E-4</v>
      </c>
      <c r="G32" s="98">
        <v>1.1925038042019814E-4</v>
      </c>
      <c r="H32" s="99">
        <v>1.1000000000000001E-6</v>
      </c>
      <c r="I32" s="100">
        <v>5.6184338890070615E-4</v>
      </c>
      <c r="J32" s="100">
        <v>5.6184338890070617E-5</v>
      </c>
      <c r="K32" s="100">
        <v>1.2542211449347684E-6</v>
      </c>
      <c r="L32" s="100"/>
      <c r="M32" s="100">
        <v>0</v>
      </c>
      <c r="N32" s="100">
        <v>1.1695660000000001E-6</v>
      </c>
      <c r="O32" s="100"/>
      <c r="P32" s="13"/>
      <c r="Q32" s="199">
        <f>'Parameters, country spec'!D23</f>
        <v>4.1303762233994797E-2</v>
      </c>
    </row>
    <row r="33" spans="1:17" x14ac:dyDescent="0.3">
      <c r="A33" s="21" t="s">
        <v>337</v>
      </c>
      <c r="B33" s="16" t="s">
        <v>176</v>
      </c>
      <c r="C33" s="16" t="s">
        <v>334</v>
      </c>
      <c r="D33" s="22" t="s">
        <v>52</v>
      </c>
      <c r="E33" s="22" t="s">
        <v>53</v>
      </c>
      <c r="F33" s="223">
        <f t="shared" si="6"/>
        <v>6.6289501004433845E-4</v>
      </c>
      <c r="G33" s="98">
        <v>1.0503816802565812E-4</v>
      </c>
      <c r="H33" s="99">
        <v>1.1000000000000001E-6</v>
      </c>
      <c r="I33" s="100">
        <v>5.0432765635150922E-4</v>
      </c>
      <c r="J33" s="100">
        <v>5.0432765635150922E-5</v>
      </c>
      <c r="K33" s="100">
        <v>8.2685403202016689E-7</v>
      </c>
      <c r="L33" s="100"/>
      <c r="M33" s="100">
        <v>0</v>
      </c>
      <c r="N33" s="100">
        <v>1.1695660000000001E-6</v>
      </c>
      <c r="O33" s="100"/>
      <c r="P33" s="13"/>
      <c r="Q33" s="199">
        <f>'Parameters, country spec'!D24</f>
        <v>2.6167600918431479E-2</v>
      </c>
    </row>
    <row r="34" spans="1:17" x14ac:dyDescent="0.3">
      <c r="A34" s="21" t="s">
        <v>338</v>
      </c>
      <c r="B34" s="16" t="s">
        <v>177</v>
      </c>
      <c r="C34" s="16" t="s">
        <v>334</v>
      </c>
      <c r="D34" s="22" t="s">
        <v>52</v>
      </c>
      <c r="E34" s="22" t="s">
        <v>53</v>
      </c>
      <c r="F34" s="223">
        <f t="shared" si="6"/>
        <v>9.1657094895803305E-4</v>
      </c>
      <c r="G34" s="98">
        <v>1.5506058283512638E-4</v>
      </c>
      <c r="H34" s="99">
        <v>1.1000000000000001E-6</v>
      </c>
      <c r="I34" s="100">
        <v>6.8950683668766316E-4</v>
      </c>
      <c r="J34" s="100">
        <v>6.8950683668766316E-5</v>
      </c>
      <c r="K34" s="100">
        <v>7.832797664771855E-7</v>
      </c>
      <c r="L34" s="100"/>
      <c r="M34" s="100">
        <v>0</v>
      </c>
      <c r="N34" s="100">
        <v>1.1695660000000001E-6</v>
      </c>
      <c r="O34" s="100"/>
      <c r="P34" s="13"/>
      <c r="Q34" s="199">
        <f>'Parameters, country spec'!D25</f>
        <v>0.30682794802396129</v>
      </c>
    </row>
    <row r="35" spans="1:17" x14ac:dyDescent="0.3">
      <c r="A35" s="21" t="s">
        <v>339</v>
      </c>
      <c r="B35" s="16" t="s">
        <v>178</v>
      </c>
      <c r="C35" s="16" t="s">
        <v>340</v>
      </c>
      <c r="D35" s="22" t="s">
        <v>52</v>
      </c>
      <c r="E35" s="22" t="s">
        <v>53</v>
      </c>
      <c r="F35" s="223">
        <f t="shared" si="6"/>
        <v>2.0683180874021213E-4</v>
      </c>
      <c r="G35" s="98">
        <v>0</v>
      </c>
      <c r="H35" s="99">
        <v>1.1000000000000001E-6</v>
      </c>
      <c r="I35" s="100">
        <v>1.8457296000000002E-4</v>
      </c>
      <c r="J35" s="100">
        <v>1.8457296000000003E-5</v>
      </c>
      <c r="K35" s="100">
        <v>1.5319867402121297E-6</v>
      </c>
      <c r="L35" s="100"/>
      <c r="M35" s="100">
        <v>0</v>
      </c>
      <c r="N35" s="100">
        <v>1.1695660000000001E-6</v>
      </c>
      <c r="O35" s="100"/>
      <c r="P35" s="13"/>
      <c r="Q35" s="199">
        <f>'Parameters, country spec'!D26</f>
        <v>4.6178119267820264E-3</v>
      </c>
    </row>
    <row r="36" spans="1:17" x14ac:dyDescent="0.3">
      <c r="A36" s="21" t="s">
        <v>341</v>
      </c>
      <c r="B36" s="16" t="s">
        <v>179</v>
      </c>
      <c r="C36" s="16" t="s">
        <v>340</v>
      </c>
      <c r="D36" s="22" t="s">
        <v>52</v>
      </c>
      <c r="E36" s="22" t="s">
        <v>53</v>
      </c>
      <c r="F36" s="223">
        <f t="shared" si="6"/>
        <v>2.3870339373407735E-4</v>
      </c>
      <c r="G36" s="98">
        <v>6.6632952642360706E-6</v>
      </c>
      <c r="H36" s="99">
        <v>1.1000000000000001E-6</v>
      </c>
      <c r="I36" s="100">
        <v>2.067986173968254E-4</v>
      </c>
      <c r="J36" s="100">
        <v>2.0679861739682541E-5</v>
      </c>
      <c r="K36" s="100">
        <v>2.2920533333333338E-6</v>
      </c>
      <c r="L36" s="100"/>
      <c r="M36" s="100">
        <v>0</v>
      </c>
      <c r="N36" s="100">
        <v>1.1695660000000001E-6</v>
      </c>
      <c r="O36" s="100"/>
      <c r="P36" s="13"/>
      <c r="Q36" s="199">
        <f>'Parameters, country spec'!D27</f>
        <v>5.3104837157993301E-2</v>
      </c>
    </row>
    <row r="37" spans="1:17" x14ac:dyDescent="0.3">
      <c r="B37" s="17" t="s">
        <v>180</v>
      </c>
      <c r="C37" s="16" t="s">
        <v>342</v>
      </c>
      <c r="D37" s="22" t="s">
        <v>52</v>
      </c>
      <c r="E37" s="22" t="s">
        <v>53</v>
      </c>
      <c r="F37" s="224">
        <f t="shared" si="6"/>
        <v>5.8000379334182534E-4</v>
      </c>
      <c r="G37" s="33">
        <f>'Processed feed'!$F$38</f>
        <v>2.5154866356233592E-4</v>
      </c>
      <c r="H37" s="33">
        <f>'Processed feed'!$G$38</f>
        <v>2.575956076270594E-4</v>
      </c>
      <c r="I37" s="33">
        <f>'Processed feed'!$H$38</f>
        <v>0</v>
      </c>
      <c r="J37" s="33">
        <f>'Processed feed'!$I$38</f>
        <v>0</v>
      </c>
      <c r="K37" s="33">
        <f>'Processed feed'!$J$38</f>
        <v>3.5012930046684228E-5</v>
      </c>
      <c r="L37" s="33">
        <f>'Processed feed'!$K$38</f>
        <v>0</v>
      </c>
      <c r="M37" s="33">
        <f>'Processed feed'!$L$38</f>
        <v>0</v>
      </c>
      <c r="N37" s="33">
        <f>'Processed feed'!$M$38</f>
        <v>3.4018889403043034E-5</v>
      </c>
      <c r="O37" s="33">
        <f>'Processed feed'!$N$38</f>
        <v>0</v>
      </c>
      <c r="P37" s="33">
        <f>'Processed feed'!$O$38</f>
        <v>1.8277027027027027E-6</v>
      </c>
      <c r="Q37" s="199">
        <f>'Parameters, country spec'!D28</f>
        <v>2.7193781346605266E-2</v>
      </c>
    </row>
    <row r="38" spans="1:17" x14ac:dyDescent="0.3">
      <c r="B38" s="17" t="s">
        <v>343</v>
      </c>
      <c r="C38" s="16" t="s">
        <v>342</v>
      </c>
      <c r="D38" s="22" t="s">
        <v>52</v>
      </c>
      <c r="E38" s="22" t="s">
        <v>53</v>
      </c>
      <c r="F38" s="224">
        <f t="shared" si="6"/>
        <v>1.123760611639415E-3</v>
      </c>
      <c r="G38" s="33">
        <f>'Processed feed'!$F$43</f>
        <v>0</v>
      </c>
      <c r="H38" s="33">
        <f>'Processed feed'!$G$43</f>
        <v>1.1433179068612911E-6</v>
      </c>
      <c r="I38" s="33">
        <f>'Processed feed'!$H$43</f>
        <v>1.9184142753672076E-4</v>
      </c>
      <c r="J38" s="33">
        <f>'Processed feed'!$I$43</f>
        <v>1.9184142753672074E-5</v>
      </c>
      <c r="K38" s="33">
        <f>'Processed feed'!$J$43</f>
        <v>1.592316248325986E-6</v>
      </c>
      <c r="L38" s="33">
        <f>'Processed feed'!$K$43</f>
        <v>0</v>
      </c>
      <c r="M38" s="33">
        <f>'Processed feed'!$L$43</f>
        <v>0</v>
      </c>
      <c r="N38" s="33">
        <f>'Processed feed'!$M$43</f>
        <v>1.21562341005103E-6</v>
      </c>
      <c r="O38" s="33">
        <f>'Processed feed'!$N$43</f>
        <v>0</v>
      </c>
      <c r="P38" s="33">
        <f>'Processed feed'!$O$43</f>
        <v>9.0878378378378389E-4</v>
      </c>
      <c r="Q38" s="199">
        <f>'Parameters, country spec'!D29</f>
        <v>3.5916314986082429E-2</v>
      </c>
    </row>
    <row r="39" spans="1:17" x14ac:dyDescent="0.3">
      <c r="B39" s="16" t="s">
        <v>182</v>
      </c>
      <c r="C39" s="16" t="s">
        <v>344</v>
      </c>
      <c r="D39" s="22" t="s">
        <v>52</v>
      </c>
      <c r="E39" s="22" t="s">
        <v>53</v>
      </c>
      <c r="F39" s="224"/>
      <c r="G39" s="13"/>
      <c r="H39" s="13"/>
      <c r="I39" s="13"/>
      <c r="J39" s="13"/>
      <c r="K39" s="13"/>
      <c r="L39" s="13"/>
      <c r="M39" s="13"/>
      <c r="N39" s="13"/>
      <c r="O39" s="13"/>
      <c r="P39" s="13"/>
      <c r="Q39" s="199">
        <f>'Parameters, country spec'!D30</f>
        <v>0.13313408330019627</v>
      </c>
    </row>
    <row r="40" spans="1:17" x14ac:dyDescent="0.3">
      <c r="A40" s="82"/>
      <c r="B40" s="16" t="s">
        <v>345</v>
      </c>
      <c r="C40" s="83" t="s">
        <v>346</v>
      </c>
      <c r="D40" s="22" t="s">
        <v>52</v>
      </c>
      <c r="E40" s="22" t="s">
        <v>53</v>
      </c>
      <c r="F40" s="224">
        <f t="shared" si="6"/>
        <v>5.7406708064729087E-4</v>
      </c>
      <c r="G40" s="81">
        <f t="shared" ref="G40:N40" si="7">AVERAGE(G30:G38)</f>
        <v>1.0050773339131949E-4</v>
      </c>
      <c r="H40" s="81">
        <f t="shared" si="7"/>
        <v>2.9604325059324526E-5</v>
      </c>
      <c r="I40" s="81">
        <f t="shared" si="7"/>
        <v>3.946498927136606E-4</v>
      </c>
      <c r="J40" s="81">
        <f t="shared" si="7"/>
        <v>3.9464989271366065E-5</v>
      </c>
      <c r="K40" s="81">
        <f t="shared" si="7"/>
        <v>5.0155318990542028E-6</v>
      </c>
      <c r="L40" s="81">
        <f t="shared" si="7"/>
        <v>0</v>
      </c>
      <c r="M40" s="81">
        <f t="shared" si="7"/>
        <v>0</v>
      </c>
      <c r="N40" s="81">
        <f t="shared" si="7"/>
        <v>4.8246083125660061E-6</v>
      </c>
      <c r="O40" s="81"/>
      <c r="P40" s="81"/>
      <c r="Q40" s="199">
        <f>'Parameters, country spec'!D31</f>
        <v>0.1236547415949409</v>
      </c>
    </row>
    <row r="41" spans="1:17" x14ac:dyDescent="0.3">
      <c r="A41" s="198"/>
      <c r="B41" s="24" t="s">
        <v>347</v>
      </c>
      <c r="C41" s="25"/>
      <c r="D41" s="101"/>
      <c r="E41" s="101"/>
      <c r="F41" s="46">
        <f>SUMPRODUCT(F30:F40,$Q$30:$Q$40)</f>
        <v>6.7739843588762662E-4</v>
      </c>
      <c r="G41" s="46">
        <f t="shared" ref="G41:P41" si="8">SUMPRODUCT(G30:G40,$Q$30:$Q$40)</f>
        <v>1.0842273412420079E-4</v>
      </c>
      <c r="H41" s="46">
        <f t="shared" si="8"/>
        <v>1.1454888747681036E-5</v>
      </c>
      <c r="I41" s="46">
        <f t="shared" si="8"/>
        <v>4.7284268168868647E-4</v>
      </c>
      <c r="J41" s="46">
        <f t="shared" si="8"/>
        <v>4.7284268168868639E-5</v>
      </c>
      <c r="K41" s="46">
        <f t="shared" si="8"/>
        <v>2.3432246320408002E-6</v>
      </c>
      <c r="L41" s="46">
        <f t="shared" si="8"/>
        <v>0</v>
      </c>
      <c r="M41" s="46">
        <f t="shared" si="8"/>
        <v>0</v>
      </c>
      <c r="N41" s="46">
        <f t="shared" si="8"/>
        <v>2.3607717458629587E-6</v>
      </c>
      <c r="O41" s="46">
        <f t="shared" si="8"/>
        <v>0</v>
      </c>
      <c r="P41" s="46">
        <f t="shared" si="8"/>
        <v>3.2689866780286108E-5</v>
      </c>
      <c r="Q41" s="200"/>
    </row>
    <row r="42" spans="1:17" x14ac:dyDescent="0.3">
      <c r="A42" s="21" t="s">
        <v>333</v>
      </c>
      <c r="B42" s="16" t="s">
        <v>172</v>
      </c>
      <c r="C42" s="16" t="s">
        <v>334</v>
      </c>
      <c r="D42" s="22" t="s">
        <v>54</v>
      </c>
      <c r="E42" s="22" t="s">
        <v>55</v>
      </c>
      <c r="F42" s="225">
        <f>SUM(G42:P42)</f>
        <v>8.3700497241450582E-4</v>
      </c>
      <c r="G42" s="203">
        <v>1.3527187113652022E-4</v>
      </c>
      <c r="H42" s="204">
        <v>1.1000000000000001E-6</v>
      </c>
      <c r="I42" s="207">
        <v>6.348790825230616E-4</v>
      </c>
      <c r="J42" s="207">
        <v>6.3487908252306166E-5</v>
      </c>
      <c r="K42" s="207">
        <v>1.0965445026178011E-6</v>
      </c>
      <c r="L42" s="207"/>
      <c r="M42" s="207">
        <v>0</v>
      </c>
      <c r="N42" s="207">
        <v>1.1695660000000001E-6</v>
      </c>
      <c r="O42" s="207"/>
      <c r="P42" s="206"/>
      <c r="Q42" s="210">
        <f>'Parameters, country spec'!E21</f>
        <v>0.24551366744057773</v>
      </c>
    </row>
    <row r="43" spans="1:17" x14ac:dyDescent="0.3">
      <c r="A43" s="21" t="s">
        <v>335</v>
      </c>
      <c r="B43" s="16" t="s">
        <v>174</v>
      </c>
      <c r="C43" s="16" t="s">
        <v>334</v>
      </c>
      <c r="D43" s="22" t="s">
        <v>54</v>
      </c>
      <c r="E43" s="22" t="s">
        <v>55</v>
      </c>
      <c r="F43" s="223">
        <f t="shared" ref="F43:F52" si="9">SUM(G43:P43)</f>
        <v>7.7064277808378814E-4</v>
      </c>
      <c r="G43" s="98">
        <v>1.3173663927780048E-4</v>
      </c>
      <c r="H43" s="99">
        <v>1.1000000000000001E-6</v>
      </c>
      <c r="I43" s="100">
        <v>5.7807906502645948E-4</v>
      </c>
      <c r="J43" s="100">
        <v>5.7807906502645948E-5</v>
      </c>
      <c r="K43" s="100">
        <v>7.4960127688222882E-7</v>
      </c>
      <c r="L43" s="100"/>
      <c r="M43" s="100">
        <v>0</v>
      </c>
      <c r="N43" s="100">
        <v>1.1695660000000001E-6</v>
      </c>
      <c r="O43" s="100"/>
      <c r="P43" s="13"/>
      <c r="Q43" s="199">
        <f>'Parameters, country spec'!E22</f>
        <v>2.5654510704344589E-3</v>
      </c>
    </row>
    <row r="44" spans="1:17" x14ac:dyDescent="0.3">
      <c r="A44" s="21" t="s">
        <v>336</v>
      </c>
      <c r="B44" s="16" t="s">
        <v>175</v>
      </c>
      <c r="C44" s="16" t="s">
        <v>334</v>
      </c>
      <c r="D44" s="22" t="s">
        <v>54</v>
      </c>
      <c r="E44" s="22" t="s">
        <v>55</v>
      </c>
      <c r="F44" s="223">
        <f t="shared" si="9"/>
        <v>7.4080189535590966E-4</v>
      </c>
      <c r="G44" s="98">
        <v>1.1925038042019814E-4</v>
      </c>
      <c r="H44" s="99">
        <v>1.1000000000000001E-6</v>
      </c>
      <c r="I44" s="100">
        <v>5.6184338890070615E-4</v>
      </c>
      <c r="J44" s="100">
        <v>5.6184338890070617E-5</v>
      </c>
      <c r="K44" s="100">
        <v>1.2542211449347684E-6</v>
      </c>
      <c r="L44" s="100"/>
      <c r="M44" s="100">
        <v>0</v>
      </c>
      <c r="N44" s="100">
        <v>1.1695660000000001E-6</v>
      </c>
      <c r="O44" s="100"/>
      <c r="P44" s="13"/>
      <c r="Q44" s="199">
        <f>'Parameters, country spec'!E23</f>
        <v>4.1303762233994797E-2</v>
      </c>
    </row>
    <row r="45" spans="1:17" x14ac:dyDescent="0.3">
      <c r="A45" s="21" t="s">
        <v>337</v>
      </c>
      <c r="B45" s="16" t="s">
        <v>176</v>
      </c>
      <c r="C45" s="16" t="s">
        <v>334</v>
      </c>
      <c r="D45" s="22" t="s">
        <v>54</v>
      </c>
      <c r="E45" s="22" t="s">
        <v>55</v>
      </c>
      <c r="F45" s="223">
        <f t="shared" si="9"/>
        <v>6.6289501004433845E-4</v>
      </c>
      <c r="G45" s="98">
        <v>1.0503816802565812E-4</v>
      </c>
      <c r="H45" s="99">
        <v>1.1000000000000001E-6</v>
      </c>
      <c r="I45" s="100">
        <v>5.0432765635150922E-4</v>
      </c>
      <c r="J45" s="100">
        <v>5.0432765635150922E-5</v>
      </c>
      <c r="K45" s="100">
        <v>8.2685403202016689E-7</v>
      </c>
      <c r="L45" s="100"/>
      <c r="M45" s="100">
        <v>0</v>
      </c>
      <c r="N45" s="100">
        <v>1.1695660000000001E-6</v>
      </c>
      <c r="O45" s="100"/>
      <c r="P45" s="13"/>
      <c r="Q45" s="199">
        <f>'Parameters, country spec'!E24</f>
        <v>2.6167600918431479E-2</v>
      </c>
    </row>
    <row r="46" spans="1:17" x14ac:dyDescent="0.3">
      <c r="A46" s="21" t="s">
        <v>338</v>
      </c>
      <c r="B46" s="16" t="s">
        <v>177</v>
      </c>
      <c r="C46" s="16" t="s">
        <v>334</v>
      </c>
      <c r="D46" s="22" t="s">
        <v>54</v>
      </c>
      <c r="E46" s="22" t="s">
        <v>55</v>
      </c>
      <c r="F46" s="223">
        <f t="shared" si="9"/>
        <v>9.1657094895803305E-4</v>
      </c>
      <c r="G46" s="98">
        <v>1.5506058283512638E-4</v>
      </c>
      <c r="H46" s="99">
        <v>1.1000000000000001E-6</v>
      </c>
      <c r="I46" s="100">
        <v>6.8950683668766316E-4</v>
      </c>
      <c r="J46" s="100">
        <v>6.8950683668766316E-5</v>
      </c>
      <c r="K46" s="100">
        <v>7.832797664771855E-7</v>
      </c>
      <c r="L46" s="100"/>
      <c r="M46" s="100">
        <v>0</v>
      </c>
      <c r="N46" s="100">
        <v>1.1695660000000001E-6</v>
      </c>
      <c r="O46" s="100"/>
      <c r="P46" s="13"/>
      <c r="Q46" s="199">
        <f>'Parameters, country spec'!E25</f>
        <v>0.30682794802396129</v>
      </c>
    </row>
    <row r="47" spans="1:17" x14ac:dyDescent="0.3">
      <c r="A47" s="21" t="s">
        <v>339</v>
      </c>
      <c r="B47" s="16" t="s">
        <v>178</v>
      </c>
      <c r="C47" s="16" t="s">
        <v>340</v>
      </c>
      <c r="D47" s="22" t="s">
        <v>54</v>
      </c>
      <c r="E47" s="22" t="s">
        <v>55</v>
      </c>
      <c r="F47" s="223">
        <f t="shared" si="9"/>
        <v>2.0683180874021213E-4</v>
      </c>
      <c r="G47" s="98">
        <v>0</v>
      </c>
      <c r="H47" s="99">
        <v>1.1000000000000001E-6</v>
      </c>
      <c r="I47" s="100">
        <v>1.8457296000000002E-4</v>
      </c>
      <c r="J47" s="100">
        <v>1.8457296000000003E-5</v>
      </c>
      <c r="K47" s="100">
        <v>1.5319867402121297E-6</v>
      </c>
      <c r="L47" s="100"/>
      <c r="M47" s="100">
        <v>0</v>
      </c>
      <c r="N47" s="100">
        <v>1.1695660000000001E-6</v>
      </c>
      <c r="O47" s="100"/>
      <c r="P47" s="13"/>
      <c r="Q47" s="199">
        <f>'Parameters, country spec'!E26</f>
        <v>4.6178119267820264E-3</v>
      </c>
    </row>
    <row r="48" spans="1:17" x14ac:dyDescent="0.3">
      <c r="A48" s="21" t="s">
        <v>341</v>
      </c>
      <c r="B48" s="16" t="s">
        <v>179</v>
      </c>
      <c r="C48" s="16" t="s">
        <v>340</v>
      </c>
      <c r="D48" s="22" t="s">
        <v>54</v>
      </c>
      <c r="E48" s="22" t="s">
        <v>55</v>
      </c>
      <c r="F48" s="223">
        <f t="shared" si="9"/>
        <v>2.3870339373407735E-4</v>
      </c>
      <c r="G48" s="98">
        <v>6.6632952642360706E-6</v>
      </c>
      <c r="H48" s="99">
        <v>1.1000000000000001E-6</v>
      </c>
      <c r="I48" s="100">
        <v>2.067986173968254E-4</v>
      </c>
      <c r="J48" s="100">
        <v>2.0679861739682541E-5</v>
      </c>
      <c r="K48" s="100">
        <v>2.2920533333333338E-6</v>
      </c>
      <c r="L48" s="100"/>
      <c r="M48" s="100">
        <v>0</v>
      </c>
      <c r="N48" s="100">
        <v>1.1695660000000001E-6</v>
      </c>
      <c r="O48" s="100"/>
      <c r="P48" s="13"/>
      <c r="Q48" s="199">
        <f>'Parameters, country spec'!E27</f>
        <v>5.3104837157993301E-2</v>
      </c>
    </row>
    <row r="49" spans="1:17" x14ac:dyDescent="0.3">
      <c r="B49" s="17" t="s">
        <v>180</v>
      </c>
      <c r="C49" s="16" t="s">
        <v>342</v>
      </c>
      <c r="D49" s="22" t="s">
        <v>54</v>
      </c>
      <c r="E49" s="22" t="s">
        <v>55</v>
      </c>
      <c r="F49" s="224">
        <f t="shared" si="9"/>
        <v>5.8000379334182534E-4</v>
      </c>
      <c r="G49" s="33">
        <f>'Processed feed'!$F$38</f>
        <v>2.5154866356233592E-4</v>
      </c>
      <c r="H49" s="33">
        <f>'Processed feed'!$G$38</f>
        <v>2.575956076270594E-4</v>
      </c>
      <c r="I49" s="33">
        <f>'Processed feed'!$H$38</f>
        <v>0</v>
      </c>
      <c r="J49" s="33">
        <f>'Processed feed'!$I$38</f>
        <v>0</v>
      </c>
      <c r="K49" s="33">
        <f>'Processed feed'!$J$38</f>
        <v>3.5012930046684228E-5</v>
      </c>
      <c r="L49" s="33">
        <f>'Processed feed'!$K$38</f>
        <v>0</v>
      </c>
      <c r="M49" s="33">
        <f>'Processed feed'!$L$38</f>
        <v>0</v>
      </c>
      <c r="N49" s="33">
        <f>'Processed feed'!$M$38</f>
        <v>3.4018889403043034E-5</v>
      </c>
      <c r="O49" s="33">
        <f>'Processed feed'!$N$38</f>
        <v>0</v>
      </c>
      <c r="P49" s="33">
        <f>'Processed feed'!$O$38</f>
        <v>1.8277027027027027E-6</v>
      </c>
      <c r="Q49" s="199">
        <f>'Parameters, country spec'!E28</f>
        <v>2.7193781346605266E-2</v>
      </c>
    </row>
    <row r="50" spans="1:17" x14ac:dyDescent="0.3">
      <c r="B50" s="17" t="s">
        <v>343</v>
      </c>
      <c r="C50" s="16" t="s">
        <v>342</v>
      </c>
      <c r="D50" s="22" t="s">
        <v>54</v>
      </c>
      <c r="E50" s="22" t="s">
        <v>55</v>
      </c>
      <c r="F50" s="224">
        <f t="shared" si="9"/>
        <v>1.123760611639415E-3</v>
      </c>
      <c r="G50" s="33">
        <f>'Processed feed'!$F$43</f>
        <v>0</v>
      </c>
      <c r="H50" s="33">
        <f>'Processed feed'!$G$43</f>
        <v>1.1433179068612911E-6</v>
      </c>
      <c r="I50" s="33">
        <f>'Processed feed'!$H$43</f>
        <v>1.9184142753672076E-4</v>
      </c>
      <c r="J50" s="33">
        <f>'Processed feed'!$I$43</f>
        <v>1.9184142753672074E-5</v>
      </c>
      <c r="K50" s="33">
        <f>'Processed feed'!$J$43</f>
        <v>1.592316248325986E-6</v>
      </c>
      <c r="L50" s="33">
        <f>'Processed feed'!$K$43</f>
        <v>0</v>
      </c>
      <c r="M50" s="33">
        <f>'Processed feed'!$L$43</f>
        <v>0</v>
      </c>
      <c r="N50" s="33">
        <f>'Processed feed'!$M$43</f>
        <v>1.21562341005103E-6</v>
      </c>
      <c r="O50" s="33">
        <f>'Processed feed'!$N$43</f>
        <v>0</v>
      </c>
      <c r="P50" s="33">
        <f>'Processed feed'!$O$43</f>
        <v>9.0878378378378389E-4</v>
      </c>
      <c r="Q50" s="199">
        <f>'Parameters, country spec'!E29</f>
        <v>3.5916314986082429E-2</v>
      </c>
    </row>
    <row r="51" spans="1:17" x14ac:dyDescent="0.3">
      <c r="B51" s="16" t="s">
        <v>182</v>
      </c>
      <c r="C51" s="16" t="s">
        <v>344</v>
      </c>
      <c r="D51" s="22" t="s">
        <v>54</v>
      </c>
      <c r="E51" s="22" t="s">
        <v>55</v>
      </c>
      <c r="F51" s="224"/>
      <c r="G51" s="13"/>
      <c r="H51" s="13"/>
      <c r="I51" s="13"/>
      <c r="J51" s="13"/>
      <c r="K51" s="13"/>
      <c r="L51" s="13"/>
      <c r="M51" s="13"/>
      <c r="N51" s="13"/>
      <c r="O51" s="13"/>
      <c r="P51" s="13"/>
      <c r="Q51" s="199">
        <f>'Parameters, country spec'!E30</f>
        <v>0.13313408330019627</v>
      </c>
    </row>
    <row r="52" spans="1:17" x14ac:dyDescent="0.3">
      <c r="A52" s="82"/>
      <c r="B52" s="16" t="s">
        <v>345</v>
      </c>
      <c r="C52" s="83" t="s">
        <v>346</v>
      </c>
      <c r="D52" s="22" t="s">
        <v>54</v>
      </c>
      <c r="E52" s="22" t="s">
        <v>55</v>
      </c>
      <c r="F52" s="224">
        <f t="shared" si="9"/>
        <v>5.7406708064729087E-4</v>
      </c>
      <c r="G52" s="81">
        <f t="shared" ref="G52:N52" si="10">AVERAGE(G42:G50)</f>
        <v>1.0050773339131949E-4</v>
      </c>
      <c r="H52" s="81">
        <f t="shared" si="10"/>
        <v>2.9604325059324526E-5</v>
      </c>
      <c r="I52" s="81">
        <f t="shared" si="10"/>
        <v>3.946498927136606E-4</v>
      </c>
      <c r="J52" s="81">
        <f t="shared" si="10"/>
        <v>3.9464989271366065E-5</v>
      </c>
      <c r="K52" s="81">
        <f t="shared" si="10"/>
        <v>5.0155318990542028E-6</v>
      </c>
      <c r="L52" s="81">
        <f t="shared" si="10"/>
        <v>0</v>
      </c>
      <c r="M52" s="81">
        <f t="shared" si="10"/>
        <v>0</v>
      </c>
      <c r="N52" s="81">
        <f t="shared" si="10"/>
        <v>4.8246083125660061E-6</v>
      </c>
      <c r="O52" s="81"/>
      <c r="P52" s="81"/>
      <c r="Q52" s="199">
        <f>'Parameters, country spec'!E31</f>
        <v>0.1236547415949409</v>
      </c>
    </row>
    <row r="53" spans="1:17" x14ac:dyDescent="0.3">
      <c r="A53" s="198"/>
      <c r="B53" s="24" t="s">
        <v>347</v>
      </c>
      <c r="C53" s="25"/>
      <c r="D53" s="101"/>
      <c r="E53" s="101"/>
      <c r="F53" s="46">
        <f>SUMPRODUCT(F42:F52,$Q$42:$Q$52)</f>
        <v>6.7739843588762662E-4</v>
      </c>
      <c r="G53" s="46">
        <f t="shared" ref="G53:P53" si="11">SUMPRODUCT(G42:G52,$Q$42:$Q$52)</f>
        <v>1.0842273412420079E-4</v>
      </c>
      <c r="H53" s="46">
        <f t="shared" si="11"/>
        <v>1.1454888747681036E-5</v>
      </c>
      <c r="I53" s="46">
        <f t="shared" si="11"/>
        <v>4.7284268168868647E-4</v>
      </c>
      <c r="J53" s="46">
        <f t="shared" si="11"/>
        <v>4.7284268168868639E-5</v>
      </c>
      <c r="K53" s="46">
        <f t="shared" si="11"/>
        <v>2.3432246320408002E-6</v>
      </c>
      <c r="L53" s="46">
        <f t="shared" si="11"/>
        <v>0</v>
      </c>
      <c r="M53" s="46">
        <f t="shared" si="11"/>
        <v>0</v>
      </c>
      <c r="N53" s="46">
        <f t="shared" si="11"/>
        <v>2.3607717458629587E-6</v>
      </c>
      <c r="O53" s="46">
        <f t="shared" si="11"/>
        <v>0</v>
      </c>
      <c r="P53" s="46">
        <f t="shared" si="11"/>
        <v>3.2689866780286108E-5</v>
      </c>
      <c r="Q53" s="200"/>
    </row>
    <row r="54" spans="1:17" x14ac:dyDescent="0.3">
      <c r="A54" s="21" t="s">
        <v>333</v>
      </c>
      <c r="B54" s="16" t="s">
        <v>172</v>
      </c>
      <c r="C54" s="16" t="s">
        <v>334</v>
      </c>
      <c r="D54" s="22" t="s">
        <v>118</v>
      </c>
      <c r="E54" s="22" t="s">
        <v>57</v>
      </c>
      <c r="F54" s="225">
        <f>SUM(G54:P54)</f>
        <v>8.3700497241450582E-4</v>
      </c>
      <c r="G54" s="203">
        <v>1.3527187113652022E-4</v>
      </c>
      <c r="H54" s="204">
        <v>1.1000000000000001E-6</v>
      </c>
      <c r="I54" s="207">
        <v>6.348790825230616E-4</v>
      </c>
      <c r="J54" s="207">
        <v>6.3487908252306166E-5</v>
      </c>
      <c r="K54" s="207">
        <v>1.0965445026178011E-6</v>
      </c>
      <c r="L54" s="207"/>
      <c r="M54" s="207">
        <v>0</v>
      </c>
      <c r="N54" s="207">
        <v>1.1695660000000001E-6</v>
      </c>
      <c r="O54" s="207"/>
      <c r="P54" s="206"/>
      <c r="Q54" s="210">
        <f>'Parameters, country spec'!F21</f>
        <v>0.24551366744057773</v>
      </c>
    </row>
    <row r="55" spans="1:17" x14ac:dyDescent="0.3">
      <c r="A55" s="21" t="s">
        <v>335</v>
      </c>
      <c r="B55" s="16" t="s">
        <v>174</v>
      </c>
      <c r="C55" s="16" t="s">
        <v>334</v>
      </c>
      <c r="D55" s="22" t="s">
        <v>118</v>
      </c>
      <c r="E55" s="22" t="s">
        <v>57</v>
      </c>
      <c r="F55" s="223">
        <f t="shared" ref="F55:F64" si="12">SUM(G55:P55)</f>
        <v>7.7064277808378814E-4</v>
      </c>
      <c r="G55" s="98">
        <v>1.3173663927780048E-4</v>
      </c>
      <c r="H55" s="99">
        <v>1.1000000000000001E-6</v>
      </c>
      <c r="I55" s="100">
        <v>5.7807906502645948E-4</v>
      </c>
      <c r="J55" s="100">
        <v>5.7807906502645948E-5</v>
      </c>
      <c r="K55" s="100">
        <v>7.4960127688222882E-7</v>
      </c>
      <c r="L55" s="100"/>
      <c r="M55" s="100">
        <v>0</v>
      </c>
      <c r="N55" s="100">
        <v>1.1695660000000001E-6</v>
      </c>
      <c r="O55" s="100"/>
      <c r="P55" s="13"/>
      <c r="Q55" s="199">
        <f>'Parameters, country spec'!F22</f>
        <v>2.5654510704344589E-3</v>
      </c>
    </row>
    <row r="56" spans="1:17" x14ac:dyDescent="0.3">
      <c r="A56" s="21" t="s">
        <v>336</v>
      </c>
      <c r="B56" s="16" t="s">
        <v>175</v>
      </c>
      <c r="C56" s="16" t="s">
        <v>334</v>
      </c>
      <c r="D56" s="22" t="s">
        <v>118</v>
      </c>
      <c r="E56" s="22" t="s">
        <v>57</v>
      </c>
      <c r="F56" s="223">
        <f t="shared" si="12"/>
        <v>7.4080189535590966E-4</v>
      </c>
      <c r="G56" s="98">
        <v>1.1925038042019814E-4</v>
      </c>
      <c r="H56" s="99">
        <v>1.1000000000000001E-6</v>
      </c>
      <c r="I56" s="100">
        <v>5.6184338890070615E-4</v>
      </c>
      <c r="J56" s="100">
        <v>5.6184338890070617E-5</v>
      </c>
      <c r="K56" s="100">
        <v>1.2542211449347684E-6</v>
      </c>
      <c r="L56" s="100"/>
      <c r="M56" s="100">
        <v>0</v>
      </c>
      <c r="N56" s="100">
        <v>1.1695660000000001E-6</v>
      </c>
      <c r="O56" s="100"/>
      <c r="P56" s="13"/>
      <c r="Q56" s="199">
        <f>'Parameters, country spec'!F23</f>
        <v>4.1303762233994797E-2</v>
      </c>
    </row>
    <row r="57" spans="1:17" x14ac:dyDescent="0.3">
      <c r="A57" s="21" t="s">
        <v>337</v>
      </c>
      <c r="B57" s="16" t="s">
        <v>176</v>
      </c>
      <c r="C57" s="16" t="s">
        <v>334</v>
      </c>
      <c r="D57" s="22" t="s">
        <v>118</v>
      </c>
      <c r="E57" s="22" t="s">
        <v>57</v>
      </c>
      <c r="F57" s="223">
        <f t="shared" si="12"/>
        <v>6.6289501004433845E-4</v>
      </c>
      <c r="G57" s="98">
        <v>1.0503816802565812E-4</v>
      </c>
      <c r="H57" s="99">
        <v>1.1000000000000001E-6</v>
      </c>
      <c r="I57" s="100">
        <v>5.0432765635150922E-4</v>
      </c>
      <c r="J57" s="100">
        <v>5.0432765635150922E-5</v>
      </c>
      <c r="K57" s="100">
        <v>8.2685403202016689E-7</v>
      </c>
      <c r="L57" s="100"/>
      <c r="M57" s="100">
        <v>0</v>
      </c>
      <c r="N57" s="100">
        <v>1.1695660000000001E-6</v>
      </c>
      <c r="O57" s="100"/>
      <c r="P57" s="13"/>
      <c r="Q57" s="199">
        <f>'Parameters, country spec'!F24</f>
        <v>2.6167600918431479E-2</v>
      </c>
    </row>
    <row r="58" spans="1:17" x14ac:dyDescent="0.3">
      <c r="A58" s="21" t="s">
        <v>338</v>
      </c>
      <c r="B58" s="16" t="s">
        <v>177</v>
      </c>
      <c r="C58" s="16" t="s">
        <v>334</v>
      </c>
      <c r="D58" s="22" t="s">
        <v>118</v>
      </c>
      <c r="E58" s="22" t="s">
        <v>57</v>
      </c>
      <c r="F58" s="223">
        <f t="shared" si="12"/>
        <v>9.1657094895803305E-4</v>
      </c>
      <c r="G58" s="98">
        <v>1.5506058283512638E-4</v>
      </c>
      <c r="H58" s="99">
        <v>1.1000000000000001E-6</v>
      </c>
      <c r="I58" s="100">
        <v>6.8950683668766316E-4</v>
      </c>
      <c r="J58" s="100">
        <v>6.8950683668766316E-5</v>
      </c>
      <c r="K58" s="100">
        <v>7.832797664771855E-7</v>
      </c>
      <c r="L58" s="100"/>
      <c r="M58" s="100">
        <v>0</v>
      </c>
      <c r="N58" s="100">
        <v>1.1695660000000001E-6</v>
      </c>
      <c r="O58" s="100"/>
      <c r="P58" s="13"/>
      <c r="Q58" s="199">
        <f>'Parameters, country spec'!F25</f>
        <v>0.30682794802396129</v>
      </c>
    </row>
    <row r="59" spans="1:17" x14ac:dyDescent="0.3">
      <c r="A59" s="21" t="s">
        <v>339</v>
      </c>
      <c r="B59" s="16" t="s">
        <v>178</v>
      </c>
      <c r="C59" s="16" t="s">
        <v>340</v>
      </c>
      <c r="D59" s="22" t="s">
        <v>118</v>
      </c>
      <c r="E59" s="22" t="s">
        <v>57</v>
      </c>
      <c r="F59" s="223">
        <f t="shared" si="12"/>
        <v>2.0683180874021213E-4</v>
      </c>
      <c r="G59" s="98">
        <v>0</v>
      </c>
      <c r="H59" s="99">
        <v>1.1000000000000001E-6</v>
      </c>
      <c r="I59" s="100">
        <v>1.8457296000000002E-4</v>
      </c>
      <c r="J59" s="100">
        <v>1.8457296000000003E-5</v>
      </c>
      <c r="K59" s="100">
        <v>1.5319867402121297E-6</v>
      </c>
      <c r="L59" s="100"/>
      <c r="M59" s="100">
        <v>0</v>
      </c>
      <c r="N59" s="100">
        <v>1.1695660000000001E-6</v>
      </c>
      <c r="O59" s="100"/>
      <c r="P59" s="13"/>
      <c r="Q59" s="199">
        <f>'Parameters, country spec'!F26</f>
        <v>4.6178119267820264E-3</v>
      </c>
    </row>
    <row r="60" spans="1:17" x14ac:dyDescent="0.3">
      <c r="A60" s="21" t="s">
        <v>341</v>
      </c>
      <c r="B60" s="16" t="s">
        <v>179</v>
      </c>
      <c r="C60" s="16" t="s">
        <v>340</v>
      </c>
      <c r="D60" s="22" t="s">
        <v>118</v>
      </c>
      <c r="E60" s="22" t="s">
        <v>57</v>
      </c>
      <c r="F60" s="223">
        <f t="shared" si="12"/>
        <v>2.3870339373407735E-4</v>
      </c>
      <c r="G60" s="98">
        <v>6.6632952642360706E-6</v>
      </c>
      <c r="H60" s="99">
        <v>1.1000000000000001E-6</v>
      </c>
      <c r="I60" s="100">
        <v>2.067986173968254E-4</v>
      </c>
      <c r="J60" s="100">
        <v>2.0679861739682541E-5</v>
      </c>
      <c r="K60" s="100">
        <v>2.2920533333333338E-6</v>
      </c>
      <c r="L60" s="100"/>
      <c r="M60" s="100">
        <v>0</v>
      </c>
      <c r="N60" s="100">
        <v>1.1695660000000001E-6</v>
      </c>
      <c r="O60" s="100"/>
      <c r="P60" s="13"/>
      <c r="Q60" s="199">
        <f>'Parameters, country spec'!F27</f>
        <v>5.3104837157993301E-2</v>
      </c>
    </row>
    <row r="61" spans="1:17" x14ac:dyDescent="0.3">
      <c r="B61" s="17" t="s">
        <v>180</v>
      </c>
      <c r="C61" s="16" t="s">
        <v>342</v>
      </c>
      <c r="D61" s="22" t="s">
        <v>118</v>
      </c>
      <c r="E61" s="22" t="s">
        <v>57</v>
      </c>
      <c r="F61" s="224">
        <f t="shared" si="12"/>
        <v>5.8000379334182534E-4</v>
      </c>
      <c r="G61" s="33">
        <f>'Processed feed'!$F$38</f>
        <v>2.5154866356233592E-4</v>
      </c>
      <c r="H61" s="33">
        <f>'Processed feed'!$G$38</f>
        <v>2.575956076270594E-4</v>
      </c>
      <c r="I61" s="33">
        <f>'Processed feed'!$H$38</f>
        <v>0</v>
      </c>
      <c r="J61" s="33">
        <f>'Processed feed'!$I$38</f>
        <v>0</v>
      </c>
      <c r="K61" s="33">
        <f>'Processed feed'!$J$38</f>
        <v>3.5012930046684228E-5</v>
      </c>
      <c r="L61" s="33">
        <f>'Processed feed'!$K$38</f>
        <v>0</v>
      </c>
      <c r="M61" s="33">
        <f>'Processed feed'!$L$38</f>
        <v>0</v>
      </c>
      <c r="N61" s="33">
        <f>'Processed feed'!$M$38</f>
        <v>3.4018889403043034E-5</v>
      </c>
      <c r="O61" s="33">
        <f>'Processed feed'!$N$38</f>
        <v>0</v>
      </c>
      <c r="P61" s="33">
        <f>'Processed feed'!$O$38</f>
        <v>1.8277027027027027E-6</v>
      </c>
      <c r="Q61" s="199">
        <f>'Parameters, country spec'!F28</f>
        <v>2.7193781346605266E-2</v>
      </c>
    </row>
    <row r="62" spans="1:17" x14ac:dyDescent="0.3">
      <c r="B62" s="17" t="s">
        <v>343</v>
      </c>
      <c r="C62" s="16" t="s">
        <v>342</v>
      </c>
      <c r="D62" s="22" t="s">
        <v>118</v>
      </c>
      <c r="E62" s="22" t="s">
        <v>57</v>
      </c>
      <c r="F62" s="224">
        <f t="shared" si="12"/>
        <v>1.123760611639415E-3</v>
      </c>
      <c r="G62" s="33">
        <f>'Processed feed'!$F$43</f>
        <v>0</v>
      </c>
      <c r="H62" s="33">
        <f>'Processed feed'!$G$43</f>
        <v>1.1433179068612911E-6</v>
      </c>
      <c r="I62" s="33">
        <f>'Processed feed'!$H$43</f>
        <v>1.9184142753672076E-4</v>
      </c>
      <c r="J62" s="33">
        <f>'Processed feed'!$I$43</f>
        <v>1.9184142753672074E-5</v>
      </c>
      <c r="K62" s="33">
        <f>'Processed feed'!$J$43</f>
        <v>1.592316248325986E-6</v>
      </c>
      <c r="L62" s="33">
        <f>'Processed feed'!$K$43</f>
        <v>0</v>
      </c>
      <c r="M62" s="33">
        <f>'Processed feed'!$L$43</f>
        <v>0</v>
      </c>
      <c r="N62" s="33">
        <f>'Processed feed'!$M$43</f>
        <v>1.21562341005103E-6</v>
      </c>
      <c r="O62" s="33">
        <f>'Processed feed'!$N$43</f>
        <v>0</v>
      </c>
      <c r="P62" s="33">
        <f>'Processed feed'!$O$43</f>
        <v>9.0878378378378389E-4</v>
      </c>
      <c r="Q62" s="199">
        <f>'Parameters, country spec'!F29</f>
        <v>3.5916314986082429E-2</v>
      </c>
    </row>
    <row r="63" spans="1:17" x14ac:dyDescent="0.3">
      <c r="B63" s="16" t="s">
        <v>182</v>
      </c>
      <c r="C63" s="16" t="s">
        <v>344</v>
      </c>
      <c r="D63" s="22" t="s">
        <v>118</v>
      </c>
      <c r="E63" s="22" t="s">
        <v>57</v>
      </c>
      <c r="F63" s="224"/>
      <c r="G63" s="13"/>
      <c r="H63" s="13"/>
      <c r="I63" s="13"/>
      <c r="J63" s="13"/>
      <c r="K63" s="13"/>
      <c r="L63" s="13"/>
      <c r="M63" s="13"/>
      <c r="N63" s="13"/>
      <c r="O63" s="13"/>
      <c r="P63" s="13"/>
      <c r="Q63" s="199">
        <f>'Parameters, country spec'!F30</f>
        <v>0.13313408330019627</v>
      </c>
    </row>
    <row r="64" spans="1:17" x14ac:dyDescent="0.3">
      <c r="A64" s="82"/>
      <c r="B64" s="16" t="s">
        <v>345</v>
      </c>
      <c r="C64" s="83" t="s">
        <v>346</v>
      </c>
      <c r="D64" s="22" t="s">
        <v>118</v>
      </c>
      <c r="E64" s="22" t="s">
        <v>57</v>
      </c>
      <c r="F64" s="224">
        <f t="shared" si="12"/>
        <v>5.7406708064729087E-4</v>
      </c>
      <c r="G64" s="81">
        <f t="shared" ref="G64:N64" si="13">AVERAGE(G54:G62)</f>
        <v>1.0050773339131949E-4</v>
      </c>
      <c r="H64" s="81">
        <f t="shared" si="13"/>
        <v>2.9604325059324526E-5</v>
      </c>
      <c r="I64" s="81">
        <f t="shared" si="13"/>
        <v>3.946498927136606E-4</v>
      </c>
      <c r="J64" s="81">
        <f t="shared" si="13"/>
        <v>3.9464989271366065E-5</v>
      </c>
      <c r="K64" s="81">
        <f t="shared" si="13"/>
        <v>5.0155318990542028E-6</v>
      </c>
      <c r="L64" s="81">
        <f t="shared" si="13"/>
        <v>0</v>
      </c>
      <c r="M64" s="81">
        <f t="shared" si="13"/>
        <v>0</v>
      </c>
      <c r="N64" s="81">
        <f t="shared" si="13"/>
        <v>4.8246083125660061E-6</v>
      </c>
      <c r="O64" s="81"/>
      <c r="P64" s="81"/>
      <c r="Q64" s="199">
        <f>'Parameters, country spec'!F31</f>
        <v>0.1236547415949409</v>
      </c>
    </row>
    <row r="65" spans="1:17" x14ac:dyDescent="0.3">
      <c r="A65" s="198"/>
      <c r="B65" s="24" t="s">
        <v>347</v>
      </c>
      <c r="C65" s="25"/>
      <c r="D65" s="101"/>
      <c r="E65" s="101"/>
      <c r="F65" s="46">
        <f>SUMPRODUCT(F54:F64,$Q$54:$Q$64)</f>
        <v>6.7739843588762662E-4</v>
      </c>
      <c r="G65" s="46">
        <f t="shared" ref="G65:P65" si="14">SUMPRODUCT(G54:G64,$Q$54:$Q$64)</f>
        <v>1.0842273412420079E-4</v>
      </c>
      <c r="H65" s="46">
        <f t="shared" si="14"/>
        <v>1.1454888747681036E-5</v>
      </c>
      <c r="I65" s="46">
        <f t="shared" si="14"/>
        <v>4.7284268168868647E-4</v>
      </c>
      <c r="J65" s="46">
        <f t="shared" si="14"/>
        <v>4.7284268168868639E-5</v>
      </c>
      <c r="K65" s="46">
        <f t="shared" si="14"/>
        <v>2.3432246320408002E-6</v>
      </c>
      <c r="L65" s="46">
        <f t="shared" si="14"/>
        <v>0</v>
      </c>
      <c r="M65" s="46">
        <f t="shared" si="14"/>
        <v>0</v>
      </c>
      <c r="N65" s="46">
        <f t="shared" si="14"/>
        <v>2.3607717458629587E-6</v>
      </c>
      <c r="O65" s="46">
        <f t="shared" si="14"/>
        <v>0</v>
      </c>
      <c r="P65" s="46">
        <f t="shared" si="14"/>
        <v>3.2689866780286108E-5</v>
      </c>
      <c r="Q65" s="200"/>
    </row>
    <row r="66" spans="1:17" x14ac:dyDescent="0.3">
      <c r="A66" s="21" t="s">
        <v>333</v>
      </c>
      <c r="B66" s="16" t="s">
        <v>172</v>
      </c>
      <c r="C66" s="16" t="s">
        <v>334</v>
      </c>
      <c r="D66" s="22" t="s">
        <v>58</v>
      </c>
      <c r="E66" s="22" t="s">
        <v>59</v>
      </c>
      <c r="F66" s="225">
        <f>SUM(G66:P66)</f>
        <v>8.3700497241450582E-4</v>
      </c>
      <c r="G66" s="203">
        <v>1.3527187113652022E-4</v>
      </c>
      <c r="H66" s="204">
        <v>1.1000000000000001E-6</v>
      </c>
      <c r="I66" s="207">
        <v>6.348790825230616E-4</v>
      </c>
      <c r="J66" s="207">
        <v>6.3487908252306166E-5</v>
      </c>
      <c r="K66" s="207">
        <v>1.0965445026178011E-6</v>
      </c>
      <c r="L66" s="207"/>
      <c r="M66" s="207">
        <v>0</v>
      </c>
      <c r="N66" s="207">
        <v>1.1695660000000001E-6</v>
      </c>
      <c r="O66" s="207"/>
      <c r="P66" s="206"/>
      <c r="Q66" s="210">
        <f>'Parameters, country spec'!G21</f>
        <v>0.24551366744057773</v>
      </c>
    </row>
    <row r="67" spans="1:17" x14ac:dyDescent="0.3">
      <c r="A67" s="21" t="s">
        <v>335</v>
      </c>
      <c r="B67" s="16" t="s">
        <v>174</v>
      </c>
      <c r="C67" s="16" t="s">
        <v>334</v>
      </c>
      <c r="D67" s="22" t="s">
        <v>58</v>
      </c>
      <c r="E67" s="22" t="s">
        <v>59</v>
      </c>
      <c r="F67" s="223">
        <f t="shared" ref="F67:F76" si="15">SUM(G67:P67)</f>
        <v>7.7064277808378814E-4</v>
      </c>
      <c r="G67" s="98">
        <v>1.3173663927780048E-4</v>
      </c>
      <c r="H67" s="99">
        <v>1.1000000000000001E-6</v>
      </c>
      <c r="I67" s="100">
        <v>5.7807906502645948E-4</v>
      </c>
      <c r="J67" s="100">
        <v>5.7807906502645948E-5</v>
      </c>
      <c r="K67" s="100">
        <v>7.4960127688222882E-7</v>
      </c>
      <c r="L67" s="100"/>
      <c r="M67" s="100">
        <v>0</v>
      </c>
      <c r="N67" s="100">
        <v>1.1695660000000001E-6</v>
      </c>
      <c r="O67" s="100"/>
      <c r="P67" s="13"/>
      <c r="Q67" s="199">
        <f>'Parameters, country spec'!G22</f>
        <v>2.5654510704344589E-3</v>
      </c>
    </row>
    <row r="68" spans="1:17" x14ac:dyDescent="0.3">
      <c r="A68" s="21" t="s">
        <v>336</v>
      </c>
      <c r="B68" s="16" t="s">
        <v>175</v>
      </c>
      <c r="C68" s="16" t="s">
        <v>334</v>
      </c>
      <c r="D68" s="22" t="s">
        <v>58</v>
      </c>
      <c r="E68" s="22" t="s">
        <v>59</v>
      </c>
      <c r="F68" s="223">
        <f t="shared" si="15"/>
        <v>7.4080189535590966E-4</v>
      </c>
      <c r="G68" s="98">
        <v>1.1925038042019814E-4</v>
      </c>
      <c r="H68" s="99">
        <v>1.1000000000000001E-6</v>
      </c>
      <c r="I68" s="100">
        <v>5.6184338890070615E-4</v>
      </c>
      <c r="J68" s="100">
        <v>5.6184338890070617E-5</v>
      </c>
      <c r="K68" s="100">
        <v>1.2542211449347684E-6</v>
      </c>
      <c r="L68" s="100"/>
      <c r="M68" s="100">
        <v>0</v>
      </c>
      <c r="N68" s="100">
        <v>1.1695660000000001E-6</v>
      </c>
      <c r="O68" s="100"/>
      <c r="P68" s="13"/>
      <c r="Q68" s="199">
        <f>'Parameters, country spec'!G23</f>
        <v>4.1303762233994797E-2</v>
      </c>
    </row>
    <row r="69" spans="1:17" x14ac:dyDescent="0.3">
      <c r="A69" s="21" t="s">
        <v>337</v>
      </c>
      <c r="B69" s="16" t="s">
        <v>176</v>
      </c>
      <c r="C69" s="16" t="s">
        <v>334</v>
      </c>
      <c r="D69" s="22" t="s">
        <v>58</v>
      </c>
      <c r="E69" s="22" t="s">
        <v>59</v>
      </c>
      <c r="F69" s="223">
        <f t="shared" si="15"/>
        <v>6.6289501004433845E-4</v>
      </c>
      <c r="G69" s="98">
        <v>1.0503816802565812E-4</v>
      </c>
      <c r="H69" s="99">
        <v>1.1000000000000001E-6</v>
      </c>
      <c r="I69" s="100">
        <v>5.0432765635150922E-4</v>
      </c>
      <c r="J69" s="100">
        <v>5.0432765635150922E-5</v>
      </c>
      <c r="K69" s="100">
        <v>8.2685403202016689E-7</v>
      </c>
      <c r="L69" s="100"/>
      <c r="M69" s="100">
        <v>0</v>
      </c>
      <c r="N69" s="100">
        <v>1.1695660000000001E-6</v>
      </c>
      <c r="O69" s="100"/>
      <c r="P69" s="13"/>
      <c r="Q69" s="199">
        <f>'Parameters, country spec'!G24</f>
        <v>2.6167600918431479E-2</v>
      </c>
    </row>
    <row r="70" spans="1:17" x14ac:dyDescent="0.3">
      <c r="A70" s="21" t="s">
        <v>338</v>
      </c>
      <c r="B70" s="16" t="s">
        <v>177</v>
      </c>
      <c r="C70" s="16" t="s">
        <v>334</v>
      </c>
      <c r="D70" s="22" t="s">
        <v>58</v>
      </c>
      <c r="E70" s="22" t="s">
        <v>59</v>
      </c>
      <c r="F70" s="223">
        <f t="shared" si="15"/>
        <v>9.1657094895803305E-4</v>
      </c>
      <c r="G70" s="98">
        <v>1.5506058283512638E-4</v>
      </c>
      <c r="H70" s="99">
        <v>1.1000000000000001E-6</v>
      </c>
      <c r="I70" s="100">
        <v>6.8950683668766316E-4</v>
      </c>
      <c r="J70" s="100">
        <v>6.8950683668766316E-5</v>
      </c>
      <c r="K70" s="100">
        <v>7.832797664771855E-7</v>
      </c>
      <c r="L70" s="100"/>
      <c r="M70" s="100">
        <v>0</v>
      </c>
      <c r="N70" s="100">
        <v>1.1695660000000001E-6</v>
      </c>
      <c r="O70" s="100"/>
      <c r="P70" s="13"/>
      <c r="Q70" s="199">
        <f>'Parameters, country spec'!G25</f>
        <v>0.30682794802396129</v>
      </c>
    </row>
    <row r="71" spans="1:17" x14ac:dyDescent="0.3">
      <c r="A71" s="21" t="s">
        <v>339</v>
      </c>
      <c r="B71" s="16" t="s">
        <v>178</v>
      </c>
      <c r="C71" s="16" t="s">
        <v>340</v>
      </c>
      <c r="D71" s="22" t="s">
        <v>58</v>
      </c>
      <c r="E71" s="22" t="s">
        <v>59</v>
      </c>
      <c r="F71" s="223">
        <f t="shared" si="15"/>
        <v>2.0683180874021213E-4</v>
      </c>
      <c r="G71" s="98">
        <v>0</v>
      </c>
      <c r="H71" s="99">
        <v>1.1000000000000001E-6</v>
      </c>
      <c r="I71" s="100">
        <v>1.8457296000000002E-4</v>
      </c>
      <c r="J71" s="100">
        <v>1.8457296000000003E-5</v>
      </c>
      <c r="K71" s="100">
        <v>1.5319867402121297E-6</v>
      </c>
      <c r="L71" s="100"/>
      <c r="M71" s="100">
        <v>0</v>
      </c>
      <c r="N71" s="100">
        <v>1.1695660000000001E-6</v>
      </c>
      <c r="O71" s="100"/>
      <c r="P71" s="13"/>
      <c r="Q71" s="199">
        <f>'Parameters, country spec'!G26</f>
        <v>4.6178119267820264E-3</v>
      </c>
    </row>
    <row r="72" spans="1:17" x14ac:dyDescent="0.3">
      <c r="A72" s="21" t="s">
        <v>341</v>
      </c>
      <c r="B72" s="16" t="s">
        <v>179</v>
      </c>
      <c r="C72" s="16" t="s">
        <v>340</v>
      </c>
      <c r="D72" s="22" t="s">
        <v>58</v>
      </c>
      <c r="E72" s="22" t="s">
        <v>59</v>
      </c>
      <c r="F72" s="223">
        <f t="shared" si="15"/>
        <v>2.3870339373407735E-4</v>
      </c>
      <c r="G72" s="98">
        <v>6.6632952642360706E-6</v>
      </c>
      <c r="H72" s="99">
        <v>1.1000000000000001E-6</v>
      </c>
      <c r="I72" s="100">
        <v>2.067986173968254E-4</v>
      </c>
      <c r="J72" s="100">
        <v>2.0679861739682541E-5</v>
      </c>
      <c r="K72" s="100">
        <v>2.2920533333333338E-6</v>
      </c>
      <c r="L72" s="100"/>
      <c r="M72" s="100">
        <v>0</v>
      </c>
      <c r="N72" s="100">
        <v>1.1695660000000001E-6</v>
      </c>
      <c r="O72" s="100"/>
      <c r="P72" s="13"/>
      <c r="Q72" s="199">
        <f>'Parameters, country spec'!G27</f>
        <v>5.3104837157993301E-2</v>
      </c>
    </row>
    <row r="73" spans="1:17" x14ac:dyDescent="0.3">
      <c r="B73" s="17" t="s">
        <v>180</v>
      </c>
      <c r="C73" s="16" t="s">
        <v>342</v>
      </c>
      <c r="D73" s="22" t="s">
        <v>58</v>
      </c>
      <c r="E73" s="22" t="s">
        <v>59</v>
      </c>
      <c r="F73" s="224">
        <f t="shared" si="15"/>
        <v>5.8000379334182534E-4</v>
      </c>
      <c r="G73" s="33">
        <f>'Processed feed'!$F$38</f>
        <v>2.5154866356233592E-4</v>
      </c>
      <c r="H73" s="33">
        <f>'Processed feed'!$G$38</f>
        <v>2.575956076270594E-4</v>
      </c>
      <c r="I73" s="33">
        <f>'Processed feed'!$H$38</f>
        <v>0</v>
      </c>
      <c r="J73" s="33">
        <f>'Processed feed'!$I$38</f>
        <v>0</v>
      </c>
      <c r="K73" s="33">
        <f>'Processed feed'!$J$38</f>
        <v>3.5012930046684228E-5</v>
      </c>
      <c r="L73" s="33">
        <f>'Processed feed'!$K$38</f>
        <v>0</v>
      </c>
      <c r="M73" s="33">
        <f>'Processed feed'!$L$38</f>
        <v>0</v>
      </c>
      <c r="N73" s="33">
        <f>'Processed feed'!$M$38</f>
        <v>3.4018889403043034E-5</v>
      </c>
      <c r="O73" s="33">
        <f>'Processed feed'!$N$38</f>
        <v>0</v>
      </c>
      <c r="P73" s="33">
        <f>'Processed feed'!$O$38</f>
        <v>1.8277027027027027E-6</v>
      </c>
      <c r="Q73" s="199">
        <f>'Parameters, country spec'!G28</f>
        <v>2.7193781346605266E-2</v>
      </c>
    </row>
    <row r="74" spans="1:17" x14ac:dyDescent="0.3">
      <c r="B74" s="17" t="s">
        <v>343</v>
      </c>
      <c r="C74" s="16" t="s">
        <v>342</v>
      </c>
      <c r="D74" s="22" t="s">
        <v>58</v>
      </c>
      <c r="E74" s="22" t="s">
        <v>59</v>
      </c>
      <c r="F74" s="224">
        <f t="shared" si="15"/>
        <v>1.123760611639415E-3</v>
      </c>
      <c r="G74" s="33">
        <f>'Processed feed'!$F$43</f>
        <v>0</v>
      </c>
      <c r="H74" s="33">
        <f>'Processed feed'!$G$43</f>
        <v>1.1433179068612911E-6</v>
      </c>
      <c r="I74" s="33">
        <f>'Processed feed'!$H$43</f>
        <v>1.9184142753672076E-4</v>
      </c>
      <c r="J74" s="33">
        <f>'Processed feed'!$I$43</f>
        <v>1.9184142753672074E-5</v>
      </c>
      <c r="K74" s="33">
        <f>'Processed feed'!$J$43</f>
        <v>1.592316248325986E-6</v>
      </c>
      <c r="L74" s="33">
        <f>'Processed feed'!$K$43</f>
        <v>0</v>
      </c>
      <c r="M74" s="33">
        <f>'Processed feed'!$L$43</f>
        <v>0</v>
      </c>
      <c r="N74" s="33">
        <f>'Processed feed'!$M$43</f>
        <v>1.21562341005103E-6</v>
      </c>
      <c r="O74" s="33">
        <f>'Processed feed'!$N$43</f>
        <v>0</v>
      </c>
      <c r="P74" s="33">
        <f>'Processed feed'!$O$43</f>
        <v>9.0878378378378389E-4</v>
      </c>
      <c r="Q74" s="199">
        <f>'Parameters, country spec'!G29</f>
        <v>3.5916314986082429E-2</v>
      </c>
    </row>
    <row r="75" spans="1:17" x14ac:dyDescent="0.3">
      <c r="B75" s="16" t="s">
        <v>182</v>
      </c>
      <c r="C75" s="16" t="s">
        <v>344</v>
      </c>
      <c r="D75" s="22" t="s">
        <v>58</v>
      </c>
      <c r="E75" s="22" t="s">
        <v>59</v>
      </c>
      <c r="F75" s="224"/>
      <c r="G75" s="13"/>
      <c r="H75" s="13"/>
      <c r="I75" s="13"/>
      <c r="J75" s="13"/>
      <c r="K75" s="13"/>
      <c r="L75" s="13"/>
      <c r="M75" s="13"/>
      <c r="N75" s="13"/>
      <c r="O75" s="13"/>
      <c r="P75" s="13"/>
      <c r="Q75" s="199">
        <f>'Parameters, country spec'!G30</f>
        <v>0.13313408330019627</v>
      </c>
    </row>
    <row r="76" spans="1:17" x14ac:dyDescent="0.3">
      <c r="A76" s="82"/>
      <c r="B76" s="16" t="s">
        <v>345</v>
      </c>
      <c r="C76" s="83" t="s">
        <v>346</v>
      </c>
      <c r="D76" s="22" t="s">
        <v>58</v>
      </c>
      <c r="E76" s="22" t="s">
        <v>59</v>
      </c>
      <c r="F76" s="224">
        <f t="shared" si="15"/>
        <v>5.7406708064729087E-4</v>
      </c>
      <c r="G76" s="81">
        <f t="shared" ref="G76:N76" si="16">AVERAGE(G66:G74)</f>
        <v>1.0050773339131949E-4</v>
      </c>
      <c r="H76" s="81">
        <f t="shared" si="16"/>
        <v>2.9604325059324526E-5</v>
      </c>
      <c r="I76" s="81">
        <f t="shared" si="16"/>
        <v>3.946498927136606E-4</v>
      </c>
      <c r="J76" s="81">
        <f t="shared" si="16"/>
        <v>3.9464989271366065E-5</v>
      </c>
      <c r="K76" s="81">
        <f t="shared" si="16"/>
        <v>5.0155318990542028E-6</v>
      </c>
      <c r="L76" s="81">
        <f t="shared" si="16"/>
        <v>0</v>
      </c>
      <c r="M76" s="81">
        <f t="shared" si="16"/>
        <v>0</v>
      </c>
      <c r="N76" s="81">
        <f t="shared" si="16"/>
        <v>4.8246083125660061E-6</v>
      </c>
      <c r="O76" s="81"/>
      <c r="P76" s="81"/>
      <c r="Q76" s="199">
        <f>'Parameters, country spec'!G31</f>
        <v>0.1236547415949409</v>
      </c>
    </row>
    <row r="77" spans="1:17" x14ac:dyDescent="0.3">
      <c r="A77" s="198"/>
      <c r="B77" s="24" t="s">
        <v>347</v>
      </c>
      <c r="C77" s="25"/>
      <c r="D77" s="101"/>
      <c r="E77" s="101"/>
      <c r="F77" s="46">
        <f>SUMPRODUCT(F66:F76,$Q$66:$Q$76)</f>
        <v>6.7739843588762662E-4</v>
      </c>
      <c r="G77" s="46">
        <f t="shared" ref="G77:P77" si="17">SUMPRODUCT(G66:G76,$Q$66:$Q$76)</f>
        <v>1.0842273412420079E-4</v>
      </c>
      <c r="H77" s="46">
        <f t="shared" si="17"/>
        <v>1.1454888747681036E-5</v>
      </c>
      <c r="I77" s="46">
        <f t="shared" si="17"/>
        <v>4.7284268168868647E-4</v>
      </c>
      <c r="J77" s="46">
        <f t="shared" si="17"/>
        <v>4.7284268168868639E-5</v>
      </c>
      <c r="K77" s="46">
        <f t="shared" si="17"/>
        <v>2.3432246320408002E-6</v>
      </c>
      <c r="L77" s="46">
        <f t="shared" si="17"/>
        <v>0</v>
      </c>
      <c r="M77" s="46">
        <f t="shared" si="17"/>
        <v>0</v>
      </c>
      <c r="N77" s="46">
        <f t="shared" si="17"/>
        <v>2.3607717458629587E-6</v>
      </c>
      <c r="O77" s="46">
        <f t="shared" si="17"/>
        <v>0</v>
      </c>
      <c r="P77" s="46">
        <f t="shared" si="17"/>
        <v>3.2689866780286108E-5</v>
      </c>
      <c r="Q77" s="200"/>
    </row>
    <row r="78" spans="1:17" x14ac:dyDescent="0.3">
      <c r="A78" s="21" t="s">
        <v>333</v>
      </c>
      <c r="B78" s="16" t="s">
        <v>172</v>
      </c>
      <c r="C78" s="16" t="s">
        <v>334</v>
      </c>
      <c r="D78" s="22" t="s">
        <v>60</v>
      </c>
      <c r="E78" s="22" t="s">
        <v>61</v>
      </c>
      <c r="F78" s="225">
        <f>SUM(G78:P78)</f>
        <v>8.3700497241450582E-4</v>
      </c>
      <c r="G78" s="203">
        <v>1.3527187113652022E-4</v>
      </c>
      <c r="H78" s="204">
        <v>1.1000000000000001E-6</v>
      </c>
      <c r="I78" s="207">
        <v>6.348790825230616E-4</v>
      </c>
      <c r="J78" s="207">
        <v>6.3487908252306166E-5</v>
      </c>
      <c r="K78" s="207">
        <v>1.0965445026178011E-6</v>
      </c>
      <c r="L78" s="207"/>
      <c r="M78" s="207">
        <v>0</v>
      </c>
      <c r="N78" s="207">
        <v>1.1695660000000001E-6</v>
      </c>
      <c r="O78" s="207"/>
      <c r="P78" s="206"/>
      <c r="Q78" s="210">
        <f>'Parameters, country spec'!H21</f>
        <v>0.24551366744057773</v>
      </c>
    </row>
    <row r="79" spans="1:17" x14ac:dyDescent="0.3">
      <c r="A79" s="21" t="s">
        <v>335</v>
      </c>
      <c r="B79" s="16" t="s">
        <v>174</v>
      </c>
      <c r="C79" s="16" t="s">
        <v>334</v>
      </c>
      <c r="D79" s="22" t="s">
        <v>60</v>
      </c>
      <c r="E79" s="22" t="s">
        <v>61</v>
      </c>
      <c r="F79" s="223">
        <f t="shared" ref="F79:F88" si="18">SUM(G79:P79)</f>
        <v>7.7064277808378814E-4</v>
      </c>
      <c r="G79" s="98">
        <v>1.3173663927780048E-4</v>
      </c>
      <c r="H79" s="99">
        <v>1.1000000000000001E-6</v>
      </c>
      <c r="I79" s="100">
        <v>5.7807906502645948E-4</v>
      </c>
      <c r="J79" s="100">
        <v>5.7807906502645948E-5</v>
      </c>
      <c r="K79" s="100">
        <v>7.4960127688222882E-7</v>
      </c>
      <c r="L79" s="100"/>
      <c r="M79" s="100">
        <v>0</v>
      </c>
      <c r="N79" s="100">
        <v>1.1695660000000001E-6</v>
      </c>
      <c r="O79" s="100"/>
      <c r="P79" s="13"/>
      <c r="Q79" s="199">
        <f>'Parameters, country spec'!H22</f>
        <v>2.5654510704344589E-3</v>
      </c>
    </row>
    <row r="80" spans="1:17" x14ac:dyDescent="0.3">
      <c r="A80" s="21" t="s">
        <v>336</v>
      </c>
      <c r="B80" s="16" t="s">
        <v>175</v>
      </c>
      <c r="C80" s="16" t="s">
        <v>334</v>
      </c>
      <c r="D80" s="22" t="s">
        <v>60</v>
      </c>
      <c r="E80" s="22" t="s">
        <v>61</v>
      </c>
      <c r="F80" s="223">
        <f t="shared" si="18"/>
        <v>7.4080189535590966E-4</v>
      </c>
      <c r="G80" s="98">
        <v>1.1925038042019814E-4</v>
      </c>
      <c r="H80" s="99">
        <v>1.1000000000000001E-6</v>
      </c>
      <c r="I80" s="100">
        <v>5.6184338890070615E-4</v>
      </c>
      <c r="J80" s="100">
        <v>5.6184338890070617E-5</v>
      </c>
      <c r="K80" s="100">
        <v>1.2542211449347684E-6</v>
      </c>
      <c r="L80" s="100"/>
      <c r="M80" s="100">
        <v>0</v>
      </c>
      <c r="N80" s="100">
        <v>1.1695660000000001E-6</v>
      </c>
      <c r="O80" s="100"/>
      <c r="P80" s="13"/>
      <c r="Q80" s="199">
        <f>'Parameters, country spec'!H23</f>
        <v>4.1303762233994797E-2</v>
      </c>
    </row>
    <row r="81" spans="1:17" x14ac:dyDescent="0.3">
      <c r="A81" s="21" t="s">
        <v>337</v>
      </c>
      <c r="B81" s="16" t="s">
        <v>176</v>
      </c>
      <c r="C81" s="16" t="s">
        <v>334</v>
      </c>
      <c r="D81" s="22" t="s">
        <v>60</v>
      </c>
      <c r="E81" s="22" t="s">
        <v>61</v>
      </c>
      <c r="F81" s="223">
        <f t="shared" si="18"/>
        <v>6.6289501004433845E-4</v>
      </c>
      <c r="G81" s="98">
        <v>1.0503816802565812E-4</v>
      </c>
      <c r="H81" s="99">
        <v>1.1000000000000001E-6</v>
      </c>
      <c r="I81" s="100">
        <v>5.0432765635150922E-4</v>
      </c>
      <c r="J81" s="100">
        <v>5.0432765635150922E-5</v>
      </c>
      <c r="K81" s="100">
        <v>8.2685403202016689E-7</v>
      </c>
      <c r="L81" s="100"/>
      <c r="M81" s="100">
        <v>0</v>
      </c>
      <c r="N81" s="100">
        <v>1.1695660000000001E-6</v>
      </c>
      <c r="O81" s="100"/>
      <c r="P81" s="13"/>
      <c r="Q81" s="199">
        <f>'Parameters, country spec'!H24</f>
        <v>2.6167600918431479E-2</v>
      </c>
    </row>
    <row r="82" spans="1:17" x14ac:dyDescent="0.3">
      <c r="A82" s="21" t="s">
        <v>338</v>
      </c>
      <c r="B82" s="16" t="s">
        <v>177</v>
      </c>
      <c r="C82" s="16" t="s">
        <v>334</v>
      </c>
      <c r="D82" s="22" t="s">
        <v>60</v>
      </c>
      <c r="E82" s="22" t="s">
        <v>61</v>
      </c>
      <c r="F82" s="223">
        <f t="shared" si="18"/>
        <v>9.1657094895803305E-4</v>
      </c>
      <c r="G82" s="98">
        <v>1.5506058283512638E-4</v>
      </c>
      <c r="H82" s="99">
        <v>1.1000000000000001E-6</v>
      </c>
      <c r="I82" s="100">
        <v>6.8950683668766316E-4</v>
      </c>
      <c r="J82" s="100">
        <v>6.8950683668766316E-5</v>
      </c>
      <c r="K82" s="100">
        <v>7.832797664771855E-7</v>
      </c>
      <c r="L82" s="100"/>
      <c r="M82" s="100">
        <v>0</v>
      </c>
      <c r="N82" s="100">
        <v>1.1695660000000001E-6</v>
      </c>
      <c r="O82" s="100"/>
      <c r="P82" s="13"/>
      <c r="Q82" s="199">
        <f>'Parameters, country spec'!H25</f>
        <v>0.30682794802396129</v>
      </c>
    </row>
    <row r="83" spans="1:17" x14ac:dyDescent="0.3">
      <c r="A83" s="21" t="s">
        <v>339</v>
      </c>
      <c r="B83" s="16" t="s">
        <v>178</v>
      </c>
      <c r="C83" s="16" t="s">
        <v>340</v>
      </c>
      <c r="D83" s="22" t="s">
        <v>60</v>
      </c>
      <c r="E83" s="22" t="s">
        <v>61</v>
      </c>
      <c r="F83" s="223">
        <f t="shared" si="18"/>
        <v>2.0683180874021213E-4</v>
      </c>
      <c r="G83" s="98">
        <v>0</v>
      </c>
      <c r="H83" s="99">
        <v>1.1000000000000001E-6</v>
      </c>
      <c r="I83" s="100">
        <v>1.8457296000000002E-4</v>
      </c>
      <c r="J83" s="100">
        <v>1.8457296000000003E-5</v>
      </c>
      <c r="K83" s="100">
        <v>1.5319867402121297E-6</v>
      </c>
      <c r="L83" s="100"/>
      <c r="M83" s="100">
        <v>0</v>
      </c>
      <c r="N83" s="100">
        <v>1.1695660000000001E-6</v>
      </c>
      <c r="O83" s="100"/>
      <c r="P83" s="13"/>
      <c r="Q83" s="199">
        <f>'Parameters, country spec'!H26</f>
        <v>4.6178119267820264E-3</v>
      </c>
    </row>
    <row r="84" spans="1:17" x14ac:dyDescent="0.3">
      <c r="A84" s="21" t="s">
        <v>341</v>
      </c>
      <c r="B84" s="16" t="s">
        <v>179</v>
      </c>
      <c r="C84" s="16" t="s">
        <v>340</v>
      </c>
      <c r="D84" s="22" t="s">
        <v>60</v>
      </c>
      <c r="E84" s="22" t="s">
        <v>61</v>
      </c>
      <c r="F84" s="223">
        <f t="shared" si="18"/>
        <v>2.3870339373407735E-4</v>
      </c>
      <c r="G84" s="98">
        <v>6.6632952642360706E-6</v>
      </c>
      <c r="H84" s="99">
        <v>1.1000000000000001E-6</v>
      </c>
      <c r="I84" s="100">
        <v>2.067986173968254E-4</v>
      </c>
      <c r="J84" s="100">
        <v>2.0679861739682541E-5</v>
      </c>
      <c r="K84" s="100">
        <v>2.2920533333333338E-6</v>
      </c>
      <c r="L84" s="100"/>
      <c r="M84" s="100">
        <v>0</v>
      </c>
      <c r="N84" s="100">
        <v>1.1695660000000001E-6</v>
      </c>
      <c r="O84" s="100"/>
      <c r="P84" s="13"/>
      <c r="Q84" s="199">
        <f>'Parameters, country spec'!H27</f>
        <v>5.3104837157993301E-2</v>
      </c>
    </row>
    <row r="85" spans="1:17" x14ac:dyDescent="0.3">
      <c r="B85" s="17" t="s">
        <v>180</v>
      </c>
      <c r="C85" s="16" t="s">
        <v>342</v>
      </c>
      <c r="D85" s="22" t="s">
        <v>60</v>
      </c>
      <c r="E85" s="22" t="s">
        <v>61</v>
      </c>
      <c r="F85" s="224">
        <f t="shared" si="18"/>
        <v>5.8000379334182534E-4</v>
      </c>
      <c r="G85" s="33">
        <f>'Processed feed'!$F$38</f>
        <v>2.5154866356233592E-4</v>
      </c>
      <c r="H85" s="33">
        <f>'Processed feed'!$G$38</f>
        <v>2.575956076270594E-4</v>
      </c>
      <c r="I85" s="33">
        <f>'Processed feed'!$H$38</f>
        <v>0</v>
      </c>
      <c r="J85" s="33">
        <f>'Processed feed'!$I$38</f>
        <v>0</v>
      </c>
      <c r="K85" s="33">
        <f>'Processed feed'!$J$38</f>
        <v>3.5012930046684228E-5</v>
      </c>
      <c r="L85" s="33">
        <f>'Processed feed'!$K$38</f>
        <v>0</v>
      </c>
      <c r="M85" s="33">
        <f>'Processed feed'!$L$38</f>
        <v>0</v>
      </c>
      <c r="N85" s="33">
        <f>'Processed feed'!$M$38</f>
        <v>3.4018889403043034E-5</v>
      </c>
      <c r="O85" s="33">
        <f>'Processed feed'!$N$38</f>
        <v>0</v>
      </c>
      <c r="P85" s="33">
        <f>'Processed feed'!$O$38</f>
        <v>1.8277027027027027E-6</v>
      </c>
      <c r="Q85" s="199">
        <f>'Parameters, country spec'!H28</f>
        <v>2.7193781346605266E-2</v>
      </c>
    </row>
    <row r="86" spans="1:17" x14ac:dyDescent="0.3">
      <c r="B86" s="17" t="s">
        <v>343</v>
      </c>
      <c r="C86" s="16" t="s">
        <v>342</v>
      </c>
      <c r="D86" s="22" t="s">
        <v>60</v>
      </c>
      <c r="E86" s="22" t="s">
        <v>61</v>
      </c>
      <c r="F86" s="224">
        <f t="shared" si="18"/>
        <v>1.123760611639415E-3</v>
      </c>
      <c r="G86" s="33">
        <f>'Processed feed'!$F$43</f>
        <v>0</v>
      </c>
      <c r="H86" s="33">
        <f>'Processed feed'!$G$43</f>
        <v>1.1433179068612911E-6</v>
      </c>
      <c r="I86" s="33">
        <f>'Processed feed'!$H$43</f>
        <v>1.9184142753672076E-4</v>
      </c>
      <c r="J86" s="33">
        <f>'Processed feed'!$I$43</f>
        <v>1.9184142753672074E-5</v>
      </c>
      <c r="K86" s="33">
        <f>'Processed feed'!$J$43</f>
        <v>1.592316248325986E-6</v>
      </c>
      <c r="L86" s="33">
        <f>'Processed feed'!$K$43</f>
        <v>0</v>
      </c>
      <c r="M86" s="33">
        <f>'Processed feed'!$L$43</f>
        <v>0</v>
      </c>
      <c r="N86" s="33">
        <f>'Processed feed'!$M$43</f>
        <v>1.21562341005103E-6</v>
      </c>
      <c r="O86" s="33">
        <f>'Processed feed'!$N$43</f>
        <v>0</v>
      </c>
      <c r="P86" s="33">
        <f>'Processed feed'!$O$43</f>
        <v>9.0878378378378389E-4</v>
      </c>
      <c r="Q86" s="199">
        <f>'Parameters, country spec'!H29</f>
        <v>3.5916314986082429E-2</v>
      </c>
    </row>
    <row r="87" spans="1:17" x14ac:dyDescent="0.3">
      <c r="B87" s="16" t="s">
        <v>182</v>
      </c>
      <c r="C87" s="16" t="s">
        <v>344</v>
      </c>
      <c r="D87" s="22" t="s">
        <v>60</v>
      </c>
      <c r="E87" s="22" t="s">
        <v>61</v>
      </c>
      <c r="F87" s="224"/>
      <c r="G87" s="13"/>
      <c r="H87" s="13"/>
      <c r="I87" s="13"/>
      <c r="J87" s="13"/>
      <c r="K87" s="13"/>
      <c r="L87" s="13"/>
      <c r="M87" s="13"/>
      <c r="N87" s="13"/>
      <c r="O87" s="13"/>
      <c r="P87" s="13"/>
      <c r="Q87" s="199">
        <f>'Parameters, country spec'!H30</f>
        <v>0.13313408330019627</v>
      </c>
    </row>
    <row r="88" spans="1:17" x14ac:dyDescent="0.3">
      <c r="A88" s="82"/>
      <c r="B88" s="16" t="s">
        <v>345</v>
      </c>
      <c r="C88" s="83" t="s">
        <v>346</v>
      </c>
      <c r="D88" s="22" t="s">
        <v>60</v>
      </c>
      <c r="E88" s="22" t="s">
        <v>61</v>
      </c>
      <c r="F88" s="224">
        <f t="shared" si="18"/>
        <v>5.7406708064729087E-4</v>
      </c>
      <c r="G88" s="81">
        <f t="shared" ref="G88:N88" si="19">AVERAGE(G78:G86)</f>
        <v>1.0050773339131949E-4</v>
      </c>
      <c r="H88" s="81">
        <f t="shared" si="19"/>
        <v>2.9604325059324526E-5</v>
      </c>
      <c r="I88" s="81">
        <f t="shared" si="19"/>
        <v>3.946498927136606E-4</v>
      </c>
      <c r="J88" s="81">
        <f t="shared" si="19"/>
        <v>3.9464989271366065E-5</v>
      </c>
      <c r="K88" s="81">
        <f t="shared" si="19"/>
        <v>5.0155318990542028E-6</v>
      </c>
      <c r="L88" s="81">
        <f t="shared" si="19"/>
        <v>0</v>
      </c>
      <c r="M88" s="81">
        <f t="shared" si="19"/>
        <v>0</v>
      </c>
      <c r="N88" s="81">
        <f t="shared" si="19"/>
        <v>4.8246083125660061E-6</v>
      </c>
      <c r="O88" s="81"/>
      <c r="P88" s="81"/>
      <c r="Q88" s="199">
        <f>'Parameters, country spec'!H31</f>
        <v>0.1236547415949409</v>
      </c>
    </row>
    <row r="89" spans="1:17" x14ac:dyDescent="0.3">
      <c r="A89" s="198"/>
      <c r="B89" s="24" t="s">
        <v>347</v>
      </c>
      <c r="C89" s="25"/>
      <c r="D89" s="101"/>
      <c r="E89" s="101"/>
      <c r="F89" s="46">
        <f>SUMPRODUCT(F78:F88,$Q$78:$Q$88)</f>
        <v>6.7739843588762662E-4</v>
      </c>
      <c r="G89" s="46">
        <f t="shared" ref="G89:P89" si="20">SUMPRODUCT(G78:G88,$Q$78:$Q$88)</f>
        <v>1.0842273412420079E-4</v>
      </c>
      <c r="H89" s="46">
        <f t="shared" si="20"/>
        <v>1.1454888747681036E-5</v>
      </c>
      <c r="I89" s="46">
        <f t="shared" si="20"/>
        <v>4.7284268168868647E-4</v>
      </c>
      <c r="J89" s="46">
        <f t="shared" si="20"/>
        <v>4.7284268168868639E-5</v>
      </c>
      <c r="K89" s="46">
        <f t="shared" si="20"/>
        <v>2.3432246320408002E-6</v>
      </c>
      <c r="L89" s="46">
        <f t="shared" si="20"/>
        <v>0</v>
      </c>
      <c r="M89" s="46">
        <f t="shared" si="20"/>
        <v>0</v>
      </c>
      <c r="N89" s="46">
        <f t="shared" si="20"/>
        <v>2.3607717458629587E-6</v>
      </c>
      <c r="O89" s="46">
        <f t="shared" si="20"/>
        <v>0</v>
      </c>
      <c r="P89" s="46">
        <f t="shared" si="20"/>
        <v>3.2689866780286108E-5</v>
      </c>
      <c r="Q89" s="209"/>
    </row>
    <row r="90" spans="1:17" x14ac:dyDescent="0.3">
      <c r="A90" s="21" t="s">
        <v>333</v>
      </c>
      <c r="B90" s="16" t="s">
        <v>172</v>
      </c>
      <c r="C90" s="16" t="s">
        <v>334</v>
      </c>
      <c r="D90" s="22" t="s">
        <v>62</v>
      </c>
      <c r="E90" s="22" t="s">
        <v>63</v>
      </c>
      <c r="F90" s="225">
        <f>SUM(G90:P90)</f>
        <v>8.3700497241450582E-4</v>
      </c>
      <c r="G90" s="203">
        <v>1.3527187113652022E-4</v>
      </c>
      <c r="H90" s="204">
        <v>1.1000000000000001E-6</v>
      </c>
      <c r="I90" s="207">
        <v>6.348790825230616E-4</v>
      </c>
      <c r="J90" s="207">
        <v>6.3487908252306166E-5</v>
      </c>
      <c r="K90" s="207">
        <v>1.0965445026178011E-6</v>
      </c>
      <c r="L90" s="207"/>
      <c r="M90" s="207">
        <v>0</v>
      </c>
      <c r="N90" s="207">
        <v>1.1695660000000001E-6</v>
      </c>
      <c r="O90" s="207"/>
      <c r="P90" s="206"/>
      <c r="Q90" s="210">
        <f>'Parameters, country spec'!I21</f>
        <v>0.24551366744057773</v>
      </c>
    </row>
    <row r="91" spans="1:17" x14ac:dyDescent="0.3">
      <c r="A91" s="21" t="s">
        <v>335</v>
      </c>
      <c r="B91" s="16" t="s">
        <v>174</v>
      </c>
      <c r="C91" s="16" t="s">
        <v>334</v>
      </c>
      <c r="D91" s="22" t="s">
        <v>62</v>
      </c>
      <c r="E91" s="22" t="s">
        <v>63</v>
      </c>
      <c r="F91" s="223">
        <f t="shared" ref="F91:F100" si="21">SUM(G91:P91)</f>
        <v>7.7064277808378814E-4</v>
      </c>
      <c r="G91" s="98">
        <v>1.3173663927780048E-4</v>
      </c>
      <c r="H91" s="99">
        <v>1.1000000000000001E-6</v>
      </c>
      <c r="I91" s="100">
        <v>5.7807906502645948E-4</v>
      </c>
      <c r="J91" s="100">
        <v>5.7807906502645948E-5</v>
      </c>
      <c r="K91" s="100">
        <v>7.4960127688222882E-7</v>
      </c>
      <c r="L91" s="100"/>
      <c r="M91" s="100">
        <v>0</v>
      </c>
      <c r="N91" s="100">
        <v>1.1695660000000001E-6</v>
      </c>
      <c r="O91" s="100"/>
      <c r="P91" s="13"/>
      <c r="Q91" s="199">
        <f>'Parameters, country spec'!I22</f>
        <v>2.5654510704344589E-3</v>
      </c>
    </row>
    <row r="92" spans="1:17" x14ac:dyDescent="0.3">
      <c r="A92" s="21" t="s">
        <v>336</v>
      </c>
      <c r="B92" s="16" t="s">
        <v>175</v>
      </c>
      <c r="C92" s="16" t="s">
        <v>334</v>
      </c>
      <c r="D92" s="22" t="s">
        <v>62</v>
      </c>
      <c r="E92" s="22" t="s">
        <v>63</v>
      </c>
      <c r="F92" s="223">
        <f t="shared" si="21"/>
        <v>7.4080189535590966E-4</v>
      </c>
      <c r="G92" s="98">
        <v>1.1925038042019814E-4</v>
      </c>
      <c r="H92" s="99">
        <v>1.1000000000000001E-6</v>
      </c>
      <c r="I92" s="100">
        <v>5.6184338890070615E-4</v>
      </c>
      <c r="J92" s="100">
        <v>5.6184338890070617E-5</v>
      </c>
      <c r="K92" s="100">
        <v>1.2542211449347684E-6</v>
      </c>
      <c r="L92" s="100"/>
      <c r="M92" s="100">
        <v>0</v>
      </c>
      <c r="N92" s="100">
        <v>1.1695660000000001E-6</v>
      </c>
      <c r="O92" s="100"/>
      <c r="P92" s="13"/>
      <c r="Q92" s="199">
        <f>'Parameters, country spec'!I23</f>
        <v>4.1303762233994797E-2</v>
      </c>
    </row>
    <row r="93" spans="1:17" x14ac:dyDescent="0.3">
      <c r="A93" s="21" t="s">
        <v>337</v>
      </c>
      <c r="B93" s="16" t="s">
        <v>176</v>
      </c>
      <c r="C93" s="16" t="s">
        <v>334</v>
      </c>
      <c r="D93" s="22" t="s">
        <v>62</v>
      </c>
      <c r="E93" s="22" t="s">
        <v>63</v>
      </c>
      <c r="F93" s="223">
        <f t="shared" si="21"/>
        <v>6.6289501004433845E-4</v>
      </c>
      <c r="G93" s="98">
        <v>1.0503816802565812E-4</v>
      </c>
      <c r="H93" s="99">
        <v>1.1000000000000001E-6</v>
      </c>
      <c r="I93" s="100">
        <v>5.0432765635150922E-4</v>
      </c>
      <c r="J93" s="100">
        <v>5.0432765635150922E-5</v>
      </c>
      <c r="K93" s="100">
        <v>8.2685403202016689E-7</v>
      </c>
      <c r="L93" s="100"/>
      <c r="M93" s="100">
        <v>0</v>
      </c>
      <c r="N93" s="100">
        <v>1.1695660000000001E-6</v>
      </c>
      <c r="O93" s="100"/>
      <c r="P93" s="13"/>
      <c r="Q93" s="199">
        <f>'Parameters, country spec'!I24</f>
        <v>2.6167600918431479E-2</v>
      </c>
    </row>
    <row r="94" spans="1:17" x14ac:dyDescent="0.3">
      <c r="A94" s="21" t="s">
        <v>338</v>
      </c>
      <c r="B94" s="16" t="s">
        <v>177</v>
      </c>
      <c r="C94" s="16" t="s">
        <v>334</v>
      </c>
      <c r="D94" s="22" t="s">
        <v>62</v>
      </c>
      <c r="E94" s="22" t="s">
        <v>63</v>
      </c>
      <c r="F94" s="223">
        <f t="shared" si="21"/>
        <v>9.1657094895803305E-4</v>
      </c>
      <c r="G94" s="98">
        <v>1.5506058283512638E-4</v>
      </c>
      <c r="H94" s="99">
        <v>1.1000000000000001E-6</v>
      </c>
      <c r="I94" s="100">
        <v>6.8950683668766316E-4</v>
      </c>
      <c r="J94" s="100">
        <v>6.8950683668766316E-5</v>
      </c>
      <c r="K94" s="100">
        <v>7.832797664771855E-7</v>
      </c>
      <c r="L94" s="100"/>
      <c r="M94" s="100">
        <v>0</v>
      </c>
      <c r="N94" s="100">
        <v>1.1695660000000001E-6</v>
      </c>
      <c r="O94" s="100"/>
      <c r="P94" s="13"/>
      <c r="Q94" s="199">
        <f>'Parameters, country spec'!I25</f>
        <v>0.30682794802396129</v>
      </c>
    </row>
    <row r="95" spans="1:17" x14ac:dyDescent="0.3">
      <c r="A95" s="21" t="s">
        <v>339</v>
      </c>
      <c r="B95" s="16" t="s">
        <v>178</v>
      </c>
      <c r="C95" s="16" t="s">
        <v>340</v>
      </c>
      <c r="D95" s="22" t="s">
        <v>62</v>
      </c>
      <c r="E95" s="22" t="s">
        <v>63</v>
      </c>
      <c r="F95" s="223">
        <f t="shared" si="21"/>
        <v>2.0683180874021213E-4</v>
      </c>
      <c r="G95" s="98">
        <v>0</v>
      </c>
      <c r="H95" s="99">
        <v>1.1000000000000001E-6</v>
      </c>
      <c r="I95" s="100">
        <v>1.8457296000000002E-4</v>
      </c>
      <c r="J95" s="100">
        <v>1.8457296000000003E-5</v>
      </c>
      <c r="K95" s="100">
        <v>1.5319867402121297E-6</v>
      </c>
      <c r="L95" s="100"/>
      <c r="M95" s="100">
        <v>0</v>
      </c>
      <c r="N95" s="100">
        <v>1.1695660000000001E-6</v>
      </c>
      <c r="O95" s="100"/>
      <c r="P95" s="13"/>
      <c r="Q95" s="199">
        <f>'Parameters, country spec'!I26</f>
        <v>4.6178119267820264E-3</v>
      </c>
    </row>
    <row r="96" spans="1:17" x14ac:dyDescent="0.3">
      <c r="A96" s="21" t="s">
        <v>341</v>
      </c>
      <c r="B96" s="16" t="s">
        <v>179</v>
      </c>
      <c r="C96" s="16" t="s">
        <v>340</v>
      </c>
      <c r="D96" s="22" t="s">
        <v>62</v>
      </c>
      <c r="E96" s="22" t="s">
        <v>63</v>
      </c>
      <c r="F96" s="223">
        <f t="shared" si="21"/>
        <v>2.3870339373407735E-4</v>
      </c>
      <c r="G96" s="98">
        <v>6.6632952642360706E-6</v>
      </c>
      <c r="H96" s="99">
        <v>1.1000000000000001E-6</v>
      </c>
      <c r="I96" s="100">
        <v>2.067986173968254E-4</v>
      </c>
      <c r="J96" s="100">
        <v>2.0679861739682541E-5</v>
      </c>
      <c r="K96" s="100">
        <v>2.2920533333333338E-6</v>
      </c>
      <c r="L96" s="100"/>
      <c r="M96" s="100">
        <v>0</v>
      </c>
      <c r="N96" s="100">
        <v>1.1695660000000001E-6</v>
      </c>
      <c r="O96" s="100"/>
      <c r="P96" s="13"/>
      <c r="Q96" s="199">
        <f>'Parameters, country spec'!I27</f>
        <v>5.3104837157993301E-2</v>
      </c>
    </row>
    <row r="97" spans="1:17" x14ac:dyDescent="0.3">
      <c r="B97" s="17" t="s">
        <v>180</v>
      </c>
      <c r="C97" s="16" t="s">
        <v>342</v>
      </c>
      <c r="D97" s="22" t="s">
        <v>62</v>
      </c>
      <c r="E97" s="22" t="s">
        <v>63</v>
      </c>
      <c r="F97" s="224">
        <f t="shared" si="21"/>
        <v>5.8000379334182534E-4</v>
      </c>
      <c r="G97" s="33">
        <f>'Processed feed'!$F$38</f>
        <v>2.5154866356233592E-4</v>
      </c>
      <c r="H97" s="33">
        <f>'Processed feed'!$G$38</f>
        <v>2.575956076270594E-4</v>
      </c>
      <c r="I97" s="33">
        <f>'Processed feed'!$H$38</f>
        <v>0</v>
      </c>
      <c r="J97" s="33">
        <f>'Processed feed'!$I$38</f>
        <v>0</v>
      </c>
      <c r="K97" s="33">
        <f>'Processed feed'!$J$38</f>
        <v>3.5012930046684228E-5</v>
      </c>
      <c r="L97" s="33">
        <f>'Processed feed'!$K$38</f>
        <v>0</v>
      </c>
      <c r="M97" s="33">
        <f>'Processed feed'!$L$38</f>
        <v>0</v>
      </c>
      <c r="N97" s="33">
        <f>'Processed feed'!$M$38</f>
        <v>3.4018889403043034E-5</v>
      </c>
      <c r="O97" s="33">
        <f>'Processed feed'!$N$38</f>
        <v>0</v>
      </c>
      <c r="P97" s="33">
        <f>'Processed feed'!$O$38</f>
        <v>1.8277027027027027E-6</v>
      </c>
      <c r="Q97" s="199">
        <f>'Parameters, country spec'!I28</f>
        <v>2.7193781346605266E-2</v>
      </c>
    </row>
    <row r="98" spans="1:17" x14ac:dyDescent="0.3">
      <c r="B98" s="17" t="s">
        <v>343</v>
      </c>
      <c r="C98" s="16" t="s">
        <v>342</v>
      </c>
      <c r="D98" s="22" t="s">
        <v>62</v>
      </c>
      <c r="E98" s="22" t="s">
        <v>63</v>
      </c>
      <c r="F98" s="224">
        <f t="shared" si="21"/>
        <v>1.123760611639415E-3</v>
      </c>
      <c r="G98" s="33">
        <f>'Processed feed'!$F$43</f>
        <v>0</v>
      </c>
      <c r="H98" s="33">
        <f>'Processed feed'!$G$43</f>
        <v>1.1433179068612911E-6</v>
      </c>
      <c r="I98" s="33">
        <f>'Processed feed'!$H$43</f>
        <v>1.9184142753672076E-4</v>
      </c>
      <c r="J98" s="33">
        <f>'Processed feed'!$I$43</f>
        <v>1.9184142753672074E-5</v>
      </c>
      <c r="K98" s="33">
        <f>'Processed feed'!$J$43</f>
        <v>1.592316248325986E-6</v>
      </c>
      <c r="L98" s="33">
        <f>'Processed feed'!$K$43</f>
        <v>0</v>
      </c>
      <c r="M98" s="33">
        <f>'Processed feed'!$L$43</f>
        <v>0</v>
      </c>
      <c r="N98" s="33">
        <f>'Processed feed'!$M$43</f>
        <v>1.21562341005103E-6</v>
      </c>
      <c r="O98" s="33">
        <f>'Processed feed'!$N$43</f>
        <v>0</v>
      </c>
      <c r="P98" s="33">
        <f>'Processed feed'!$O$43</f>
        <v>9.0878378378378389E-4</v>
      </c>
      <c r="Q98" s="199">
        <f>'Parameters, country spec'!I29</f>
        <v>3.5916314986082429E-2</v>
      </c>
    </row>
    <row r="99" spans="1:17" x14ac:dyDescent="0.3">
      <c r="B99" s="16" t="s">
        <v>182</v>
      </c>
      <c r="C99" s="16" t="s">
        <v>344</v>
      </c>
      <c r="D99" s="22" t="s">
        <v>62</v>
      </c>
      <c r="E99" s="22" t="s">
        <v>63</v>
      </c>
      <c r="F99" s="224"/>
      <c r="G99" s="13"/>
      <c r="H99" s="13"/>
      <c r="I99" s="13"/>
      <c r="J99" s="13"/>
      <c r="K99" s="13"/>
      <c r="L99" s="13"/>
      <c r="M99" s="13"/>
      <c r="N99" s="13"/>
      <c r="O99" s="13"/>
      <c r="P99" s="13"/>
      <c r="Q99" s="199">
        <f>'Parameters, country spec'!I30</f>
        <v>0.13313408330019627</v>
      </c>
    </row>
    <row r="100" spans="1:17" x14ac:dyDescent="0.3">
      <c r="A100" s="82"/>
      <c r="B100" s="16" t="s">
        <v>345</v>
      </c>
      <c r="C100" s="83" t="s">
        <v>346</v>
      </c>
      <c r="D100" s="22" t="s">
        <v>62</v>
      </c>
      <c r="E100" s="22" t="s">
        <v>63</v>
      </c>
      <c r="F100" s="224">
        <f t="shared" si="21"/>
        <v>5.7406708064729087E-4</v>
      </c>
      <c r="G100" s="81">
        <f t="shared" ref="G100:N100" si="22">AVERAGE(G90:G98)</f>
        <v>1.0050773339131949E-4</v>
      </c>
      <c r="H100" s="81">
        <f t="shared" si="22"/>
        <v>2.9604325059324526E-5</v>
      </c>
      <c r="I100" s="81">
        <f t="shared" si="22"/>
        <v>3.946498927136606E-4</v>
      </c>
      <c r="J100" s="81">
        <f t="shared" si="22"/>
        <v>3.9464989271366065E-5</v>
      </c>
      <c r="K100" s="81">
        <f t="shared" si="22"/>
        <v>5.0155318990542028E-6</v>
      </c>
      <c r="L100" s="81">
        <f t="shared" si="22"/>
        <v>0</v>
      </c>
      <c r="M100" s="81">
        <f t="shared" si="22"/>
        <v>0</v>
      </c>
      <c r="N100" s="81">
        <f t="shared" si="22"/>
        <v>4.8246083125660061E-6</v>
      </c>
      <c r="O100" s="81"/>
      <c r="P100" s="81"/>
      <c r="Q100" s="199">
        <f>'Parameters, country spec'!I31</f>
        <v>0.1236547415949409</v>
      </c>
    </row>
    <row r="101" spans="1:17" x14ac:dyDescent="0.3">
      <c r="A101" s="198"/>
      <c r="B101" s="24" t="s">
        <v>347</v>
      </c>
      <c r="C101" s="25"/>
      <c r="D101" s="101"/>
      <c r="E101" s="101"/>
      <c r="F101" s="46">
        <f>SUMPRODUCT(F90:F100,$Q$90:$Q$100)</f>
        <v>6.7739843588762662E-4</v>
      </c>
      <c r="G101" s="46">
        <f t="shared" ref="G101:O101" si="23">SUMPRODUCT(G90:G100,$Q$90:$Q$100)</f>
        <v>1.0842273412420079E-4</v>
      </c>
      <c r="H101" s="46">
        <f t="shared" si="23"/>
        <v>1.1454888747681036E-5</v>
      </c>
      <c r="I101" s="46">
        <f t="shared" si="23"/>
        <v>4.7284268168868647E-4</v>
      </c>
      <c r="J101" s="46">
        <f t="shared" si="23"/>
        <v>4.7284268168868639E-5</v>
      </c>
      <c r="K101" s="46">
        <f t="shared" si="23"/>
        <v>2.3432246320408002E-6</v>
      </c>
      <c r="L101" s="46">
        <f t="shared" si="23"/>
        <v>0</v>
      </c>
      <c r="M101" s="46">
        <f t="shared" si="23"/>
        <v>0</v>
      </c>
      <c r="N101" s="46">
        <f t="shared" si="23"/>
        <v>2.3607717458629587E-6</v>
      </c>
      <c r="O101" s="46">
        <f t="shared" si="23"/>
        <v>0</v>
      </c>
      <c r="P101" s="46">
        <f>SUMPRODUCT(P90:P100,$Q$90:$Q$100)</f>
        <v>3.2689866780286108E-5</v>
      </c>
      <c r="Q101" s="200"/>
    </row>
    <row r="102" spans="1:17" x14ac:dyDescent="0.3">
      <c r="A102" s="21" t="s">
        <v>333</v>
      </c>
      <c r="B102" s="16" t="s">
        <v>172</v>
      </c>
      <c r="C102" s="16" t="s">
        <v>334</v>
      </c>
      <c r="D102" s="22" t="s">
        <v>64</v>
      </c>
      <c r="E102" s="22" t="s">
        <v>65</v>
      </c>
      <c r="F102" s="225">
        <f>SUM(G102:P102)</f>
        <v>8.3700497241450582E-4</v>
      </c>
      <c r="G102" s="203">
        <v>1.3527187113652022E-4</v>
      </c>
      <c r="H102" s="204">
        <v>1.1000000000000001E-6</v>
      </c>
      <c r="I102" s="207">
        <v>6.348790825230616E-4</v>
      </c>
      <c r="J102" s="207">
        <v>6.3487908252306166E-5</v>
      </c>
      <c r="K102" s="207">
        <v>1.0965445026178011E-6</v>
      </c>
      <c r="L102" s="207"/>
      <c r="M102" s="207">
        <v>0</v>
      </c>
      <c r="N102" s="207">
        <v>1.1695660000000001E-6</v>
      </c>
      <c r="O102" s="207"/>
      <c r="P102" s="206"/>
      <c r="Q102" s="210">
        <f>'Parameters, country spec'!J21</f>
        <v>0.24551366744057773</v>
      </c>
    </row>
    <row r="103" spans="1:17" x14ac:dyDescent="0.3">
      <c r="A103" s="21" t="s">
        <v>335</v>
      </c>
      <c r="B103" s="16" t="s">
        <v>174</v>
      </c>
      <c r="C103" s="16" t="s">
        <v>334</v>
      </c>
      <c r="D103" s="22" t="s">
        <v>64</v>
      </c>
      <c r="E103" s="22" t="s">
        <v>65</v>
      </c>
      <c r="F103" s="223">
        <f t="shared" ref="F103:F112" si="24">SUM(G103:P103)</f>
        <v>7.7064277808378814E-4</v>
      </c>
      <c r="G103" s="98">
        <v>1.3173663927780048E-4</v>
      </c>
      <c r="H103" s="99">
        <v>1.1000000000000001E-6</v>
      </c>
      <c r="I103" s="100">
        <v>5.7807906502645948E-4</v>
      </c>
      <c r="J103" s="100">
        <v>5.7807906502645948E-5</v>
      </c>
      <c r="K103" s="100">
        <v>7.4960127688222882E-7</v>
      </c>
      <c r="L103" s="100"/>
      <c r="M103" s="100">
        <v>0</v>
      </c>
      <c r="N103" s="100">
        <v>1.1695660000000001E-6</v>
      </c>
      <c r="O103" s="100"/>
      <c r="P103" s="13"/>
      <c r="Q103" s="199">
        <f>'Parameters, country spec'!J22</f>
        <v>2.5654510704344589E-3</v>
      </c>
    </row>
    <row r="104" spans="1:17" x14ac:dyDescent="0.3">
      <c r="A104" s="21" t="s">
        <v>336</v>
      </c>
      <c r="B104" s="16" t="s">
        <v>175</v>
      </c>
      <c r="C104" s="16" t="s">
        <v>334</v>
      </c>
      <c r="D104" s="22" t="s">
        <v>64</v>
      </c>
      <c r="E104" s="22" t="s">
        <v>65</v>
      </c>
      <c r="F104" s="223">
        <f t="shared" si="24"/>
        <v>7.4080189535590966E-4</v>
      </c>
      <c r="G104" s="98">
        <v>1.1925038042019814E-4</v>
      </c>
      <c r="H104" s="99">
        <v>1.1000000000000001E-6</v>
      </c>
      <c r="I104" s="100">
        <v>5.6184338890070615E-4</v>
      </c>
      <c r="J104" s="100">
        <v>5.6184338890070617E-5</v>
      </c>
      <c r="K104" s="100">
        <v>1.2542211449347684E-6</v>
      </c>
      <c r="L104" s="100"/>
      <c r="M104" s="100">
        <v>0</v>
      </c>
      <c r="N104" s="100">
        <v>1.1695660000000001E-6</v>
      </c>
      <c r="O104" s="100"/>
      <c r="P104" s="13"/>
      <c r="Q104" s="199">
        <f>'Parameters, country spec'!J23</f>
        <v>4.1303762233994797E-2</v>
      </c>
    </row>
    <row r="105" spans="1:17" x14ac:dyDescent="0.3">
      <c r="A105" s="21" t="s">
        <v>337</v>
      </c>
      <c r="B105" s="16" t="s">
        <v>176</v>
      </c>
      <c r="C105" s="16" t="s">
        <v>334</v>
      </c>
      <c r="D105" s="22" t="s">
        <v>64</v>
      </c>
      <c r="E105" s="22" t="s">
        <v>65</v>
      </c>
      <c r="F105" s="223">
        <f t="shared" si="24"/>
        <v>6.6289501004433845E-4</v>
      </c>
      <c r="G105" s="98">
        <v>1.0503816802565812E-4</v>
      </c>
      <c r="H105" s="99">
        <v>1.1000000000000001E-6</v>
      </c>
      <c r="I105" s="100">
        <v>5.0432765635150922E-4</v>
      </c>
      <c r="J105" s="100">
        <v>5.0432765635150922E-5</v>
      </c>
      <c r="K105" s="100">
        <v>8.2685403202016689E-7</v>
      </c>
      <c r="L105" s="100"/>
      <c r="M105" s="100">
        <v>0</v>
      </c>
      <c r="N105" s="100">
        <v>1.1695660000000001E-6</v>
      </c>
      <c r="O105" s="100"/>
      <c r="P105" s="13"/>
      <c r="Q105" s="199">
        <f>'Parameters, country spec'!J24</f>
        <v>2.6167600918431479E-2</v>
      </c>
    </row>
    <row r="106" spans="1:17" x14ac:dyDescent="0.3">
      <c r="A106" s="21" t="s">
        <v>338</v>
      </c>
      <c r="B106" s="16" t="s">
        <v>177</v>
      </c>
      <c r="C106" s="16" t="s">
        <v>334</v>
      </c>
      <c r="D106" s="22" t="s">
        <v>64</v>
      </c>
      <c r="E106" s="22" t="s">
        <v>65</v>
      </c>
      <c r="F106" s="223">
        <f t="shared" si="24"/>
        <v>9.1657094895803305E-4</v>
      </c>
      <c r="G106" s="98">
        <v>1.5506058283512638E-4</v>
      </c>
      <c r="H106" s="99">
        <v>1.1000000000000001E-6</v>
      </c>
      <c r="I106" s="100">
        <v>6.8950683668766316E-4</v>
      </c>
      <c r="J106" s="100">
        <v>6.8950683668766316E-5</v>
      </c>
      <c r="K106" s="100">
        <v>7.832797664771855E-7</v>
      </c>
      <c r="L106" s="100"/>
      <c r="M106" s="100">
        <v>0</v>
      </c>
      <c r="N106" s="100">
        <v>1.1695660000000001E-6</v>
      </c>
      <c r="O106" s="100"/>
      <c r="P106" s="13"/>
      <c r="Q106" s="199">
        <f>'Parameters, country spec'!J25</f>
        <v>0.30682794802396129</v>
      </c>
    </row>
    <row r="107" spans="1:17" x14ac:dyDescent="0.3">
      <c r="A107" s="21" t="s">
        <v>339</v>
      </c>
      <c r="B107" s="16" t="s">
        <v>178</v>
      </c>
      <c r="C107" s="16" t="s">
        <v>340</v>
      </c>
      <c r="D107" s="22" t="s">
        <v>64</v>
      </c>
      <c r="E107" s="22" t="s">
        <v>65</v>
      </c>
      <c r="F107" s="223">
        <f t="shared" si="24"/>
        <v>2.0683180874021213E-4</v>
      </c>
      <c r="G107" s="98">
        <v>0</v>
      </c>
      <c r="H107" s="99">
        <v>1.1000000000000001E-6</v>
      </c>
      <c r="I107" s="100">
        <v>1.8457296000000002E-4</v>
      </c>
      <c r="J107" s="100">
        <v>1.8457296000000003E-5</v>
      </c>
      <c r="K107" s="100">
        <v>1.5319867402121297E-6</v>
      </c>
      <c r="L107" s="100"/>
      <c r="M107" s="100">
        <v>0</v>
      </c>
      <c r="N107" s="100">
        <v>1.1695660000000001E-6</v>
      </c>
      <c r="O107" s="100"/>
      <c r="P107" s="13"/>
      <c r="Q107" s="199">
        <f>'Parameters, country spec'!J26</f>
        <v>4.6178119267820264E-3</v>
      </c>
    </row>
    <row r="108" spans="1:17" x14ac:dyDescent="0.3">
      <c r="A108" s="21" t="s">
        <v>341</v>
      </c>
      <c r="B108" s="16" t="s">
        <v>179</v>
      </c>
      <c r="C108" s="16" t="s">
        <v>340</v>
      </c>
      <c r="D108" s="22" t="s">
        <v>64</v>
      </c>
      <c r="E108" s="22" t="s">
        <v>65</v>
      </c>
      <c r="F108" s="223">
        <f t="shared" si="24"/>
        <v>2.3870339373407735E-4</v>
      </c>
      <c r="G108" s="98">
        <v>6.6632952642360706E-6</v>
      </c>
      <c r="H108" s="99">
        <v>1.1000000000000001E-6</v>
      </c>
      <c r="I108" s="100">
        <v>2.067986173968254E-4</v>
      </c>
      <c r="J108" s="100">
        <v>2.0679861739682541E-5</v>
      </c>
      <c r="K108" s="100">
        <v>2.2920533333333338E-6</v>
      </c>
      <c r="L108" s="100"/>
      <c r="M108" s="100">
        <v>0</v>
      </c>
      <c r="N108" s="100">
        <v>1.1695660000000001E-6</v>
      </c>
      <c r="O108" s="100"/>
      <c r="P108" s="13"/>
      <c r="Q108" s="199">
        <f>'Parameters, country spec'!J27</f>
        <v>5.3104837157993301E-2</v>
      </c>
    </row>
    <row r="109" spans="1:17" x14ac:dyDescent="0.3">
      <c r="B109" s="17" t="s">
        <v>180</v>
      </c>
      <c r="C109" s="16" t="s">
        <v>342</v>
      </c>
      <c r="D109" s="22" t="s">
        <v>64</v>
      </c>
      <c r="E109" s="22" t="s">
        <v>65</v>
      </c>
      <c r="F109" s="224">
        <f t="shared" si="24"/>
        <v>5.8000379334182534E-4</v>
      </c>
      <c r="G109" s="33">
        <f>'Processed feed'!$F$38</f>
        <v>2.5154866356233592E-4</v>
      </c>
      <c r="H109" s="33">
        <f>'Processed feed'!$G$38</f>
        <v>2.575956076270594E-4</v>
      </c>
      <c r="I109" s="33">
        <f>'Processed feed'!$H$38</f>
        <v>0</v>
      </c>
      <c r="J109" s="33">
        <f>'Processed feed'!$I$38</f>
        <v>0</v>
      </c>
      <c r="K109" s="33">
        <f>'Processed feed'!$J$38</f>
        <v>3.5012930046684228E-5</v>
      </c>
      <c r="L109" s="33">
        <f>'Processed feed'!$K$38</f>
        <v>0</v>
      </c>
      <c r="M109" s="33">
        <f>'Processed feed'!$L$38</f>
        <v>0</v>
      </c>
      <c r="N109" s="33">
        <f>'Processed feed'!$M$38</f>
        <v>3.4018889403043034E-5</v>
      </c>
      <c r="O109" s="33">
        <f>'Processed feed'!$N$38</f>
        <v>0</v>
      </c>
      <c r="P109" s="33">
        <f>'Processed feed'!$O$38</f>
        <v>1.8277027027027027E-6</v>
      </c>
      <c r="Q109" s="199">
        <f>'Parameters, country spec'!J28</f>
        <v>2.7193781346605266E-2</v>
      </c>
    </row>
    <row r="110" spans="1:17" x14ac:dyDescent="0.3">
      <c r="B110" s="17" t="s">
        <v>343</v>
      </c>
      <c r="C110" s="16" t="s">
        <v>342</v>
      </c>
      <c r="D110" s="22" t="s">
        <v>64</v>
      </c>
      <c r="E110" s="22" t="s">
        <v>65</v>
      </c>
      <c r="F110" s="224">
        <f t="shared" si="24"/>
        <v>1.123760611639415E-3</v>
      </c>
      <c r="G110" s="33">
        <f>'Processed feed'!$F$43</f>
        <v>0</v>
      </c>
      <c r="H110" s="33">
        <f>'Processed feed'!$G$43</f>
        <v>1.1433179068612911E-6</v>
      </c>
      <c r="I110" s="33">
        <f>'Processed feed'!$H$43</f>
        <v>1.9184142753672076E-4</v>
      </c>
      <c r="J110" s="33">
        <f>'Processed feed'!$I$43</f>
        <v>1.9184142753672074E-5</v>
      </c>
      <c r="K110" s="33">
        <f>'Processed feed'!$J$43</f>
        <v>1.592316248325986E-6</v>
      </c>
      <c r="L110" s="33">
        <f>'Processed feed'!$K$43</f>
        <v>0</v>
      </c>
      <c r="M110" s="33">
        <f>'Processed feed'!$L$43</f>
        <v>0</v>
      </c>
      <c r="N110" s="33">
        <f>'Processed feed'!$M$43</f>
        <v>1.21562341005103E-6</v>
      </c>
      <c r="O110" s="33">
        <f>'Processed feed'!$N$43</f>
        <v>0</v>
      </c>
      <c r="P110" s="33">
        <f>'Processed feed'!$O$43</f>
        <v>9.0878378378378389E-4</v>
      </c>
      <c r="Q110" s="199">
        <f>'Parameters, country spec'!J29</f>
        <v>3.5916314986082429E-2</v>
      </c>
    </row>
    <row r="111" spans="1:17" x14ac:dyDescent="0.3">
      <c r="B111" s="16" t="s">
        <v>182</v>
      </c>
      <c r="C111" s="16" t="s">
        <v>344</v>
      </c>
      <c r="D111" s="22" t="s">
        <v>64</v>
      </c>
      <c r="E111" s="22" t="s">
        <v>65</v>
      </c>
      <c r="F111" s="224"/>
      <c r="G111" s="13"/>
      <c r="H111" s="13"/>
      <c r="I111" s="13"/>
      <c r="J111" s="13"/>
      <c r="K111" s="13"/>
      <c r="L111" s="13"/>
      <c r="M111" s="13"/>
      <c r="N111" s="13"/>
      <c r="O111" s="13"/>
      <c r="P111" s="13"/>
      <c r="Q111" s="199">
        <f>'Parameters, country spec'!J30</f>
        <v>0.13313408330019627</v>
      </c>
    </row>
    <row r="112" spans="1:17" x14ac:dyDescent="0.3">
      <c r="A112" s="82"/>
      <c r="B112" s="16" t="s">
        <v>345</v>
      </c>
      <c r="C112" s="83" t="s">
        <v>346</v>
      </c>
      <c r="D112" s="22" t="s">
        <v>64</v>
      </c>
      <c r="E112" s="22" t="s">
        <v>65</v>
      </c>
      <c r="F112" s="224">
        <f t="shared" si="24"/>
        <v>5.7406708064729087E-4</v>
      </c>
      <c r="G112" s="81">
        <f t="shared" ref="G112:N112" si="25">AVERAGE(G102:G110)</f>
        <v>1.0050773339131949E-4</v>
      </c>
      <c r="H112" s="81">
        <f t="shared" si="25"/>
        <v>2.9604325059324526E-5</v>
      </c>
      <c r="I112" s="81">
        <f t="shared" si="25"/>
        <v>3.946498927136606E-4</v>
      </c>
      <c r="J112" s="81">
        <f t="shared" si="25"/>
        <v>3.9464989271366065E-5</v>
      </c>
      <c r="K112" s="81">
        <f t="shared" si="25"/>
        <v>5.0155318990542028E-6</v>
      </c>
      <c r="L112" s="81">
        <f t="shared" si="25"/>
        <v>0</v>
      </c>
      <c r="M112" s="81">
        <f t="shared" si="25"/>
        <v>0</v>
      </c>
      <c r="N112" s="81">
        <f t="shared" si="25"/>
        <v>4.8246083125660061E-6</v>
      </c>
      <c r="O112" s="81"/>
      <c r="P112" s="81"/>
      <c r="Q112" s="199">
        <f>'Parameters, country spec'!J31</f>
        <v>0.1236547415949409</v>
      </c>
    </row>
    <row r="113" spans="1:17" x14ac:dyDescent="0.3">
      <c r="A113" s="198"/>
      <c r="B113" s="24" t="s">
        <v>347</v>
      </c>
      <c r="C113" s="25"/>
      <c r="D113" s="101"/>
      <c r="E113" s="101"/>
      <c r="F113" s="46">
        <f>SUMPRODUCT(F102:F112,$Q$102:$Q$112)</f>
        <v>6.7739843588762662E-4</v>
      </c>
      <c r="G113" s="46">
        <f t="shared" ref="G113:P113" si="26">SUMPRODUCT(G102:G112,$Q$102:$Q$112)</f>
        <v>1.0842273412420079E-4</v>
      </c>
      <c r="H113" s="46">
        <f t="shared" si="26"/>
        <v>1.1454888747681036E-5</v>
      </c>
      <c r="I113" s="46">
        <f t="shared" si="26"/>
        <v>4.7284268168868647E-4</v>
      </c>
      <c r="J113" s="46">
        <f t="shared" si="26"/>
        <v>4.7284268168868639E-5</v>
      </c>
      <c r="K113" s="46">
        <f t="shared" si="26"/>
        <v>2.3432246320408002E-6</v>
      </c>
      <c r="L113" s="46">
        <f t="shared" si="26"/>
        <v>0</v>
      </c>
      <c r="M113" s="46">
        <f t="shared" si="26"/>
        <v>0</v>
      </c>
      <c r="N113" s="46">
        <f t="shared" si="26"/>
        <v>2.3607717458629587E-6</v>
      </c>
      <c r="O113" s="46">
        <f t="shared" si="26"/>
        <v>0</v>
      </c>
      <c r="P113" s="46">
        <f t="shared" si="26"/>
        <v>3.2689866780286108E-5</v>
      </c>
      <c r="Q113" s="200"/>
    </row>
    <row r="114" spans="1:17" x14ac:dyDescent="0.3">
      <c r="A114" s="21" t="s">
        <v>333</v>
      </c>
      <c r="B114" s="16" t="s">
        <v>172</v>
      </c>
      <c r="C114" s="16" t="s">
        <v>334</v>
      </c>
      <c r="D114" s="22" t="s">
        <v>66</v>
      </c>
      <c r="E114" s="22" t="s">
        <v>67</v>
      </c>
      <c r="F114" s="225">
        <f>SUM(G114:P114)</f>
        <v>8.3700497241450582E-4</v>
      </c>
      <c r="G114" s="203">
        <v>1.3527187113652022E-4</v>
      </c>
      <c r="H114" s="204">
        <v>1.1000000000000001E-6</v>
      </c>
      <c r="I114" s="207">
        <v>6.348790825230616E-4</v>
      </c>
      <c r="J114" s="207">
        <v>6.3487908252306166E-5</v>
      </c>
      <c r="K114" s="207">
        <v>1.0965445026178011E-6</v>
      </c>
      <c r="L114" s="207"/>
      <c r="M114" s="207">
        <v>0</v>
      </c>
      <c r="N114" s="207">
        <v>1.1695660000000001E-6</v>
      </c>
      <c r="O114" s="207"/>
      <c r="P114" s="206"/>
      <c r="Q114" s="210">
        <f>'Parameters, country spec'!K21</f>
        <v>0.24551366744057773</v>
      </c>
    </row>
    <row r="115" spans="1:17" x14ac:dyDescent="0.3">
      <c r="A115" s="21" t="s">
        <v>335</v>
      </c>
      <c r="B115" s="16" t="s">
        <v>174</v>
      </c>
      <c r="C115" s="16" t="s">
        <v>334</v>
      </c>
      <c r="D115" s="22" t="s">
        <v>66</v>
      </c>
      <c r="E115" s="22" t="s">
        <v>67</v>
      </c>
      <c r="F115" s="223">
        <f t="shared" ref="F115:F124" si="27">SUM(G115:P115)</f>
        <v>7.7064277808378814E-4</v>
      </c>
      <c r="G115" s="98">
        <v>1.3173663927780048E-4</v>
      </c>
      <c r="H115" s="99">
        <v>1.1000000000000001E-6</v>
      </c>
      <c r="I115" s="100">
        <v>5.7807906502645948E-4</v>
      </c>
      <c r="J115" s="100">
        <v>5.7807906502645948E-5</v>
      </c>
      <c r="K115" s="100">
        <v>7.4960127688222882E-7</v>
      </c>
      <c r="L115" s="100"/>
      <c r="M115" s="100">
        <v>0</v>
      </c>
      <c r="N115" s="100">
        <v>1.1695660000000001E-6</v>
      </c>
      <c r="O115" s="100"/>
      <c r="P115" s="13"/>
      <c r="Q115" s="199">
        <f>'Parameters, country spec'!K22</f>
        <v>2.5654510704344589E-3</v>
      </c>
    </row>
    <row r="116" spans="1:17" x14ac:dyDescent="0.3">
      <c r="A116" s="21" t="s">
        <v>336</v>
      </c>
      <c r="B116" s="16" t="s">
        <v>175</v>
      </c>
      <c r="C116" s="16" t="s">
        <v>334</v>
      </c>
      <c r="D116" s="22" t="s">
        <v>66</v>
      </c>
      <c r="E116" s="22" t="s">
        <v>67</v>
      </c>
      <c r="F116" s="223">
        <f t="shared" si="27"/>
        <v>7.4080189535590966E-4</v>
      </c>
      <c r="G116" s="98">
        <v>1.1925038042019814E-4</v>
      </c>
      <c r="H116" s="99">
        <v>1.1000000000000001E-6</v>
      </c>
      <c r="I116" s="100">
        <v>5.6184338890070615E-4</v>
      </c>
      <c r="J116" s="100">
        <v>5.6184338890070617E-5</v>
      </c>
      <c r="K116" s="100">
        <v>1.2542211449347684E-6</v>
      </c>
      <c r="L116" s="100"/>
      <c r="M116" s="100">
        <v>0</v>
      </c>
      <c r="N116" s="100">
        <v>1.1695660000000001E-6</v>
      </c>
      <c r="O116" s="100"/>
      <c r="P116" s="13"/>
      <c r="Q116" s="199">
        <f>'Parameters, country spec'!K23</f>
        <v>4.1303762233994797E-2</v>
      </c>
    </row>
    <row r="117" spans="1:17" x14ac:dyDescent="0.3">
      <c r="A117" s="21" t="s">
        <v>337</v>
      </c>
      <c r="B117" s="16" t="s">
        <v>176</v>
      </c>
      <c r="C117" s="16" t="s">
        <v>334</v>
      </c>
      <c r="D117" s="22" t="s">
        <v>66</v>
      </c>
      <c r="E117" s="22" t="s">
        <v>67</v>
      </c>
      <c r="F117" s="223">
        <f t="shared" si="27"/>
        <v>6.6289501004433845E-4</v>
      </c>
      <c r="G117" s="98">
        <v>1.0503816802565812E-4</v>
      </c>
      <c r="H117" s="99">
        <v>1.1000000000000001E-6</v>
      </c>
      <c r="I117" s="100">
        <v>5.0432765635150922E-4</v>
      </c>
      <c r="J117" s="100">
        <v>5.0432765635150922E-5</v>
      </c>
      <c r="K117" s="100">
        <v>8.2685403202016689E-7</v>
      </c>
      <c r="L117" s="100"/>
      <c r="M117" s="100">
        <v>0</v>
      </c>
      <c r="N117" s="100">
        <v>1.1695660000000001E-6</v>
      </c>
      <c r="O117" s="100"/>
      <c r="P117" s="13"/>
      <c r="Q117" s="199">
        <f>'Parameters, country spec'!K24</f>
        <v>2.6167600918431479E-2</v>
      </c>
    </row>
    <row r="118" spans="1:17" x14ac:dyDescent="0.3">
      <c r="A118" s="21" t="s">
        <v>338</v>
      </c>
      <c r="B118" s="16" t="s">
        <v>177</v>
      </c>
      <c r="C118" s="16" t="s">
        <v>334</v>
      </c>
      <c r="D118" s="22" t="s">
        <v>66</v>
      </c>
      <c r="E118" s="22" t="s">
        <v>67</v>
      </c>
      <c r="F118" s="223">
        <f t="shared" si="27"/>
        <v>9.1657094895803305E-4</v>
      </c>
      <c r="G118" s="98">
        <v>1.5506058283512638E-4</v>
      </c>
      <c r="H118" s="99">
        <v>1.1000000000000001E-6</v>
      </c>
      <c r="I118" s="100">
        <v>6.8950683668766316E-4</v>
      </c>
      <c r="J118" s="100">
        <v>6.8950683668766316E-5</v>
      </c>
      <c r="K118" s="100">
        <v>7.832797664771855E-7</v>
      </c>
      <c r="L118" s="100"/>
      <c r="M118" s="100">
        <v>0</v>
      </c>
      <c r="N118" s="100">
        <v>1.1695660000000001E-6</v>
      </c>
      <c r="O118" s="100"/>
      <c r="P118" s="13"/>
      <c r="Q118" s="199">
        <f>'Parameters, country spec'!K25</f>
        <v>0.30682794802396129</v>
      </c>
    </row>
    <row r="119" spans="1:17" x14ac:dyDescent="0.3">
      <c r="A119" s="21" t="s">
        <v>339</v>
      </c>
      <c r="B119" s="16" t="s">
        <v>178</v>
      </c>
      <c r="C119" s="16" t="s">
        <v>340</v>
      </c>
      <c r="D119" s="22" t="s">
        <v>66</v>
      </c>
      <c r="E119" s="22" t="s">
        <v>67</v>
      </c>
      <c r="F119" s="223">
        <f t="shared" si="27"/>
        <v>2.0683180874021213E-4</v>
      </c>
      <c r="G119" s="98">
        <v>0</v>
      </c>
      <c r="H119" s="99">
        <v>1.1000000000000001E-6</v>
      </c>
      <c r="I119" s="100">
        <v>1.8457296000000002E-4</v>
      </c>
      <c r="J119" s="100">
        <v>1.8457296000000003E-5</v>
      </c>
      <c r="K119" s="100">
        <v>1.5319867402121297E-6</v>
      </c>
      <c r="L119" s="100"/>
      <c r="M119" s="100">
        <v>0</v>
      </c>
      <c r="N119" s="100">
        <v>1.1695660000000001E-6</v>
      </c>
      <c r="O119" s="100"/>
      <c r="P119" s="13"/>
      <c r="Q119" s="199">
        <f>'Parameters, country spec'!K26</f>
        <v>4.6178119267820264E-3</v>
      </c>
    </row>
    <row r="120" spans="1:17" x14ac:dyDescent="0.3">
      <c r="A120" s="21" t="s">
        <v>341</v>
      </c>
      <c r="B120" s="16" t="s">
        <v>179</v>
      </c>
      <c r="C120" s="16" t="s">
        <v>340</v>
      </c>
      <c r="D120" s="22" t="s">
        <v>66</v>
      </c>
      <c r="E120" s="22" t="s">
        <v>67</v>
      </c>
      <c r="F120" s="223">
        <f t="shared" si="27"/>
        <v>2.3870339373407735E-4</v>
      </c>
      <c r="G120" s="98">
        <v>6.6632952642360706E-6</v>
      </c>
      <c r="H120" s="99">
        <v>1.1000000000000001E-6</v>
      </c>
      <c r="I120" s="100">
        <v>2.067986173968254E-4</v>
      </c>
      <c r="J120" s="100">
        <v>2.0679861739682541E-5</v>
      </c>
      <c r="K120" s="100">
        <v>2.2920533333333338E-6</v>
      </c>
      <c r="L120" s="100"/>
      <c r="M120" s="100">
        <v>0</v>
      </c>
      <c r="N120" s="100">
        <v>1.1695660000000001E-6</v>
      </c>
      <c r="O120" s="100"/>
      <c r="P120" s="13"/>
      <c r="Q120" s="199">
        <f>'Parameters, country spec'!K27</f>
        <v>5.3104837157993301E-2</v>
      </c>
    </row>
    <row r="121" spans="1:17" x14ac:dyDescent="0.3">
      <c r="B121" s="17" t="s">
        <v>180</v>
      </c>
      <c r="C121" s="16" t="s">
        <v>342</v>
      </c>
      <c r="D121" s="22" t="s">
        <v>66</v>
      </c>
      <c r="E121" s="22" t="s">
        <v>67</v>
      </c>
      <c r="F121" s="224">
        <f t="shared" si="27"/>
        <v>5.8000379334182534E-4</v>
      </c>
      <c r="G121" s="33">
        <f>'Processed feed'!$F$38</f>
        <v>2.5154866356233592E-4</v>
      </c>
      <c r="H121" s="33">
        <f>'Processed feed'!$G$38</f>
        <v>2.575956076270594E-4</v>
      </c>
      <c r="I121" s="33">
        <f>'Processed feed'!$H$38</f>
        <v>0</v>
      </c>
      <c r="J121" s="33">
        <f>'Processed feed'!$I$38</f>
        <v>0</v>
      </c>
      <c r="K121" s="33">
        <f>'Processed feed'!$J$38</f>
        <v>3.5012930046684228E-5</v>
      </c>
      <c r="L121" s="33">
        <f>'Processed feed'!$K$38</f>
        <v>0</v>
      </c>
      <c r="M121" s="33">
        <f>'Processed feed'!$L$38</f>
        <v>0</v>
      </c>
      <c r="N121" s="33">
        <f>'Processed feed'!$M$38</f>
        <v>3.4018889403043034E-5</v>
      </c>
      <c r="O121" s="33">
        <f>'Processed feed'!$N$38</f>
        <v>0</v>
      </c>
      <c r="P121" s="33">
        <f>'Processed feed'!$O$38</f>
        <v>1.8277027027027027E-6</v>
      </c>
      <c r="Q121" s="199">
        <f>'Parameters, country spec'!K28</f>
        <v>2.7193781346605266E-2</v>
      </c>
    </row>
    <row r="122" spans="1:17" x14ac:dyDescent="0.3">
      <c r="B122" s="17" t="s">
        <v>343</v>
      </c>
      <c r="C122" s="16" t="s">
        <v>342</v>
      </c>
      <c r="D122" s="22" t="s">
        <v>66</v>
      </c>
      <c r="E122" s="22" t="s">
        <v>67</v>
      </c>
      <c r="F122" s="224">
        <f t="shared" si="27"/>
        <v>1.123760611639415E-3</v>
      </c>
      <c r="G122" s="33">
        <f>'Processed feed'!$F$43</f>
        <v>0</v>
      </c>
      <c r="H122" s="33">
        <f>'Processed feed'!$G$43</f>
        <v>1.1433179068612911E-6</v>
      </c>
      <c r="I122" s="33">
        <f>'Processed feed'!$H$43</f>
        <v>1.9184142753672076E-4</v>
      </c>
      <c r="J122" s="33">
        <f>'Processed feed'!$I$43</f>
        <v>1.9184142753672074E-5</v>
      </c>
      <c r="K122" s="33">
        <f>'Processed feed'!$J$43</f>
        <v>1.592316248325986E-6</v>
      </c>
      <c r="L122" s="33">
        <f>'Processed feed'!$K$43</f>
        <v>0</v>
      </c>
      <c r="M122" s="33">
        <f>'Processed feed'!$L$43</f>
        <v>0</v>
      </c>
      <c r="N122" s="33">
        <f>'Processed feed'!$M$43</f>
        <v>1.21562341005103E-6</v>
      </c>
      <c r="O122" s="33">
        <f>'Processed feed'!$N$43</f>
        <v>0</v>
      </c>
      <c r="P122" s="33">
        <f>'Processed feed'!$O$43</f>
        <v>9.0878378378378389E-4</v>
      </c>
      <c r="Q122" s="199">
        <f>'Parameters, country spec'!K29</f>
        <v>3.5916314986082429E-2</v>
      </c>
    </row>
    <row r="123" spans="1:17" x14ac:dyDescent="0.3">
      <c r="B123" s="16" t="s">
        <v>182</v>
      </c>
      <c r="C123" s="16" t="s">
        <v>344</v>
      </c>
      <c r="D123" s="22" t="s">
        <v>66</v>
      </c>
      <c r="E123" s="22" t="s">
        <v>67</v>
      </c>
      <c r="F123" s="224"/>
      <c r="G123" s="13"/>
      <c r="H123" s="13"/>
      <c r="I123" s="13"/>
      <c r="J123" s="13"/>
      <c r="K123" s="13"/>
      <c r="L123" s="13"/>
      <c r="M123" s="13"/>
      <c r="N123" s="13"/>
      <c r="O123" s="13"/>
      <c r="P123" s="13"/>
      <c r="Q123" s="199">
        <f>'Parameters, country spec'!K30</f>
        <v>0.13313408330019627</v>
      </c>
    </row>
    <row r="124" spans="1:17" x14ac:dyDescent="0.3">
      <c r="A124" s="82"/>
      <c r="B124" s="16" t="s">
        <v>345</v>
      </c>
      <c r="C124" s="83" t="s">
        <v>346</v>
      </c>
      <c r="D124" s="22" t="s">
        <v>66</v>
      </c>
      <c r="E124" s="22" t="s">
        <v>67</v>
      </c>
      <c r="F124" s="224">
        <f t="shared" si="27"/>
        <v>5.7406708064729087E-4</v>
      </c>
      <c r="G124" s="81">
        <f t="shared" ref="G124:N124" si="28">AVERAGE(G114:G122)</f>
        <v>1.0050773339131949E-4</v>
      </c>
      <c r="H124" s="81">
        <f t="shared" si="28"/>
        <v>2.9604325059324526E-5</v>
      </c>
      <c r="I124" s="81">
        <f t="shared" si="28"/>
        <v>3.946498927136606E-4</v>
      </c>
      <c r="J124" s="81">
        <f t="shared" si="28"/>
        <v>3.9464989271366065E-5</v>
      </c>
      <c r="K124" s="81">
        <f t="shared" si="28"/>
        <v>5.0155318990542028E-6</v>
      </c>
      <c r="L124" s="81">
        <f t="shared" si="28"/>
        <v>0</v>
      </c>
      <c r="M124" s="81">
        <f t="shared" si="28"/>
        <v>0</v>
      </c>
      <c r="N124" s="81">
        <f t="shared" si="28"/>
        <v>4.8246083125660061E-6</v>
      </c>
      <c r="O124" s="81"/>
      <c r="P124" s="81"/>
      <c r="Q124" s="199">
        <f>'Parameters, country spec'!K31</f>
        <v>0.1236547415949409</v>
      </c>
    </row>
    <row r="125" spans="1:17" x14ac:dyDescent="0.3">
      <c r="A125" s="42"/>
      <c r="B125" s="43" t="s">
        <v>347</v>
      </c>
      <c r="C125" s="44"/>
      <c r="D125" s="45"/>
      <c r="E125" s="45"/>
      <c r="F125" s="46">
        <f>SUMPRODUCT(F114:F124,$Q$114:$Q$124)</f>
        <v>6.7739843588762662E-4</v>
      </c>
      <c r="G125" s="46">
        <f t="shared" ref="G125:P125" si="29">SUMPRODUCT(G114:G124,$Q$114:$Q$124)</f>
        <v>1.0842273412420079E-4</v>
      </c>
      <c r="H125" s="46">
        <f t="shared" si="29"/>
        <v>1.1454888747681036E-5</v>
      </c>
      <c r="I125" s="46">
        <f t="shared" si="29"/>
        <v>4.7284268168868647E-4</v>
      </c>
      <c r="J125" s="46">
        <f t="shared" si="29"/>
        <v>4.7284268168868639E-5</v>
      </c>
      <c r="K125" s="46">
        <f t="shared" si="29"/>
        <v>2.3432246320408002E-6</v>
      </c>
      <c r="L125" s="46">
        <f t="shared" si="29"/>
        <v>0</v>
      </c>
      <c r="M125" s="46">
        <f t="shared" si="29"/>
        <v>0</v>
      </c>
      <c r="N125" s="46">
        <f t="shared" si="29"/>
        <v>2.3607717458629587E-6</v>
      </c>
      <c r="O125" s="46">
        <f t="shared" si="29"/>
        <v>0</v>
      </c>
      <c r="P125" s="46">
        <f t="shared" si="29"/>
        <v>3.2689866780286108E-5</v>
      </c>
      <c r="Q125" s="200"/>
    </row>
    <row r="126" spans="1:17" x14ac:dyDescent="0.3">
      <c r="A126" s="201" t="s">
        <v>333</v>
      </c>
      <c r="B126" s="179" t="s">
        <v>172</v>
      </c>
      <c r="C126" s="179" t="s">
        <v>334</v>
      </c>
      <c r="D126" s="202" t="s">
        <v>68</v>
      </c>
      <c r="E126" s="202" t="s">
        <v>69</v>
      </c>
      <c r="F126" s="225">
        <f>SUM(G126:P126)</f>
        <v>8.3700497241450582E-4</v>
      </c>
      <c r="G126" s="203">
        <v>1.3527187113652022E-4</v>
      </c>
      <c r="H126" s="204">
        <v>1.1000000000000001E-6</v>
      </c>
      <c r="I126" s="207">
        <v>6.348790825230616E-4</v>
      </c>
      <c r="J126" s="207">
        <v>6.3487908252306166E-5</v>
      </c>
      <c r="K126" s="207">
        <v>1.0965445026178011E-6</v>
      </c>
      <c r="L126" s="207"/>
      <c r="M126" s="207">
        <v>0</v>
      </c>
      <c r="N126" s="207">
        <v>1.1695660000000001E-6</v>
      </c>
      <c r="O126" s="207"/>
      <c r="P126" s="206"/>
      <c r="Q126" s="210">
        <f>'Parameters, country spec'!L21</f>
        <v>0.24551366744057773</v>
      </c>
    </row>
    <row r="127" spans="1:17" x14ac:dyDescent="0.3">
      <c r="A127" s="21" t="s">
        <v>335</v>
      </c>
      <c r="B127" s="16" t="s">
        <v>174</v>
      </c>
      <c r="C127" s="16" t="s">
        <v>334</v>
      </c>
      <c r="D127" s="22" t="s">
        <v>68</v>
      </c>
      <c r="E127" s="22" t="s">
        <v>69</v>
      </c>
      <c r="F127" s="223">
        <f t="shared" ref="F127:F136" si="30">SUM(G127:P127)</f>
        <v>7.7064277808378814E-4</v>
      </c>
      <c r="G127" s="98">
        <v>1.3173663927780048E-4</v>
      </c>
      <c r="H127" s="99">
        <v>1.1000000000000001E-6</v>
      </c>
      <c r="I127" s="100">
        <v>5.7807906502645948E-4</v>
      </c>
      <c r="J127" s="100">
        <v>5.7807906502645948E-5</v>
      </c>
      <c r="K127" s="100">
        <v>7.4960127688222882E-7</v>
      </c>
      <c r="L127" s="100"/>
      <c r="M127" s="100">
        <v>0</v>
      </c>
      <c r="N127" s="100">
        <v>1.1695660000000001E-6</v>
      </c>
      <c r="O127" s="100"/>
      <c r="P127" s="13"/>
      <c r="Q127" s="199">
        <f>'Parameters, country spec'!L22</f>
        <v>2.5654510704344589E-3</v>
      </c>
    </row>
    <row r="128" spans="1:17" x14ac:dyDescent="0.3">
      <c r="A128" s="21" t="s">
        <v>336</v>
      </c>
      <c r="B128" s="16" t="s">
        <v>175</v>
      </c>
      <c r="C128" s="16" t="s">
        <v>334</v>
      </c>
      <c r="D128" s="22" t="s">
        <v>68</v>
      </c>
      <c r="E128" s="22" t="s">
        <v>69</v>
      </c>
      <c r="F128" s="223">
        <f t="shared" si="30"/>
        <v>7.4080189535590966E-4</v>
      </c>
      <c r="G128" s="98">
        <v>1.1925038042019814E-4</v>
      </c>
      <c r="H128" s="99">
        <v>1.1000000000000001E-6</v>
      </c>
      <c r="I128" s="100">
        <v>5.6184338890070615E-4</v>
      </c>
      <c r="J128" s="100">
        <v>5.6184338890070617E-5</v>
      </c>
      <c r="K128" s="100">
        <v>1.2542211449347684E-6</v>
      </c>
      <c r="L128" s="100"/>
      <c r="M128" s="100">
        <v>0</v>
      </c>
      <c r="N128" s="100">
        <v>1.1695660000000001E-6</v>
      </c>
      <c r="O128" s="100"/>
      <c r="P128" s="13"/>
      <c r="Q128" s="199">
        <f>'Parameters, country spec'!L23</f>
        <v>4.1303762233994797E-2</v>
      </c>
    </row>
    <row r="129" spans="1:17" x14ac:dyDescent="0.3">
      <c r="A129" s="21" t="s">
        <v>337</v>
      </c>
      <c r="B129" s="16" t="s">
        <v>176</v>
      </c>
      <c r="C129" s="16" t="s">
        <v>334</v>
      </c>
      <c r="D129" s="22" t="s">
        <v>68</v>
      </c>
      <c r="E129" s="22" t="s">
        <v>69</v>
      </c>
      <c r="F129" s="223">
        <f t="shared" si="30"/>
        <v>6.6289501004433845E-4</v>
      </c>
      <c r="G129" s="98">
        <v>1.0503816802565812E-4</v>
      </c>
      <c r="H129" s="99">
        <v>1.1000000000000001E-6</v>
      </c>
      <c r="I129" s="100">
        <v>5.0432765635150922E-4</v>
      </c>
      <c r="J129" s="100">
        <v>5.0432765635150922E-5</v>
      </c>
      <c r="K129" s="100">
        <v>8.2685403202016689E-7</v>
      </c>
      <c r="L129" s="100"/>
      <c r="M129" s="100">
        <v>0</v>
      </c>
      <c r="N129" s="100">
        <v>1.1695660000000001E-6</v>
      </c>
      <c r="O129" s="100"/>
      <c r="P129" s="13"/>
      <c r="Q129" s="199">
        <f>'Parameters, country spec'!L24</f>
        <v>2.6167600918431479E-2</v>
      </c>
    </row>
    <row r="130" spans="1:17" x14ac:dyDescent="0.3">
      <c r="A130" s="21" t="s">
        <v>338</v>
      </c>
      <c r="B130" s="16" t="s">
        <v>177</v>
      </c>
      <c r="C130" s="16" t="s">
        <v>334</v>
      </c>
      <c r="D130" s="22" t="s">
        <v>68</v>
      </c>
      <c r="E130" s="22" t="s">
        <v>69</v>
      </c>
      <c r="F130" s="223">
        <f t="shared" si="30"/>
        <v>9.1657094895803305E-4</v>
      </c>
      <c r="G130" s="98">
        <v>1.5506058283512638E-4</v>
      </c>
      <c r="H130" s="99">
        <v>1.1000000000000001E-6</v>
      </c>
      <c r="I130" s="100">
        <v>6.8950683668766316E-4</v>
      </c>
      <c r="J130" s="100">
        <v>6.8950683668766316E-5</v>
      </c>
      <c r="K130" s="100">
        <v>7.832797664771855E-7</v>
      </c>
      <c r="L130" s="100"/>
      <c r="M130" s="100">
        <v>0</v>
      </c>
      <c r="N130" s="100">
        <v>1.1695660000000001E-6</v>
      </c>
      <c r="O130" s="100"/>
      <c r="P130" s="13"/>
      <c r="Q130" s="199">
        <f>'Parameters, country spec'!L25</f>
        <v>0.30682794802396129</v>
      </c>
    </row>
    <row r="131" spans="1:17" x14ac:dyDescent="0.3">
      <c r="A131" s="21" t="s">
        <v>339</v>
      </c>
      <c r="B131" s="16" t="s">
        <v>178</v>
      </c>
      <c r="C131" s="16" t="s">
        <v>340</v>
      </c>
      <c r="D131" s="22" t="s">
        <v>68</v>
      </c>
      <c r="E131" s="22" t="s">
        <v>69</v>
      </c>
      <c r="F131" s="223">
        <f t="shared" si="30"/>
        <v>2.0683180874021213E-4</v>
      </c>
      <c r="G131" s="98">
        <v>0</v>
      </c>
      <c r="H131" s="99">
        <v>1.1000000000000001E-6</v>
      </c>
      <c r="I131" s="100">
        <v>1.8457296000000002E-4</v>
      </c>
      <c r="J131" s="100">
        <v>1.8457296000000003E-5</v>
      </c>
      <c r="K131" s="100">
        <v>1.5319867402121297E-6</v>
      </c>
      <c r="L131" s="100"/>
      <c r="M131" s="100">
        <v>0</v>
      </c>
      <c r="N131" s="100">
        <v>1.1695660000000001E-6</v>
      </c>
      <c r="O131" s="100"/>
      <c r="P131" s="13"/>
      <c r="Q131" s="199">
        <f>'Parameters, country spec'!L26</f>
        <v>4.6178119267820264E-3</v>
      </c>
    </row>
    <row r="132" spans="1:17" x14ac:dyDescent="0.3">
      <c r="A132" s="21" t="s">
        <v>341</v>
      </c>
      <c r="B132" s="16" t="s">
        <v>179</v>
      </c>
      <c r="C132" s="16" t="s">
        <v>340</v>
      </c>
      <c r="D132" s="22" t="s">
        <v>68</v>
      </c>
      <c r="E132" s="22" t="s">
        <v>69</v>
      </c>
      <c r="F132" s="223">
        <f t="shared" si="30"/>
        <v>2.3870339373407735E-4</v>
      </c>
      <c r="G132" s="98">
        <v>6.6632952642360706E-6</v>
      </c>
      <c r="H132" s="99">
        <v>1.1000000000000001E-6</v>
      </c>
      <c r="I132" s="100">
        <v>2.067986173968254E-4</v>
      </c>
      <c r="J132" s="100">
        <v>2.0679861739682541E-5</v>
      </c>
      <c r="K132" s="100">
        <v>2.2920533333333338E-6</v>
      </c>
      <c r="L132" s="100"/>
      <c r="M132" s="100">
        <v>0</v>
      </c>
      <c r="N132" s="100">
        <v>1.1695660000000001E-6</v>
      </c>
      <c r="O132" s="100"/>
      <c r="P132" s="13"/>
      <c r="Q132" s="199">
        <f>'Parameters, country spec'!L27</f>
        <v>5.3104837157993301E-2</v>
      </c>
    </row>
    <row r="133" spans="1:17" x14ac:dyDescent="0.3">
      <c r="B133" s="17" t="s">
        <v>180</v>
      </c>
      <c r="C133" s="16" t="s">
        <v>342</v>
      </c>
      <c r="D133" s="22" t="s">
        <v>68</v>
      </c>
      <c r="E133" s="22" t="s">
        <v>69</v>
      </c>
      <c r="F133" s="224">
        <f t="shared" si="30"/>
        <v>5.8000379334182534E-4</v>
      </c>
      <c r="G133" s="33">
        <f>'Processed feed'!$F$38</f>
        <v>2.5154866356233592E-4</v>
      </c>
      <c r="H133" s="33">
        <f>'Processed feed'!$G$38</f>
        <v>2.575956076270594E-4</v>
      </c>
      <c r="I133" s="33">
        <f>'Processed feed'!$H$38</f>
        <v>0</v>
      </c>
      <c r="J133" s="33">
        <f>'Processed feed'!$I$38</f>
        <v>0</v>
      </c>
      <c r="K133" s="33">
        <f>'Processed feed'!$J$38</f>
        <v>3.5012930046684228E-5</v>
      </c>
      <c r="L133" s="33">
        <f>'Processed feed'!$K$38</f>
        <v>0</v>
      </c>
      <c r="M133" s="33">
        <f>'Processed feed'!$L$38</f>
        <v>0</v>
      </c>
      <c r="N133" s="33">
        <f>'Processed feed'!$M$38</f>
        <v>3.4018889403043034E-5</v>
      </c>
      <c r="O133" s="33">
        <f>'Processed feed'!$N$38</f>
        <v>0</v>
      </c>
      <c r="P133" s="33">
        <f>'Processed feed'!$O$38</f>
        <v>1.8277027027027027E-6</v>
      </c>
      <c r="Q133" s="199">
        <f>'Parameters, country spec'!L28</f>
        <v>2.7193781346605266E-2</v>
      </c>
    </row>
    <row r="134" spans="1:17" x14ac:dyDescent="0.3">
      <c r="B134" s="17" t="s">
        <v>343</v>
      </c>
      <c r="C134" s="16" t="s">
        <v>342</v>
      </c>
      <c r="D134" s="22" t="s">
        <v>68</v>
      </c>
      <c r="E134" s="22" t="s">
        <v>69</v>
      </c>
      <c r="F134" s="224">
        <f t="shared" si="30"/>
        <v>1.123760611639415E-3</v>
      </c>
      <c r="G134" s="33">
        <f>'Processed feed'!$F$43</f>
        <v>0</v>
      </c>
      <c r="H134" s="33">
        <f>'Processed feed'!$G$43</f>
        <v>1.1433179068612911E-6</v>
      </c>
      <c r="I134" s="33">
        <f>'Processed feed'!$H$43</f>
        <v>1.9184142753672076E-4</v>
      </c>
      <c r="J134" s="33">
        <f>'Processed feed'!$I$43</f>
        <v>1.9184142753672074E-5</v>
      </c>
      <c r="K134" s="33">
        <f>'Processed feed'!$J$43</f>
        <v>1.592316248325986E-6</v>
      </c>
      <c r="L134" s="33">
        <f>'Processed feed'!$K$43</f>
        <v>0</v>
      </c>
      <c r="M134" s="33">
        <f>'Processed feed'!$L$43</f>
        <v>0</v>
      </c>
      <c r="N134" s="33">
        <f>'Processed feed'!$M$43</f>
        <v>1.21562341005103E-6</v>
      </c>
      <c r="O134" s="33">
        <f>'Processed feed'!$N$43</f>
        <v>0</v>
      </c>
      <c r="P134" s="33">
        <f>'Processed feed'!$O$43</f>
        <v>9.0878378378378389E-4</v>
      </c>
      <c r="Q134" s="199">
        <f>'Parameters, country spec'!L29</f>
        <v>3.5916314986082429E-2</v>
      </c>
    </row>
    <row r="135" spans="1:17" x14ac:dyDescent="0.3">
      <c r="B135" s="16" t="s">
        <v>182</v>
      </c>
      <c r="C135" s="16" t="s">
        <v>344</v>
      </c>
      <c r="D135" s="22" t="s">
        <v>68</v>
      </c>
      <c r="E135" s="22" t="s">
        <v>69</v>
      </c>
      <c r="F135" s="224"/>
      <c r="G135" s="13"/>
      <c r="H135" s="13"/>
      <c r="I135" s="13"/>
      <c r="J135" s="13"/>
      <c r="K135" s="13"/>
      <c r="L135" s="13"/>
      <c r="M135" s="13"/>
      <c r="N135" s="13"/>
      <c r="O135" s="13"/>
      <c r="P135" s="13"/>
      <c r="Q135" s="199">
        <f>'Parameters, country spec'!L30</f>
        <v>0.13313408330019627</v>
      </c>
    </row>
    <row r="136" spans="1:17" x14ac:dyDescent="0.3">
      <c r="A136" s="82"/>
      <c r="B136" s="16" t="s">
        <v>345</v>
      </c>
      <c r="C136" s="83" t="s">
        <v>346</v>
      </c>
      <c r="D136" s="22" t="s">
        <v>68</v>
      </c>
      <c r="E136" s="22" t="s">
        <v>69</v>
      </c>
      <c r="F136" s="224">
        <f t="shared" si="30"/>
        <v>5.7406708064729087E-4</v>
      </c>
      <c r="G136" s="81">
        <f t="shared" ref="G136:N136" si="31">AVERAGE(G126:G134)</f>
        <v>1.0050773339131949E-4</v>
      </c>
      <c r="H136" s="81">
        <f t="shared" si="31"/>
        <v>2.9604325059324526E-5</v>
      </c>
      <c r="I136" s="81">
        <f t="shared" si="31"/>
        <v>3.946498927136606E-4</v>
      </c>
      <c r="J136" s="81">
        <f t="shared" si="31"/>
        <v>3.9464989271366065E-5</v>
      </c>
      <c r="K136" s="81">
        <f t="shared" si="31"/>
        <v>5.0155318990542028E-6</v>
      </c>
      <c r="L136" s="81">
        <f t="shared" si="31"/>
        <v>0</v>
      </c>
      <c r="M136" s="81">
        <f t="shared" si="31"/>
        <v>0</v>
      </c>
      <c r="N136" s="81">
        <f t="shared" si="31"/>
        <v>4.8246083125660061E-6</v>
      </c>
      <c r="O136" s="81"/>
      <c r="P136" s="81"/>
      <c r="Q136" s="199">
        <f>'Parameters, country spec'!L31</f>
        <v>0.1236547415949409</v>
      </c>
    </row>
    <row r="137" spans="1:17" x14ac:dyDescent="0.3">
      <c r="A137" s="198"/>
      <c r="B137" s="24" t="s">
        <v>347</v>
      </c>
      <c r="C137" s="25"/>
      <c r="D137" s="101"/>
      <c r="E137" s="101"/>
      <c r="F137" s="29">
        <f>SUMPRODUCT(F126:F136,$Q$126:$Q$136)</f>
        <v>6.7739843588762662E-4</v>
      </c>
      <c r="G137" s="29">
        <f t="shared" ref="G137:P137" si="32">SUMPRODUCT(G126:G136,$Q$126:$Q$136)</f>
        <v>1.0842273412420079E-4</v>
      </c>
      <c r="H137" s="29">
        <f t="shared" si="32"/>
        <v>1.1454888747681036E-5</v>
      </c>
      <c r="I137" s="29">
        <f t="shared" si="32"/>
        <v>4.7284268168868647E-4</v>
      </c>
      <c r="J137" s="29">
        <f t="shared" si="32"/>
        <v>4.7284268168868639E-5</v>
      </c>
      <c r="K137" s="29">
        <f t="shared" si="32"/>
        <v>2.3432246320408002E-6</v>
      </c>
      <c r="L137" s="29">
        <f t="shared" si="32"/>
        <v>0</v>
      </c>
      <c r="M137" s="29">
        <f t="shared" si="32"/>
        <v>0</v>
      </c>
      <c r="N137" s="29">
        <f t="shared" si="32"/>
        <v>2.3607717458629587E-6</v>
      </c>
      <c r="O137" s="29">
        <f t="shared" si="32"/>
        <v>0</v>
      </c>
      <c r="P137" s="29">
        <f t="shared" si="32"/>
        <v>3.2689866780286108E-5</v>
      </c>
      <c r="Q137" s="200"/>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4" tint="0.39997558519241921"/>
  </sheetPr>
  <dimension ref="A2:M137"/>
  <sheetViews>
    <sheetView topLeftCell="A74" zoomScale="80" zoomScaleNormal="80" workbookViewId="0">
      <selection activeCell="O92" sqref="O92"/>
    </sheetView>
  </sheetViews>
  <sheetFormatPr defaultRowHeight="14.4" x14ac:dyDescent="0.3"/>
  <cols>
    <col min="1" max="1" width="8.6640625" customWidth="1"/>
    <col min="2" max="2" width="30.44140625" customWidth="1"/>
    <col min="3" max="3" width="19" customWidth="1"/>
    <col min="4" max="4" width="12.88671875" customWidth="1"/>
    <col min="5" max="5" width="8.88671875" customWidth="1"/>
    <col min="6" max="12" width="15.6640625" customWidth="1"/>
  </cols>
  <sheetData>
    <row r="2" spans="1:13" ht="21" x14ac:dyDescent="0.4">
      <c r="A2" s="2" t="s">
        <v>350</v>
      </c>
      <c r="F2" t="s">
        <v>351</v>
      </c>
      <c r="L2" t="s">
        <v>325</v>
      </c>
    </row>
    <row r="3" spans="1:13" x14ac:dyDescent="0.3">
      <c r="H3" s="8"/>
      <c r="I3" s="8"/>
      <c r="J3" s="8"/>
      <c r="K3" s="8"/>
    </row>
    <row r="4" spans="1:13" x14ac:dyDescent="0.3">
      <c r="A4" s="214" t="s">
        <v>326</v>
      </c>
      <c r="B4" s="215"/>
      <c r="C4" s="215"/>
      <c r="D4" s="215"/>
      <c r="E4" s="215"/>
      <c r="F4" s="216" t="s">
        <v>17</v>
      </c>
      <c r="G4" s="216" t="s">
        <v>352</v>
      </c>
      <c r="H4" s="216" t="s">
        <v>19</v>
      </c>
      <c r="I4" s="216" t="s">
        <v>20</v>
      </c>
      <c r="J4" s="217" t="s">
        <v>21</v>
      </c>
      <c r="K4" s="217" t="s">
        <v>22</v>
      </c>
      <c r="L4" s="217" t="s">
        <v>23</v>
      </c>
      <c r="M4" s="218" t="s">
        <v>327</v>
      </c>
    </row>
    <row r="5" spans="1:13" ht="43.2" x14ac:dyDescent="0.3">
      <c r="A5" s="219" t="s">
        <v>27</v>
      </c>
      <c r="B5" s="219" t="s">
        <v>326</v>
      </c>
      <c r="C5" s="219" t="s">
        <v>328</v>
      </c>
      <c r="D5" s="219" t="s">
        <v>30</v>
      </c>
      <c r="E5" s="196" t="s">
        <v>31</v>
      </c>
      <c r="F5" s="229" t="s">
        <v>38</v>
      </c>
      <c r="G5" s="229" t="s">
        <v>353</v>
      </c>
      <c r="H5" s="229" t="s">
        <v>354</v>
      </c>
      <c r="I5" s="230" t="s">
        <v>41</v>
      </c>
      <c r="J5" s="231" t="s">
        <v>42</v>
      </c>
      <c r="K5" s="232" t="s">
        <v>43</v>
      </c>
      <c r="L5" s="232" t="s">
        <v>44</v>
      </c>
      <c r="M5" s="97"/>
    </row>
    <row r="6" spans="1:13" x14ac:dyDescent="0.3">
      <c r="A6" s="21" t="s">
        <v>333</v>
      </c>
      <c r="B6" s="16" t="s">
        <v>172</v>
      </c>
      <c r="C6" s="16" t="s">
        <v>334</v>
      </c>
      <c r="D6" s="22" t="s">
        <v>113</v>
      </c>
      <c r="E6" s="22" t="s">
        <v>49</v>
      </c>
      <c r="F6" s="23">
        <v>2.1815008726003491</v>
      </c>
      <c r="G6" s="39">
        <v>2.0506108202443279E-2</v>
      </c>
      <c r="H6" s="39">
        <v>3.0541012216404886E-3</v>
      </c>
      <c r="I6" s="20">
        <v>0</v>
      </c>
      <c r="J6" s="27">
        <v>1.1343804537521816E-7</v>
      </c>
      <c r="K6" s="27">
        <v>9.332913409296623E-16</v>
      </c>
      <c r="L6" s="27">
        <v>5.2359749444649394E-4</v>
      </c>
      <c r="M6" s="199">
        <f>'Parameters, country spec'!B21</f>
        <v>0.24551366744057773</v>
      </c>
    </row>
    <row r="7" spans="1:13" x14ac:dyDescent="0.3">
      <c r="A7" s="21" t="s">
        <v>335</v>
      </c>
      <c r="B7" s="16" t="s">
        <v>174</v>
      </c>
      <c r="C7" s="16" t="s">
        <v>334</v>
      </c>
      <c r="D7" s="22" t="s">
        <v>113</v>
      </c>
      <c r="E7" s="22" t="s">
        <v>49</v>
      </c>
      <c r="F7" s="20">
        <v>5.0505050505050502</v>
      </c>
      <c r="G7" s="39">
        <v>1.3131313131313131E-2</v>
      </c>
      <c r="H7" s="39">
        <v>2.0202020202020202E-3</v>
      </c>
      <c r="I7" s="20">
        <v>0</v>
      </c>
      <c r="J7" s="27">
        <v>3.0808080808080806E-7</v>
      </c>
      <c r="K7" s="27">
        <v>2.1607108620310969E-15</v>
      </c>
      <c r="L7" s="27">
        <v>2.5791649629730588E-5</v>
      </c>
      <c r="M7" s="199">
        <f>'Parameters, country spec'!B22</f>
        <v>2.5654510704344589E-3</v>
      </c>
    </row>
    <row r="8" spans="1:13" x14ac:dyDescent="0.3">
      <c r="A8" s="21" t="s">
        <v>336</v>
      </c>
      <c r="B8" s="16" t="s">
        <v>175</v>
      </c>
      <c r="C8" s="16" t="s">
        <v>334</v>
      </c>
      <c r="D8" s="22" t="s">
        <v>113</v>
      </c>
      <c r="E8" s="22" t="s">
        <v>49</v>
      </c>
      <c r="F8" s="20">
        <v>1.5128936360129202</v>
      </c>
      <c r="G8" s="39">
        <v>1.9970195995370546E-2</v>
      </c>
      <c r="H8" s="39">
        <v>5.5977064532478039E-3</v>
      </c>
      <c r="I8" s="20">
        <v>0</v>
      </c>
      <c r="J8" s="27">
        <v>1.6641829996142119E-8</v>
      </c>
      <c r="K8" s="27">
        <v>6.4724729106130576E-16</v>
      </c>
      <c r="L8" s="27">
        <v>5.0991365516814952E-4</v>
      </c>
      <c r="M8" s="199">
        <f>'Parameters, country spec'!B23</f>
        <v>4.1303762233994797E-2</v>
      </c>
    </row>
    <row r="9" spans="1:13" x14ac:dyDescent="0.3">
      <c r="A9" s="21" t="s">
        <v>337</v>
      </c>
      <c r="B9" s="16" t="s">
        <v>176</v>
      </c>
      <c r="C9" s="16" t="s">
        <v>334</v>
      </c>
      <c r="D9" s="22" t="s">
        <v>113</v>
      </c>
      <c r="E9" s="22" t="s">
        <v>49</v>
      </c>
      <c r="F9" s="20">
        <v>2.5461100530609335</v>
      </c>
      <c r="G9" s="39">
        <v>1.8077381376732628E-2</v>
      </c>
      <c r="H9" s="39">
        <v>3.8191650795914001E-3</v>
      </c>
      <c r="I9" s="20">
        <v>0</v>
      </c>
      <c r="J9" s="27">
        <v>1.1457495238774201E-7</v>
      </c>
      <c r="K9" s="27">
        <v>1.0892787142199158E-15</v>
      </c>
      <c r="L9" s="27">
        <v>4.6158303182478765E-4</v>
      </c>
      <c r="M9" s="199">
        <f>'Parameters, country spec'!B24</f>
        <v>2.6167600918431479E-2</v>
      </c>
    </row>
    <row r="10" spans="1:13" x14ac:dyDescent="0.3">
      <c r="A10" s="21" t="s">
        <v>338</v>
      </c>
      <c r="B10" s="16" t="s">
        <v>177</v>
      </c>
      <c r="C10" s="16" t="s">
        <v>334</v>
      </c>
      <c r="D10" s="22" t="s">
        <v>113</v>
      </c>
      <c r="E10" s="22" t="s">
        <v>49</v>
      </c>
      <c r="F10" s="20">
        <v>3.3757097429734602</v>
      </c>
      <c r="G10" s="39">
        <v>2.1266971380732799E-2</v>
      </c>
      <c r="H10" s="39">
        <v>1.6878548714867299E-3</v>
      </c>
      <c r="I10" s="20">
        <v>0</v>
      </c>
      <c r="J10" s="27">
        <v>1.9579116509246066E-7</v>
      </c>
      <c r="K10" s="27">
        <v>1.4441986763239777E-15</v>
      </c>
      <c r="L10" s="27">
        <v>0</v>
      </c>
      <c r="M10" s="199">
        <f>'Parameters, country spec'!B25</f>
        <v>0.30682794802396129</v>
      </c>
    </row>
    <row r="11" spans="1:13" x14ac:dyDescent="0.3">
      <c r="A11" s="21" t="s">
        <v>339</v>
      </c>
      <c r="B11" s="16" t="s">
        <v>178</v>
      </c>
      <c r="C11" s="16" t="s">
        <v>340</v>
      </c>
      <c r="D11" s="22" t="s">
        <v>113</v>
      </c>
      <c r="E11" s="22" t="s">
        <v>49</v>
      </c>
      <c r="F11" s="20">
        <v>1.6760975086486631</v>
      </c>
      <c r="G11" s="39">
        <v>1.5922926332162302E-2</v>
      </c>
      <c r="H11" s="39">
        <v>1.1732682560540643E-3</v>
      </c>
      <c r="I11" s="20">
        <v>0</v>
      </c>
      <c r="J11" s="27">
        <v>1.5755316581297433E-7</v>
      </c>
      <c r="K11" s="27">
        <v>7.1706929436656458E-16</v>
      </c>
      <c r="L11" s="27">
        <v>4.0657175166874981E-4</v>
      </c>
      <c r="M11" s="199">
        <f>'Parameters, country spec'!B26</f>
        <v>4.6178119267820264E-3</v>
      </c>
    </row>
    <row r="12" spans="1:13" x14ac:dyDescent="0.3">
      <c r="A12" s="21" t="s">
        <v>341</v>
      </c>
      <c r="B12" s="16" t="s">
        <v>179</v>
      </c>
      <c r="C12" s="16" t="s">
        <v>340</v>
      </c>
      <c r="D12" s="22" t="s">
        <v>113</v>
      </c>
      <c r="E12" s="22" t="s">
        <v>49</v>
      </c>
      <c r="F12" s="20">
        <v>1.5363343063450607</v>
      </c>
      <c r="G12" s="39">
        <v>2.350591488707943E-2</v>
      </c>
      <c r="H12" s="39">
        <v>2.150868028883085E-3</v>
      </c>
      <c r="I12" s="20">
        <v>0</v>
      </c>
      <c r="J12" s="27">
        <v>1.1368873866953449E-7</v>
      </c>
      <c r="K12" s="27">
        <v>6.5727569623929515E-16</v>
      </c>
      <c r="L12" s="27">
        <v>6.0019375778388269E-4</v>
      </c>
      <c r="M12" s="199">
        <f>'Parameters, country spec'!B27</f>
        <v>5.3104837157993301E-2</v>
      </c>
    </row>
    <row r="13" spans="1:13" x14ac:dyDescent="0.3">
      <c r="B13" s="17" t="s">
        <v>180</v>
      </c>
      <c r="C13" s="16" t="s">
        <v>342</v>
      </c>
      <c r="D13" s="22" t="s">
        <v>113</v>
      </c>
      <c r="E13" s="22" t="s">
        <v>49</v>
      </c>
      <c r="F13" s="105">
        <v>1.5363343063450607</v>
      </c>
      <c r="G13" s="106">
        <v>2.350591488707943E-2</v>
      </c>
      <c r="H13" s="106">
        <v>2.150868028883085E-3</v>
      </c>
      <c r="I13" s="105">
        <v>0</v>
      </c>
      <c r="J13" s="113">
        <v>1.1368873866953449E-7</v>
      </c>
      <c r="K13" s="113">
        <v>6.5727569623929515E-16</v>
      </c>
      <c r="L13" s="113">
        <v>6.0019375778388269E-4</v>
      </c>
      <c r="M13" s="199">
        <f>'Parameters, country spec'!B28</f>
        <v>2.7193781346605266E-2</v>
      </c>
    </row>
    <row r="14" spans="1:13" x14ac:dyDescent="0.3">
      <c r="B14" s="17" t="s">
        <v>343</v>
      </c>
      <c r="C14" s="16" t="s">
        <v>342</v>
      </c>
      <c r="D14" s="22" t="s">
        <v>113</v>
      </c>
      <c r="E14" s="22" t="s">
        <v>49</v>
      </c>
      <c r="F14" s="105">
        <v>1.5363343063450607</v>
      </c>
      <c r="G14" s="106">
        <v>2.350591488707943E-2</v>
      </c>
      <c r="H14" s="106">
        <v>2.150868028883085E-3</v>
      </c>
      <c r="I14" s="105">
        <v>0</v>
      </c>
      <c r="J14" s="113">
        <v>1.1368873866953449E-7</v>
      </c>
      <c r="K14" s="113">
        <v>8.018570399999999E-10</v>
      </c>
      <c r="L14" s="113">
        <v>6.0019375778388269E-4</v>
      </c>
      <c r="M14" s="199">
        <f>'Parameters, country spec'!B29</f>
        <v>3.5916314986082429E-2</v>
      </c>
    </row>
    <row r="15" spans="1:13" x14ac:dyDescent="0.3">
      <c r="B15" s="16" t="s">
        <v>182</v>
      </c>
      <c r="C15" s="16" t="s">
        <v>344</v>
      </c>
      <c r="D15" s="22" t="s">
        <v>113</v>
      </c>
      <c r="E15" s="22" t="s">
        <v>49</v>
      </c>
      <c r="F15" s="105"/>
      <c r="G15" s="106"/>
      <c r="H15" s="106"/>
      <c r="I15" s="105"/>
      <c r="J15" s="113"/>
      <c r="K15" s="113"/>
      <c r="L15" s="113"/>
      <c r="M15" s="199">
        <f>'Parameters, country spec'!B30</f>
        <v>0.13313408330019627</v>
      </c>
    </row>
    <row r="16" spans="1:13" x14ac:dyDescent="0.3">
      <c r="A16" s="82"/>
      <c r="B16" s="16" t="s">
        <v>345</v>
      </c>
      <c r="C16" s="83" t="s">
        <v>346</v>
      </c>
      <c r="D16" s="22" t="s">
        <v>113</v>
      </c>
      <c r="E16" s="22" t="s">
        <v>49</v>
      </c>
      <c r="F16" s="107">
        <f t="shared" ref="F16:L16" si="0">AVERAGE(F6:F14)</f>
        <v>2.3279799758707291</v>
      </c>
      <c r="G16" s="107">
        <f t="shared" si="0"/>
        <v>1.9932515675554777E-2</v>
      </c>
      <c r="H16" s="107">
        <f t="shared" si="0"/>
        <v>2.6449891098746397E-3</v>
      </c>
      <c r="I16" s="107">
        <f t="shared" si="0"/>
        <v>0</v>
      </c>
      <c r="J16" s="228">
        <f t="shared" si="0"/>
        <v>1.385717980837721E-7</v>
      </c>
      <c r="K16" s="228">
        <f t="shared" si="0"/>
        <v>8.9096149594174589E-11</v>
      </c>
      <c r="L16" s="228">
        <f t="shared" si="0"/>
        <v>4.142265395655066E-4</v>
      </c>
      <c r="M16" s="199">
        <f>'Parameters, country spec'!B31</f>
        <v>0.1236547415949409</v>
      </c>
    </row>
    <row r="17" spans="1:13" x14ac:dyDescent="0.3">
      <c r="A17" s="198"/>
      <c r="B17" s="24" t="s">
        <v>347</v>
      </c>
      <c r="C17" s="25"/>
      <c r="D17" s="101"/>
      <c r="E17" s="101"/>
      <c r="F17" s="29">
        <f>SUMPRODUCT(F6:F16,M6:M16)</f>
        <v>2.1875716423478537</v>
      </c>
      <c r="G17" s="29">
        <f>SUMPRODUCT(G6:G16,M6:M16)</f>
        <v>1.8161422178717652E-2</v>
      </c>
      <c r="H17" s="29">
        <f>SUMPRODUCT(H6:H16,M6:M16)</f>
        <v>2.1864784538934315E-3</v>
      </c>
      <c r="I17" s="29">
        <f>SUMPRODUCT(I6:I16,M6:M16)</f>
        <v>0</v>
      </c>
      <c r="J17" s="29">
        <f>SUMPRODUCT(J6:J16,M6:M16)</f>
        <v>1.2347562000710995E-7</v>
      </c>
      <c r="K17" s="29">
        <f>SUMPRODUCT(K6:K16,M6:M16)</f>
        <v>3.9817700504294268E-11</v>
      </c>
      <c r="L17" s="29">
        <f>SUMPRODUCT(L6:L16,M6:M16)</f>
        <v>2.8460640651791402E-4</v>
      </c>
      <c r="M17" s="200"/>
    </row>
    <row r="18" spans="1:13" x14ac:dyDescent="0.3">
      <c r="A18" s="21" t="s">
        <v>333</v>
      </c>
      <c r="B18" s="16" t="s">
        <v>172</v>
      </c>
      <c r="C18" s="16" t="s">
        <v>334</v>
      </c>
      <c r="D18" s="22" t="s">
        <v>50</v>
      </c>
      <c r="E18" s="22" t="s">
        <v>51</v>
      </c>
      <c r="F18" s="23">
        <v>2.1815008726003491</v>
      </c>
      <c r="G18" s="39">
        <v>2.0506108202443279E-2</v>
      </c>
      <c r="H18" s="39">
        <v>3.0541012216404886E-3</v>
      </c>
      <c r="I18" s="20">
        <v>0</v>
      </c>
      <c r="J18" s="27">
        <v>1.1343804537521816E-7</v>
      </c>
      <c r="K18" s="27">
        <v>9.332913409296623E-16</v>
      </c>
      <c r="L18" s="27">
        <v>5.2359749444649394E-4</v>
      </c>
      <c r="M18" s="199">
        <f>'Parameters, country spec'!C21</f>
        <v>0.24551366744057773</v>
      </c>
    </row>
    <row r="19" spans="1:13" x14ac:dyDescent="0.3">
      <c r="A19" s="21" t="s">
        <v>335</v>
      </c>
      <c r="B19" s="16" t="s">
        <v>174</v>
      </c>
      <c r="C19" s="16" t="s">
        <v>334</v>
      </c>
      <c r="D19" s="22" t="s">
        <v>50</v>
      </c>
      <c r="E19" s="22" t="s">
        <v>51</v>
      </c>
      <c r="F19" s="20">
        <v>5.0505050505050502</v>
      </c>
      <c r="G19" s="39">
        <v>1.3131313131313131E-2</v>
      </c>
      <c r="H19" s="39">
        <v>2.0202020202020202E-3</v>
      </c>
      <c r="I19" s="20">
        <v>0</v>
      </c>
      <c r="J19" s="27">
        <v>3.0808080808080806E-7</v>
      </c>
      <c r="K19" s="27">
        <v>2.1607108620310969E-15</v>
      </c>
      <c r="L19" s="27">
        <v>2.5791649629730588E-5</v>
      </c>
      <c r="M19" s="199">
        <f>'Parameters, country spec'!C22</f>
        <v>2.5654510704344589E-3</v>
      </c>
    </row>
    <row r="20" spans="1:13" x14ac:dyDescent="0.3">
      <c r="A20" s="21" t="s">
        <v>336</v>
      </c>
      <c r="B20" s="16" t="s">
        <v>175</v>
      </c>
      <c r="C20" s="16" t="s">
        <v>334</v>
      </c>
      <c r="D20" s="22" t="s">
        <v>50</v>
      </c>
      <c r="E20" s="22" t="s">
        <v>51</v>
      </c>
      <c r="F20" s="20">
        <v>1.5128936360129202</v>
      </c>
      <c r="G20" s="39">
        <v>1.9970195995370546E-2</v>
      </c>
      <c r="H20" s="39">
        <v>5.5977064532478039E-3</v>
      </c>
      <c r="I20" s="20">
        <v>0</v>
      </c>
      <c r="J20" s="27">
        <v>1.6641829996142119E-8</v>
      </c>
      <c r="K20" s="27">
        <v>6.4724729106130576E-16</v>
      </c>
      <c r="L20" s="27">
        <v>5.0991365516814952E-4</v>
      </c>
      <c r="M20" s="199">
        <f>'Parameters, country spec'!C23</f>
        <v>4.1303762233994797E-2</v>
      </c>
    </row>
    <row r="21" spans="1:13" x14ac:dyDescent="0.3">
      <c r="A21" s="21" t="s">
        <v>337</v>
      </c>
      <c r="B21" s="16" t="s">
        <v>176</v>
      </c>
      <c r="C21" s="16" t="s">
        <v>334</v>
      </c>
      <c r="D21" s="22" t="s">
        <v>50</v>
      </c>
      <c r="E21" s="22" t="s">
        <v>51</v>
      </c>
      <c r="F21" s="20">
        <v>2.5461100530609335</v>
      </c>
      <c r="G21" s="39">
        <v>1.8077381376732628E-2</v>
      </c>
      <c r="H21" s="39">
        <v>3.8191650795914001E-3</v>
      </c>
      <c r="I21" s="20">
        <v>0</v>
      </c>
      <c r="J21" s="27">
        <v>1.1457495238774201E-7</v>
      </c>
      <c r="K21" s="27">
        <v>1.0892787142199158E-15</v>
      </c>
      <c r="L21" s="27">
        <v>4.6158303182478765E-4</v>
      </c>
      <c r="M21" s="199">
        <f>'Parameters, country spec'!C24</f>
        <v>2.6167600918431479E-2</v>
      </c>
    </row>
    <row r="22" spans="1:13" x14ac:dyDescent="0.3">
      <c r="A22" s="21" t="s">
        <v>338</v>
      </c>
      <c r="B22" s="16" t="s">
        <v>177</v>
      </c>
      <c r="C22" s="16" t="s">
        <v>334</v>
      </c>
      <c r="D22" s="22" t="s">
        <v>50</v>
      </c>
      <c r="E22" s="22" t="s">
        <v>51</v>
      </c>
      <c r="F22" s="20">
        <v>3.3757097429734602</v>
      </c>
      <c r="G22" s="39">
        <v>2.1266971380732799E-2</v>
      </c>
      <c r="H22" s="39">
        <v>1.6878548714867299E-3</v>
      </c>
      <c r="I22" s="20">
        <v>0</v>
      </c>
      <c r="J22" s="27">
        <v>1.9579116509246066E-7</v>
      </c>
      <c r="K22" s="27">
        <v>1.4441986763239777E-15</v>
      </c>
      <c r="L22" s="27">
        <v>0</v>
      </c>
      <c r="M22" s="199">
        <f>'Parameters, country spec'!C25</f>
        <v>0.30682794802396129</v>
      </c>
    </row>
    <row r="23" spans="1:13" x14ac:dyDescent="0.3">
      <c r="A23" s="21" t="s">
        <v>339</v>
      </c>
      <c r="B23" s="16" t="s">
        <v>178</v>
      </c>
      <c r="C23" s="16" t="s">
        <v>340</v>
      </c>
      <c r="D23" s="22" t="s">
        <v>50</v>
      </c>
      <c r="E23" s="22" t="s">
        <v>51</v>
      </c>
      <c r="F23" s="20">
        <v>1.6760975086486631</v>
      </c>
      <c r="G23" s="39">
        <v>1.5922926332162302E-2</v>
      </c>
      <c r="H23" s="39">
        <v>1.1732682560540643E-3</v>
      </c>
      <c r="I23" s="20">
        <v>0</v>
      </c>
      <c r="J23" s="27">
        <v>1.5755316581297433E-7</v>
      </c>
      <c r="K23" s="27">
        <v>7.1706929436656458E-16</v>
      </c>
      <c r="L23" s="27">
        <v>4.0657175166874981E-4</v>
      </c>
      <c r="M23" s="199">
        <f>'Parameters, country spec'!C26</f>
        <v>4.6178119267820264E-3</v>
      </c>
    </row>
    <row r="24" spans="1:13" x14ac:dyDescent="0.3">
      <c r="A24" s="21" t="s">
        <v>341</v>
      </c>
      <c r="B24" s="16" t="s">
        <v>179</v>
      </c>
      <c r="C24" s="16" t="s">
        <v>340</v>
      </c>
      <c r="D24" s="22" t="s">
        <v>50</v>
      </c>
      <c r="E24" s="22" t="s">
        <v>51</v>
      </c>
      <c r="F24" s="20">
        <v>1.5363343063450607</v>
      </c>
      <c r="G24" s="39">
        <v>2.350591488707943E-2</v>
      </c>
      <c r="H24" s="39">
        <v>2.150868028883085E-3</v>
      </c>
      <c r="I24" s="20">
        <v>0</v>
      </c>
      <c r="J24" s="27">
        <v>1.1368873866953449E-7</v>
      </c>
      <c r="K24" s="27">
        <v>6.5727569623929515E-16</v>
      </c>
      <c r="L24" s="27">
        <v>6.0019375778388269E-4</v>
      </c>
      <c r="M24" s="199">
        <f>'Parameters, country spec'!C27</f>
        <v>5.3104837157993301E-2</v>
      </c>
    </row>
    <row r="25" spans="1:13" x14ac:dyDescent="0.3">
      <c r="B25" s="17" t="s">
        <v>180</v>
      </c>
      <c r="C25" s="16" t="s">
        <v>342</v>
      </c>
      <c r="D25" s="22" t="s">
        <v>50</v>
      </c>
      <c r="E25" s="22" t="s">
        <v>51</v>
      </c>
      <c r="F25" s="105">
        <v>1.5363343063450607</v>
      </c>
      <c r="G25" s="106">
        <v>2.350591488707943E-2</v>
      </c>
      <c r="H25" s="106">
        <v>2.150868028883085E-3</v>
      </c>
      <c r="I25" s="105">
        <v>0</v>
      </c>
      <c r="J25" s="113">
        <v>1.1368873866953449E-7</v>
      </c>
      <c r="K25" s="113">
        <v>6.5727569623929515E-16</v>
      </c>
      <c r="L25" s="113">
        <v>6.0019375778388269E-4</v>
      </c>
      <c r="M25" s="199">
        <f>'Parameters, country spec'!C28</f>
        <v>2.7193781346605266E-2</v>
      </c>
    </row>
    <row r="26" spans="1:13" x14ac:dyDescent="0.3">
      <c r="B26" s="17" t="s">
        <v>343</v>
      </c>
      <c r="C26" s="16" t="s">
        <v>342</v>
      </c>
      <c r="D26" s="22" t="s">
        <v>50</v>
      </c>
      <c r="E26" s="22" t="s">
        <v>51</v>
      </c>
      <c r="F26" s="105">
        <v>1.5363343063450607</v>
      </c>
      <c r="G26" s="106">
        <v>2.350591488707943E-2</v>
      </c>
      <c r="H26" s="106">
        <v>2.150868028883085E-3</v>
      </c>
      <c r="I26" s="105">
        <v>0</v>
      </c>
      <c r="J26" s="113">
        <v>1.1368873866953449E-7</v>
      </c>
      <c r="K26" s="113">
        <v>8.018570399999999E-10</v>
      </c>
      <c r="L26" s="113">
        <v>6.0019375778388269E-4</v>
      </c>
      <c r="M26" s="199">
        <f>'Parameters, country spec'!C29</f>
        <v>3.5916314986082429E-2</v>
      </c>
    </row>
    <row r="27" spans="1:13" x14ac:dyDescent="0.3">
      <c r="B27" s="16" t="s">
        <v>182</v>
      </c>
      <c r="C27" s="16" t="s">
        <v>344</v>
      </c>
      <c r="D27" s="22" t="s">
        <v>50</v>
      </c>
      <c r="E27" s="22" t="s">
        <v>51</v>
      </c>
      <c r="F27" s="105"/>
      <c r="G27" s="106"/>
      <c r="H27" s="106"/>
      <c r="I27" s="105"/>
      <c r="J27" s="113"/>
      <c r="K27" s="113"/>
      <c r="L27" s="113"/>
      <c r="M27" s="199">
        <f>'Parameters, country spec'!C30</f>
        <v>0.13313408330019627</v>
      </c>
    </row>
    <row r="28" spans="1:13" x14ac:dyDescent="0.3">
      <c r="A28" s="82"/>
      <c r="B28" s="16" t="s">
        <v>345</v>
      </c>
      <c r="C28" s="83" t="s">
        <v>346</v>
      </c>
      <c r="D28" s="22" t="s">
        <v>50</v>
      </c>
      <c r="E28" s="22" t="s">
        <v>51</v>
      </c>
      <c r="F28" s="107">
        <f t="shared" ref="F28:L28" si="1">AVERAGE(F18:F26)</f>
        <v>2.3279799758707291</v>
      </c>
      <c r="G28" s="107">
        <f t="shared" si="1"/>
        <v>1.9932515675554777E-2</v>
      </c>
      <c r="H28" s="107">
        <f t="shared" si="1"/>
        <v>2.6449891098746397E-3</v>
      </c>
      <c r="I28" s="107">
        <f t="shared" si="1"/>
        <v>0</v>
      </c>
      <c r="J28" s="228">
        <f t="shared" si="1"/>
        <v>1.385717980837721E-7</v>
      </c>
      <c r="K28" s="228">
        <f t="shared" si="1"/>
        <v>8.9096149594174589E-11</v>
      </c>
      <c r="L28" s="228">
        <f t="shared" si="1"/>
        <v>4.142265395655066E-4</v>
      </c>
      <c r="M28" s="199">
        <f>'Parameters, country spec'!C31</f>
        <v>0.1236547415949409</v>
      </c>
    </row>
    <row r="29" spans="1:13" x14ac:dyDescent="0.3">
      <c r="A29" s="198"/>
      <c r="B29" s="24" t="s">
        <v>347</v>
      </c>
      <c r="C29" s="25"/>
      <c r="D29" s="101"/>
      <c r="E29" s="101"/>
      <c r="F29" s="29">
        <f>SUMPRODUCT(F18:F28,M18:M28)</f>
        <v>2.1875716423478537</v>
      </c>
      <c r="G29" s="29">
        <f>SUMPRODUCT(G18:G28,M18:M28)</f>
        <v>1.8161422178717652E-2</v>
      </c>
      <c r="H29" s="29">
        <f>SUMPRODUCT(H18:H28,M18:M28)</f>
        <v>2.1864784538934315E-3</v>
      </c>
      <c r="I29" s="29">
        <f>SUMPRODUCT(I18:I28,M18:M28)</f>
        <v>0</v>
      </c>
      <c r="J29" s="29">
        <f>SUMPRODUCT(J18:J28,M18:M28)</f>
        <v>1.2347562000710995E-7</v>
      </c>
      <c r="K29" s="29">
        <f>SUMPRODUCT(K18:K28,M18:M28)</f>
        <v>3.9817700504294268E-11</v>
      </c>
      <c r="L29" s="29">
        <f>SUMPRODUCT(L18:L28,M18:M28)</f>
        <v>2.8460640651791402E-4</v>
      </c>
      <c r="M29" s="200"/>
    </row>
    <row r="30" spans="1:13" x14ac:dyDescent="0.3">
      <c r="A30" s="21" t="s">
        <v>333</v>
      </c>
      <c r="B30" s="16" t="s">
        <v>172</v>
      </c>
      <c r="C30" s="16" t="s">
        <v>334</v>
      </c>
      <c r="D30" s="22" t="s">
        <v>52</v>
      </c>
      <c r="E30" s="22" t="s">
        <v>53</v>
      </c>
      <c r="F30" s="23">
        <v>2.1815008726003491</v>
      </c>
      <c r="G30" s="39">
        <v>2.0506108202443279E-2</v>
      </c>
      <c r="H30" s="39">
        <v>3.0541012216404886E-3</v>
      </c>
      <c r="I30" s="20">
        <v>0</v>
      </c>
      <c r="J30" s="27">
        <v>1.1343804537521816E-7</v>
      </c>
      <c r="K30" s="27">
        <v>9.332913409296623E-16</v>
      </c>
      <c r="L30" s="27">
        <v>5.2359749444649394E-4</v>
      </c>
      <c r="M30" s="199">
        <f>'Parameters, country spec'!D21</f>
        <v>0.24551366744057773</v>
      </c>
    </row>
    <row r="31" spans="1:13" x14ac:dyDescent="0.3">
      <c r="A31" s="21" t="s">
        <v>335</v>
      </c>
      <c r="B31" s="16" t="s">
        <v>174</v>
      </c>
      <c r="C31" s="16" t="s">
        <v>334</v>
      </c>
      <c r="D31" s="22" t="s">
        <v>52</v>
      </c>
      <c r="E31" s="22" t="s">
        <v>53</v>
      </c>
      <c r="F31" s="20">
        <v>5.0505050505050502</v>
      </c>
      <c r="G31" s="39">
        <v>1.3131313131313131E-2</v>
      </c>
      <c r="H31" s="39">
        <v>2.0202020202020202E-3</v>
      </c>
      <c r="I31" s="20">
        <v>0</v>
      </c>
      <c r="J31" s="27">
        <v>3.0808080808080806E-7</v>
      </c>
      <c r="K31" s="27">
        <v>2.1607108620310969E-15</v>
      </c>
      <c r="L31" s="27">
        <v>2.5791649629730588E-5</v>
      </c>
      <c r="M31" s="199">
        <f>'Parameters, country spec'!D22</f>
        <v>2.5654510704344589E-3</v>
      </c>
    </row>
    <row r="32" spans="1:13" x14ac:dyDescent="0.3">
      <c r="A32" s="21" t="s">
        <v>336</v>
      </c>
      <c r="B32" s="16" t="s">
        <v>175</v>
      </c>
      <c r="C32" s="16" t="s">
        <v>334</v>
      </c>
      <c r="D32" s="22" t="s">
        <v>52</v>
      </c>
      <c r="E32" s="22" t="s">
        <v>53</v>
      </c>
      <c r="F32" s="20">
        <v>1.5128936360129202</v>
      </c>
      <c r="G32" s="39">
        <v>1.9970195995370546E-2</v>
      </c>
      <c r="H32" s="39">
        <v>5.5977064532478039E-3</v>
      </c>
      <c r="I32" s="20">
        <v>0</v>
      </c>
      <c r="J32" s="27">
        <v>1.6641829996142119E-8</v>
      </c>
      <c r="K32" s="27">
        <v>6.4724729106130576E-16</v>
      </c>
      <c r="L32" s="27">
        <v>5.0991365516814952E-4</v>
      </c>
      <c r="M32" s="199">
        <f>'Parameters, country spec'!D23</f>
        <v>4.1303762233994797E-2</v>
      </c>
    </row>
    <row r="33" spans="1:13" x14ac:dyDescent="0.3">
      <c r="A33" s="21" t="s">
        <v>337</v>
      </c>
      <c r="B33" s="16" t="s">
        <v>176</v>
      </c>
      <c r="C33" s="16" t="s">
        <v>334</v>
      </c>
      <c r="D33" s="22" t="s">
        <v>52</v>
      </c>
      <c r="E33" s="22" t="s">
        <v>53</v>
      </c>
      <c r="F33" s="20">
        <v>2.5461100530609335</v>
      </c>
      <c r="G33" s="39">
        <v>1.8077381376732628E-2</v>
      </c>
      <c r="H33" s="39">
        <v>3.8191650795914001E-3</v>
      </c>
      <c r="I33" s="20">
        <v>0</v>
      </c>
      <c r="J33" s="27">
        <v>1.1457495238774201E-7</v>
      </c>
      <c r="K33" s="27">
        <v>1.0892787142199158E-15</v>
      </c>
      <c r="L33" s="27">
        <v>4.6158303182478765E-4</v>
      </c>
      <c r="M33" s="199">
        <f>'Parameters, country spec'!D24</f>
        <v>2.6167600918431479E-2</v>
      </c>
    </row>
    <row r="34" spans="1:13" x14ac:dyDescent="0.3">
      <c r="A34" s="21" t="s">
        <v>338</v>
      </c>
      <c r="B34" s="16" t="s">
        <v>177</v>
      </c>
      <c r="C34" s="16" t="s">
        <v>334</v>
      </c>
      <c r="D34" s="22" t="s">
        <v>52</v>
      </c>
      <c r="E34" s="22" t="s">
        <v>53</v>
      </c>
      <c r="F34" s="20">
        <v>3.3757097429734602</v>
      </c>
      <c r="G34" s="39">
        <v>2.1266971380732799E-2</v>
      </c>
      <c r="H34" s="39">
        <v>1.6878548714867299E-3</v>
      </c>
      <c r="I34" s="20">
        <v>0</v>
      </c>
      <c r="J34" s="27">
        <v>1.9579116509246066E-7</v>
      </c>
      <c r="K34" s="27">
        <v>1.4441986763239777E-15</v>
      </c>
      <c r="L34" s="27">
        <v>0</v>
      </c>
      <c r="M34" s="199">
        <f>'Parameters, country spec'!D25</f>
        <v>0.30682794802396129</v>
      </c>
    </row>
    <row r="35" spans="1:13" x14ac:dyDescent="0.3">
      <c r="A35" s="21" t="s">
        <v>339</v>
      </c>
      <c r="B35" s="16" t="s">
        <v>178</v>
      </c>
      <c r="C35" s="16" t="s">
        <v>340</v>
      </c>
      <c r="D35" s="22" t="s">
        <v>52</v>
      </c>
      <c r="E35" s="22" t="s">
        <v>53</v>
      </c>
      <c r="F35" s="20">
        <v>1.6760975086486631</v>
      </c>
      <c r="G35" s="39">
        <v>1.5922926332162302E-2</v>
      </c>
      <c r="H35" s="39">
        <v>1.1732682560540643E-3</v>
      </c>
      <c r="I35" s="20">
        <v>0</v>
      </c>
      <c r="J35" s="27">
        <v>1.5755316581297433E-7</v>
      </c>
      <c r="K35" s="27">
        <v>7.1706929436656458E-16</v>
      </c>
      <c r="L35" s="27">
        <v>4.0657175166874981E-4</v>
      </c>
      <c r="M35" s="199">
        <f>'Parameters, country spec'!D26</f>
        <v>4.6178119267820264E-3</v>
      </c>
    </row>
    <row r="36" spans="1:13" x14ac:dyDescent="0.3">
      <c r="A36" s="21" t="s">
        <v>341</v>
      </c>
      <c r="B36" s="16" t="s">
        <v>179</v>
      </c>
      <c r="C36" s="16" t="s">
        <v>340</v>
      </c>
      <c r="D36" s="22" t="s">
        <v>52</v>
      </c>
      <c r="E36" s="22" t="s">
        <v>53</v>
      </c>
      <c r="F36" s="20">
        <v>1.5363343063450607</v>
      </c>
      <c r="G36" s="39">
        <v>2.350591488707943E-2</v>
      </c>
      <c r="H36" s="39">
        <v>2.150868028883085E-3</v>
      </c>
      <c r="I36" s="20">
        <v>0</v>
      </c>
      <c r="J36" s="27">
        <v>1.1368873866953449E-7</v>
      </c>
      <c r="K36" s="27">
        <v>6.5727569623929515E-16</v>
      </c>
      <c r="L36" s="27">
        <v>6.0019375778388269E-4</v>
      </c>
      <c r="M36" s="199">
        <f>'Parameters, country spec'!D27</f>
        <v>5.3104837157993301E-2</v>
      </c>
    </row>
    <row r="37" spans="1:13" x14ac:dyDescent="0.3">
      <c r="B37" s="17" t="s">
        <v>180</v>
      </c>
      <c r="C37" s="16" t="s">
        <v>342</v>
      </c>
      <c r="D37" s="22" t="s">
        <v>52</v>
      </c>
      <c r="E37" s="22" t="s">
        <v>53</v>
      </c>
      <c r="F37" s="105">
        <v>1.5363343063450607</v>
      </c>
      <c r="G37" s="106">
        <v>2.350591488707943E-2</v>
      </c>
      <c r="H37" s="106">
        <v>2.150868028883085E-3</v>
      </c>
      <c r="I37" s="105">
        <v>0</v>
      </c>
      <c r="J37" s="113">
        <v>1.1368873866953449E-7</v>
      </c>
      <c r="K37" s="113">
        <v>6.5727569623929515E-16</v>
      </c>
      <c r="L37" s="113">
        <v>6.0019375778388269E-4</v>
      </c>
      <c r="M37" s="199">
        <f>'Parameters, country spec'!D28</f>
        <v>2.7193781346605266E-2</v>
      </c>
    </row>
    <row r="38" spans="1:13" x14ac:dyDescent="0.3">
      <c r="B38" s="17" t="s">
        <v>343</v>
      </c>
      <c r="C38" s="16" t="s">
        <v>342</v>
      </c>
      <c r="D38" s="22" t="s">
        <v>52</v>
      </c>
      <c r="E38" s="22" t="s">
        <v>53</v>
      </c>
      <c r="F38" s="105">
        <v>1.5363343063450607</v>
      </c>
      <c r="G38" s="106">
        <v>2.350591488707943E-2</v>
      </c>
      <c r="H38" s="106">
        <v>2.150868028883085E-3</v>
      </c>
      <c r="I38" s="105">
        <v>0</v>
      </c>
      <c r="J38" s="113">
        <v>1.1368873866953449E-7</v>
      </c>
      <c r="K38" s="113">
        <v>8.018570399999999E-10</v>
      </c>
      <c r="L38" s="113">
        <v>6.0019375778388269E-4</v>
      </c>
      <c r="M38" s="199">
        <f>'Parameters, country spec'!D29</f>
        <v>3.5916314986082429E-2</v>
      </c>
    </row>
    <row r="39" spans="1:13" x14ac:dyDescent="0.3">
      <c r="B39" s="16" t="s">
        <v>182</v>
      </c>
      <c r="C39" s="16" t="s">
        <v>344</v>
      </c>
      <c r="D39" s="22" t="s">
        <v>52</v>
      </c>
      <c r="E39" s="22" t="s">
        <v>53</v>
      </c>
      <c r="F39" s="105"/>
      <c r="G39" s="106"/>
      <c r="H39" s="106"/>
      <c r="I39" s="105"/>
      <c r="J39" s="113"/>
      <c r="K39" s="113"/>
      <c r="L39" s="113"/>
      <c r="M39" s="199">
        <f>'Parameters, country spec'!D30</f>
        <v>0.13313408330019627</v>
      </c>
    </row>
    <row r="40" spans="1:13" x14ac:dyDescent="0.3">
      <c r="A40" s="82"/>
      <c r="B40" s="16" t="s">
        <v>345</v>
      </c>
      <c r="C40" s="83" t="s">
        <v>346</v>
      </c>
      <c r="D40" s="22" t="s">
        <v>52</v>
      </c>
      <c r="E40" s="22" t="s">
        <v>53</v>
      </c>
      <c r="F40" s="107">
        <f t="shared" ref="F40:L40" si="2">AVERAGE(F30:F38)</f>
        <v>2.3279799758707291</v>
      </c>
      <c r="G40" s="107">
        <f t="shared" si="2"/>
        <v>1.9932515675554777E-2</v>
      </c>
      <c r="H40" s="107">
        <f t="shared" si="2"/>
        <v>2.6449891098746397E-3</v>
      </c>
      <c r="I40" s="107">
        <f t="shared" si="2"/>
        <v>0</v>
      </c>
      <c r="J40" s="228">
        <f t="shared" si="2"/>
        <v>1.385717980837721E-7</v>
      </c>
      <c r="K40" s="228">
        <f t="shared" si="2"/>
        <v>8.9096149594174589E-11</v>
      </c>
      <c r="L40" s="228">
        <f t="shared" si="2"/>
        <v>4.142265395655066E-4</v>
      </c>
      <c r="M40" s="199">
        <f>'Parameters, country spec'!D31</f>
        <v>0.1236547415949409</v>
      </c>
    </row>
    <row r="41" spans="1:13" x14ac:dyDescent="0.3">
      <c r="A41" s="198"/>
      <c r="B41" s="24" t="s">
        <v>347</v>
      </c>
      <c r="C41" s="25"/>
      <c r="D41" s="101"/>
      <c r="E41" s="101"/>
      <c r="F41" s="29">
        <f>SUMPRODUCT(F30:F40,M30:M40)</f>
        <v>2.1875716423478537</v>
      </c>
      <c r="G41" s="29">
        <f>SUMPRODUCT(G30:G40,M30:M40)</f>
        <v>1.8161422178717652E-2</v>
      </c>
      <c r="H41" s="29">
        <f>SUMPRODUCT(H30:H40,M30:M40)</f>
        <v>2.1864784538934315E-3</v>
      </c>
      <c r="I41" s="29">
        <f>SUMPRODUCT(I30:I40,M30:M40)</f>
        <v>0</v>
      </c>
      <c r="J41" s="29">
        <f>SUMPRODUCT(J30:J40,M30:M40)</f>
        <v>1.2347562000710995E-7</v>
      </c>
      <c r="K41" s="29">
        <f>SUMPRODUCT(K30:K40,M30:M40)</f>
        <v>3.9817700504294268E-11</v>
      </c>
      <c r="L41" s="29">
        <f>SUMPRODUCT(L30:L40,M30:M40)</f>
        <v>2.8460640651791402E-4</v>
      </c>
      <c r="M41" s="200"/>
    </row>
    <row r="42" spans="1:13" x14ac:dyDescent="0.3">
      <c r="A42" s="21" t="s">
        <v>333</v>
      </c>
      <c r="B42" s="16" t="s">
        <v>172</v>
      </c>
      <c r="C42" s="16" t="s">
        <v>334</v>
      </c>
      <c r="D42" s="22" t="s">
        <v>54</v>
      </c>
      <c r="E42" s="22" t="s">
        <v>55</v>
      </c>
      <c r="F42" s="23">
        <v>2.1815008726003491</v>
      </c>
      <c r="G42" s="39">
        <v>2.0506108202443279E-2</v>
      </c>
      <c r="H42" s="39">
        <v>3.0541012216404886E-3</v>
      </c>
      <c r="I42" s="20">
        <v>0</v>
      </c>
      <c r="J42" s="27">
        <v>1.1343804537521816E-7</v>
      </c>
      <c r="K42" s="27">
        <v>9.332913409296623E-16</v>
      </c>
      <c r="L42" s="27">
        <v>5.2359749444649394E-4</v>
      </c>
      <c r="M42" s="199">
        <f>'Parameters, country spec'!E21</f>
        <v>0.24551366744057773</v>
      </c>
    </row>
    <row r="43" spans="1:13" x14ac:dyDescent="0.3">
      <c r="A43" s="21" t="s">
        <v>335</v>
      </c>
      <c r="B43" s="16" t="s">
        <v>174</v>
      </c>
      <c r="C43" s="16" t="s">
        <v>334</v>
      </c>
      <c r="D43" s="22" t="s">
        <v>54</v>
      </c>
      <c r="E43" s="22" t="s">
        <v>55</v>
      </c>
      <c r="F43" s="20">
        <v>5.0505050505050502</v>
      </c>
      <c r="G43" s="39">
        <v>1.3131313131313131E-2</v>
      </c>
      <c r="H43" s="39">
        <v>2.0202020202020202E-3</v>
      </c>
      <c r="I43" s="20">
        <v>0</v>
      </c>
      <c r="J43" s="27">
        <v>3.0808080808080806E-7</v>
      </c>
      <c r="K43" s="27">
        <v>2.1607108620310969E-15</v>
      </c>
      <c r="L43" s="27">
        <v>2.5791649629730588E-5</v>
      </c>
      <c r="M43" s="199">
        <f>'Parameters, country spec'!E22</f>
        <v>2.5654510704344589E-3</v>
      </c>
    </row>
    <row r="44" spans="1:13" x14ac:dyDescent="0.3">
      <c r="A44" s="21" t="s">
        <v>336</v>
      </c>
      <c r="B44" s="16" t="s">
        <v>175</v>
      </c>
      <c r="C44" s="16" t="s">
        <v>334</v>
      </c>
      <c r="D44" s="22" t="s">
        <v>54</v>
      </c>
      <c r="E44" s="22" t="s">
        <v>55</v>
      </c>
      <c r="F44" s="20">
        <v>1.5128936360129202</v>
      </c>
      <c r="G44" s="39">
        <v>1.9970195995370546E-2</v>
      </c>
      <c r="H44" s="39">
        <v>5.5977064532478039E-3</v>
      </c>
      <c r="I44" s="20">
        <v>0</v>
      </c>
      <c r="J44" s="27">
        <v>1.6641829996142119E-8</v>
      </c>
      <c r="K44" s="27">
        <v>6.4724729106130576E-16</v>
      </c>
      <c r="L44" s="27">
        <v>5.0991365516814952E-4</v>
      </c>
      <c r="M44" s="199">
        <f>'Parameters, country spec'!E23</f>
        <v>4.1303762233994797E-2</v>
      </c>
    </row>
    <row r="45" spans="1:13" x14ac:dyDescent="0.3">
      <c r="A45" s="21" t="s">
        <v>337</v>
      </c>
      <c r="B45" s="16" t="s">
        <v>176</v>
      </c>
      <c r="C45" s="16" t="s">
        <v>334</v>
      </c>
      <c r="D45" s="22" t="s">
        <v>54</v>
      </c>
      <c r="E45" s="22" t="s">
        <v>55</v>
      </c>
      <c r="F45" s="20">
        <v>2.5461100530609335</v>
      </c>
      <c r="G45" s="39">
        <v>1.8077381376732628E-2</v>
      </c>
      <c r="H45" s="39">
        <v>3.8191650795914001E-3</v>
      </c>
      <c r="I45" s="20">
        <v>0</v>
      </c>
      <c r="J45" s="27">
        <v>1.1457495238774201E-7</v>
      </c>
      <c r="K45" s="27">
        <v>1.0892787142199158E-15</v>
      </c>
      <c r="L45" s="27">
        <v>4.6158303182478765E-4</v>
      </c>
      <c r="M45" s="199">
        <f>'Parameters, country spec'!E24</f>
        <v>2.6167600918431479E-2</v>
      </c>
    </row>
    <row r="46" spans="1:13" x14ac:dyDescent="0.3">
      <c r="A46" s="21" t="s">
        <v>338</v>
      </c>
      <c r="B46" s="16" t="s">
        <v>177</v>
      </c>
      <c r="C46" s="16" t="s">
        <v>334</v>
      </c>
      <c r="D46" s="22" t="s">
        <v>54</v>
      </c>
      <c r="E46" s="22" t="s">
        <v>55</v>
      </c>
      <c r="F46" s="20">
        <v>3.3757097429734602</v>
      </c>
      <c r="G46" s="39">
        <v>2.1266971380732799E-2</v>
      </c>
      <c r="H46" s="39">
        <v>1.6878548714867299E-3</v>
      </c>
      <c r="I46" s="20">
        <v>0</v>
      </c>
      <c r="J46" s="27">
        <v>1.9579116509246066E-7</v>
      </c>
      <c r="K46" s="27">
        <v>1.4441986763239777E-15</v>
      </c>
      <c r="L46" s="27">
        <v>0</v>
      </c>
      <c r="M46" s="199">
        <f>'Parameters, country spec'!E25</f>
        <v>0.30682794802396129</v>
      </c>
    </row>
    <row r="47" spans="1:13" x14ac:dyDescent="0.3">
      <c r="A47" s="21" t="s">
        <v>339</v>
      </c>
      <c r="B47" s="16" t="s">
        <v>178</v>
      </c>
      <c r="C47" s="16" t="s">
        <v>340</v>
      </c>
      <c r="D47" s="22" t="s">
        <v>54</v>
      </c>
      <c r="E47" s="22" t="s">
        <v>55</v>
      </c>
      <c r="F47" s="20">
        <v>1.6760975086486631</v>
      </c>
      <c r="G47" s="39">
        <v>1.5922926332162302E-2</v>
      </c>
      <c r="H47" s="39">
        <v>1.1732682560540643E-3</v>
      </c>
      <c r="I47" s="20">
        <v>0</v>
      </c>
      <c r="J47" s="27">
        <v>1.5755316581297433E-7</v>
      </c>
      <c r="K47" s="27">
        <v>7.1706929436656458E-16</v>
      </c>
      <c r="L47" s="27">
        <v>4.0657175166874981E-4</v>
      </c>
      <c r="M47" s="199">
        <f>'Parameters, country spec'!E26</f>
        <v>4.6178119267820264E-3</v>
      </c>
    </row>
    <row r="48" spans="1:13" x14ac:dyDescent="0.3">
      <c r="A48" s="21" t="s">
        <v>341</v>
      </c>
      <c r="B48" s="16" t="s">
        <v>179</v>
      </c>
      <c r="C48" s="16" t="s">
        <v>340</v>
      </c>
      <c r="D48" s="22" t="s">
        <v>54</v>
      </c>
      <c r="E48" s="22" t="s">
        <v>55</v>
      </c>
      <c r="F48" s="20">
        <v>1.5363343063450607</v>
      </c>
      <c r="G48" s="39">
        <v>2.350591488707943E-2</v>
      </c>
      <c r="H48" s="39">
        <v>2.150868028883085E-3</v>
      </c>
      <c r="I48" s="20">
        <v>0</v>
      </c>
      <c r="J48" s="27">
        <v>1.1368873866953449E-7</v>
      </c>
      <c r="K48" s="27">
        <v>6.5727569623929515E-16</v>
      </c>
      <c r="L48" s="27">
        <v>6.0019375778388269E-4</v>
      </c>
      <c r="M48" s="199">
        <f>'Parameters, country spec'!E27</f>
        <v>5.3104837157993301E-2</v>
      </c>
    </row>
    <row r="49" spans="1:13" x14ac:dyDescent="0.3">
      <c r="B49" s="17" t="s">
        <v>180</v>
      </c>
      <c r="C49" s="16" t="s">
        <v>342</v>
      </c>
      <c r="D49" s="22" t="s">
        <v>54</v>
      </c>
      <c r="E49" s="22" t="s">
        <v>55</v>
      </c>
      <c r="F49" s="105">
        <v>1.5363343063450607</v>
      </c>
      <c r="G49" s="106">
        <v>2.350591488707943E-2</v>
      </c>
      <c r="H49" s="106">
        <v>2.150868028883085E-3</v>
      </c>
      <c r="I49" s="105">
        <v>0</v>
      </c>
      <c r="J49" s="113">
        <v>1.1368873866953449E-7</v>
      </c>
      <c r="K49" s="113">
        <v>6.5727569623929515E-16</v>
      </c>
      <c r="L49" s="113">
        <v>6.0019375778388269E-4</v>
      </c>
      <c r="M49" s="199">
        <f>'Parameters, country spec'!E28</f>
        <v>2.7193781346605266E-2</v>
      </c>
    </row>
    <row r="50" spans="1:13" x14ac:dyDescent="0.3">
      <c r="B50" s="17" t="s">
        <v>343</v>
      </c>
      <c r="C50" s="16" t="s">
        <v>342</v>
      </c>
      <c r="D50" s="22" t="s">
        <v>54</v>
      </c>
      <c r="E50" s="22" t="s">
        <v>55</v>
      </c>
      <c r="F50" s="105">
        <v>1.5363343063450607</v>
      </c>
      <c r="G50" s="106">
        <v>2.350591488707943E-2</v>
      </c>
      <c r="H50" s="106">
        <v>2.150868028883085E-3</v>
      </c>
      <c r="I50" s="105">
        <v>0</v>
      </c>
      <c r="J50" s="113">
        <v>1.1368873866953449E-7</v>
      </c>
      <c r="K50" s="113">
        <v>8.018570399999999E-10</v>
      </c>
      <c r="L50" s="113">
        <v>6.0019375778388269E-4</v>
      </c>
      <c r="M50" s="199">
        <f>'Parameters, country spec'!E29</f>
        <v>3.5916314986082429E-2</v>
      </c>
    </row>
    <row r="51" spans="1:13" x14ac:dyDescent="0.3">
      <c r="B51" s="16" t="s">
        <v>182</v>
      </c>
      <c r="C51" s="16" t="s">
        <v>344</v>
      </c>
      <c r="D51" s="22" t="s">
        <v>54</v>
      </c>
      <c r="E51" s="22" t="s">
        <v>55</v>
      </c>
      <c r="F51" s="105"/>
      <c r="G51" s="106"/>
      <c r="H51" s="106"/>
      <c r="I51" s="105"/>
      <c r="J51" s="113"/>
      <c r="K51" s="113"/>
      <c r="L51" s="113"/>
      <c r="M51" s="199">
        <f>'Parameters, country spec'!E30</f>
        <v>0.13313408330019627</v>
      </c>
    </row>
    <row r="52" spans="1:13" x14ac:dyDescent="0.3">
      <c r="A52" s="82"/>
      <c r="B52" s="16" t="s">
        <v>345</v>
      </c>
      <c r="C52" s="83" t="s">
        <v>346</v>
      </c>
      <c r="D52" s="22" t="s">
        <v>54</v>
      </c>
      <c r="E52" s="22" t="s">
        <v>55</v>
      </c>
      <c r="F52" s="107">
        <f t="shared" ref="F52:L52" si="3">AVERAGE(F42:F50)</f>
        <v>2.3279799758707291</v>
      </c>
      <c r="G52" s="107">
        <f t="shared" si="3"/>
        <v>1.9932515675554777E-2</v>
      </c>
      <c r="H52" s="107">
        <f t="shared" si="3"/>
        <v>2.6449891098746397E-3</v>
      </c>
      <c r="I52" s="107">
        <f t="shared" si="3"/>
        <v>0</v>
      </c>
      <c r="J52" s="228">
        <f t="shared" si="3"/>
        <v>1.385717980837721E-7</v>
      </c>
      <c r="K52" s="228">
        <f t="shared" si="3"/>
        <v>8.9096149594174589E-11</v>
      </c>
      <c r="L52" s="228">
        <f t="shared" si="3"/>
        <v>4.142265395655066E-4</v>
      </c>
      <c r="M52" s="199">
        <f>'Parameters, country spec'!E31</f>
        <v>0.1236547415949409</v>
      </c>
    </row>
    <row r="53" spans="1:13" x14ac:dyDescent="0.3">
      <c r="A53" s="198"/>
      <c r="B53" s="24" t="s">
        <v>347</v>
      </c>
      <c r="C53" s="25"/>
      <c r="D53" s="101"/>
      <c r="E53" s="101"/>
      <c r="F53" s="29">
        <f>SUMPRODUCT(F42:F52,M42:M52)</f>
        <v>2.1875716423478537</v>
      </c>
      <c r="G53" s="29">
        <f>SUMPRODUCT(G42:G52,M42:M52)</f>
        <v>1.8161422178717652E-2</v>
      </c>
      <c r="H53" s="29">
        <f>SUMPRODUCT(H42:H52,M42:M52)</f>
        <v>2.1864784538934315E-3</v>
      </c>
      <c r="I53" s="29">
        <f>SUMPRODUCT(I42:I52,M42:M52)</f>
        <v>0</v>
      </c>
      <c r="J53" s="29">
        <f>SUMPRODUCT(J42:J52,M42:M52)</f>
        <v>1.2347562000710995E-7</v>
      </c>
      <c r="K53" s="29">
        <f>SUMPRODUCT(K42:K52,M42:M52)</f>
        <v>3.9817700504294268E-11</v>
      </c>
      <c r="L53" s="29">
        <f>SUMPRODUCT(L42:L52,M42:M52)</f>
        <v>2.8460640651791402E-4</v>
      </c>
      <c r="M53" s="200"/>
    </row>
    <row r="54" spans="1:13" x14ac:dyDescent="0.3">
      <c r="A54" s="21" t="s">
        <v>333</v>
      </c>
      <c r="B54" s="16" t="s">
        <v>172</v>
      </c>
      <c r="C54" s="16" t="s">
        <v>334</v>
      </c>
      <c r="D54" s="22" t="s">
        <v>118</v>
      </c>
      <c r="E54" s="22" t="s">
        <v>57</v>
      </c>
      <c r="F54" s="23">
        <v>2.1815008726003491</v>
      </c>
      <c r="G54" s="39">
        <v>2.0506108202443279E-2</v>
      </c>
      <c r="H54" s="39">
        <v>3.0541012216404886E-3</v>
      </c>
      <c r="I54" s="20">
        <v>0</v>
      </c>
      <c r="J54" s="27">
        <v>1.1343804537521816E-7</v>
      </c>
      <c r="K54" s="27">
        <v>9.332913409296623E-16</v>
      </c>
      <c r="L54" s="27">
        <v>5.2359749444649394E-4</v>
      </c>
      <c r="M54" s="199">
        <f>'Parameters, country spec'!F21</f>
        <v>0.24551366744057773</v>
      </c>
    </row>
    <row r="55" spans="1:13" x14ac:dyDescent="0.3">
      <c r="A55" s="21" t="s">
        <v>335</v>
      </c>
      <c r="B55" s="16" t="s">
        <v>174</v>
      </c>
      <c r="C55" s="16" t="s">
        <v>334</v>
      </c>
      <c r="D55" s="22" t="s">
        <v>118</v>
      </c>
      <c r="E55" s="22" t="s">
        <v>57</v>
      </c>
      <c r="F55" s="20">
        <v>5.0505050505050502</v>
      </c>
      <c r="G55" s="39">
        <v>1.3131313131313131E-2</v>
      </c>
      <c r="H55" s="39">
        <v>2.0202020202020202E-3</v>
      </c>
      <c r="I55" s="20">
        <v>0</v>
      </c>
      <c r="J55" s="27">
        <v>3.0808080808080806E-7</v>
      </c>
      <c r="K55" s="27">
        <v>2.1607108620310969E-15</v>
      </c>
      <c r="L55" s="27">
        <v>2.5791649629730588E-5</v>
      </c>
      <c r="M55" s="199">
        <f>'Parameters, country spec'!F22</f>
        <v>2.5654510704344589E-3</v>
      </c>
    </row>
    <row r="56" spans="1:13" x14ac:dyDescent="0.3">
      <c r="A56" s="21" t="s">
        <v>336</v>
      </c>
      <c r="B56" s="16" t="s">
        <v>175</v>
      </c>
      <c r="C56" s="16" t="s">
        <v>334</v>
      </c>
      <c r="D56" s="22" t="s">
        <v>118</v>
      </c>
      <c r="E56" s="22" t="s">
        <v>57</v>
      </c>
      <c r="F56" s="20">
        <v>1.5128936360129202</v>
      </c>
      <c r="G56" s="39">
        <v>1.9970195995370546E-2</v>
      </c>
      <c r="H56" s="39">
        <v>5.5977064532478039E-3</v>
      </c>
      <c r="I56" s="20">
        <v>0</v>
      </c>
      <c r="J56" s="27">
        <v>1.6641829996142119E-8</v>
      </c>
      <c r="K56" s="27">
        <v>6.4724729106130576E-16</v>
      </c>
      <c r="L56" s="27">
        <v>5.0991365516814952E-4</v>
      </c>
      <c r="M56" s="199">
        <f>'Parameters, country spec'!F23</f>
        <v>4.1303762233994797E-2</v>
      </c>
    </row>
    <row r="57" spans="1:13" x14ac:dyDescent="0.3">
      <c r="A57" s="21" t="s">
        <v>337</v>
      </c>
      <c r="B57" s="16" t="s">
        <v>176</v>
      </c>
      <c r="C57" s="16" t="s">
        <v>334</v>
      </c>
      <c r="D57" s="22" t="s">
        <v>118</v>
      </c>
      <c r="E57" s="22" t="s">
        <v>57</v>
      </c>
      <c r="F57" s="20">
        <v>2.5461100530609335</v>
      </c>
      <c r="G57" s="39">
        <v>1.8077381376732628E-2</v>
      </c>
      <c r="H57" s="39">
        <v>3.8191650795914001E-3</v>
      </c>
      <c r="I57" s="20">
        <v>0</v>
      </c>
      <c r="J57" s="27">
        <v>1.1457495238774201E-7</v>
      </c>
      <c r="K57" s="27">
        <v>1.0892787142199158E-15</v>
      </c>
      <c r="L57" s="27">
        <v>4.6158303182478765E-4</v>
      </c>
      <c r="M57" s="199">
        <f>'Parameters, country spec'!F24</f>
        <v>2.6167600918431479E-2</v>
      </c>
    </row>
    <row r="58" spans="1:13" x14ac:dyDescent="0.3">
      <c r="A58" s="21" t="s">
        <v>338</v>
      </c>
      <c r="B58" s="16" t="s">
        <v>177</v>
      </c>
      <c r="C58" s="16" t="s">
        <v>334</v>
      </c>
      <c r="D58" s="22" t="s">
        <v>118</v>
      </c>
      <c r="E58" s="22" t="s">
        <v>57</v>
      </c>
      <c r="F58" s="20">
        <v>3.3757097429734602</v>
      </c>
      <c r="G58" s="39">
        <v>2.1266971380732799E-2</v>
      </c>
      <c r="H58" s="39">
        <v>1.6878548714867299E-3</v>
      </c>
      <c r="I58" s="20">
        <v>0</v>
      </c>
      <c r="J58" s="27">
        <v>1.9579116509246066E-7</v>
      </c>
      <c r="K58" s="27">
        <v>1.4441986763239777E-15</v>
      </c>
      <c r="L58" s="27">
        <v>0</v>
      </c>
      <c r="M58" s="199">
        <f>'Parameters, country spec'!F25</f>
        <v>0.30682794802396129</v>
      </c>
    </row>
    <row r="59" spans="1:13" x14ac:dyDescent="0.3">
      <c r="A59" s="21" t="s">
        <v>339</v>
      </c>
      <c r="B59" s="16" t="s">
        <v>178</v>
      </c>
      <c r="C59" s="16" t="s">
        <v>340</v>
      </c>
      <c r="D59" s="22" t="s">
        <v>118</v>
      </c>
      <c r="E59" s="22" t="s">
        <v>57</v>
      </c>
      <c r="F59" s="20">
        <v>1.6760975086486631</v>
      </c>
      <c r="G59" s="39">
        <v>1.5922926332162302E-2</v>
      </c>
      <c r="H59" s="39">
        <v>1.1732682560540643E-3</v>
      </c>
      <c r="I59" s="20">
        <v>0</v>
      </c>
      <c r="J59" s="27">
        <v>1.5755316581297433E-7</v>
      </c>
      <c r="K59" s="27">
        <v>7.1706929436656458E-16</v>
      </c>
      <c r="L59" s="27">
        <v>4.0657175166874981E-4</v>
      </c>
      <c r="M59" s="199">
        <f>'Parameters, country spec'!F26</f>
        <v>4.6178119267820264E-3</v>
      </c>
    </row>
    <row r="60" spans="1:13" x14ac:dyDescent="0.3">
      <c r="A60" s="21" t="s">
        <v>341</v>
      </c>
      <c r="B60" s="16" t="s">
        <v>179</v>
      </c>
      <c r="C60" s="16" t="s">
        <v>340</v>
      </c>
      <c r="D60" s="22" t="s">
        <v>118</v>
      </c>
      <c r="E60" s="22" t="s">
        <v>57</v>
      </c>
      <c r="F60" s="20">
        <v>1.5363343063450607</v>
      </c>
      <c r="G60" s="39">
        <v>2.350591488707943E-2</v>
      </c>
      <c r="H60" s="39">
        <v>2.150868028883085E-3</v>
      </c>
      <c r="I60" s="20">
        <v>0</v>
      </c>
      <c r="J60" s="27">
        <v>1.1368873866953449E-7</v>
      </c>
      <c r="K60" s="27">
        <v>6.5727569623929515E-16</v>
      </c>
      <c r="L60" s="27">
        <v>6.0019375778388269E-4</v>
      </c>
      <c r="M60" s="199">
        <f>'Parameters, country spec'!F27</f>
        <v>5.3104837157993301E-2</v>
      </c>
    </row>
    <row r="61" spans="1:13" x14ac:dyDescent="0.3">
      <c r="B61" s="17" t="s">
        <v>180</v>
      </c>
      <c r="C61" s="16" t="s">
        <v>342</v>
      </c>
      <c r="D61" s="22" t="s">
        <v>118</v>
      </c>
      <c r="E61" s="22" t="s">
        <v>57</v>
      </c>
      <c r="F61" s="105">
        <v>1.5363343063450607</v>
      </c>
      <c r="G61" s="106">
        <v>2.350591488707943E-2</v>
      </c>
      <c r="H61" s="106">
        <v>2.150868028883085E-3</v>
      </c>
      <c r="I61" s="105">
        <v>0</v>
      </c>
      <c r="J61" s="113">
        <v>1.1368873866953449E-7</v>
      </c>
      <c r="K61" s="113">
        <v>6.5727569623929515E-16</v>
      </c>
      <c r="L61" s="113">
        <v>6.0019375778388269E-4</v>
      </c>
      <c r="M61" s="199">
        <f>'Parameters, country spec'!F28</f>
        <v>2.7193781346605266E-2</v>
      </c>
    </row>
    <row r="62" spans="1:13" x14ac:dyDescent="0.3">
      <c r="B62" s="17" t="s">
        <v>343</v>
      </c>
      <c r="C62" s="16" t="s">
        <v>342</v>
      </c>
      <c r="D62" s="22" t="s">
        <v>118</v>
      </c>
      <c r="E62" s="22" t="s">
        <v>57</v>
      </c>
      <c r="F62" s="105">
        <v>1.5363343063450607</v>
      </c>
      <c r="G62" s="106">
        <v>2.350591488707943E-2</v>
      </c>
      <c r="H62" s="106">
        <v>2.150868028883085E-3</v>
      </c>
      <c r="I62" s="105">
        <v>0</v>
      </c>
      <c r="J62" s="113">
        <v>1.1368873866953449E-7</v>
      </c>
      <c r="K62" s="113">
        <v>8.018570399999999E-10</v>
      </c>
      <c r="L62" s="113">
        <v>6.0019375778388269E-4</v>
      </c>
      <c r="M62" s="199">
        <f>'Parameters, country spec'!F29</f>
        <v>3.5916314986082429E-2</v>
      </c>
    </row>
    <row r="63" spans="1:13" x14ac:dyDescent="0.3">
      <c r="B63" s="16" t="s">
        <v>182</v>
      </c>
      <c r="C63" s="16" t="s">
        <v>344</v>
      </c>
      <c r="D63" s="22" t="s">
        <v>118</v>
      </c>
      <c r="E63" s="22" t="s">
        <v>57</v>
      </c>
      <c r="F63" s="105"/>
      <c r="G63" s="106"/>
      <c r="H63" s="106"/>
      <c r="I63" s="105"/>
      <c r="J63" s="113"/>
      <c r="K63" s="113"/>
      <c r="L63" s="113"/>
      <c r="M63" s="199">
        <f>'Parameters, country spec'!F30</f>
        <v>0.13313408330019627</v>
      </c>
    </row>
    <row r="64" spans="1:13" x14ac:dyDescent="0.3">
      <c r="A64" s="82"/>
      <c r="B64" s="16" t="s">
        <v>345</v>
      </c>
      <c r="C64" s="83" t="s">
        <v>346</v>
      </c>
      <c r="D64" s="22" t="s">
        <v>118</v>
      </c>
      <c r="E64" s="22" t="s">
        <v>57</v>
      </c>
      <c r="F64" s="107">
        <f t="shared" ref="F64:L64" si="4">AVERAGE(F54:F62)</f>
        <v>2.3279799758707291</v>
      </c>
      <c r="G64" s="107">
        <f t="shared" si="4"/>
        <v>1.9932515675554777E-2</v>
      </c>
      <c r="H64" s="107">
        <f t="shared" si="4"/>
        <v>2.6449891098746397E-3</v>
      </c>
      <c r="I64" s="107">
        <f t="shared" si="4"/>
        <v>0</v>
      </c>
      <c r="J64" s="228">
        <f t="shared" si="4"/>
        <v>1.385717980837721E-7</v>
      </c>
      <c r="K64" s="228">
        <f t="shared" si="4"/>
        <v>8.9096149594174589E-11</v>
      </c>
      <c r="L64" s="228">
        <f t="shared" si="4"/>
        <v>4.142265395655066E-4</v>
      </c>
      <c r="M64" s="199">
        <f>'Parameters, country spec'!F31</f>
        <v>0.1236547415949409</v>
      </c>
    </row>
    <row r="65" spans="1:13" x14ac:dyDescent="0.3">
      <c r="A65" s="198"/>
      <c r="B65" s="24" t="s">
        <v>347</v>
      </c>
      <c r="C65" s="25"/>
      <c r="D65" s="101"/>
      <c r="E65" s="101"/>
      <c r="F65" s="29">
        <f>SUMPRODUCT(F54:F64,M54:M64)</f>
        <v>2.1875716423478537</v>
      </c>
      <c r="G65" s="29">
        <f>SUMPRODUCT(G54:G64,M54:M64)</f>
        <v>1.8161422178717652E-2</v>
      </c>
      <c r="H65" s="29">
        <f>SUMPRODUCT(H54:H64,M54:M64)</f>
        <v>2.1864784538934315E-3</v>
      </c>
      <c r="I65" s="29">
        <f>SUMPRODUCT(I54:I64,M54:M64)</f>
        <v>0</v>
      </c>
      <c r="J65" s="29">
        <f>SUMPRODUCT(J54:J64,M54:M64)</f>
        <v>1.2347562000710995E-7</v>
      </c>
      <c r="K65" s="29">
        <f>SUMPRODUCT(K54:K64,M54:M64)</f>
        <v>3.9817700504294268E-11</v>
      </c>
      <c r="L65" s="29">
        <f>SUMPRODUCT(L54:L64,M54:M64)</f>
        <v>2.8460640651791402E-4</v>
      </c>
      <c r="M65" s="200"/>
    </row>
    <row r="66" spans="1:13" x14ac:dyDescent="0.3">
      <c r="A66" s="21" t="s">
        <v>333</v>
      </c>
      <c r="B66" s="16" t="s">
        <v>172</v>
      </c>
      <c r="C66" s="16" t="s">
        <v>334</v>
      </c>
      <c r="D66" s="22" t="s">
        <v>58</v>
      </c>
      <c r="E66" s="22" t="s">
        <v>59</v>
      </c>
      <c r="F66" s="23">
        <v>2.1815008726003491</v>
      </c>
      <c r="G66" s="39">
        <v>2.0506108202443279E-2</v>
      </c>
      <c r="H66" s="39">
        <v>3.0541012216404886E-3</v>
      </c>
      <c r="I66" s="20">
        <v>0</v>
      </c>
      <c r="J66" s="27">
        <v>1.1343804537521816E-7</v>
      </c>
      <c r="K66" s="27">
        <v>9.332913409296623E-16</v>
      </c>
      <c r="L66" s="27">
        <v>5.2359749444649394E-4</v>
      </c>
      <c r="M66" s="199">
        <f>'Parameters, country spec'!G21</f>
        <v>0.24551366744057773</v>
      </c>
    </row>
    <row r="67" spans="1:13" x14ac:dyDescent="0.3">
      <c r="A67" s="21" t="s">
        <v>335</v>
      </c>
      <c r="B67" s="16" t="s">
        <v>174</v>
      </c>
      <c r="C67" s="16" t="s">
        <v>334</v>
      </c>
      <c r="D67" s="22" t="s">
        <v>58</v>
      </c>
      <c r="E67" s="22" t="s">
        <v>59</v>
      </c>
      <c r="F67" s="20">
        <v>5.0505050505050502</v>
      </c>
      <c r="G67" s="39">
        <v>1.3131313131313131E-2</v>
      </c>
      <c r="H67" s="39">
        <v>2.0202020202020202E-3</v>
      </c>
      <c r="I67" s="20">
        <v>0</v>
      </c>
      <c r="J67" s="27">
        <v>3.0808080808080806E-7</v>
      </c>
      <c r="K67" s="27">
        <v>2.1607108620310969E-15</v>
      </c>
      <c r="L67" s="27">
        <v>2.5791649629730588E-5</v>
      </c>
      <c r="M67" s="199">
        <f>'Parameters, country spec'!G22</f>
        <v>2.5654510704344589E-3</v>
      </c>
    </row>
    <row r="68" spans="1:13" x14ac:dyDescent="0.3">
      <c r="A68" s="21" t="s">
        <v>336</v>
      </c>
      <c r="B68" s="16" t="s">
        <v>175</v>
      </c>
      <c r="C68" s="16" t="s">
        <v>334</v>
      </c>
      <c r="D68" s="22" t="s">
        <v>58</v>
      </c>
      <c r="E68" s="22" t="s">
        <v>59</v>
      </c>
      <c r="F68" s="20">
        <v>1.5128936360129202</v>
      </c>
      <c r="G68" s="39">
        <v>1.9970195995370546E-2</v>
      </c>
      <c r="H68" s="39">
        <v>5.5977064532478039E-3</v>
      </c>
      <c r="I68" s="20">
        <v>0</v>
      </c>
      <c r="J68" s="27">
        <v>1.6641829996142119E-8</v>
      </c>
      <c r="K68" s="27">
        <v>6.4724729106130576E-16</v>
      </c>
      <c r="L68" s="27">
        <v>5.0991365516814952E-4</v>
      </c>
      <c r="M68" s="199">
        <f>'Parameters, country spec'!G23</f>
        <v>4.1303762233994797E-2</v>
      </c>
    </row>
    <row r="69" spans="1:13" x14ac:dyDescent="0.3">
      <c r="A69" s="21" t="s">
        <v>337</v>
      </c>
      <c r="B69" s="16" t="s">
        <v>176</v>
      </c>
      <c r="C69" s="16" t="s">
        <v>334</v>
      </c>
      <c r="D69" s="22" t="s">
        <v>58</v>
      </c>
      <c r="E69" s="22" t="s">
        <v>59</v>
      </c>
      <c r="F69" s="20">
        <v>2.5461100530609335</v>
      </c>
      <c r="G69" s="39">
        <v>1.8077381376732628E-2</v>
      </c>
      <c r="H69" s="39">
        <v>3.8191650795914001E-3</v>
      </c>
      <c r="I69" s="20">
        <v>0</v>
      </c>
      <c r="J69" s="27">
        <v>1.1457495238774201E-7</v>
      </c>
      <c r="K69" s="27">
        <v>1.0892787142199158E-15</v>
      </c>
      <c r="L69" s="27">
        <v>4.6158303182478765E-4</v>
      </c>
      <c r="M69" s="199">
        <f>'Parameters, country spec'!G24</f>
        <v>2.6167600918431479E-2</v>
      </c>
    </row>
    <row r="70" spans="1:13" x14ac:dyDescent="0.3">
      <c r="A70" s="21" t="s">
        <v>338</v>
      </c>
      <c r="B70" s="16" t="s">
        <v>177</v>
      </c>
      <c r="C70" s="16" t="s">
        <v>334</v>
      </c>
      <c r="D70" s="22" t="s">
        <v>58</v>
      </c>
      <c r="E70" s="22" t="s">
        <v>59</v>
      </c>
      <c r="F70" s="20">
        <v>3.3757097429734602</v>
      </c>
      <c r="G70" s="39">
        <v>2.1266971380732799E-2</v>
      </c>
      <c r="H70" s="39">
        <v>1.6878548714867299E-3</v>
      </c>
      <c r="I70" s="20">
        <v>0</v>
      </c>
      <c r="J70" s="27">
        <v>1.9579116509246066E-7</v>
      </c>
      <c r="K70" s="27">
        <v>1.4441986763239777E-15</v>
      </c>
      <c r="L70" s="27">
        <v>0</v>
      </c>
      <c r="M70" s="199">
        <f>'Parameters, country spec'!G25</f>
        <v>0.30682794802396129</v>
      </c>
    </row>
    <row r="71" spans="1:13" x14ac:dyDescent="0.3">
      <c r="A71" s="21" t="s">
        <v>339</v>
      </c>
      <c r="B71" s="16" t="s">
        <v>178</v>
      </c>
      <c r="C71" s="16" t="s">
        <v>340</v>
      </c>
      <c r="D71" s="22" t="s">
        <v>58</v>
      </c>
      <c r="E71" s="22" t="s">
        <v>59</v>
      </c>
      <c r="F71" s="20">
        <v>1.6760975086486631</v>
      </c>
      <c r="G71" s="39">
        <v>1.5922926332162302E-2</v>
      </c>
      <c r="H71" s="39">
        <v>1.1732682560540643E-3</v>
      </c>
      <c r="I71" s="20">
        <v>0</v>
      </c>
      <c r="J71" s="27">
        <v>1.5755316581297433E-7</v>
      </c>
      <c r="K71" s="27">
        <v>7.1706929436656458E-16</v>
      </c>
      <c r="L71" s="27">
        <v>4.0657175166874981E-4</v>
      </c>
      <c r="M71" s="199">
        <f>'Parameters, country spec'!G26</f>
        <v>4.6178119267820264E-3</v>
      </c>
    </row>
    <row r="72" spans="1:13" x14ac:dyDescent="0.3">
      <c r="A72" s="21" t="s">
        <v>341</v>
      </c>
      <c r="B72" s="16" t="s">
        <v>179</v>
      </c>
      <c r="C72" s="16" t="s">
        <v>340</v>
      </c>
      <c r="D72" s="22" t="s">
        <v>58</v>
      </c>
      <c r="E72" s="22" t="s">
        <v>59</v>
      </c>
      <c r="F72" s="20">
        <v>1.5363343063450607</v>
      </c>
      <c r="G72" s="39">
        <v>2.350591488707943E-2</v>
      </c>
      <c r="H72" s="39">
        <v>2.150868028883085E-3</v>
      </c>
      <c r="I72" s="20">
        <v>0</v>
      </c>
      <c r="J72" s="27">
        <v>1.1368873866953449E-7</v>
      </c>
      <c r="K72" s="27">
        <v>6.5727569623929515E-16</v>
      </c>
      <c r="L72" s="27">
        <v>6.0019375778388269E-4</v>
      </c>
      <c r="M72" s="199">
        <f>'Parameters, country spec'!G27</f>
        <v>5.3104837157993301E-2</v>
      </c>
    </row>
    <row r="73" spans="1:13" x14ac:dyDescent="0.3">
      <c r="B73" s="17" t="s">
        <v>180</v>
      </c>
      <c r="C73" s="16" t="s">
        <v>342</v>
      </c>
      <c r="D73" s="22" t="s">
        <v>58</v>
      </c>
      <c r="E73" s="22" t="s">
        <v>59</v>
      </c>
      <c r="F73" s="105">
        <v>1.5363343063450607</v>
      </c>
      <c r="G73" s="106">
        <v>2.350591488707943E-2</v>
      </c>
      <c r="H73" s="106">
        <v>2.150868028883085E-3</v>
      </c>
      <c r="I73" s="105">
        <v>0</v>
      </c>
      <c r="J73" s="113">
        <v>1.1368873866953449E-7</v>
      </c>
      <c r="K73" s="113">
        <v>6.5727569623929515E-16</v>
      </c>
      <c r="L73" s="113">
        <v>6.0019375778388269E-4</v>
      </c>
      <c r="M73" s="199">
        <f>'Parameters, country spec'!G28</f>
        <v>2.7193781346605266E-2</v>
      </c>
    </row>
    <row r="74" spans="1:13" x14ac:dyDescent="0.3">
      <c r="B74" s="17" t="s">
        <v>343</v>
      </c>
      <c r="C74" s="16" t="s">
        <v>342</v>
      </c>
      <c r="D74" s="22" t="s">
        <v>58</v>
      </c>
      <c r="E74" s="22" t="s">
        <v>59</v>
      </c>
      <c r="F74" s="105">
        <v>1.5363343063450607</v>
      </c>
      <c r="G74" s="106">
        <v>2.350591488707943E-2</v>
      </c>
      <c r="H74" s="106">
        <v>2.150868028883085E-3</v>
      </c>
      <c r="I74" s="105">
        <v>0</v>
      </c>
      <c r="J74" s="113">
        <v>1.1368873866953449E-7</v>
      </c>
      <c r="K74" s="113">
        <v>8.018570399999999E-10</v>
      </c>
      <c r="L74" s="113">
        <v>6.0019375778388269E-4</v>
      </c>
      <c r="M74" s="199">
        <f>'Parameters, country spec'!G29</f>
        <v>3.5916314986082429E-2</v>
      </c>
    </row>
    <row r="75" spans="1:13" x14ac:dyDescent="0.3">
      <c r="B75" s="16" t="s">
        <v>182</v>
      </c>
      <c r="C75" s="16" t="s">
        <v>344</v>
      </c>
      <c r="D75" s="22" t="s">
        <v>58</v>
      </c>
      <c r="E75" s="22" t="s">
        <v>59</v>
      </c>
      <c r="F75" s="105"/>
      <c r="G75" s="106"/>
      <c r="H75" s="106"/>
      <c r="I75" s="105"/>
      <c r="J75" s="113"/>
      <c r="K75" s="113"/>
      <c r="L75" s="113"/>
      <c r="M75" s="199">
        <f>'Parameters, country spec'!G30</f>
        <v>0.13313408330019627</v>
      </c>
    </row>
    <row r="76" spans="1:13" x14ac:dyDescent="0.3">
      <c r="A76" s="82"/>
      <c r="B76" s="16" t="s">
        <v>345</v>
      </c>
      <c r="C76" s="83" t="s">
        <v>346</v>
      </c>
      <c r="D76" s="22" t="s">
        <v>58</v>
      </c>
      <c r="E76" s="22" t="s">
        <v>59</v>
      </c>
      <c r="F76" s="107">
        <f t="shared" ref="F76:L76" si="5">AVERAGE(F66:F74)</f>
        <v>2.3279799758707291</v>
      </c>
      <c r="G76" s="107">
        <f t="shared" si="5"/>
        <v>1.9932515675554777E-2</v>
      </c>
      <c r="H76" s="107">
        <f t="shared" si="5"/>
        <v>2.6449891098746397E-3</v>
      </c>
      <c r="I76" s="107">
        <f t="shared" si="5"/>
        <v>0</v>
      </c>
      <c r="J76" s="228">
        <f t="shared" si="5"/>
        <v>1.385717980837721E-7</v>
      </c>
      <c r="K76" s="228">
        <f t="shared" si="5"/>
        <v>8.9096149594174589E-11</v>
      </c>
      <c r="L76" s="228">
        <f t="shared" si="5"/>
        <v>4.142265395655066E-4</v>
      </c>
      <c r="M76" s="199">
        <f>'Parameters, country spec'!G31</f>
        <v>0.1236547415949409</v>
      </c>
    </row>
    <row r="77" spans="1:13" x14ac:dyDescent="0.3">
      <c r="A77" s="198"/>
      <c r="B77" s="24" t="s">
        <v>347</v>
      </c>
      <c r="C77" s="25"/>
      <c r="D77" s="101"/>
      <c r="E77" s="101"/>
      <c r="F77" s="29">
        <f>SUMPRODUCT(F66:F76,M66:M76)</f>
        <v>2.1875716423478537</v>
      </c>
      <c r="G77" s="29">
        <f>SUMPRODUCT(G66:G76,M66:M76)</f>
        <v>1.8161422178717652E-2</v>
      </c>
      <c r="H77" s="29">
        <f>SUMPRODUCT(H66:H76,M66:M76)</f>
        <v>2.1864784538934315E-3</v>
      </c>
      <c r="I77" s="29">
        <f>SUMPRODUCT(I66:I76,M66:M76)</f>
        <v>0</v>
      </c>
      <c r="J77" s="29">
        <f>SUMPRODUCT(J66:J76,M66:M76)</f>
        <v>1.2347562000710995E-7</v>
      </c>
      <c r="K77" s="29">
        <f>SUMPRODUCT(K66:K76,M66:M76)</f>
        <v>3.9817700504294268E-11</v>
      </c>
      <c r="L77" s="29">
        <f>SUMPRODUCT(L66:L76,M66:M76)</f>
        <v>2.8460640651791402E-4</v>
      </c>
      <c r="M77" s="200"/>
    </row>
    <row r="78" spans="1:13" x14ac:dyDescent="0.3">
      <c r="A78" s="21" t="s">
        <v>333</v>
      </c>
      <c r="B78" s="16" t="s">
        <v>172</v>
      </c>
      <c r="C78" s="16" t="s">
        <v>334</v>
      </c>
      <c r="D78" s="22" t="s">
        <v>60</v>
      </c>
      <c r="E78" s="22" t="s">
        <v>61</v>
      </c>
      <c r="F78" s="23">
        <v>2.1815008726003491</v>
      </c>
      <c r="G78" s="39">
        <v>2.0506108202443279E-2</v>
      </c>
      <c r="H78" s="39">
        <v>3.0541012216404886E-3</v>
      </c>
      <c r="I78" s="20">
        <v>0</v>
      </c>
      <c r="J78" s="27">
        <v>1.1343804537521816E-7</v>
      </c>
      <c r="K78" s="27">
        <v>9.332913409296623E-16</v>
      </c>
      <c r="L78" s="27">
        <v>5.2359749444649394E-4</v>
      </c>
      <c r="M78" s="199">
        <f>'Parameters, country spec'!H21</f>
        <v>0.24551366744057773</v>
      </c>
    </row>
    <row r="79" spans="1:13" x14ac:dyDescent="0.3">
      <c r="A79" s="21" t="s">
        <v>335</v>
      </c>
      <c r="B79" s="16" t="s">
        <v>174</v>
      </c>
      <c r="C79" s="16" t="s">
        <v>334</v>
      </c>
      <c r="D79" s="22" t="s">
        <v>60</v>
      </c>
      <c r="E79" s="22" t="s">
        <v>61</v>
      </c>
      <c r="F79" s="20">
        <v>5.0505050505050502</v>
      </c>
      <c r="G79" s="39">
        <v>1.3131313131313131E-2</v>
      </c>
      <c r="H79" s="39">
        <v>2.0202020202020202E-3</v>
      </c>
      <c r="I79" s="20">
        <v>0</v>
      </c>
      <c r="J79" s="27">
        <v>3.0808080808080806E-7</v>
      </c>
      <c r="K79" s="27">
        <v>2.1607108620310969E-15</v>
      </c>
      <c r="L79" s="27">
        <v>2.5791649629730588E-5</v>
      </c>
      <c r="M79" s="199">
        <f>'Parameters, country spec'!H22</f>
        <v>2.5654510704344589E-3</v>
      </c>
    </row>
    <row r="80" spans="1:13" x14ac:dyDescent="0.3">
      <c r="A80" s="21" t="s">
        <v>336</v>
      </c>
      <c r="B80" s="16" t="s">
        <v>175</v>
      </c>
      <c r="C80" s="16" t="s">
        <v>334</v>
      </c>
      <c r="D80" s="22" t="s">
        <v>60</v>
      </c>
      <c r="E80" s="22" t="s">
        <v>61</v>
      </c>
      <c r="F80" s="20">
        <v>1.5128936360129202</v>
      </c>
      <c r="G80" s="39">
        <v>1.9970195995370546E-2</v>
      </c>
      <c r="H80" s="39">
        <v>5.5977064532478039E-3</v>
      </c>
      <c r="I80" s="20">
        <v>0</v>
      </c>
      <c r="J80" s="27">
        <v>1.6641829996142119E-8</v>
      </c>
      <c r="K80" s="27">
        <v>6.4724729106130576E-16</v>
      </c>
      <c r="L80" s="27">
        <v>5.0991365516814952E-4</v>
      </c>
      <c r="M80" s="199">
        <f>'Parameters, country spec'!H23</f>
        <v>4.1303762233994797E-2</v>
      </c>
    </row>
    <row r="81" spans="1:13" x14ac:dyDescent="0.3">
      <c r="A81" s="21" t="s">
        <v>337</v>
      </c>
      <c r="B81" s="16" t="s">
        <v>176</v>
      </c>
      <c r="C81" s="16" t="s">
        <v>334</v>
      </c>
      <c r="D81" s="22" t="s">
        <v>60</v>
      </c>
      <c r="E81" s="22" t="s">
        <v>61</v>
      </c>
      <c r="F81" s="20">
        <v>2.5461100530609335</v>
      </c>
      <c r="G81" s="39">
        <v>1.8077381376732628E-2</v>
      </c>
      <c r="H81" s="39">
        <v>3.8191650795914001E-3</v>
      </c>
      <c r="I81" s="20">
        <v>0</v>
      </c>
      <c r="J81" s="27">
        <v>1.1457495238774201E-7</v>
      </c>
      <c r="K81" s="27">
        <v>1.0892787142199158E-15</v>
      </c>
      <c r="L81" s="27">
        <v>4.6158303182478765E-4</v>
      </c>
      <c r="M81" s="199">
        <f>'Parameters, country spec'!H24</f>
        <v>2.6167600918431479E-2</v>
      </c>
    </row>
    <row r="82" spans="1:13" x14ac:dyDescent="0.3">
      <c r="A82" s="21" t="s">
        <v>338</v>
      </c>
      <c r="B82" s="16" t="s">
        <v>177</v>
      </c>
      <c r="C82" s="16" t="s">
        <v>334</v>
      </c>
      <c r="D82" s="22" t="s">
        <v>60</v>
      </c>
      <c r="E82" s="22" t="s">
        <v>61</v>
      </c>
      <c r="F82" s="20">
        <v>3.3757097429734602</v>
      </c>
      <c r="G82" s="39">
        <v>2.1266971380732799E-2</v>
      </c>
      <c r="H82" s="39">
        <v>1.6878548714867299E-3</v>
      </c>
      <c r="I82" s="20">
        <v>0</v>
      </c>
      <c r="J82" s="27">
        <v>1.9579116509246066E-7</v>
      </c>
      <c r="K82" s="27">
        <v>1.4441986763239777E-15</v>
      </c>
      <c r="L82" s="27">
        <v>0</v>
      </c>
      <c r="M82" s="199">
        <f>'Parameters, country spec'!H25</f>
        <v>0.30682794802396129</v>
      </c>
    </row>
    <row r="83" spans="1:13" x14ac:dyDescent="0.3">
      <c r="A83" s="21" t="s">
        <v>339</v>
      </c>
      <c r="B83" s="16" t="s">
        <v>178</v>
      </c>
      <c r="C83" s="16" t="s">
        <v>340</v>
      </c>
      <c r="D83" s="22" t="s">
        <v>60</v>
      </c>
      <c r="E83" s="22" t="s">
        <v>61</v>
      </c>
      <c r="F83" s="20">
        <v>1.6760975086486631</v>
      </c>
      <c r="G83" s="39">
        <v>1.5922926332162302E-2</v>
      </c>
      <c r="H83" s="39">
        <v>1.1732682560540643E-3</v>
      </c>
      <c r="I83" s="20">
        <v>0</v>
      </c>
      <c r="J83" s="27">
        <v>1.5755316581297433E-7</v>
      </c>
      <c r="K83" s="27">
        <v>7.1706929436656458E-16</v>
      </c>
      <c r="L83" s="27">
        <v>4.0657175166874981E-4</v>
      </c>
      <c r="M83" s="199">
        <f>'Parameters, country spec'!H26</f>
        <v>4.6178119267820264E-3</v>
      </c>
    </row>
    <row r="84" spans="1:13" x14ac:dyDescent="0.3">
      <c r="A84" s="21" t="s">
        <v>341</v>
      </c>
      <c r="B84" s="16" t="s">
        <v>179</v>
      </c>
      <c r="C84" s="16" t="s">
        <v>340</v>
      </c>
      <c r="D84" s="22" t="s">
        <v>60</v>
      </c>
      <c r="E84" s="22" t="s">
        <v>61</v>
      </c>
      <c r="F84" s="20">
        <v>1.5363343063450607</v>
      </c>
      <c r="G84" s="39">
        <v>2.350591488707943E-2</v>
      </c>
      <c r="H84" s="39">
        <v>2.150868028883085E-3</v>
      </c>
      <c r="I84" s="20">
        <v>0</v>
      </c>
      <c r="J84" s="27">
        <v>1.1368873866953449E-7</v>
      </c>
      <c r="K84" s="27">
        <v>6.5727569623929515E-16</v>
      </c>
      <c r="L84" s="27">
        <v>6.0019375778388269E-4</v>
      </c>
      <c r="M84" s="199">
        <f>'Parameters, country spec'!H27</f>
        <v>5.3104837157993301E-2</v>
      </c>
    </row>
    <row r="85" spans="1:13" x14ac:dyDescent="0.3">
      <c r="B85" s="17" t="s">
        <v>180</v>
      </c>
      <c r="C85" s="16" t="s">
        <v>342</v>
      </c>
      <c r="D85" s="22" t="s">
        <v>60</v>
      </c>
      <c r="E85" s="22" t="s">
        <v>61</v>
      </c>
      <c r="F85" s="105">
        <v>1.5363343063450607</v>
      </c>
      <c r="G85" s="106">
        <v>2.350591488707943E-2</v>
      </c>
      <c r="H85" s="106">
        <v>2.150868028883085E-3</v>
      </c>
      <c r="I85" s="105">
        <v>0</v>
      </c>
      <c r="J85" s="113">
        <v>1.1368873866953449E-7</v>
      </c>
      <c r="K85" s="113">
        <v>6.5727569623929515E-16</v>
      </c>
      <c r="L85" s="113">
        <v>6.0019375778388269E-4</v>
      </c>
      <c r="M85" s="199">
        <f>'Parameters, country spec'!H28</f>
        <v>2.7193781346605266E-2</v>
      </c>
    </row>
    <row r="86" spans="1:13" x14ac:dyDescent="0.3">
      <c r="B86" s="17" t="s">
        <v>343</v>
      </c>
      <c r="C86" s="16" t="s">
        <v>342</v>
      </c>
      <c r="D86" s="22" t="s">
        <v>60</v>
      </c>
      <c r="E86" s="22" t="s">
        <v>61</v>
      </c>
      <c r="F86" s="105">
        <v>1.5363343063450607</v>
      </c>
      <c r="G86" s="106">
        <v>2.350591488707943E-2</v>
      </c>
      <c r="H86" s="106">
        <v>2.150868028883085E-3</v>
      </c>
      <c r="I86" s="105">
        <v>0</v>
      </c>
      <c r="J86" s="113">
        <v>1.1368873866953449E-7</v>
      </c>
      <c r="K86" s="113">
        <v>8.018570399999999E-10</v>
      </c>
      <c r="L86" s="113">
        <v>6.0019375778388269E-4</v>
      </c>
      <c r="M86" s="199">
        <f>'Parameters, country spec'!H29</f>
        <v>3.5916314986082429E-2</v>
      </c>
    </row>
    <row r="87" spans="1:13" x14ac:dyDescent="0.3">
      <c r="B87" s="16" t="s">
        <v>182</v>
      </c>
      <c r="C87" s="16" t="s">
        <v>344</v>
      </c>
      <c r="D87" s="22" t="s">
        <v>60</v>
      </c>
      <c r="E87" s="22" t="s">
        <v>61</v>
      </c>
      <c r="F87" s="105"/>
      <c r="G87" s="106"/>
      <c r="H87" s="106"/>
      <c r="I87" s="105"/>
      <c r="J87" s="113"/>
      <c r="K87" s="113"/>
      <c r="L87" s="113"/>
      <c r="M87" s="199">
        <f>'Parameters, country spec'!H30</f>
        <v>0.13313408330019627</v>
      </c>
    </row>
    <row r="88" spans="1:13" x14ac:dyDescent="0.3">
      <c r="A88" s="82"/>
      <c r="B88" s="16" t="s">
        <v>345</v>
      </c>
      <c r="C88" s="83" t="s">
        <v>346</v>
      </c>
      <c r="D88" s="22" t="s">
        <v>60</v>
      </c>
      <c r="E88" s="22" t="s">
        <v>61</v>
      </c>
      <c r="F88" s="107">
        <f t="shared" ref="F88:L88" si="6">AVERAGE(F78:F86)</f>
        <v>2.3279799758707291</v>
      </c>
      <c r="G88" s="107">
        <f t="shared" si="6"/>
        <v>1.9932515675554777E-2</v>
      </c>
      <c r="H88" s="107">
        <f t="shared" si="6"/>
        <v>2.6449891098746397E-3</v>
      </c>
      <c r="I88" s="107">
        <f t="shared" si="6"/>
        <v>0</v>
      </c>
      <c r="J88" s="228">
        <f t="shared" si="6"/>
        <v>1.385717980837721E-7</v>
      </c>
      <c r="K88" s="228">
        <f t="shared" si="6"/>
        <v>8.9096149594174589E-11</v>
      </c>
      <c r="L88" s="228">
        <f t="shared" si="6"/>
        <v>4.142265395655066E-4</v>
      </c>
      <c r="M88" s="199">
        <f>'Parameters, country spec'!H31</f>
        <v>0.1236547415949409</v>
      </c>
    </row>
    <row r="89" spans="1:13" x14ac:dyDescent="0.3">
      <c r="A89" s="198"/>
      <c r="B89" s="24" t="s">
        <v>347</v>
      </c>
      <c r="C89" s="25"/>
      <c r="D89" s="101"/>
      <c r="E89" s="101"/>
      <c r="F89" s="29">
        <f>SUMPRODUCT(F78:F88,M78:M88)</f>
        <v>2.1875716423478537</v>
      </c>
      <c r="G89" s="29">
        <f>SUMPRODUCT(G78:G88,M78:M88)</f>
        <v>1.8161422178717652E-2</v>
      </c>
      <c r="H89" s="29">
        <f>SUMPRODUCT(H78:H88,M78:M88)</f>
        <v>2.1864784538934315E-3</v>
      </c>
      <c r="I89" s="29">
        <f>SUMPRODUCT(I78:I88,M78:M88)</f>
        <v>0</v>
      </c>
      <c r="J89" s="29">
        <f>SUMPRODUCT(J78:J88,M78:M88)</f>
        <v>1.2347562000710995E-7</v>
      </c>
      <c r="K89" s="29">
        <f>SUMPRODUCT(K78:K88,M78:M88)</f>
        <v>3.9817700504294268E-11</v>
      </c>
      <c r="L89" s="29">
        <f>SUMPRODUCT(L78:L88,M78:M88)</f>
        <v>2.8460640651791402E-4</v>
      </c>
      <c r="M89" s="200"/>
    </row>
    <row r="90" spans="1:13" x14ac:dyDescent="0.3">
      <c r="A90" s="21" t="s">
        <v>333</v>
      </c>
      <c r="B90" s="16" t="s">
        <v>172</v>
      </c>
      <c r="C90" s="16" t="s">
        <v>334</v>
      </c>
      <c r="D90" s="22" t="s">
        <v>62</v>
      </c>
      <c r="E90" s="22" t="s">
        <v>63</v>
      </c>
      <c r="F90" s="23">
        <v>2.1815008726003491</v>
      </c>
      <c r="G90" s="39">
        <v>2.0506108202443279E-2</v>
      </c>
      <c r="H90" s="39">
        <v>3.0541012216404886E-3</v>
      </c>
      <c r="I90" s="20">
        <v>0</v>
      </c>
      <c r="J90" s="27">
        <v>1.1343804537521816E-7</v>
      </c>
      <c r="K90" s="27">
        <v>9.332913409296623E-16</v>
      </c>
      <c r="L90" s="27">
        <v>5.2359749444649394E-4</v>
      </c>
      <c r="M90" s="199">
        <f>'Parameters, country spec'!I21</f>
        <v>0.24551366744057773</v>
      </c>
    </row>
    <row r="91" spans="1:13" x14ac:dyDescent="0.3">
      <c r="A91" s="21" t="s">
        <v>335</v>
      </c>
      <c r="B91" s="16" t="s">
        <v>174</v>
      </c>
      <c r="C91" s="16" t="s">
        <v>334</v>
      </c>
      <c r="D91" s="22" t="s">
        <v>62</v>
      </c>
      <c r="E91" s="22" t="s">
        <v>63</v>
      </c>
      <c r="F91" s="20">
        <v>5.0505050505050502</v>
      </c>
      <c r="G91" s="39">
        <v>1.3131313131313131E-2</v>
      </c>
      <c r="H91" s="39">
        <v>2.0202020202020202E-3</v>
      </c>
      <c r="I91" s="20">
        <v>0</v>
      </c>
      <c r="J91" s="27">
        <v>3.0808080808080806E-7</v>
      </c>
      <c r="K91" s="27">
        <v>2.1607108620310969E-15</v>
      </c>
      <c r="L91" s="27">
        <v>2.5791649629730588E-5</v>
      </c>
      <c r="M91" s="199">
        <f>'Parameters, country spec'!I22</f>
        <v>2.5654510704344589E-3</v>
      </c>
    </row>
    <row r="92" spans="1:13" x14ac:dyDescent="0.3">
      <c r="A92" s="21" t="s">
        <v>336</v>
      </c>
      <c r="B92" s="16" t="s">
        <v>175</v>
      </c>
      <c r="C92" s="16" t="s">
        <v>334</v>
      </c>
      <c r="D92" s="22" t="s">
        <v>62</v>
      </c>
      <c r="E92" s="22" t="s">
        <v>63</v>
      </c>
      <c r="F92" s="20">
        <v>1.5128936360129202</v>
      </c>
      <c r="G92" s="39">
        <v>1.9970195995370546E-2</v>
      </c>
      <c r="H92" s="39">
        <v>5.5977064532478039E-3</v>
      </c>
      <c r="I92" s="20">
        <v>0</v>
      </c>
      <c r="J92" s="27">
        <v>1.6641829996142119E-8</v>
      </c>
      <c r="K92" s="27">
        <v>6.4724729106130576E-16</v>
      </c>
      <c r="L92" s="27">
        <v>5.0991365516814952E-4</v>
      </c>
      <c r="M92" s="199">
        <f>'Parameters, country spec'!I23</f>
        <v>4.1303762233994797E-2</v>
      </c>
    </row>
    <row r="93" spans="1:13" x14ac:dyDescent="0.3">
      <c r="A93" s="21" t="s">
        <v>337</v>
      </c>
      <c r="B93" s="16" t="s">
        <v>176</v>
      </c>
      <c r="C93" s="16" t="s">
        <v>334</v>
      </c>
      <c r="D93" s="22" t="s">
        <v>62</v>
      </c>
      <c r="E93" s="22" t="s">
        <v>63</v>
      </c>
      <c r="F93" s="20">
        <v>2.5461100530609335</v>
      </c>
      <c r="G93" s="39">
        <v>1.8077381376732628E-2</v>
      </c>
      <c r="H93" s="39">
        <v>3.8191650795914001E-3</v>
      </c>
      <c r="I93" s="20">
        <v>0</v>
      </c>
      <c r="J93" s="27">
        <v>1.1457495238774201E-7</v>
      </c>
      <c r="K93" s="27">
        <v>1.0892787142199158E-15</v>
      </c>
      <c r="L93" s="27">
        <v>4.6158303182478765E-4</v>
      </c>
      <c r="M93" s="199">
        <f>'Parameters, country spec'!I24</f>
        <v>2.6167600918431479E-2</v>
      </c>
    </row>
    <row r="94" spans="1:13" x14ac:dyDescent="0.3">
      <c r="A94" s="21" t="s">
        <v>338</v>
      </c>
      <c r="B94" s="16" t="s">
        <v>177</v>
      </c>
      <c r="C94" s="16" t="s">
        <v>334</v>
      </c>
      <c r="D94" s="22" t="s">
        <v>62</v>
      </c>
      <c r="E94" s="22" t="s">
        <v>63</v>
      </c>
      <c r="F94" s="20">
        <v>3.3757097429734602</v>
      </c>
      <c r="G94" s="39">
        <v>2.1266971380732799E-2</v>
      </c>
      <c r="H94" s="39">
        <v>1.6878548714867299E-3</v>
      </c>
      <c r="I94" s="20">
        <v>0</v>
      </c>
      <c r="J94" s="27">
        <v>1.9579116509246066E-7</v>
      </c>
      <c r="K94" s="27">
        <v>1.4441986763239777E-15</v>
      </c>
      <c r="L94" s="27">
        <v>0</v>
      </c>
      <c r="M94" s="199">
        <f>'Parameters, country spec'!I25</f>
        <v>0.30682794802396129</v>
      </c>
    </row>
    <row r="95" spans="1:13" x14ac:dyDescent="0.3">
      <c r="A95" s="21" t="s">
        <v>339</v>
      </c>
      <c r="B95" s="16" t="s">
        <v>178</v>
      </c>
      <c r="C95" s="16" t="s">
        <v>340</v>
      </c>
      <c r="D95" s="22" t="s">
        <v>62</v>
      </c>
      <c r="E95" s="22" t="s">
        <v>63</v>
      </c>
      <c r="F95" s="20">
        <v>1.6760975086486631</v>
      </c>
      <c r="G95" s="39">
        <v>1.5922926332162302E-2</v>
      </c>
      <c r="H95" s="39">
        <v>1.1732682560540643E-3</v>
      </c>
      <c r="I95" s="20">
        <v>0</v>
      </c>
      <c r="J95" s="27">
        <v>1.5755316581297433E-7</v>
      </c>
      <c r="K95" s="27">
        <v>7.1706929436656458E-16</v>
      </c>
      <c r="L95" s="27">
        <v>4.0657175166874981E-4</v>
      </c>
      <c r="M95" s="199">
        <f>'Parameters, country spec'!I26</f>
        <v>4.6178119267820264E-3</v>
      </c>
    </row>
    <row r="96" spans="1:13" x14ac:dyDescent="0.3">
      <c r="A96" s="21" t="s">
        <v>341</v>
      </c>
      <c r="B96" s="16" t="s">
        <v>179</v>
      </c>
      <c r="C96" s="16" t="s">
        <v>340</v>
      </c>
      <c r="D96" s="22" t="s">
        <v>62</v>
      </c>
      <c r="E96" s="22" t="s">
        <v>63</v>
      </c>
      <c r="F96" s="20">
        <v>1.5363343063450607</v>
      </c>
      <c r="G96" s="39">
        <v>2.350591488707943E-2</v>
      </c>
      <c r="H96" s="39">
        <v>2.150868028883085E-3</v>
      </c>
      <c r="I96" s="20">
        <v>0</v>
      </c>
      <c r="J96" s="27">
        <v>1.1368873866953449E-7</v>
      </c>
      <c r="K96" s="27">
        <v>6.5727569623929515E-16</v>
      </c>
      <c r="L96" s="27">
        <v>6.0019375778388269E-4</v>
      </c>
      <c r="M96" s="199">
        <f>'Parameters, country spec'!I27</f>
        <v>5.3104837157993301E-2</v>
      </c>
    </row>
    <row r="97" spans="1:13" x14ac:dyDescent="0.3">
      <c r="B97" s="17" t="s">
        <v>180</v>
      </c>
      <c r="C97" s="16" t="s">
        <v>342</v>
      </c>
      <c r="D97" s="22" t="s">
        <v>62</v>
      </c>
      <c r="E97" s="22" t="s">
        <v>63</v>
      </c>
      <c r="F97" s="105">
        <v>1.5363343063450607</v>
      </c>
      <c r="G97" s="106">
        <v>2.350591488707943E-2</v>
      </c>
      <c r="H97" s="106">
        <v>2.150868028883085E-3</v>
      </c>
      <c r="I97" s="105">
        <v>0</v>
      </c>
      <c r="J97" s="113">
        <v>1.1368873866953449E-7</v>
      </c>
      <c r="K97" s="113">
        <v>6.5727569623929515E-16</v>
      </c>
      <c r="L97" s="113">
        <v>6.0019375778388269E-4</v>
      </c>
      <c r="M97" s="199">
        <f>'Parameters, country spec'!I28</f>
        <v>2.7193781346605266E-2</v>
      </c>
    </row>
    <row r="98" spans="1:13" x14ac:dyDescent="0.3">
      <c r="B98" s="17" t="s">
        <v>343</v>
      </c>
      <c r="C98" s="16" t="s">
        <v>342</v>
      </c>
      <c r="D98" s="22" t="s">
        <v>62</v>
      </c>
      <c r="E98" s="22" t="s">
        <v>63</v>
      </c>
      <c r="F98" s="105">
        <v>1.5363343063450607</v>
      </c>
      <c r="G98" s="106">
        <v>2.350591488707943E-2</v>
      </c>
      <c r="H98" s="106">
        <v>2.150868028883085E-3</v>
      </c>
      <c r="I98" s="105">
        <v>0</v>
      </c>
      <c r="J98" s="113">
        <v>1.1368873866953449E-7</v>
      </c>
      <c r="K98" s="113">
        <v>8.018570399999999E-10</v>
      </c>
      <c r="L98" s="113">
        <v>6.0019375778388269E-4</v>
      </c>
      <c r="M98" s="199">
        <f>'Parameters, country spec'!I29</f>
        <v>3.5916314986082429E-2</v>
      </c>
    </row>
    <row r="99" spans="1:13" x14ac:dyDescent="0.3">
      <c r="B99" s="16" t="s">
        <v>182</v>
      </c>
      <c r="C99" s="16" t="s">
        <v>344</v>
      </c>
      <c r="D99" s="22" t="s">
        <v>62</v>
      </c>
      <c r="E99" s="22" t="s">
        <v>63</v>
      </c>
      <c r="F99" s="105"/>
      <c r="G99" s="106"/>
      <c r="H99" s="106"/>
      <c r="I99" s="105"/>
      <c r="J99" s="113"/>
      <c r="K99" s="113"/>
      <c r="L99" s="113"/>
      <c r="M99" s="199">
        <f>'Parameters, country spec'!I30</f>
        <v>0.13313408330019627</v>
      </c>
    </row>
    <row r="100" spans="1:13" x14ac:dyDescent="0.3">
      <c r="A100" s="82"/>
      <c r="B100" s="16" t="s">
        <v>345</v>
      </c>
      <c r="C100" s="83" t="s">
        <v>346</v>
      </c>
      <c r="D100" s="22" t="s">
        <v>62</v>
      </c>
      <c r="E100" s="22" t="s">
        <v>63</v>
      </c>
      <c r="F100" s="107">
        <f t="shared" ref="F100:L100" si="7">AVERAGE(F90:F98)</f>
        <v>2.3279799758707291</v>
      </c>
      <c r="G100" s="107">
        <f t="shared" si="7"/>
        <v>1.9932515675554777E-2</v>
      </c>
      <c r="H100" s="107">
        <f t="shared" si="7"/>
        <v>2.6449891098746397E-3</v>
      </c>
      <c r="I100" s="107">
        <f t="shared" si="7"/>
        <v>0</v>
      </c>
      <c r="J100" s="228">
        <f t="shared" si="7"/>
        <v>1.385717980837721E-7</v>
      </c>
      <c r="K100" s="228">
        <f t="shared" si="7"/>
        <v>8.9096149594174589E-11</v>
      </c>
      <c r="L100" s="228">
        <f t="shared" si="7"/>
        <v>4.142265395655066E-4</v>
      </c>
      <c r="M100" s="199">
        <f>'Parameters, country spec'!I31</f>
        <v>0.1236547415949409</v>
      </c>
    </row>
    <row r="101" spans="1:13" x14ac:dyDescent="0.3">
      <c r="A101" s="198"/>
      <c r="B101" s="24" t="s">
        <v>347</v>
      </c>
      <c r="C101" s="25"/>
      <c r="D101" s="101"/>
      <c r="E101" s="101"/>
      <c r="F101" s="29">
        <f>SUMPRODUCT(F90:F100,M90:M100)</f>
        <v>2.1875716423478537</v>
      </c>
      <c r="G101" s="29">
        <f>SUMPRODUCT(G90:G100,M90:M100)</f>
        <v>1.8161422178717652E-2</v>
      </c>
      <c r="H101" s="29">
        <f>SUMPRODUCT(H90:H100,M90:M100)</f>
        <v>2.1864784538934315E-3</v>
      </c>
      <c r="I101" s="29">
        <f>SUMPRODUCT(I90:I100,M90:M100)</f>
        <v>0</v>
      </c>
      <c r="J101" s="29">
        <f>SUMPRODUCT(J90:J100,M90:M100)</f>
        <v>1.2347562000710995E-7</v>
      </c>
      <c r="K101" s="29">
        <f>SUMPRODUCT(K90:K100,M90:M100)</f>
        <v>3.9817700504294268E-11</v>
      </c>
      <c r="L101" s="29">
        <f>SUMPRODUCT(L90:L100,M90:M100)</f>
        <v>2.8460640651791402E-4</v>
      </c>
      <c r="M101" s="200"/>
    </row>
    <row r="102" spans="1:13" x14ac:dyDescent="0.3">
      <c r="A102" s="21" t="s">
        <v>333</v>
      </c>
      <c r="B102" s="16" t="s">
        <v>172</v>
      </c>
      <c r="C102" s="16" t="s">
        <v>334</v>
      </c>
      <c r="D102" s="22" t="s">
        <v>64</v>
      </c>
      <c r="E102" s="22" t="s">
        <v>65</v>
      </c>
      <c r="F102" s="23">
        <v>2.1815008726003491</v>
      </c>
      <c r="G102" s="39">
        <v>2.0506108202443279E-2</v>
      </c>
      <c r="H102" s="39">
        <v>3.0541012216404886E-3</v>
      </c>
      <c r="I102" s="20">
        <v>0</v>
      </c>
      <c r="J102" s="27">
        <v>1.1343804537521816E-7</v>
      </c>
      <c r="K102" s="27">
        <v>9.332913409296623E-16</v>
      </c>
      <c r="L102" s="27">
        <v>5.2359749444649394E-4</v>
      </c>
      <c r="M102" s="199">
        <f>'Parameters, country spec'!J21</f>
        <v>0.24551366744057773</v>
      </c>
    </row>
    <row r="103" spans="1:13" x14ac:dyDescent="0.3">
      <c r="A103" s="21" t="s">
        <v>335</v>
      </c>
      <c r="B103" s="16" t="s">
        <v>174</v>
      </c>
      <c r="C103" s="16" t="s">
        <v>334</v>
      </c>
      <c r="D103" s="22" t="s">
        <v>64</v>
      </c>
      <c r="E103" s="22" t="s">
        <v>65</v>
      </c>
      <c r="F103" s="20">
        <v>5.0505050505050502</v>
      </c>
      <c r="G103" s="39">
        <v>1.3131313131313131E-2</v>
      </c>
      <c r="H103" s="39">
        <v>2.0202020202020202E-3</v>
      </c>
      <c r="I103" s="20">
        <v>0</v>
      </c>
      <c r="J103" s="27">
        <v>3.0808080808080806E-7</v>
      </c>
      <c r="K103" s="27">
        <v>2.1607108620310969E-15</v>
      </c>
      <c r="L103" s="27">
        <v>2.5791649629730588E-5</v>
      </c>
      <c r="M103" s="199">
        <f>'Parameters, country spec'!J22</f>
        <v>2.5654510704344589E-3</v>
      </c>
    </row>
    <row r="104" spans="1:13" x14ac:dyDescent="0.3">
      <c r="A104" s="21" t="s">
        <v>336</v>
      </c>
      <c r="B104" s="16" t="s">
        <v>175</v>
      </c>
      <c r="C104" s="16" t="s">
        <v>334</v>
      </c>
      <c r="D104" s="22" t="s">
        <v>64</v>
      </c>
      <c r="E104" s="22" t="s">
        <v>65</v>
      </c>
      <c r="F104" s="20">
        <v>1.5128936360129202</v>
      </c>
      <c r="G104" s="39">
        <v>1.9970195995370546E-2</v>
      </c>
      <c r="H104" s="39">
        <v>5.5977064532478039E-3</v>
      </c>
      <c r="I104" s="20">
        <v>0</v>
      </c>
      <c r="J104" s="27">
        <v>1.6641829996142119E-8</v>
      </c>
      <c r="K104" s="27">
        <v>6.4724729106130576E-16</v>
      </c>
      <c r="L104" s="27">
        <v>5.0991365516814952E-4</v>
      </c>
      <c r="M104" s="199">
        <f>'Parameters, country spec'!J23</f>
        <v>4.1303762233994797E-2</v>
      </c>
    </row>
    <row r="105" spans="1:13" x14ac:dyDescent="0.3">
      <c r="A105" s="21" t="s">
        <v>337</v>
      </c>
      <c r="B105" s="16" t="s">
        <v>176</v>
      </c>
      <c r="C105" s="16" t="s">
        <v>334</v>
      </c>
      <c r="D105" s="22" t="s">
        <v>64</v>
      </c>
      <c r="E105" s="22" t="s">
        <v>65</v>
      </c>
      <c r="F105" s="20">
        <v>2.5461100530609335</v>
      </c>
      <c r="G105" s="39">
        <v>1.8077381376732628E-2</v>
      </c>
      <c r="H105" s="39">
        <v>3.8191650795914001E-3</v>
      </c>
      <c r="I105" s="20">
        <v>0</v>
      </c>
      <c r="J105" s="27">
        <v>1.1457495238774201E-7</v>
      </c>
      <c r="K105" s="27">
        <v>1.0892787142199158E-15</v>
      </c>
      <c r="L105" s="27">
        <v>4.6158303182478765E-4</v>
      </c>
      <c r="M105" s="199">
        <f>'Parameters, country spec'!J24</f>
        <v>2.6167600918431479E-2</v>
      </c>
    </row>
    <row r="106" spans="1:13" x14ac:dyDescent="0.3">
      <c r="A106" s="21" t="s">
        <v>338</v>
      </c>
      <c r="B106" s="16" t="s">
        <v>177</v>
      </c>
      <c r="C106" s="16" t="s">
        <v>334</v>
      </c>
      <c r="D106" s="22" t="s">
        <v>64</v>
      </c>
      <c r="E106" s="22" t="s">
        <v>65</v>
      </c>
      <c r="F106" s="20">
        <v>3.3757097429734602</v>
      </c>
      <c r="G106" s="39">
        <v>2.1266971380732799E-2</v>
      </c>
      <c r="H106" s="39">
        <v>1.6878548714867299E-3</v>
      </c>
      <c r="I106" s="20">
        <v>0</v>
      </c>
      <c r="J106" s="27">
        <v>1.9579116509246066E-7</v>
      </c>
      <c r="K106" s="27">
        <v>1.4441986763239777E-15</v>
      </c>
      <c r="L106" s="27">
        <v>0</v>
      </c>
      <c r="M106" s="199">
        <f>'Parameters, country spec'!J25</f>
        <v>0.30682794802396129</v>
      </c>
    </row>
    <row r="107" spans="1:13" x14ac:dyDescent="0.3">
      <c r="A107" s="21" t="s">
        <v>339</v>
      </c>
      <c r="B107" s="16" t="s">
        <v>178</v>
      </c>
      <c r="C107" s="16" t="s">
        <v>340</v>
      </c>
      <c r="D107" s="22" t="s">
        <v>64</v>
      </c>
      <c r="E107" s="22" t="s">
        <v>65</v>
      </c>
      <c r="F107" s="20">
        <v>1.6760975086486631</v>
      </c>
      <c r="G107" s="39">
        <v>1.5922926332162302E-2</v>
      </c>
      <c r="H107" s="39">
        <v>1.1732682560540643E-3</v>
      </c>
      <c r="I107" s="20">
        <v>0</v>
      </c>
      <c r="J107" s="27">
        <v>1.5755316581297433E-7</v>
      </c>
      <c r="K107" s="27">
        <v>7.1706929436656458E-16</v>
      </c>
      <c r="L107" s="27">
        <v>4.0657175166874981E-4</v>
      </c>
      <c r="M107" s="199">
        <f>'Parameters, country spec'!J26</f>
        <v>4.6178119267820264E-3</v>
      </c>
    </row>
    <row r="108" spans="1:13" x14ac:dyDescent="0.3">
      <c r="A108" s="21" t="s">
        <v>341</v>
      </c>
      <c r="B108" s="16" t="s">
        <v>179</v>
      </c>
      <c r="C108" s="16" t="s">
        <v>340</v>
      </c>
      <c r="D108" s="22" t="s">
        <v>64</v>
      </c>
      <c r="E108" s="22" t="s">
        <v>65</v>
      </c>
      <c r="F108" s="20">
        <v>1.5363343063450607</v>
      </c>
      <c r="G108" s="39">
        <v>2.350591488707943E-2</v>
      </c>
      <c r="H108" s="39">
        <v>2.150868028883085E-3</v>
      </c>
      <c r="I108" s="20">
        <v>0</v>
      </c>
      <c r="J108" s="27">
        <v>1.1368873866953449E-7</v>
      </c>
      <c r="K108" s="27">
        <v>6.5727569623929515E-16</v>
      </c>
      <c r="L108" s="27">
        <v>6.0019375778388269E-4</v>
      </c>
      <c r="M108" s="199">
        <f>'Parameters, country spec'!J27</f>
        <v>5.3104837157993301E-2</v>
      </c>
    </row>
    <row r="109" spans="1:13" x14ac:dyDescent="0.3">
      <c r="B109" s="17" t="s">
        <v>180</v>
      </c>
      <c r="C109" s="16" t="s">
        <v>342</v>
      </c>
      <c r="D109" s="22" t="s">
        <v>64</v>
      </c>
      <c r="E109" s="22" t="s">
        <v>65</v>
      </c>
      <c r="F109" s="105">
        <v>1.5363343063450607</v>
      </c>
      <c r="G109" s="106">
        <v>2.350591488707943E-2</v>
      </c>
      <c r="H109" s="106">
        <v>2.150868028883085E-3</v>
      </c>
      <c r="I109" s="105">
        <v>0</v>
      </c>
      <c r="J109" s="113">
        <v>1.1368873866953449E-7</v>
      </c>
      <c r="K109" s="113">
        <v>6.5727569623929515E-16</v>
      </c>
      <c r="L109" s="113">
        <v>6.0019375778388269E-4</v>
      </c>
      <c r="M109" s="199">
        <f>'Parameters, country spec'!J28</f>
        <v>2.7193781346605266E-2</v>
      </c>
    </row>
    <row r="110" spans="1:13" x14ac:dyDescent="0.3">
      <c r="B110" s="17" t="s">
        <v>343</v>
      </c>
      <c r="C110" s="16" t="s">
        <v>342</v>
      </c>
      <c r="D110" s="22" t="s">
        <v>64</v>
      </c>
      <c r="E110" s="22" t="s">
        <v>65</v>
      </c>
      <c r="F110" s="105">
        <v>1.5363343063450607</v>
      </c>
      <c r="G110" s="106">
        <v>2.350591488707943E-2</v>
      </c>
      <c r="H110" s="106">
        <v>2.150868028883085E-3</v>
      </c>
      <c r="I110" s="105">
        <v>0</v>
      </c>
      <c r="J110" s="113">
        <v>1.1368873866953449E-7</v>
      </c>
      <c r="K110" s="113">
        <v>8.018570399999999E-10</v>
      </c>
      <c r="L110" s="113">
        <v>6.0019375778388269E-4</v>
      </c>
      <c r="M110" s="199">
        <f>'Parameters, country spec'!J29</f>
        <v>3.5916314986082429E-2</v>
      </c>
    </row>
    <row r="111" spans="1:13" x14ac:dyDescent="0.3">
      <c r="B111" s="16" t="s">
        <v>182</v>
      </c>
      <c r="C111" s="16" t="s">
        <v>344</v>
      </c>
      <c r="D111" s="22" t="s">
        <v>64</v>
      </c>
      <c r="E111" s="22" t="s">
        <v>65</v>
      </c>
      <c r="F111" s="105"/>
      <c r="G111" s="106"/>
      <c r="H111" s="106"/>
      <c r="I111" s="105"/>
      <c r="J111" s="113"/>
      <c r="K111" s="113"/>
      <c r="L111" s="113"/>
      <c r="M111" s="199">
        <f>'Parameters, country spec'!J30</f>
        <v>0.13313408330019627</v>
      </c>
    </row>
    <row r="112" spans="1:13" x14ac:dyDescent="0.3">
      <c r="A112" s="82"/>
      <c r="B112" s="16" t="s">
        <v>345</v>
      </c>
      <c r="C112" s="83" t="s">
        <v>346</v>
      </c>
      <c r="D112" s="22" t="s">
        <v>64</v>
      </c>
      <c r="E112" s="22" t="s">
        <v>65</v>
      </c>
      <c r="F112" s="107">
        <f t="shared" ref="F112:L112" si="8">AVERAGE(F102:F110)</f>
        <v>2.3279799758707291</v>
      </c>
      <c r="G112" s="107">
        <f t="shared" si="8"/>
        <v>1.9932515675554777E-2</v>
      </c>
      <c r="H112" s="107">
        <f t="shared" si="8"/>
        <v>2.6449891098746397E-3</v>
      </c>
      <c r="I112" s="107">
        <f t="shared" si="8"/>
        <v>0</v>
      </c>
      <c r="J112" s="228">
        <f t="shared" si="8"/>
        <v>1.385717980837721E-7</v>
      </c>
      <c r="K112" s="228">
        <f t="shared" si="8"/>
        <v>8.9096149594174589E-11</v>
      </c>
      <c r="L112" s="228">
        <f t="shared" si="8"/>
        <v>4.142265395655066E-4</v>
      </c>
      <c r="M112" s="199">
        <f>'Parameters, country spec'!J31</f>
        <v>0.1236547415949409</v>
      </c>
    </row>
    <row r="113" spans="1:13" x14ac:dyDescent="0.3">
      <c r="A113" s="198"/>
      <c r="B113" s="24" t="s">
        <v>347</v>
      </c>
      <c r="C113" s="25"/>
      <c r="D113" s="101"/>
      <c r="E113" s="101"/>
      <c r="F113" s="29">
        <f>SUMPRODUCT(F102:F112,M102:M112)</f>
        <v>2.1875716423478537</v>
      </c>
      <c r="G113" s="29">
        <f>SUMPRODUCT(G102:G112,M102:M112)</f>
        <v>1.8161422178717652E-2</v>
      </c>
      <c r="H113" s="29">
        <f>SUMPRODUCT(H102:H112,M102:M112)</f>
        <v>2.1864784538934315E-3</v>
      </c>
      <c r="I113" s="29">
        <f>SUMPRODUCT(I102:I112,M102:M112)</f>
        <v>0</v>
      </c>
      <c r="J113" s="29">
        <f>SUMPRODUCT(J102:J112,M102:M112)</f>
        <v>1.2347562000710995E-7</v>
      </c>
      <c r="K113" s="29">
        <f>SUMPRODUCT(K102:K112,M102:M112)</f>
        <v>3.9817700504294268E-11</v>
      </c>
      <c r="L113" s="29">
        <f>SUMPRODUCT(L102:L112,M102:M112)</f>
        <v>2.8460640651791402E-4</v>
      </c>
      <c r="M113" s="200"/>
    </row>
    <row r="114" spans="1:13" x14ac:dyDescent="0.3">
      <c r="A114" s="21" t="s">
        <v>333</v>
      </c>
      <c r="B114" s="16" t="s">
        <v>172</v>
      </c>
      <c r="C114" s="16" t="s">
        <v>334</v>
      </c>
      <c r="D114" s="22" t="s">
        <v>66</v>
      </c>
      <c r="E114" s="22" t="s">
        <v>67</v>
      </c>
      <c r="F114" s="23">
        <v>2.1815008726003491</v>
      </c>
      <c r="G114" s="39">
        <v>2.0506108202443279E-2</v>
      </c>
      <c r="H114" s="39">
        <v>3.0541012216404886E-3</v>
      </c>
      <c r="I114" s="20">
        <v>0</v>
      </c>
      <c r="J114" s="27">
        <v>1.1343804537521816E-7</v>
      </c>
      <c r="K114" s="27">
        <v>9.332913409296623E-16</v>
      </c>
      <c r="L114" s="27">
        <v>5.2359749444649394E-4</v>
      </c>
      <c r="M114" s="199">
        <f>'Parameters, country spec'!K21</f>
        <v>0.24551366744057773</v>
      </c>
    </row>
    <row r="115" spans="1:13" x14ac:dyDescent="0.3">
      <c r="A115" s="21" t="s">
        <v>335</v>
      </c>
      <c r="B115" s="16" t="s">
        <v>174</v>
      </c>
      <c r="C115" s="16" t="s">
        <v>334</v>
      </c>
      <c r="D115" s="22" t="s">
        <v>66</v>
      </c>
      <c r="E115" s="22" t="s">
        <v>67</v>
      </c>
      <c r="F115" s="20">
        <v>5.0505050505050502</v>
      </c>
      <c r="G115" s="39">
        <v>1.3131313131313131E-2</v>
      </c>
      <c r="H115" s="39">
        <v>2.0202020202020202E-3</v>
      </c>
      <c r="I115" s="20">
        <v>0</v>
      </c>
      <c r="J115" s="27">
        <v>3.0808080808080806E-7</v>
      </c>
      <c r="K115" s="27">
        <v>2.1607108620310969E-15</v>
      </c>
      <c r="L115" s="27">
        <v>2.5791649629730588E-5</v>
      </c>
      <c r="M115" s="199">
        <f>'Parameters, country spec'!K22</f>
        <v>2.5654510704344589E-3</v>
      </c>
    </row>
    <row r="116" spans="1:13" x14ac:dyDescent="0.3">
      <c r="A116" s="21" t="s">
        <v>336</v>
      </c>
      <c r="B116" s="16" t="s">
        <v>175</v>
      </c>
      <c r="C116" s="16" t="s">
        <v>334</v>
      </c>
      <c r="D116" s="22" t="s">
        <v>66</v>
      </c>
      <c r="E116" s="22" t="s">
        <v>67</v>
      </c>
      <c r="F116" s="20">
        <v>1.5128936360129202</v>
      </c>
      <c r="G116" s="39">
        <v>1.9970195995370546E-2</v>
      </c>
      <c r="H116" s="39">
        <v>5.5977064532478039E-3</v>
      </c>
      <c r="I116" s="20">
        <v>0</v>
      </c>
      <c r="J116" s="27">
        <v>1.6641829996142119E-8</v>
      </c>
      <c r="K116" s="27">
        <v>6.4724729106130576E-16</v>
      </c>
      <c r="L116" s="27">
        <v>5.0991365516814952E-4</v>
      </c>
      <c r="M116" s="199">
        <f>'Parameters, country spec'!K23</f>
        <v>4.1303762233994797E-2</v>
      </c>
    </row>
    <row r="117" spans="1:13" x14ac:dyDescent="0.3">
      <c r="A117" s="21" t="s">
        <v>337</v>
      </c>
      <c r="B117" s="16" t="s">
        <v>176</v>
      </c>
      <c r="C117" s="16" t="s">
        <v>334</v>
      </c>
      <c r="D117" s="22" t="s">
        <v>66</v>
      </c>
      <c r="E117" s="22" t="s">
        <v>67</v>
      </c>
      <c r="F117" s="20">
        <v>2.5461100530609335</v>
      </c>
      <c r="G117" s="39">
        <v>1.8077381376732628E-2</v>
      </c>
      <c r="H117" s="39">
        <v>3.8191650795914001E-3</v>
      </c>
      <c r="I117" s="20">
        <v>0</v>
      </c>
      <c r="J117" s="27">
        <v>1.1457495238774201E-7</v>
      </c>
      <c r="K117" s="27">
        <v>1.0892787142199158E-15</v>
      </c>
      <c r="L117" s="27">
        <v>4.6158303182478765E-4</v>
      </c>
      <c r="M117" s="199">
        <f>'Parameters, country spec'!K24</f>
        <v>2.6167600918431479E-2</v>
      </c>
    </row>
    <row r="118" spans="1:13" x14ac:dyDescent="0.3">
      <c r="A118" s="21" t="s">
        <v>338</v>
      </c>
      <c r="B118" s="16" t="s">
        <v>177</v>
      </c>
      <c r="C118" s="16" t="s">
        <v>334</v>
      </c>
      <c r="D118" s="22" t="s">
        <v>66</v>
      </c>
      <c r="E118" s="22" t="s">
        <v>67</v>
      </c>
      <c r="F118" s="20">
        <v>3.3757097429734602</v>
      </c>
      <c r="G118" s="39">
        <v>2.1266971380732799E-2</v>
      </c>
      <c r="H118" s="39">
        <v>1.6878548714867299E-3</v>
      </c>
      <c r="I118" s="20">
        <v>0</v>
      </c>
      <c r="J118" s="27">
        <v>1.9579116509246066E-7</v>
      </c>
      <c r="K118" s="27">
        <v>1.4441986763239777E-15</v>
      </c>
      <c r="L118" s="27">
        <v>0</v>
      </c>
      <c r="M118" s="199">
        <f>'Parameters, country spec'!K25</f>
        <v>0.30682794802396129</v>
      </c>
    </row>
    <row r="119" spans="1:13" x14ac:dyDescent="0.3">
      <c r="A119" s="21" t="s">
        <v>339</v>
      </c>
      <c r="B119" s="16" t="s">
        <v>178</v>
      </c>
      <c r="C119" s="16" t="s">
        <v>340</v>
      </c>
      <c r="D119" s="22" t="s">
        <v>66</v>
      </c>
      <c r="E119" s="22" t="s">
        <v>67</v>
      </c>
      <c r="F119" s="20">
        <v>1.6760975086486631</v>
      </c>
      <c r="G119" s="39">
        <v>1.5922926332162302E-2</v>
      </c>
      <c r="H119" s="39">
        <v>1.1732682560540643E-3</v>
      </c>
      <c r="I119" s="20">
        <v>0</v>
      </c>
      <c r="J119" s="27">
        <v>1.5755316581297433E-7</v>
      </c>
      <c r="K119" s="27">
        <v>7.1706929436656458E-16</v>
      </c>
      <c r="L119" s="27">
        <v>4.0657175166874981E-4</v>
      </c>
      <c r="M119" s="199">
        <f>'Parameters, country spec'!K26</f>
        <v>4.6178119267820264E-3</v>
      </c>
    </row>
    <row r="120" spans="1:13" x14ac:dyDescent="0.3">
      <c r="A120" s="21" t="s">
        <v>341</v>
      </c>
      <c r="B120" s="16" t="s">
        <v>179</v>
      </c>
      <c r="C120" s="16" t="s">
        <v>340</v>
      </c>
      <c r="D120" s="22" t="s">
        <v>66</v>
      </c>
      <c r="E120" s="22" t="s">
        <v>67</v>
      </c>
      <c r="F120" s="20">
        <v>1.5363343063450607</v>
      </c>
      <c r="G120" s="39">
        <v>2.350591488707943E-2</v>
      </c>
      <c r="H120" s="39">
        <v>2.150868028883085E-3</v>
      </c>
      <c r="I120" s="20">
        <v>0</v>
      </c>
      <c r="J120" s="27">
        <v>1.1368873866953449E-7</v>
      </c>
      <c r="K120" s="27">
        <v>6.5727569623929515E-16</v>
      </c>
      <c r="L120" s="27">
        <v>6.0019375778388269E-4</v>
      </c>
      <c r="M120" s="199">
        <f>'Parameters, country spec'!K27</f>
        <v>5.3104837157993301E-2</v>
      </c>
    </row>
    <row r="121" spans="1:13" x14ac:dyDescent="0.3">
      <c r="B121" s="17" t="s">
        <v>180</v>
      </c>
      <c r="C121" s="16" t="s">
        <v>342</v>
      </c>
      <c r="D121" s="22" t="s">
        <v>66</v>
      </c>
      <c r="E121" s="22" t="s">
        <v>67</v>
      </c>
      <c r="F121" s="105">
        <v>1.5363343063450607</v>
      </c>
      <c r="G121" s="106">
        <v>2.350591488707943E-2</v>
      </c>
      <c r="H121" s="106">
        <v>2.150868028883085E-3</v>
      </c>
      <c r="I121" s="105">
        <v>0</v>
      </c>
      <c r="J121" s="113">
        <v>1.1368873866953449E-7</v>
      </c>
      <c r="K121" s="113">
        <v>6.5727569623929515E-16</v>
      </c>
      <c r="L121" s="113">
        <v>6.0019375778388269E-4</v>
      </c>
      <c r="M121" s="199">
        <f>'Parameters, country spec'!K28</f>
        <v>2.7193781346605266E-2</v>
      </c>
    </row>
    <row r="122" spans="1:13" x14ac:dyDescent="0.3">
      <c r="B122" s="17" t="s">
        <v>343</v>
      </c>
      <c r="C122" s="16" t="s">
        <v>342</v>
      </c>
      <c r="D122" s="22" t="s">
        <v>66</v>
      </c>
      <c r="E122" s="22" t="s">
        <v>67</v>
      </c>
      <c r="F122" s="105">
        <v>1.5363343063450607</v>
      </c>
      <c r="G122" s="106">
        <v>2.350591488707943E-2</v>
      </c>
      <c r="H122" s="106">
        <v>2.150868028883085E-3</v>
      </c>
      <c r="I122" s="105">
        <v>0</v>
      </c>
      <c r="J122" s="113">
        <v>1.1368873866953449E-7</v>
      </c>
      <c r="K122" s="113">
        <v>8.018570399999999E-10</v>
      </c>
      <c r="L122" s="113">
        <v>6.0019375778388269E-4</v>
      </c>
      <c r="M122" s="199">
        <f>'Parameters, country spec'!K29</f>
        <v>3.5916314986082429E-2</v>
      </c>
    </row>
    <row r="123" spans="1:13" x14ac:dyDescent="0.3">
      <c r="B123" s="16" t="s">
        <v>182</v>
      </c>
      <c r="C123" s="16" t="s">
        <v>344</v>
      </c>
      <c r="D123" s="22" t="s">
        <v>66</v>
      </c>
      <c r="E123" s="22" t="s">
        <v>67</v>
      </c>
      <c r="F123" s="105"/>
      <c r="G123" s="106"/>
      <c r="H123" s="106"/>
      <c r="I123" s="105"/>
      <c r="J123" s="113"/>
      <c r="K123" s="113"/>
      <c r="L123" s="113"/>
      <c r="M123" s="199">
        <f>'Parameters, country spec'!K30</f>
        <v>0.13313408330019627</v>
      </c>
    </row>
    <row r="124" spans="1:13" x14ac:dyDescent="0.3">
      <c r="A124" s="82"/>
      <c r="B124" s="16" t="s">
        <v>345</v>
      </c>
      <c r="C124" s="83" t="s">
        <v>346</v>
      </c>
      <c r="D124" s="22" t="s">
        <v>66</v>
      </c>
      <c r="E124" s="22" t="s">
        <v>67</v>
      </c>
      <c r="F124" s="107">
        <f t="shared" ref="F124:L124" si="9">AVERAGE(F114:F122)</f>
        <v>2.3279799758707291</v>
      </c>
      <c r="G124" s="107">
        <f t="shared" si="9"/>
        <v>1.9932515675554777E-2</v>
      </c>
      <c r="H124" s="107">
        <f t="shared" si="9"/>
        <v>2.6449891098746397E-3</v>
      </c>
      <c r="I124" s="107">
        <f t="shared" si="9"/>
        <v>0</v>
      </c>
      <c r="J124" s="228">
        <f t="shared" si="9"/>
        <v>1.385717980837721E-7</v>
      </c>
      <c r="K124" s="228">
        <f t="shared" si="9"/>
        <v>8.9096149594174589E-11</v>
      </c>
      <c r="L124" s="228">
        <f t="shared" si="9"/>
        <v>4.142265395655066E-4</v>
      </c>
      <c r="M124" s="199">
        <f>'Parameters, country spec'!K31</f>
        <v>0.1236547415949409</v>
      </c>
    </row>
    <row r="125" spans="1:13" x14ac:dyDescent="0.3">
      <c r="A125" s="198"/>
      <c r="B125" s="24" t="s">
        <v>347</v>
      </c>
      <c r="C125" s="25"/>
      <c r="D125" s="101"/>
      <c r="E125" s="101"/>
      <c r="F125" s="29">
        <f>SUMPRODUCT(F114:F124,M114:M124)</f>
        <v>2.1875716423478537</v>
      </c>
      <c r="G125" s="29">
        <f>SUMPRODUCT(G114:G124,M114:M124)</f>
        <v>1.8161422178717652E-2</v>
      </c>
      <c r="H125" s="29">
        <f>SUMPRODUCT(H114:H124,M114:M124)</f>
        <v>2.1864784538934315E-3</v>
      </c>
      <c r="I125" s="29">
        <f>SUMPRODUCT(I114:I124,M114:M124)</f>
        <v>0</v>
      </c>
      <c r="J125" s="29">
        <f>SUMPRODUCT(J114:J124,M114:M124)</f>
        <v>1.2347562000710995E-7</v>
      </c>
      <c r="K125" s="29">
        <f>SUMPRODUCT(K114:K124,M114:M124)</f>
        <v>3.9817700504294268E-11</v>
      </c>
      <c r="L125" s="29">
        <f>SUMPRODUCT(L114:L124,M114:M124)</f>
        <v>2.8460640651791402E-4</v>
      </c>
      <c r="M125" s="200"/>
    </row>
    <row r="126" spans="1:13" x14ac:dyDescent="0.3">
      <c r="A126" s="21" t="s">
        <v>333</v>
      </c>
      <c r="B126" s="16" t="s">
        <v>172</v>
      </c>
      <c r="C126" s="16" t="s">
        <v>334</v>
      </c>
      <c r="D126" s="22" t="s">
        <v>68</v>
      </c>
      <c r="E126" s="22" t="s">
        <v>69</v>
      </c>
      <c r="F126" s="23">
        <v>2.1815008726003491</v>
      </c>
      <c r="G126" s="39">
        <v>2.0506108202443279E-2</v>
      </c>
      <c r="H126" s="39">
        <v>3.0541012216404886E-3</v>
      </c>
      <c r="I126" s="20">
        <v>0</v>
      </c>
      <c r="J126" s="27">
        <v>1.1343804537521816E-7</v>
      </c>
      <c r="K126" s="27">
        <v>9.332913409296623E-16</v>
      </c>
      <c r="L126" s="27">
        <v>5.2359749444649394E-4</v>
      </c>
      <c r="M126" s="199">
        <f>'Parameters, country spec'!L21</f>
        <v>0.24551366744057773</v>
      </c>
    </row>
    <row r="127" spans="1:13" x14ac:dyDescent="0.3">
      <c r="A127" s="21" t="s">
        <v>335</v>
      </c>
      <c r="B127" s="16" t="s">
        <v>174</v>
      </c>
      <c r="C127" s="16" t="s">
        <v>334</v>
      </c>
      <c r="D127" s="22" t="s">
        <v>68</v>
      </c>
      <c r="E127" s="22" t="s">
        <v>69</v>
      </c>
      <c r="F127" s="20">
        <v>5.0505050505050502</v>
      </c>
      <c r="G127" s="39">
        <v>1.3131313131313131E-2</v>
      </c>
      <c r="H127" s="39">
        <v>2.0202020202020202E-3</v>
      </c>
      <c r="I127" s="20">
        <v>0</v>
      </c>
      <c r="J127" s="27">
        <v>3.0808080808080806E-7</v>
      </c>
      <c r="K127" s="27">
        <v>2.1607108620310969E-15</v>
      </c>
      <c r="L127" s="27">
        <v>2.5791649629730588E-5</v>
      </c>
      <c r="M127" s="199">
        <f>'Parameters, country spec'!L22</f>
        <v>2.5654510704344589E-3</v>
      </c>
    </row>
    <row r="128" spans="1:13" x14ac:dyDescent="0.3">
      <c r="A128" s="21" t="s">
        <v>336</v>
      </c>
      <c r="B128" s="16" t="s">
        <v>175</v>
      </c>
      <c r="C128" s="16" t="s">
        <v>334</v>
      </c>
      <c r="D128" s="22" t="s">
        <v>68</v>
      </c>
      <c r="E128" s="22" t="s">
        <v>69</v>
      </c>
      <c r="F128" s="20">
        <v>1.5128936360129202</v>
      </c>
      <c r="G128" s="39">
        <v>1.9970195995370546E-2</v>
      </c>
      <c r="H128" s="39">
        <v>5.5977064532478039E-3</v>
      </c>
      <c r="I128" s="20">
        <v>0</v>
      </c>
      <c r="J128" s="27">
        <v>1.6641829996142119E-8</v>
      </c>
      <c r="K128" s="27">
        <v>6.4724729106130576E-16</v>
      </c>
      <c r="L128" s="27">
        <v>5.0991365516814952E-4</v>
      </c>
      <c r="M128" s="199">
        <f>'Parameters, country spec'!L23</f>
        <v>4.1303762233994797E-2</v>
      </c>
    </row>
    <row r="129" spans="1:13" x14ac:dyDescent="0.3">
      <c r="A129" s="21" t="s">
        <v>337</v>
      </c>
      <c r="B129" s="16" t="s">
        <v>176</v>
      </c>
      <c r="C129" s="16" t="s">
        <v>334</v>
      </c>
      <c r="D129" s="22" t="s">
        <v>68</v>
      </c>
      <c r="E129" s="22" t="s">
        <v>69</v>
      </c>
      <c r="F129" s="20">
        <v>2.5461100530609335</v>
      </c>
      <c r="G129" s="39">
        <v>1.8077381376732628E-2</v>
      </c>
      <c r="H129" s="39">
        <v>3.8191650795914001E-3</v>
      </c>
      <c r="I129" s="20">
        <v>0</v>
      </c>
      <c r="J129" s="27">
        <v>1.1457495238774201E-7</v>
      </c>
      <c r="K129" s="27">
        <v>1.0892787142199158E-15</v>
      </c>
      <c r="L129" s="27">
        <v>4.6158303182478765E-4</v>
      </c>
      <c r="M129" s="199">
        <f>'Parameters, country spec'!L24</f>
        <v>2.6167600918431479E-2</v>
      </c>
    </row>
    <row r="130" spans="1:13" x14ac:dyDescent="0.3">
      <c r="A130" s="21" t="s">
        <v>338</v>
      </c>
      <c r="B130" s="16" t="s">
        <v>177</v>
      </c>
      <c r="C130" s="16" t="s">
        <v>334</v>
      </c>
      <c r="D130" s="22" t="s">
        <v>68</v>
      </c>
      <c r="E130" s="22" t="s">
        <v>69</v>
      </c>
      <c r="F130" s="20">
        <v>3.3757097429734602</v>
      </c>
      <c r="G130" s="39">
        <v>2.1266971380732799E-2</v>
      </c>
      <c r="H130" s="39">
        <v>1.6878548714867299E-3</v>
      </c>
      <c r="I130" s="20">
        <v>0</v>
      </c>
      <c r="J130" s="27">
        <v>1.9579116509246066E-7</v>
      </c>
      <c r="K130" s="27">
        <v>1.4441986763239777E-15</v>
      </c>
      <c r="L130" s="27">
        <v>0</v>
      </c>
      <c r="M130" s="199">
        <f>'Parameters, country spec'!L25</f>
        <v>0.30682794802396129</v>
      </c>
    </row>
    <row r="131" spans="1:13" x14ac:dyDescent="0.3">
      <c r="A131" s="21" t="s">
        <v>339</v>
      </c>
      <c r="B131" s="16" t="s">
        <v>178</v>
      </c>
      <c r="C131" s="16" t="s">
        <v>340</v>
      </c>
      <c r="D131" s="22" t="s">
        <v>68</v>
      </c>
      <c r="E131" s="22" t="s">
        <v>69</v>
      </c>
      <c r="F131" s="20">
        <v>1.6760975086486631</v>
      </c>
      <c r="G131" s="39">
        <v>1.5922926332162302E-2</v>
      </c>
      <c r="H131" s="39">
        <v>1.1732682560540643E-3</v>
      </c>
      <c r="I131" s="20">
        <v>0</v>
      </c>
      <c r="J131" s="27">
        <v>1.5755316581297433E-7</v>
      </c>
      <c r="K131" s="27">
        <v>7.1706929436656458E-16</v>
      </c>
      <c r="L131" s="27">
        <v>4.0657175166874981E-4</v>
      </c>
      <c r="M131" s="199">
        <f>'Parameters, country spec'!L26</f>
        <v>4.6178119267820264E-3</v>
      </c>
    </row>
    <row r="132" spans="1:13" x14ac:dyDescent="0.3">
      <c r="A132" s="21" t="s">
        <v>341</v>
      </c>
      <c r="B132" s="16" t="s">
        <v>179</v>
      </c>
      <c r="C132" s="16" t="s">
        <v>340</v>
      </c>
      <c r="D132" s="22" t="s">
        <v>68</v>
      </c>
      <c r="E132" s="22" t="s">
        <v>69</v>
      </c>
      <c r="F132" s="20">
        <v>1.5363343063450607</v>
      </c>
      <c r="G132" s="39">
        <v>2.350591488707943E-2</v>
      </c>
      <c r="H132" s="39">
        <v>2.150868028883085E-3</v>
      </c>
      <c r="I132" s="20">
        <v>0</v>
      </c>
      <c r="J132" s="27">
        <v>1.1368873866953449E-7</v>
      </c>
      <c r="K132" s="27">
        <v>6.5727569623929515E-16</v>
      </c>
      <c r="L132" s="27">
        <v>6.0019375778388269E-4</v>
      </c>
      <c r="M132" s="199">
        <f>'Parameters, country spec'!L27</f>
        <v>5.3104837157993301E-2</v>
      </c>
    </row>
    <row r="133" spans="1:13" x14ac:dyDescent="0.3">
      <c r="B133" s="17" t="s">
        <v>180</v>
      </c>
      <c r="C133" s="16" t="s">
        <v>342</v>
      </c>
      <c r="D133" s="22" t="s">
        <v>68</v>
      </c>
      <c r="E133" s="22" t="s">
        <v>69</v>
      </c>
      <c r="F133" s="105">
        <v>1.5363343063450607</v>
      </c>
      <c r="G133" s="106">
        <v>2.350591488707943E-2</v>
      </c>
      <c r="H133" s="106">
        <v>2.150868028883085E-3</v>
      </c>
      <c r="I133" s="105">
        <v>0</v>
      </c>
      <c r="J133" s="113">
        <v>1.1368873866953449E-7</v>
      </c>
      <c r="K133" s="113">
        <v>6.5727569623929515E-16</v>
      </c>
      <c r="L133" s="113">
        <v>6.0019375778388269E-4</v>
      </c>
      <c r="M133" s="199">
        <f>'Parameters, country spec'!L28</f>
        <v>2.7193781346605266E-2</v>
      </c>
    </row>
    <row r="134" spans="1:13" x14ac:dyDescent="0.3">
      <c r="B134" s="17" t="s">
        <v>343</v>
      </c>
      <c r="C134" s="16" t="s">
        <v>342</v>
      </c>
      <c r="D134" s="22" t="s">
        <v>68</v>
      </c>
      <c r="E134" s="22" t="s">
        <v>69</v>
      </c>
      <c r="F134" s="105">
        <v>1.5363343063450607</v>
      </c>
      <c r="G134" s="106">
        <v>2.350591488707943E-2</v>
      </c>
      <c r="H134" s="106">
        <v>2.150868028883085E-3</v>
      </c>
      <c r="I134" s="105">
        <v>0</v>
      </c>
      <c r="J134" s="113">
        <v>1.1368873866953449E-7</v>
      </c>
      <c r="K134" s="113">
        <v>8.018570399999999E-10</v>
      </c>
      <c r="L134" s="113">
        <v>6.0019375778388269E-4</v>
      </c>
      <c r="M134" s="199">
        <f>'Parameters, country spec'!L29</f>
        <v>3.5916314986082429E-2</v>
      </c>
    </row>
    <row r="135" spans="1:13" x14ac:dyDescent="0.3">
      <c r="B135" s="16" t="s">
        <v>182</v>
      </c>
      <c r="C135" s="16" t="s">
        <v>344</v>
      </c>
      <c r="D135" s="22" t="s">
        <v>68</v>
      </c>
      <c r="E135" s="22" t="s">
        <v>69</v>
      </c>
      <c r="F135" s="105"/>
      <c r="G135" s="106"/>
      <c r="H135" s="106"/>
      <c r="I135" s="105"/>
      <c r="J135" s="113"/>
      <c r="K135" s="113"/>
      <c r="L135" s="113"/>
      <c r="M135" s="199">
        <f>'Parameters, country spec'!L30</f>
        <v>0.13313408330019627</v>
      </c>
    </row>
    <row r="136" spans="1:13" x14ac:dyDescent="0.3">
      <c r="A136" s="82"/>
      <c r="B136" s="16" t="s">
        <v>345</v>
      </c>
      <c r="C136" s="83" t="s">
        <v>346</v>
      </c>
      <c r="D136" s="22" t="s">
        <v>68</v>
      </c>
      <c r="E136" s="22" t="s">
        <v>69</v>
      </c>
      <c r="F136" s="107">
        <f t="shared" ref="F136:L136" si="10">AVERAGE(F126:F134)</f>
        <v>2.3279799758707291</v>
      </c>
      <c r="G136" s="107">
        <f t="shared" si="10"/>
        <v>1.9932515675554777E-2</v>
      </c>
      <c r="H136" s="107">
        <f t="shared" si="10"/>
        <v>2.6449891098746397E-3</v>
      </c>
      <c r="I136" s="107">
        <f t="shared" si="10"/>
        <v>0</v>
      </c>
      <c r="J136" s="228">
        <f t="shared" si="10"/>
        <v>1.385717980837721E-7</v>
      </c>
      <c r="K136" s="228">
        <f t="shared" si="10"/>
        <v>8.9096149594174589E-11</v>
      </c>
      <c r="L136" s="228">
        <f t="shared" si="10"/>
        <v>4.142265395655066E-4</v>
      </c>
      <c r="M136" s="199">
        <f>'Parameters, country spec'!L31</f>
        <v>0.1236547415949409</v>
      </c>
    </row>
    <row r="137" spans="1:13" x14ac:dyDescent="0.3">
      <c r="A137" s="198"/>
      <c r="B137" s="24" t="s">
        <v>347</v>
      </c>
      <c r="C137" s="25"/>
      <c r="D137" s="101"/>
      <c r="E137" s="101"/>
      <c r="F137" s="29">
        <f>SUMPRODUCT(F126:F136,M126:M136)</f>
        <v>2.1875716423478537</v>
      </c>
      <c r="G137" s="29">
        <f>SUMPRODUCT(G126:G136,M126:M136)</f>
        <v>1.8161422178717652E-2</v>
      </c>
      <c r="H137" s="29">
        <f>SUMPRODUCT(H126:H136,M126:M136)</f>
        <v>2.1864784538934315E-3</v>
      </c>
      <c r="I137" s="29">
        <f>SUMPRODUCT(I126:I136,M126:M136)</f>
        <v>0</v>
      </c>
      <c r="J137" s="29">
        <f>SUMPRODUCT(J126:J136,M126:M136)</f>
        <v>1.2347562000710995E-7</v>
      </c>
      <c r="K137" s="29">
        <f>SUMPRODUCT(K126:K136,M126:M136)</f>
        <v>3.9817700504294268E-11</v>
      </c>
      <c r="L137" s="29">
        <f>SUMPRODUCT(L126:L136,M126:M136)</f>
        <v>2.8460640651791402E-4</v>
      </c>
      <c r="M137" s="20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27"/>
  <sheetViews>
    <sheetView zoomScale="80" zoomScaleNormal="80" workbookViewId="0">
      <selection activeCell="C22" sqref="C22"/>
    </sheetView>
  </sheetViews>
  <sheetFormatPr defaultRowHeight="14.4" x14ac:dyDescent="0.3"/>
  <cols>
    <col min="1" max="1" width="34.44140625" customWidth="1"/>
    <col min="2" max="2" width="14.6640625" customWidth="1"/>
    <col min="3" max="3" width="14.33203125" customWidth="1"/>
    <col min="4" max="4" width="14.6640625" customWidth="1"/>
    <col min="5" max="5" width="14.33203125" customWidth="1"/>
  </cols>
  <sheetData>
    <row r="2" spans="1:6" ht="21" x14ac:dyDescent="0.4">
      <c r="A2" s="2" t="s">
        <v>355</v>
      </c>
    </row>
    <row r="4" spans="1:6" x14ac:dyDescent="0.3">
      <c r="A4" s="118" t="s">
        <v>356</v>
      </c>
      <c r="B4" s="220" t="s">
        <v>357</v>
      </c>
      <c r="C4" s="220" t="s">
        <v>358</v>
      </c>
      <c r="D4" s="220" t="s">
        <v>359</v>
      </c>
      <c r="E4" s="118"/>
      <c r="F4" s="118" t="s">
        <v>186</v>
      </c>
    </row>
    <row r="5" spans="1:6" x14ac:dyDescent="0.3">
      <c r="A5" s="3" t="s">
        <v>360</v>
      </c>
      <c r="B5" s="4">
        <v>0.29001600000000005</v>
      </c>
      <c r="C5" s="34">
        <v>1.1016000000000002E-4</v>
      </c>
      <c r="D5" s="34">
        <v>1.0269360000000001E-5</v>
      </c>
      <c r="E5" s="95"/>
      <c r="F5" s="95" t="s">
        <v>361</v>
      </c>
    </row>
    <row r="6" spans="1:6" x14ac:dyDescent="0.3">
      <c r="A6" s="3" t="s">
        <v>362</v>
      </c>
      <c r="B6" s="4">
        <v>9.6299999999999997E-3</v>
      </c>
      <c r="C6" s="34">
        <v>3.6659999999999876E-5</v>
      </c>
      <c r="D6" s="34">
        <v>1.5257999999999987E-5</v>
      </c>
      <c r="E6" s="95"/>
      <c r="F6" s="95" t="s">
        <v>363</v>
      </c>
    </row>
    <row r="8" spans="1:6" x14ac:dyDescent="0.3">
      <c r="A8" s="118" t="s">
        <v>356</v>
      </c>
      <c r="B8" s="220" t="s">
        <v>364</v>
      </c>
      <c r="C8" s="220" t="s">
        <v>365</v>
      </c>
      <c r="D8" s="220" t="s">
        <v>366</v>
      </c>
      <c r="E8" s="118"/>
      <c r="F8" s="118" t="s">
        <v>186</v>
      </c>
    </row>
    <row r="9" spans="1:6" x14ac:dyDescent="0.3">
      <c r="A9" s="3" t="s">
        <v>367</v>
      </c>
      <c r="B9" s="119">
        <v>2.2999999999999998</v>
      </c>
      <c r="C9" s="120">
        <v>0</v>
      </c>
      <c r="D9" s="120">
        <v>4.3624161073825508E-3</v>
      </c>
      <c r="F9" s="125" t="s">
        <v>368</v>
      </c>
    </row>
    <row r="10" spans="1:6" x14ac:dyDescent="0.3">
      <c r="A10" s="3" t="s">
        <v>369</v>
      </c>
      <c r="B10" s="121">
        <v>4.3928213588059704</v>
      </c>
      <c r="C10" s="120">
        <v>9.8666566537313431E-3</v>
      </c>
      <c r="D10" s="120">
        <v>9.948031617910448E-3</v>
      </c>
      <c r="F10" s="126" t="s">
        <v>370</v>
      </c>
    </row>
    <row r="12" spans="1:6" x14ac:dyDescent="0.3">
      <c r="A12" s="118" t="s">
        <v>371</v>
      </c>
      <c r="B12" s="118" t="s">
        <v>114</v>
      </c>
    </row>
    <row r="13" spans="1:6" x14ac:dyDescent="0.3">
      <c r="A13" s="90" t="s">
        <v>114</v>
      </c>
      <c r="B13" s="122">
        <v>1</v>
      </c>
      <c r="C13" s="122"/>
    </row>
    <row r="14" spans="1:6" x14ac:dyDescent="0.3">
      <c r="A14" s="3" t="s">
        <v>372</v>
      </c>
      <c r="B14" s="123">
        <v>29.8</v>
      </c>
      <c r="C14" s="123"/>
    </row>
    <row r="15" spans="1:6" x14ac:dyDescent="0.3">
      <c r="A15" s="3" t="s">
        <v>116</v>
      </c>
      <c r="B15" s="122">
        <v>273</v>
      </c>
      <c r="C15" s="122"/>
    </row>
    <row r="16" spans="1:6" x14ac:dyDescent="0.3">
      <c r="A16" s="3" t="s">
        <v>373</v>
      </c>
      <c r="B16" s="124">
        <v>27</v>
      </c>
      <c r="C16" s="124"/>
    </row>
    <row r="18" spans="1:2" x14ac:dyDescent="0.3">
      <c r="A18" s="118" t="s">
        <v>25</v>
      </c>
      <c r="B18" s="118"/>
    </row>
    <row r="19" spans="1:2" x14ac:dyDescent="0.3">
      <c r="A19" s="3" t="s">
        <v>374</v>
      </c>
      <c r="B19" s="108">
        <v>0.15807556234356737</v>
      </c>
    </row>
    <row r="20" spans="1:2" x14ac:dyDescent="0.3">
      <c r="A20" s="3" t="s">
        <v>375</v>
      </c>
      <c r="B20">
        <v>1</v>
      </c>
    </row>
    <row r="22" spans="1:2" x14ac:dyDescent="0.3">
      <c r="A22" s="3" t="s">
        <v>376</v>
      </c>
      <c r="B22">
        <v>0.25</v>
      </c>
    </row>
    <row r="23" spans="1:2" x14ac:dyDescent="0.3">
      <c r="A23" s="3" t="s">
        <v>377</v>
      </c>
      <c r="B23">
        <v>1</v>
      </c>
    </row>
    <row r="24" spans="1:2" x14ac:dyDescent="0.3">
      <c r="A24" s="3" t="s">
        <v>378</v>
      </c>
      <c r="B24">
        <v>2</v>
      </c>
    </row>
    <row r="25" spans="1:2" x14ac:dyDescent="0.3">
      <c r="A25" s="3" t="s">
        <v>379</v>
      </c>
      <c r="B25">
        <v>2</v>
      </c>
    </row>
    <row r="26" spans="1:2" x14ac:dyDescent="0.3">
      <c r="A26" s="3" t="s">
        <v>380</v>
      </c>
      <c r="B26">
        <v>1</v>
      </c>
    </row>
    <row r="27" spans="1:2" x14ac:dyDescent="0.3">
      <c r="A27" s="3" t="s">
        <v>381</v>
      </c>
      <c r="B27">
        <v>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3"/>
  <sheetViews>
    <sheetView topLeftCell="D19" zoomScale="80" zoomScaleNormal="80" workbookViewId="0">
      <selection activeCell="N39" sqref="N39"/>
    </sheetView>
  </sheetViews>
  <sheetFormatPr defaultRowHeight="14.4" x14ac:dyDescent="0.3"/>
  <cols>
    <col min="1" max="1" width="7.44140625" customWidth="1"/>
    <col min="2" max="2" width="39.33203125" customWidth="1"/>
    <col min="3" max="3" width="16.44140625" customWidth="1"/>
    <col min="4" max="4" width="18.6640625" customWidth="1"/>
    <col min="5" max="5" width="27" customWidth="1"/>
    <col min="6" max="6" width="25.6640625" customWidth="1"/>
    <col min="7" max="7" width="27.44140625" customWidth="1"/>
    <col min="8" max="8" width="27.5546875" customWidth="1"/>
    <col min="9" max="9" width="16.33203125" customWidth="1"/>
    <col min="10" max="10" width="14.33203125" customWidth="1"/>
    <col min="11" max="11" width="17.44140625" customWidth="1"/>
    <col min="12" max="12" width="17" customWidth="1"/>
    <col min="13" max="13" width="15.5546875" customWidth="1"/>
    <col min="14" max="14" width="18.44140625" customWidth="1"/>
    <col min="15" max="15" width="13" customWidth="1"/>
    <col min="16" max="16" width="14.33203125" customWidth="1"/>
    <col min="17" max="17" width="21.33203125" customWidth="1"/>
    <col min="18" max="18" width="19.109375" customWidth="1"/>
  </cols>
  <sheetData>
    <row r="2" spans="1:16" ht="21" x14ac:dyDescent="0.4">
      <c r="A2" s="2" t="s">
        <v>382</v>
      </c>
      <c r="B2" s="2"/>
    </row>
    <row r="4" spans="1:16" x14ac:dyDescent="0.3">
      <c r="A4" s="130" t="s">
        <v>383</v>
      </c>
      <c r="B4" s="130"/>
      <c r="C4" s="130"/>
      <c r="D4" s="130"/>
      <c r="E4" s="130"/>
      <c r="F4" s="130"/>
      <c r="G4" s="130"/>
      <c r="H4" s="130"/>
      <c r="I4" s="130"/>
      <c r="J4" s="130"/>
      <c r="K4" s="130"/>
    </row>
    <row r="5" spans="1:16" ht="43.2" x14ac:dyDescent="0.3">
      <c r="A5" s="118"/>
      <c r="B5" s="118"/>
      <c r="C5" s="118"/>
      <c r="D5" s="118"/>
      <c r="E5" s="128" t="s">
        <v>384</v>
      </c>
      <c r="F5" s="128" t="s">
        <v>385</v>
      </c>
      <c r="G5" s="128" t="s">
        <v>386</v>
      </c>
      <c r="H5" s="128" t="s">
        <v>387</v>
      </c>
      <c r="I5" s="129"/>
      <c r="J5" s="118" t="s">
        <v>186</v>
      </c>
      <c r="K5" s="118"/>
    </row>
    <row r="6" spans="1:16" x14ac:dyDescent="0.3">
      <c r="A6" t="s">
        <v>388</v>
      </c>
      <c r="C6" t="s">
        <v>389</v>
      </c>
      <c r="D6">
        <v>2022</v>
      </c>
      <c r="E6" s="127">
        <v>4203.5193248785663</v>
      </c>
      <c r="F6" s="127">
        <v>462.03716957868528</v>
      </c>
      <c r="G6" s="127">
        <v>3740.4874259673343</v>
      </c>
      <c r="H6" s="127">
        <v>0.9947293325467399</v>
      </c>
      <c r="J6" t="s">
        <v>390</v>
      </c>
    </row>
    <row r="7" spans="1:16" x14ac:dyDescent="0.3">
      <c r="A7" t="s">
        <v>391</v>
      </c>
      <c r="C7" t="s">
        <v>389</v>
      </c>
      <c r="D7">
        <v>2022</v>
      </c>
      <c r="E7" s="127">
        <v>4272.4788227470117</v>
      </c>
      <c r="F7" s="127">
        <v>575.83377190166277</v>
      </c>
      <c r="G7" s="127">
        <v>3696.6450508453481</v>
      </c>
      <c r="H7" s="127">
        <v>0</v>
      </c>
      <c r="J7" t="s">
        <v>392</v>
      </c>
    </row>
    <row r="8" spans="1:16" x14ac:dyDescent="0.3">
      <c r="A8" t="s">
        <v>393</v>
      </c>
      <c r="C8" t="s">
        <v>389</v>
      </c>
      <c r="D8">
        <v>2022</v>
      </c>
      <c r="E8" s="127">
        <v>500.40797293699222</v>
      </c>
      <c r="F8" s="127">
        <v>385.61457832167878</v>
      </c>
      <c r="G8" s="127">
        <v>50.028453278551773</v>
      </c>
      <c r="H8" s="127">
        <v>64.764941336761694</v>
      </c>
      <c r="J8" s="104"/>
      <c r="K8" s="104"/>
      <c r="L8" s="104"/>
      <c r="M8" s="104"/>
      <c r="N8" s="104"/>
    </row>
    <row r="10" spans="1:16" x14ac:dyDescent="0.3">
      <c r="A10" t="s">
        <v>394</v>
      </c>
    </row>
    <row r="12" spans="1:16" x14ac:dyDescent="0.3">
      <c r="A12" s="135"/>
      <c r="B12" s="135"/>
      <c r="C12" s="135" t="s">
        <v>90</v>
      </c>
      <c r="D12" s="135"/>
      <c r="E12" s="135" t="s">
        <v>81</v>
      </c>
      <c r="F12" s="135" t="s">
        <v>82</v>
      </c>
      <c r="G12" s="134"/>
      <c r="H12" s="135" t="s">
        <v>83</v>
      </c>
      <c r="I12" s="131"/>
      <c r="J12" s="135" t="s">
        <v>84</v>
      </c>
      <c r="K12" s="131"/>
      <c r="L12" s="131"/>
      <c r="M12" s="131"/>
      <c r="N12" s="131"/>
      <c r="O12" s="131"/>
    </row>
    <row r="13" spans="1:16" ht="54" customHeight="1" x14ac:dyDescent="0.3">
      <c r="A13" s="137"/>
      <c r="B13" s="141" t="s">
        <v>395</v>
      </c>
      <c r="C13" s="137"/>
      <c r="D13" s="138"/>
      <c r="E13" s="138" t="s">
        <v>396</v>
      </c>
      <c r="F13" s="133" t="s">
        <v>329</v>
      </c>
      <c r="G13" s="133" t="s">
        <v>93</v>
      </c>
      <c r="H13" s="133" t="s">
        <v>330</v>
      </c>
      <c r="I13" s="133" t="s">
        <v>331</v>
      </c>
      <c r="J13" s="133" t="s">
        <v>96</v>
      </c>
      <c r="K13" s="133" t="s">
        <v>97</v>
      </c>
      <c r="L13" s="133" t="s">
        <v>98</v>
      </c>
      <c r="M13" s="133" t="s">
        <v>99</v>
      </c>
      <c r="N13" s="133"/>
      <c r="O13" s="133" t="s">
        <v>397</v>
      </c>
    </row>
    <row r="15" spans="1:16" x14ac:dyDescent="0.3">
      <c r="A15" s="21" t="s">
        <v>338</v>
      </c>
      <c r="B15" s="16" t="s">
        <v>177</v>
      </c>
      <c r="C15" t="s">
        <v>114</v>
      </c>
      <c r="E15" s="119">
        <v>0.35472897058825098</v>
      </c>
      <c r="F15" s="19">
        <v>7.3741076533864705E-2</v>
      </c>
      <c r="G15" s="16">
        <v>2.7E-2</v>
      </c>
      <c r="H15" s="16">
        <v>0.19</v>
      </c>
      <c r="I15" s="16"/>
      <c r="J15" s="19">
        <v>2.9150294054386239E-2</v>
      </c>
      <c r="K15" s="16"/>
      <c r="L15" s="16">
        <v>0</v>
      </c>
      <c r="M15" s="19">
        <v>3.4837600000000003E-2</v>
      </c>
      <c r="O15" s="11">
        <f>E15/$E$21</f>
        <v>0.58027953538955557</v>
      </c>
      <c r="P15" s="13"/>
    </row>
    <row r="16" spans="1:16" s="3" customFormat="1" x14ac:dyDescent="0.3">
      <c r="A16" s="142"/>
      <c r="B16" s="90"/>
      <c r="C16" s="3" t="s">
        <v>114</v>
      </c>
      <c r="E16" s="143" t="s">
        <v>398</v>
      </c>
      <c r="F16" s="144">
        <f t="shared" ref="F16:M16" si="0">F15/$E$15</f>
        <v>0.20788005110374566</v>
      </c>
      <c r="G16" s="144">
        <f t="shared" si="0"/>
        <v>7.6114448603466472E-2</v>
      </c>
      <c r="H16" s="144">
        <f t="shared" si="0"/>
        <v>0.5356201938762456</v>
      </c>
      <c r="I16" s="144">
        <f t="shared" si="0"/>
        <v>0</v>
      </c>
      <c r="J16" s="144">
        <f t="shared" si="0"/>
        <v>8.2176242910315403E-2</v>
      </c>
      <c r="K16" s="144">
        <f t="shared" si="0"/>
        <v>0</v>
      </c>
      <c r="L16" s="144">
        <f t="shared" si="0"/>
        <v>0</v>
      </c>
      <c r="M16" s="144">
        <f t="shared" si="0"/>
        <v>9.820906350622681E-2</v>
      </c>
      <c r="P16" s="139"/>
    </row>
    <row r="17" spans="1:18" x14ac:dyDescent="0.3">
      <c r="A17" s="78" t="s">
        <v>338</v>
      </c>
      <c r="B17" s="16" t="s">
        <v>177</v>
      </c>
      <c r="C17" s="16" t="s">
        <v>115</v>
      </c>
      <c r="E17" s="145">
        <v>2.1322851393583626E-4</v>
      </c>
      <c r="F17" s="33">
        <v>9.2769916609057948E-5</v>
      </c>
      <c r="G17" s="146">
        <v>9.5000000000000005E-5</v>
      </c>
      <c r="H17" s="16"/>
      <c r="I17" s="16"/>
      <c r="J17" s="28">
        <v>1.291259732677831E-5</v>
      </c>
      <c r="K17" s="28"/>
      <c r="L17" s="28">
        <v>0</v>
      </c>
      <c r="M17" s="28">
        <v>1.2546000000000003E-5</v>
      </c>
      <c r="N17" s="16"/>
      <c r="O17" s="11">
        <f>E17*CF_GWP_CH4_fossil/$E$21</f>
        <v>1.0394464977699792E-2</v>
      </c>
      <c r="P17" s="16"/>
    </row>
    <row r="18" spans="1:18" x14ac:dyDescent="0.3">
      <c r="C18" s="90" t="s">
        <v>115</v>
      </c>
      <c r="E18" s="143" t="s">
        <v>398</v>
      </c>
      <c r="F18" s="144">
        <f t="shared" ref="F18:M18" si="1">F17/$E$17</f>
        <v>0.43507275315427019</v>
      </c>
      <c r="G18" s="144">
        <f t="shared" si="1"/>
        <v>0.44553140781437406</v>
      </c>
      <c r="H18" s="144">
        <f t="shared" si="1"/>
        <v>0</v>
      </c>
      <c r="I18" s="144">
        <f t="shared" si="1"/>
        <v>0</v>
      </c>
      <c r="J18" s="144">
        <f t="shared" si="1"/>
        <v>6.0557554374101721E-2</v>
      </c>
      <c r="K18" s="144">
        <f t="shared" si="1"/>
        <v>0</v>
      </c>
      <c r="L18" s="144">
        <f t="shared" si="1"/>
        <v>0</v>
      </c>
      <c r="M18" s="144">
        <f t="shared" si="1"/>
        <v>5.8838284657254082E-2</v>
      </c>
      <c r="N18" s="16"/>
      <c r="O18" s="28"/>
      <c r="P18" s="16"/>
    </row>
    <row r="19" spans="1:18" x14ac:dyDescent="0.3">
      <c r="A19" s="78" t="s">
        <v>338</v>
      </c>
      <c r="B19" s="16" t="s">
        <v>177</v>
      </c>
      <c r="C19" s="16" t="s">
        <v>116</v>
      </c>
      <c r="E19" s="145">
        <v>9.1657094895803305E-4</v>
      </c>
      <c r="F19" s="33">
        <v>1.5506058283512638E-4</v>
      </c>
      <c r="G19" s="146">
        <v>1.1000000000000001E-6</v>
      </c>
      <c r="H19" s="28">
        <v>6.8950683668766316E-4</v>
      </c>
      <c r="I19" s="28">
        <v>6.8950683668766316E-5</v>
      </c>
      <c r="J19" s="28">
        <v>7.832797664771855E-7</v>
      </c>
      <c r="K19" s="28"/>
      <c r="L19" s="28">
        <v>0</v>
      </c>
      <c r="M19" s="28">
        <v>1.1695660000000001E-6</v>
      </c>
      <c r="N19" s="16"/>
      <c r="O19" s="11">
        <f>E19*CF_GWP_N2O/$E$21</f>
        <v>0.40932599963274457</v>
      </c>
      <c r="P19" s="16"/>
    </row>
    <row r="20" spans="1:18" x14ac:dyDescent="0.3">
      <c r="A20" s="78"/>
      <c r="B20" s="16"/>
      <c r="C20" s="90" t="s">
        <v>116</v>
      </c>
      <c r="E20" s="143" t="s">
        <v>398</v>
      </c>
      <c r="F20" s="144">
        <f t="shared" ref="F20:M20" si="2">F19/$E$19</f>
        <v>0.16917466455968388</v>
      </c>
      <c r="G20" s="144">
        <f t="shared" si="2"/>
        <v>1.2001253162676505E-3</v>
      </c>
      <c r="H20" s="144">
        <f t="shared" si="2"/>
        <v>0.75226782768044453</v>
      </c>
      <c r="I20" s="144">
        <f t="shared" si="2"/>
        <v>7.5226782768044453E-2</v>
      </c>
      <c r="J20" s="144">
        <f t="shared" si="2"/>
        <v>8.5457625224498522E-4</v>
      </c>
      <c r="K20" s="144">
        <f t="shared" si="2"/>
        <v>0</v>
      </c>
      <c r="L20" s="144">
        <f t="shared" si="2"/>
        <v>0</v>
      </c>
      <c r="M20" s="144">
        <f t="shared" si="2"/>
        <v>1.2760234233144465E-3</v>
      </c>
      <c r="N20" s="16"/>
      <c r="O20" s="100"/>
      <c r="P20" s="16"/>
    </row>
    <row r="21" spans="1:18" x14ac:dyDescent="0.3">
      <c r="A21" s="149"/>
      <c r="B21" s="150"/>
      <c r="C21" s="151" t="s">
        <v>117</v>
      </c>
      <c r="D21" s="150"/>
      <c r="E21" s="152">
        <f>E15+E17*CF_GWP_CH4_fossil+E19*CF_GWP_N2O</f>
        <v>0.61130704936908198</v>
      </c>
      <c r="F21" s="153"/>
      <c r="G21" s="153"/>
      <c r="H21" s="153"/>
      <c r="I21" s="153"/>
      <c r="J21" s="153"/>
      <c r="K21" s="153"/>
      <c r="L21" s="153"/>
      <c r="M21" s="153"/>
      <c r="N21" s="153"/>
      <c r="O21" s="153"/>
      <c r="P21" s="16"/>
    </row>
    <row r="22" spans="1:18" x14ac:dyDescent="0.3">
      <c r="A22" s="21" t="s">
        <v>339</v>
      </c>
      <c r="B22" s="16" t="s">
        <v>178</v>
      </c>
      <c r="C22" s="16" t="s">
        <v>114</v>
      </c>
      <c r="E22" s="119">
        <v>0.43885153790044362</v>
      </c>
      <c r="F22" s="19">
        <v>0</v>
      </c>
      <c r="G22" s="16">
        <v>2.7E-2</v>
      </c>
      <c r="H22" s="18">
        <v>0.32</v>
      </c>
      <c r="I22" s="16"/>
      <c r="J22" s="19">
        <v>5.7013937900443575E-2</v>
      </c>
      <c r="K22" s="18"/>
      <c r="L22" s="16">
        <v>0</v>
      </c>
      <c r="M22" s="19">
        <v>3.4837600000000003E-2</v>
      </c>
      <c r="N22" s="16"/>
      <c r="O22" s="11">
        <f>E22/$E$28</f>
        <v>0.8789791795386892</v>
      </c>
      <c r="P22" s="16"/>
    </row>
    <row r="23" spans="1:18" s="3" customFormat="1" x14ac:dyDescent="0.3">
      <c r="C23" s="90" t="s">
        <v>114</v>
      </c>
      <c r="E23" s="143" t="s">
        <v>398</v>
      </c>
      <c r="F23" s="144">
        <f t="shared" ref="F23:M23" si="3">F22/$E$22</f>
        <v>0</v>
      </c>
      <c r="G23" s="144">
        <f t="shared" si="3"/>
        <v>6.1524223269613168E-2</v>
      </c>
      <c r="H23" s="144">
        <f t="shared" si="3"/>
        <v>0.72917597949171165</v>
      </c>
      <c r="I23" s="144">
        <f t="shared" si="3"/>
        <v>0</v>
      </c>
      <c r="J23" s="144">
        <f t="shared" si="3"/>
        <v>0.12991623129136115</v>
      </c>
      <c r="K23" s="144">
        <f t="shared" si="3"/>
        <v>0</v>
      </c>
      <c r="L23" s="144">
        <f t="shared" si="3"/>
        <v>0</v>
      </c>
      <c r="M23" s="144">
        <f t="shared" si="3"/>
        <v>7.9383565947313925E-2</v>
      </c>
      <c r="N23" s="90"/>
      <c r="P23" s="90"/>
    </row>
    <row r="24" spans="1:18" x14ac:dyDescent="0.3">
      <c r="A24" s="78" t="s">
        <v>339</v>
      </c>
      <c r="B24" s="16" t="s">
        <v>178</v>
      </c>
      <c r="C24" s="16" t="s">
        <v>115</v>
      </c>
      <c r="E24" s="145">
        <v>1.3280125199673234E-4</v>
      </c>
      <c r="F24" s="33">
        <v>0</v>
      </c>
      <c r="G24" s="146">
        <v>9.5000000000000005E-5</v>
      </c>
      <c r="H24" s="18"/>
      <c r="I24" s="16"/>
      <c r="J24" s="28">
        <v>2.5255251996732317E-5</v>
      </c>
      <c r="K24" s="28"/>
      <c r="L24" s="28">
        <v>0</v>
      </c>
      <c r="M24" s="28">
        <v>1.2546000000000003E-5</v>
      </c>
      <c r="N24" s="16"/>
      <c r="O24" s="11">
        <f>E24*CF_GWP_CH4_fossil/$E$28</f>
        <v>7.9264622728489244E-3</v>
      </c>
      <c r="P24" s="16"/>
    </row>
    <row r="25" spans="1:18" x14ac:dyDescent="0.3">
      <c r="C25" s="90" t="s">
        <v>115</v>
      </c>
      <c r="E25" s="143" t="s">
        <v>398</v>
      </c>
      <c r="F25" s="144">
        <f t="shared" ref="F25:M25" si="4">F24/$E$24</f>
        <v>0</v>
      </c>
      <c r="G25" s="144">
        <f t="shared" si="4"/>
        <v>0.71535470164345694</v>
      </c>
      <c r="H25" s="144">
        <f t="shared" si="4"/>
        <v>0</v>
      </c>
      <c r="I25" s="144">
        <f t="shared" si="4"/>
        <v>0</v>
      </c>
      <c r="J25" s="144">
        <f t="shared" si="4"/>
        <v>0.1901732974426607</v>
      </c>
      <c r="K25" s="144">
        <f t="shared" si="4"/>
        <v>0</v>
      </c>
      <c r="L25" s="144">
        <f t="shared" si="4"/>
        <v>0</v>
      </c>
      <c r="M25" s="144">
        <f t="shared" si="4"/>
        <v>9.4472000913882248E-2</v>
      </c>
      <c r="N25" s="16"/>
      <c r="O25" s="28"/>
      <c r="P25" s="16"/>
    </row>
    <row r="26" spans="1:18" x14ac:dyDescent="0.3">
      <c r="A26" s="78" t="s">
        <v>339</v>
      </c>
      <c r="B26" s="16" t="s">
        <v>178</v>
      </c>
      <c r="C26" s="16" t="s">
        <v>116</v>
      </c>
      <c r="E26" s="145">
        <v>2.0683180874021213E-4</v>
      </c>
      <c r="F26" s="33">
        <v>0</v>
      </c>
      <c r="G26" s="146">
        <v>1.1000000000000001E-6</v>
      </c>
      <c r="H26" s="28">
        <v>1.8457296000000002E-4</v>
      </c>
      <c r="I26" s="28">
        <v>1.8457296000000003E-5</v>
      </c>
      <c r="J26" s="28">
        <v>1.5319867402121297E-6</v>
      </c>
      <c r="K26" s="28"/>
      <c r="L26" s="28">
        <v>0</v>
      </c>
      <c r="M26" s="28">
        <v>1.1695660000000001E-6</v>
      </c>
      <c r="N26" s="16"/>
      <c r="O26" s="11">
        <f>E26*CF_GWP_N2O/$E$28</f>
        <v>0.11309435818846184</v>
      </c>
      <c r="P26" s="16"/>
    </row>
    <row r="27" spans="1:18" x14ac:dyDescent="0.3">
      <c r="C27" s="90" t="s">
        <v>116</v>
      </c>
      <c r="E27" s="143" t="s">
        <v>398</v>
      </c>
      <c r="F27" s="144">
        <f t="shared" ref="F27:M27" si="5">F26/$E$26</f>
        <v>0</v>
      </c>
      <c r="G27" s="144">
        <f t="shared" si="5"/>
        <v>5.31833090229191E-3</v>
      </c>
      <c r="H27" s="144">
        <f t="shared" si="5"/>
        <v>0.89238188808680785</v>
      </c>
      <c r="I27" s="144">
        <f t="shared" si="5"/>
        <v>8.9238188808680785E-2</v>
      </c>
      <c r="J27" s="144">
        <f t="shared" si="5"/>
        <v>7.4069203839741971E-3</v>
      </c>
      <c r="K27" s="144">
        <f t="shared" si="5"/>
        <v>0</v>
      </c>
      <c r="L27" s="144">
        <f t="shared" si="5"/>
        <v>0</v>
      </c>
      <c r="M27" s="144">
        <f t="shared" si="5"/>
        <v>5.6546718182454003E-3</v>
      </c>
      <c r="N27" s="16"/>
      <c r="O27" s="16"/>
      <c r="P27" s="16"/>
    </row>
    <row r="28" spans="1:18" x14ac:dyDescent="0.3">
      <c r="A28" s="149"/>
      <c r="B28" s="150"/>
      <c r="C28" s="151" t="s">
        <v>117</v>
      </c>
      <c r="D28" s="150"/>
      <c r="E28" s="152">
        <f>E22+E24*CF_GWP_CH4_fossil+E26*CF_GWP_N2O</f>
        <v>0.49927409899602415</v>
      </c>
      <c r="F28" s="153"/>
      <c r="G28" s="153"/>
      <c r="H28" s="153"/>
      <c r="I28" s="153"/>
      <c r="J28" s="153"/>
      <c r="K28" s="153"/>
      <c r="L28" s="153"/>
      <c r="M28" s="153"/>
      <c r="N28" s="153"/>
      <c r="O28" s="153"/>
      <c r="P28" s="16"/>
    </row>
    <row r="29" spans="1:18" x14ac:dyDescent="0.3">
      <c r="C29" s="16"/>
      <c r="E29" s="16"/>
      <c r="F29" s="16"/>
      <c r="G29" s="16"/>
      <c r="H29" s="16"/>
      <c r="I29" s="16"/>
      <c r="J29" s="16"/>
      <c r="K29" s="16"/>
      <c r="L29" s="16"/>
      <c r="M29" s="16"/>
      <c r="N29" s="16"/>
    </row>
    <row r="30" spans="1:18" ht="21" x14ac:dyDescent="0.4">
      <c r="A30" s="147" t="s">
        <v>399</v>
      </c>
    </row>
    <row r="31" spans="1:18" x14ac:dyDescent="0.3">
      <c r="C31" s="16"/>
      <c r="E31" s="16"/>
      <c r="F31" s="16"/>
      <c r="G31" s="16"/>
      <c r="H31" s="16"/>
      <c r="I31" s="16"/>
      <c r="J31" s="16"/>
      <c r="K31" s="16"/>
      <c r="L31" s="16"/>
      <c r="M31" s="16"/>
      <c r="N31" s="16"/>
    </row>
    <row r="32" spans="1:18" x14ac:dyDescent="0.3">
      <c r="A32" s="135"/>
      <c r="B32" s="135"/>
      <c r="C32" s="135" t="s">
        <v>90</v>
      </c>
      <c r="D32" s="135" t="s">
        <v>81</v>
      </c>
      <c r="E32" s="135" t="s">
        <v>81</v>
      </c>
      <c r="F32" s="135" t="s">
        <v>82</v>
      </c>
      <c r="G32" s="134"/>
      <c r="H32" s="135" t="s">
        <v>83</v>
      </c>
      <c r="I32" s="131"/>
      <c r="J32" s="135" t="s">
        <v>84</v>
      </c>
      <c r="K32" s="131"/>
      <c r="L32" s="131"/>
      <c r="M32" s="131"/>
      <c r="N32" s="132"/>
      <c r="O32" s="136"/>
      <c r="Q32" s="136"/>
      <c r="R32" s="136"/>
    </row>
    <row r="33" spans="1:18" ht="58.5" customHeight="1" x14ac:dyDescent="0.3">
      <c r="A33" s="137"/>
      <c r="B33" s="141"/>
      <c r="C33" s="137"/>
      <c r="D33" s="138" t="s">
        <v>400</v>
      </c>
      <c r="E33" s="137"/>
      <c r="F33" s="133" t="s">
        <v>329</v>
      </c>
      <c r="G33" s="133" t="s">
        <v>93</v>
      </c>
      <c r="H33" s="133" t="s">
        <v>330</v>
      </c>
      <c r="I33" s="133" t="s">
        <v>331</v>
      </c>
      <c r="J33" s="133" t="s">
        <v>96</v>
      </c>
      <c r="K33" s="133" t="s">
        <v>97</v>
      </c>
      <c r="L33" s="133" t="s">
        <v>98</v>
      </c>
      <c r="M33" s="133" t="s">
        <v>99</v>
      </c>
      <c r="N33" s="133" t="s">
        <v>100</v>
      </c>
      <c r="O33" s="138" t="s">
        <v>332</v>
      </c>
      <c r="Q33" s="138" t="s">
        <v>401</v>
      </c>
      <c r="R33" s="138" t="s">
        <v>402</v>
      </c>
    </row>
    <row r="34" spans="1:18" x14ac:dyDescent="0.3">
      <c r="B34" s="17" t="s">
        <v>180</v>
      </c>
      <c r="C34" s="155" t="s">
        <v>114</v>
      </c>
      <c r="D34" s="156">
        <f>E34+SUM(N34:O34)</f>
        <v>0.28696424834794315</v>
      </c>
      <c r="E34" s="157">
        <f>F8/1000*O15</f>
        <v>0.22376424834794315</v>
      </c>
      <c r="F34" s="158">
        <f t="shared" ref="F34:M34" si="6">$E$34*F16</f>
        <v>4.6516123381761657E-2</v>
      </c>
      <c r="G34" s="158">
        <f t="shared" si="6"/>
        <v>1.7031692380172825E-2</v>
      </c>
      <c r="H34" s="158">
        <f t="shared" si="6"/>
        <v>0.11985265008269767</v>
      </c>
      <c r="I34" s="158">
        <f t="shared" si="6"/>
        <v>0</v>
      </c>
      <c r="J34" s="158">
        <f t="shared" si="6"/>
        <v>1.8388105226884718E-2</v>
      </c>
      <c r="K34" s="158">
        <f t="shared" si="6"/>
        <v>0</v>
      </c>
      <c r="L34" s="158">
        <f t="shared" si="6"/>
        <v>0</v>
      </c>
      <c r="M34" s="158">
        <f t="shared" si="6"/>
        <v>2.1975677276426256E-2</v>
      </c>
      <c r="N34" s="157"/>
      <c r="O34" s="140">
        <v>6.3200000000000006E-2</v>
      </c>
      <c r="R34" t="s">
        <v>403</v>
      </c>
    </row>
    <row r="35" spans="1:18" x14ac:dyDescent="0.3">
      <c r="A35" s="117"/>
      <c r="C35" t="s">
        <v>404</v>
      </c>
      <c r="E35" s="108">
        <f>F8/1000*O17</f>
        <v>4.0082572292551638E-3</v>
      </c>
      <c r="F35" s="154">
        <f t="shared" ref="F35:M35" si="7">$E$35*F17</f>
        <v>3.7184568890565521E-7</v>
      </c>
      <c r="G35" s="154">
        <f t="shared" si="7"/>
        <v>3.8078443677924056E-7</v>
      </c>
      <c r="H35" s="154">
        <f t="shared" si="7"/>
        <v>0</v>
      </c>
      <c r="I35" s="154">
        <f t="shared" si="7"/>
        <v>0</v>
      </c>
      <c r="J35" s="154">
        <f t="shared" si="7"/>
        <v>5.1757011583520063E-8</v>
      </c>
      <c r="K35" s="154">
        <f t="shared" si="7"/>
        <v>0</v>
      </c>
      <c r="L35" s="154">
        <f t="shared" si="7"/>
        <v>0</v>
      </c>
      <c r="M35" s="154">
        <f t="shared" si="7"/>
        <v>5.0287595198235296E-8</v>
      </c>
      <c r="N35" s="11"/>
    </row>
    <row r="36" spans="1:18" x14ac:dyDescent="0.3">
      <c r="A36" s="117"/>
      <c r="C36" s="140" t="s">
        <v>405</v>
      </c>
      <c r="D36" s="156">
        <f>E36+SUM(N36:O36)</f>
        <v>8.8724332534062934E-5</v>
      </c>
      <c r="E36" s="159">
        <f>SUM(F36:M36)</f>
        <v>2.868036014988762E-8</v>
      </c>
      <c r="F36" s="160">
        <f t="shared" ref="F36:M36" si="8">F35/CF_GWP_CH4_fossil</f>
        <v>1.2478043251867624E-8</v>
      </c>
      <c r="G36" s="160">
        <f t="shared" si="8"/>
        <v>1.2778001234202703E-8</v>
      </c>
      <c r="H36" s="160">
        <f t="shared" si="8"/>
        <v>0</v>
      </c>
      <c r="I36" s="160">
        <f t="shared" si="8"/>
        <v>0</v>
      </c>
      <c r="J36" s="160">
        <f t="shared" si="8"/>
        <v>1.7368124692456396E-9</v>
      </c>
      <c r="K36" s="160">
        <f t="shared" si="8"/>
        <v>0</v>
      </c>
      <c r="L36" s="160">
        <f t="shared" si="8"/>
        <v>0</v>
      </c>
      <c r="M36" s="160">
        <f t="shared" si="8"/>
        <v>1.6875031945716541E-9</v>
      </c>
      <c r="N36" s="156"/>
      <c r="O36" s="140">
        <f>0.00204/23</f>
        <v>8.8695652173913049E-5</v>
      </c>
      <c r="R36" t="s">
        <v>406</v>
      </c>
    </row>
    <row r="37" spans="1:18" x14ac:dyDescent="0.3">
      <c r="C37" t="s">
        <v>407</v>
      </c>
      <c r="E37" s="11">
        <f>F8/1000*O19</f>
        <v>0.15784207274448045</v>
      </c>
      <c r="F37" s="19">
        <f t="shared" ref="F37:M37" si="9">$E$37*F18</f>
        <v>6.8672785152517707E-2</v>
      </c>
      <c r="G37" s="19">
        <f t="shared" si="9"/>
        <v>7.0323600882187212E-2</v>
      </c>
      <c r="H37" s="19">
        <f t="shared" si="9"/>
        <v>0</v>
      </c>
      <c r="I37" s="19">
        <f t="shared" si="9"/>
        <v>0</v>
      </c>
      <c r="J37" s="19">
        <f t="shared" si="9"/>
        <v>9.5585299027447935E-3</v>
      </c>
      <c r="K37" s="19">
        <f t="shared" si="9"/>
        <v>0</v>
      </c>
      <c r="L37" s="19">
        <f t="shared" si="9"/>
        <v>0</v>
      </c>
      <c r="M37" s="19">
        <f t="shared" si="9"/>
        <v>9.2871568070307473E-3</v>
      </c>
      <c r="N37" s="11"/>
    </row>
    <row r="38" spans="1:18" x14ac:dyDescent="0.3">
      <c r="C38" s="140" t="s">
        <v>116</v>
      </c>
      <c r="D38" s="156">
        <f>E38+SUM(N38:O38)</f>
        <v>5.8000379334182534E-4</v>
      </c>
      <c r="E38" s="161">
        <f>SUM(F38:M38)</f>
        <v>5.7817609063912263E-4</v>
      </c>
      <c r="F38" s="161">
        <f t="shared" ref="F38:M38" si="10">F37/CF_GWP_N2O</f>
        <v>2.5154866356233592E-4</v>
      </c>
      <c r="G38" s="161">
        <f t="shared" si="10"/>
        <v>2.575956076270594E-4</v>
      </c>
      <c r="H38" s="161">
        <f t="shared" si="10"/>
        <v>0</v>
      </c>
      <c r="I38" s="161">
        <f t="shared" si="10"/>
        <v>0</v>
      </c>
      <c r="J38" s="161">
        <f t="shared" si="10"/>
        <v>3.5012930046684228E-5</v>
      </c>
      <c r="K38" s="161">
        <f t="shared" si="10"/>
        <v>0</v>
      </c>
      <c r="L38" s="161">
        <f t="shared" si="10"/>
        <v>0</v>
      </c>
      <c r="M38" s="161">
        <f t="shared" si="10"/>
        <v>3.4018889403043034E-5</v>
      </c>
      <c r="N38" s="156"/>
      <c r="O38" s="140">
        <f>0.000541/296</f>
        <v>1.8277027027027027E-6</v>
      </c>
      <c r="R38" t="s">
        <v>406</v>
      </c>
    </row>
    <row r="39" spans="1:18" x14ac:dyDescent="0.3">
      <c r="A39" s="162"/>
      <c r="B39" s="163" t="s">
        <v>343</v>
      </c>
      <c r="C39" s="164" t="s">
        <v>114</v>
      </c>
      <c r="D39" s="165">
        <f>E39+SUM(N39:O39)</f>
        <v>1.1071334743047216</v>
      </c>
      <c r="E39" s="166">
        <f>AVERAGE(F6:F7)*O22/1000</f>
        <v>0.45613347430472156</v>
      </c>
      <c r="F39" s="167">
        <f t="shared" ref="F39:M39" si="11">$E$39*F23</f>
        <v>0</v>
      </c>
      <c r="G39" s="167">
        <f t="shared" si="11"/>
        <v>2.8063257713868049E-2</v>
      </c>
      <c r="H39" s="167">
        <f t="shared" si="11"/>
        <v>0.33260157290510284</v>
      </c>
      <c r="I39" s="167">
        <f t="shared" si="11"/>
        <v>0</v>
      </c>
      <c r="J39" s="167">
        <f t="shared" si="11"/>
        <v>5.9259141947504347E-2</v>
      </c>
      <c r="K39" s="167">
        <f t="shared" si="11"/>
        <v>0</v>
      </c>
      <c r="L39" s="167">
        <f t="shared" si="11"/>
        <v>0</v>
      </c>
      <c r="M39" s="167">
        <f t="shared" si="11"/>
        <v>3.6209501738246289E-2</v>
      </c>
      <c r="N39" s="165">
        <v>0.4</v>
      </c>
      <c r="O39" s="168">
        <v>0.251</v>
      </c>
      <c r="Q39" s="169" t="s">
        <v>408</v>
      </c>
      <c r="R39" t="s">
        <v>403</v>
      </c>
    </row>
    <row r="40" spans="1:18" x14ac:dyDescent="0.3">
      <c r="C40" t="s">
        <v>404</v>
      </c>
      <c r="E40" s="48">
        <f>AVERAGE(F6:F7)*O24/1000</f>
        <v>4.1133224308650858E-3</v>
      </c>
      <c r="F40" s="48">
        <f t="shared" ref="F40:M40" si="12">$E$40*F25</f>
        <v>0</v>
      </c>
      <c r="G40" s="48">
        <f t="shared" si="12"/>
        <v>2.9424845402948323E-3</v>
      </c>
      <c r="H40" s="48">
        <f t="shared" si="12"/>
        <v>0</v>
      </c>
      <c r="I40" s="48">
        <f t="shared" si="12"/>
        <v>0</v>
      </c>
      <c r="J40" s="48">
        <f t="shared" si="12"/>
        <v>7.8224409012247413E-4</v>
      </c>
      <c r="K40" s="48">
        <f t="shared" si="12"/>
        <v>0</v>
      </c>
      <c r="L40" s="48">
        <f t="shared" si="12"/>
        <v>0</v>
      </c>
      <c r="M40" s="48">
        <f t="shared" si="12"/>
        <v>3.8859380044777871E-4</v>
      </c>
    </row>
    <row r="41" spans="1:18" x14ac:dyDescent="0.3">
      <c r="C41" s="140" t="s">
        <v>405</v>
      </c>
      <c r="D41" s="156">
        <f>E41+SUM(N41:O41)</f>
        <v>2.1138030954055875E-2</v>
      </c>
      <c r="E41" s="159">
        <f>SUM(F41:M41)</f>
        <v>1.3803095405587535E-4</v>
      </c>
      <c r="F41" s="159">
        <f t="shared" ref="F41:M41" si="13">F40/CF_GWP_CH4_fossil</f>
        <v>0</v>
      </c>
      <c r="G41" s="159">
        <f t="shared" si="13"/>
        <v>9.8741091956202427E-5</v>
      </c>
      <c r="H41" s="159">
        <f t="shared" si="13"/>
        <v>0</v>
      </c>
      <c r="I41" s="159">
        <f t="shared" si="13"/>
        <v>0</v>
      </c>
      <c r="J41" s="159">
        <f t="shared" si="13"/>
        <v>2.6249801681962218E-5</v>
      </c>
      <c r="K41" s="159">
        <f t="shared" si="13"/>
        <v>0</v>
      </c>
      <c r="L41" s="159">
        <f t="shared" si="13"/>
        <v>0</v>
      </c>
      <c r="M41" s="159">
        <f t="shared" si="13"/>
        <v>1.3040060417710694E-5</v>
      </c>
      <c r="N41" s="140"/>
      <c r="O41" s="140">
        <f>0.483/23</f>
        <v>2.0999999999999998E-2</v>
      </c>
      <c r="R41" t="s">
        <v>406</v>
      </c>
    </row>
    <row r="42" spans="1:18" x14ac:dyDescent="0.3">
      <c r="C42" t="s">
        <v>407</v>
      </c>
      <c r="E42" s="34">
        <f>AVERAGE(F6:F7)*O26/1000</f>
        <v>5.8688674004587292E-2</v>
      </c>
      <c r="F42" s="34">
        <f t="shared" ref="F42:M42" si="14">$E$42*F27</f>
        <v>0</v>
      </c>
      <c r="G42" s="34">
        <f t="shared" si="14"/>
        <v>3.1212578857313248E-4</v>
      </c>
      <c r="H42" s="34">
        <f t="shared" si="14"/>
        <v>5.2372709717524765E-2</v>
      </c>
      <c r="I42" s="34">
        <f t="shared" si="14"/>
        <v>5.2372709717524767E-3</v>
      </c>
      <c r="J42" s="34">
        <f t="shared" si="14"/>
        <v>4.3470233579299419E-4</v>
      </c>
      <c r="K42" s="34">
        <f t="shared" si="14"/>
        <v>0</v>
      </c>
      <c r="L42" s="34">
        <f t="shared" si="14"/>
        <v>0</v>
      </c>
      <c r="M42" s="34">
        <f t="shared" si="14"/>
        <v>3.3186519094393117E-4</v>
      </c>
    </row>
    <row r="43" spans="1:18" x14ac:dyDescent="0.3">
      <c r="C43" s="140" t="s">
        <v>116</v>
      </c>
      <c r="D43" s="156">
        <f>E43+SUM(N43:O43)</f>
        <v>1.123760611639415E-3</v>
      </c>
      <c r="E43" s="159">
        <f>SUM(F43:M43)</f>
        <v>2.1497682785563116E-4</v>
      </c>
      <c r="F43" s="161">
        <f t="shared" ref="F43:M43" si="15">F42/CF_GWP_N2O</f>
        <v>0</v>
      </c>
      <c r="G43" s="161">
        <f t="shared" si="15"/>
        <v>1.1433179068612911E-6</v>
      </c>
      <c r="H43" s="161">
        <f t="shared" si="15"/>
        <v>1.9184142753672076E-4</v>
      </c>
      <c r="I43" s="161">
        <f t="shared" si="15"/>
        <v>1.9184142753672074E-5</v>
      </c>
      <c r="J43" s="161">
        <f t="shared" si="15"/>
        <v>1.592316248325986E-6</v>
      </c>
      <c r="K43" s="161">
        <f t="shared" si="15"/>
        <v>0</v>
      </c>
      <c r="L43" s="161">
        <f t="shared" si="15"/>
        <v>0</v>
      </c>
      <c r="M43" s="161">
        <f t="shared" si="15"/>
        <v>1.21562341005103E-6</v>
      </c>
      <c r="N43" s="140"/>
      <c r="O43" s="140">
        <f>0.269/296</f>
        <v>9.0878378378378389E-4</v>
      </c>
      <c r="R43" t="s">
        <v>406</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3:P32"/>
  <sheetViews>
    <sheetView topLeftCell="A19" workbookViewId="0">
      <selection activeCell="K38" sqref="K38"/>
    </sheetView>
  </sheetViews>
  <sheetFormatPr defaultRowHeight="14.4" x14ac:dyDescent="0.3"/>
  <cols>
    <col min="1" max="1" width="16.109375" customWidth="1"/>
    <col min="2" max="2" width="10.44140625" customWidth="1"/>
    <col min="3" max="3" width="14.6640625" customWidth="1"/>
    <col min="10" max="10" width="12.5546875" customWidth="1"/>
  </cols>
  <sheetData>
    <row r="3" spans="1:15" ht="21" x14ac:dyDescent="0.4">
      <c r="A3" s="2" t="s">
        <v>409</v>
      </c>
    </row>
    <row r="4" spans="1:15" x14ac:dyDescent="0.3">
      <c r="A4" s="234"/>
    </row>
    <row r="5" spans="1:15" x14ac:dyDescent="0.3">
      <c r="A5" t="s">
        <v>410</v>
      </c>
    </row>
    <row r="6" spans="1:15" x14ac:dyDescent="0.3">
      <c r="J6" t="s">
        <v>411</v>
      </c>
      <c r="M6" t="s">
        <v>412</v>
      </c>
    </row>
    <row r="7" spans="1:15" x14ac:dyDescent="0.3">
      <c r="C7" s="5"/>
    </row>
    <row r="8" spans="1:15" x14ac:dyDescent="0.3">
      <c r="B8" s="11"/>
      <c r="C8" s="5"/>
      <c r="D8" s="11"/>
      <c r="J8" t="s">
        <v>115</v>
      </c>
      <c r="K8">
        <f>0.5/0.69</f>
        <v>0.7246376811594204</v>
      </c>
      <c r="M8">
        <v>0.28000000000000003</v>
      </c>
      <c r="O8" t="s">
        <v>413</v>
      </c>
    </row>
    <row r="9" spans="1:15" x14ac:dyDescent="0.3">
      <c r="C9" s="11"/>
      <c r="J9" t="s">
        <v>414</v>
      </c>
      <c r="K9">
        <f>0.32/0.69</f>
        <v>0.46376811594202905</v>
      </c>
      <c r="M9">
        <f>0.026</f>
        <v>2.5999999999999999E-2</v>
      </c>
    </row>
    <row r="10" spans="1:15" x14ac:dyDescent="0.3">
      <c r="B10" s="11"/>
      <c r="J10" t="s">
        <v>415</v>
      </c>
      <c r="K10">
        <f>0.12/0.69</f>
        <v>0.17391304347826086</v>
      </c>
    </row>
    <row r="11" spans="1:15" x14ac:dyDescent="0.3">
      <c r="B11" s="221"/>
      <c r="C11" s="221"/>
      <c r="D11" s="221"/>
    </row>
    <row r="12" spans="1:15" x14ac:dyDescent="0.3">
      <c r="J12" t="s">
        <v>132</v>
      </c>
      <c r="K12">
        <f>SUM(K8:K10)</f>
        <v>1.3623188405797104</v>
      </c>
    </row>
    <row r="14" spans="1:15" x14ac:dyDescent="0.3">
      <c r="J14" t="s">
        <v>416</v>
      </c>
    </row>
    <row r="16" spans="1:15" x14ac:dyDescent="0.3">
      <c r="J16" t="s">
        <v>132</v>
      </c>
      <c r="K16">
        <f>1/0.69</f>
        <v>1.4492753623188408</v>
      </c>
      <c r="M16" s="7" t="s">
        <v>417</v>
      </c>
    </row>
    <row r="30" spans="10:16" x14ac:dyDescent="0.3">
      <c r="J30" t="s">
        <v>418</v>
      </c>
      <c r="N30" t="s">
        <v>419</v>
      </c>
    </row>
    <row r="32" spans="10:16" x14ac:dyDescent="0.3">
      <c r="J32" t="s">
        <v>420</v>
      </c>
      <c r="L32">
        <f>2.54/0.69</f>
        <v>3.6811594202898554</v>
      </c>
      <c r="N32">
        <v>3.85</v>
      </c>
      <c r="P32" t="s">
        <v>421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2:A4"/>
  <sheetViews>
    <sheetView workbookViewId="0">
      <selection activeCell="N10" sqref="N10"/>
    </sheetView>
  </sheetViews>
  <sheetFormatPr defaultRowHeight="14.4" x14ac:dyDescent="0.3"/>
  <sheetData>
    <row r="2" spans="1:1" ht="21" x14ac:dyDescent="0.4">
      <c r="A2" s="2" t="s">
        <v>422</v>
      </c>
    </row>
    <row r="4" spans="1:1" x14ac:dyDescent="0.3">
      <c r="A4" t="s">
        <v>423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AA8BD2-4DFD-46C4-AB5A-9922D802D0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302</vt:i4>
      </vt:variant>
    </vt:vector>
  </HeadingPairs>
  <TitlesOfParts>
    <vt:vector size="316" baseType="lpstr">
      <vt:lpstr>README</vt:lpstr>
      <vt:lpstr>Footprints, results per kg</vt:lpstr>
      <vt:lpstr>GHG detailed, results per kg</vt:lpstr>
      <vt:lpstr>Production</vt:lpstr>
      <vt:lpstr>Parameters, country spec</vt:lpstr>
      <vt:lpstr>Manure</vt:lpstr>
      <vt:lpstr>CO2 per kg feed</vt:lpstr>
      <vt:lpstr>CH4 per kg feed</vt:lpstr>
      <vt:lpstr>N2O per kg feed</vt:lpstr>
      <vt:lpstr>EFP per kg feed</vt:lpstr>
      <vt:lpstr>Parameters, general</vt:lpstr>
      <vt:lpstr>Processed feed</vt:lpstr>
      <vt:lpstr>Verification</vt:lpstr>
      <vt:lpstr>References</vt:lpstr>
      <vt:lpstr>Ability_to_perceive_handling</vt:lpstr>
      <vt:lpstr>Boars_per_sow</vt:lpstr>
      <vt:lpstr>Bonefree_outof_CW_DE</vt:lpstr>
      <vt:lpstr>Bonefree_outof_CW_DK</vt:lpstr>
      <vt:lpstr>Bonefree_outof_CW_ES</vt:lpstr>
      <vt:lpstr>Bonefree_outof_CW_FR</vt:lpstr>
      <vt:lpstr>Bonefree_outof_CW_GR</vt:lpstr>
      <vt:lpstr>Bonefree_outof_CW_HU</vt:lpstr>
      <vt:lpstr>Bonefree_outof_CW_IE</vt:lpstr>
      <vt:lpstr>Bonefree_outof_CW_IT</vt:lpstr>
      <vt:lpstr>Bonefree_outof_CW_NL</vt:lpstr>
      <vt:lpstr>Bonefree_outof_CW_PL</vt:lpstr>
      <vt:lpstr>Bonefree_outof_CW_SE</vt:lpstr>
      <vt:lpstr>CF_GWP_CH4_fossil</vt:lpstr>
      <vt:lpstr>CF_GWP_N2O</vt:lpstr>
      <vt:lpstr>EF_biofuel_CH4</vt:lpstr>
      <vt:lpstr>EF_biofuel_N2O</vt:lpstr>
      <vt:lpstr>EF_biofuels_CO2</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EF_ent_ferm_DE</vt:lpstr>
      <vt:lpstr>EF_ent_ferm_DK</vt:lpstr>
      <vt:lpstr>EF_ent_ferm_ES</vt:lpstr>
      <vt:lpstr>EF_ent_ferm_FR</vt:lpstr>
      <vt:lpstr>EF_ent_ferm_GR</vt:lpstr>
      <vt:lpstr>EF_ent_ferm_HU</vt:lpstr>
      <vt:lpstr>EF_ent_ferm_IE</vt:lpstr>
      <vt:lpstr>EF_ent_ferm_IT</vt:lpstr>
      <vt:lpstr>EF_ent_ferm_NL</vt:lpstr>
      <vt:lpstr>EF_ent_ferm_PL</vt:lpstr>
      <vt:lpstr>EF_ent_ferm_SE</vt:lpstr>
      <vt:lpstr>EF_GWP_CH4_biog</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Energy_stables_DE</vt:lpstr>
      <vt:lpstr>Energy_stables_DK</vt:lpstr>
      <vt:lpstr>Energy_stables_ES</vt:lpstr>
      <vt:lpstr>Energy_stables_FR</vt:lpstr>
      <vt:lpstr>Energy_stables_GR</vt:lpstr>
      <vt:lpstr>Energy_stables_HU</vt:lpstr>
      <vt:lpstr>Energy_stables_IE</vt:lpstr>
      <vt:lpstr>Energy_stables_IT</vt:lpstr>
      <vt:lpstr>Energy_stables_NL</vt:lpstr>
      <vt:lpstr>Energy_stables_PL</vt:lpstr>
      <vt:lpstr>Energy_stables_SE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FCR_bonefree_incl_parents_DE</vt:lpstr>
      <vt:lpstr>FCR_bonefree_incl_parents_DK</vt:lpstr>
      <vt:lpstr>FCR_bonefree_incl_parents_ES</vt:lpstr>
      <vt:lpstr>FCR_bonefree_incl_parents_FR</vt:lpstr>
      <vt:lpstr>FCR_bonefree_incl_parents_GR</vt:lpstr>
      <vt:lpstr>FCR_bonefree_incl_parents_HU</vt:lpstr>
      <vt:lpstr>FCR_bonefree_incl_parents_IE</vt:lpstr>
      <vt:lpstr>FCR_bonefree_incl_parents_IT</vt:lpstr>
      <vt:lpstr>FCR_bonefree_incl_parents_NL</vt:lpstr>
      <vt:lpstr>FCR_bonefree_incl_parents_PL</vt:lpstr>
      <vt:lpstr>FCR_bonefree_incl_parents_SE</vt:lpstr>
      <vt:lpstr>Frac_AN_DE</vt:lpstr>
      <vt:lpstr>Frac_AN_DK</vt:lpstr>
      <vt:lpstr>Frac_AN_ES</vt:lpstr>
      <vt:lpstr>Frac_AN_FR</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Frac_BAT_GR</vt:lpstr>
      <vt:lpstr>Frac_BAT_HU</vt:lpstr>
      <vt:lpstr>Frac_BAT_IE</vt:lpstr>
      <vt:lpstr>Frac_BAT_IT</vt:lpstr>
      <vt:lpstr>Frac_BAT_NL</vt:lpstr>
      <vt:lpstr>Frac_BAT_PL</vt:lpstr>
      <vt:lpstr>Frac_BAT_SE</vt:lpstr>
      <vt:lpstr>GRAT</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NH3_per_kg_DE</vt:lpstr>
      <vt:lpstr>NH3_per_kg_DK</vt:lpstr>
      <vt:lpstr>NH3_per_kg_ES</vt:lpstr>
      <vt:lpstr>NH3_per_kg_FR</vt:lpstr>
      <vt:lpstr>NH3_per_kg_GR</vt:lpstr>
      <vt:lpstr>NH3_per_kg_HU</vt:lpstr>
      <vt:lpstr>NH3_per_kg_IE</vt:lpstr>
      <vt:lpstr>NH3_per_kg_IT</vt:lpstr>
      <vt:lpstr>NH3_per_kg_NL</vt:lpstr>
      <vt:lpstr>NH3_per_kg_PL</vt:lpstr>
      <vt:lpstr>NH3_per_kg_SE</vt:lpstr>
      <vt:lpstr>No_boars_DE</vt:lpstr>
      <vt:lpstr>No_boars_DK</vt:lpstr>
      <vt:lpstr>No_boars_ES</vt:lpstr>
      <vt:lpstr>No_boars_FR</vt:lpstr>
      <vt:lpstr>No_boars_GR</vt:lpstr>
      <vt:lpstr>No_boars_HU</vt:lpstr>
      <vt:lpstr>No_boars_IE</vt:lpstr>
      <vt:lpstr>No_boars_IT</vt:lpstr>
      <vt:lpstr>No_boars_NL</vt:lpstr>
      <vt:lpstr>No_boars_PL</vt:lpstr>
      <vt:lpstr>No_boars_SE</vt:lpstr>
      <vt:lpstr>No_fattening_pigs_DE</vt:lpstr>
      <vt:lpstr>No_fattening_pigs_DK</vt:lpstr>
      <vt:lpstr>No_fattening_pigs_ES</vt:lpstr>
      <vt:lpstr>No_fattening_pigs_FR</vt:lpstr>
      <vt:lpstr>No_fattening_pigs_GR</vt:lpstr>
      <vt:lpstr>No_fattening_pigs_HU</vt:lpstr>
      <vt:lpstr>No_fattening_pigs_IE</vt:lpstr>
      <vt:lpstr>No_fattening_pigs_IT</vt:lpstr>
      <vt:lpstr>No_fattening_pigs_NL</vt:lpstr>
      <vt:lpstr>No_fattening_pigs_PL</vt:lpstr>
      <vt:lpstr>No_fattening_pigs_SE</vt:lpstr>
      <vt:lpstr>No_piglets_DE</vt:lpstr>
      <vt:lpstr>No_piglets_DK</vt:lpstr>
      <vt:lpstr>No_piglets_ES</vt:lpstr>
      <vt:lpstr>No_piglets_FR</vt:lpstr>
      <vt:lpstr>No_piglets_GR</vt:lpstr>
      <vt:lpstr>No_piglets_HU</vt:lpstr>
      <vt:lpstr>No_piglets_IE</vt:lpstr>
      <vt:lpstr>No_piglets_IT</vt:lpstr>
      <vt:lpstr>No_piglets_NL</vt:lpstr>
      <vt:lpstr>No_piglets_PL</vt:lpstr>
      <vt:lpstr>No_piglets_SE</vt:lpstr>
      <vt:lpstr>No_recruit_sows_DE</vt:lpstr>
      <vt:lpstr>No_recruit_sows_DK</vt:lpstr>
      <vt:lpstr>No_recruit_sows_ES</vt:lpstr>
      <vt:lpstr>No_recruit_sows_FR</vt:lpstr>
      <vt:lpstr>No_recruit_sows_GR</vt:lpstr>
      <vt:lpstr>No_recruit_sows_HU</vt:lpstr>
      <vt:lpstr>No_recruit_sows_IE</vt:lpstr>
      <vt:lpstr>No_recruit_sows_IT</vt:lpstr>
      <vt:lpstr>No_recruit_sows_NL</vt:lpstr>
      <vt:lpstr>No_recruit_sows_PL</vt:lpstr>
      <vt:lpstr>No_recruit_sows_SE</vt:lpstr>
      <vt:lpstr>No_sows_DE</vt:lpstr>
      <vt:lpstr>No_sows_DK</vt:lpstr>
      <vt:lpstr>No_sows_ES</vt:lpstr>
      <vt:lpstr>No_sows_FR</vt:lpstr>
      <vt:lpstr>No_sows_GR</vt:lpstr>
      <vt:lpstr>No_sows_HU</vt:lpstr>
      <vt:lpstr>No_sows_IE</vt:lpstr>
      <vt:lpstr>No_sows_IT</vt:lpstr>
      <vt:lpstr>No_sows_NL</vt:lpstr>
      <vt:lpstr>No_sows_PL</vt:lpstr>
      <vt:lpstr>No_sows_SE</vt:lpstr>
      <vt:lpstr>Share_biofuels_DE</vt:lpstr>
      <vt:lpstr>Share_biofuels_DK</vt:lpstr>
      <vt:lpstr>Share_biofuels_ES</vt:lpstr>
      <vt:lpstr>Share_biofuels_FR</vt:lpstr>
      <vt:lpstr>Share_biofuels_GR</vt:lpstr>
      <vt:lpstr>Share_biofuels_HU</vt:lpstr>
      <vt:lpstr>Share_biofuels_IE</vt:lpstr>
      <vt:lpstr>Share_biofuels_IT</vt:lpstr>
      <vt:lpstr>Share_biofuels_NL</vt:lpstr>
      <vt:lpstr>Share_biofuels_PL</vt:lpstr>
      <vt:lpstr>Share_biofuels_SE</vt:lpstr>
      <vt:lpstr>Share_heating_DE</vt:lpstr>
      <vt:lpstr>Share_heating_DK</vt:lpstr>
      <vt:lpstr>Share_heating_ES</vt:lpstr>
      <vt:lpstr>Share_heating_FR</vt:lpstr>
      <vt:lpstr>Share_heating_GR</vt:lpstr>
      <vt:lpstr>Share_heating_HU</vt:lpstr>
      <vt:lpstr>Share_heating_IE</vt:lpstr>
      <vt:lpstr>Share_heating_IT</vt:lpstr>
      <vt:lpstr>Share_heating_NL</vt:lpstr>
      <vt:lpstr>Share_heating_PL</vt:lpstr>
      <vt:lpstr>Share_heating_SE</vt:lpstr>
      <vt:lpstr>Slaughter_duration_class</vt:lpstr>
      <vt:lpstr>Time_fattening_days_DE</vt:lpstr>
      <vt:lpstr>Time_fattening_days_DK</vt:lpstr>
      <vt:lpstr>Time_fattening_days_ES</vt:lpstr>
      <vt:lpstr>Time_fattening_days_FR</vt:lpstr>
      <vt:lpstr>Time_fattening_days_GR</vt:lpstr>
      <vt:lpstr>Time_fattening_days_HU</vt:lpstr>
      <vt:lpstr>Time_fattening_days_IE</vt:lpstr>
      <vt:lpstr>Time_fattening_days_IT</vt:lpstr>
      <vt:lpstr>Time_fattening_days_NL</vt:lpstr>
      <vt:lpstr>Time_fattening_days_PL</vt:lpstr>
      <vt:lpstr>Time_fattening_days_SE</vt:lpstr>
      <vt:lpstr>Time_to_weaning_SE</vt:lpstr>
      <vt:lpstr>Water_stables_DE</vt:lpstr>
      <vt:lpstr>Water_stables_DK</vt:lpstr>
      <vt:lpstr>Water_stables_ES</vt:lpstr>
      <vt:lpstr>Water_stables_FR</vt:lpstr>
      <vt:lpstr>Water_stables_GR</vt:lpstr>
      <vt:lpstr>Water_stables_HU</vt:lpstr>
      <vt:lpstr>Water_stables_IE</vt:lpstr>
      <vt:lpstr>Water_stables_IT</vt:lpstr>
      <vt:lpstr>Water_stables_NL</vt:lpstr>
      <vt:lpstr>Water_stables_PL</vt:lpstr>
      <vt:lpstr>Water_stables_SE</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2023-11-06T07:13:16Z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