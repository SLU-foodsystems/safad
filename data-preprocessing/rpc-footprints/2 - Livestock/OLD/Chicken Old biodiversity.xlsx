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codeName="ThisWorkbook"/>
  <mc:AlternateContent xmlns:mc="http://schemas.openxmlformats.org/markup-compatibility/2006">
    <mc:Choice Requires="x15">
      <x15ac:absPath xmlns:x15ac="http://schemas.microsoft.com/office/spreadsheetml/2010/11/ac" url="https://svelantbruksuniversitet-my.sharepoint.com/personal/elin_roos_slu_se/Documents/Dokument/SLU/Projekt 42 - Plan'eat/WP3/2 - Livestock/"/>
    </mc:Choice>
  </mc:AlternateContent>
  <xr:revisionPtr revIDLastSave="2810" documentId="11_6EDA348B9A45BB06804DDD6C5387CB3098C2A5F9" xr6:coauthVersionLast="47" xr6:coauthVersionMax="47" xr10:uidLastSave="{83BB10F7-EF45-49DB-A01A-3AE21E10540E}"/>
  <bookViews>
    <workbookView xWindow="-108" yWindow="-108" windowWidth="23256" windowHeight="12576" activeTab="2" xr2:uid="{00000000-000D-0000-FFFF-FFFF00000000}"/>
  </bookViews>
  <sheets>
    <sheet name="README" sheetId="18" r:id="rId1"/>
    <sheet name="Figures" sheetId="24" r:id="rId2"/>
    <sheet name="Footprints, results per kg" sheetId="17" r:id="rId3"/>
    <sheet name="GHG detailed, results per kg" sheetId="13" r:id="rId4"/>
    <sheet name="Production" sheetId="11" r:id="rId5"/>
    <sheet name="Parameters, country spec" sheetId="4" r:id="rId6"/>
    <sheet name="CO2 per kg feed" sheetId="2" r:id="rId7"/>
    <sheet name="CH4 per kg feed" sheetId="15" r:id="rId8"/>
    <sheet name="N2O per kg feed" sheetId="14" r:id="rId9"/>
    <sheet name="EFP per kg feed" sheetId="16" r:id="rId10"/>
    <sheet name="Parameters, general" sheetId="20" r:id="rId11"/>
    <sheet name="Off-farm feed" sheetId="23" r:id="rId12"/>
    <sheet name="References" sheetId="21" r:id="rId13"/>
    <sheet name="Verification" sheetId="22" r:id="rId14"/>
  </sheets>
  <externalReferences>
    <externalReference r:id="rId15"/>
  </externalReferences>
  <definedNames>
    <definedName name="_xlnm._FilterDatabase" localSheetId="1" hidden="1">Figures!$A$71:$M$71</definedName>
    <definedName name="_xlnm._FilterDatabase" localSheetId="2" hidden="1">'Footprints, results per kg'!$D$6:$U$6</definedName>
    <definedName name="Ability_to_perceive_handling">'Parameters, general'!$B$20</definedName>
    <definedName name="Bonefree_outof_CW_AT">'Parameters, country spec'!#REF!</definedName>
    <definedName name="Bonefree_outof_CW_BE">'Parameters, country spec'!#REF!</definedName>
    <definedName name="Bonefree_outof_CW_BG">'Parameters, country spec'!#REF!</definedName>
    <definedName name="Bonefree_outof_CW_BR">'Parameters, country spec'!#REF!</definedName>
    <definedName name="Bonefree_outof_CW_CY">'Parameters, country spec'!#REF!</definedName>
    <definedName name="Bonefree_outof_CW_CZ">'Parameters, country spec'!#REF!</definedName>
    <definedName name="Bonefree_outof_CW_DE">'Parameters, country spec'!$D$9</definedName>
    <definedName name="Bonefree_outof_CW_DK">'Parameters, country spec'!$B$9</definedName>
    <definedName name="Bonefree_outof_CW_EE">'Parameters, country spec'!#REF!</definedName>
    <definedName name="Bonefree_outof_CW_ES">'Parameters, country spec'!$K$9</definedName>
    <definedName name="Bonefree_outof_CW_FI">'Parameters, country spec'!#REF!</definedName>
    <definedName name="Bonefree_outof_CW_FR">'Parameters, country spec'!$C$9</definedName>
    <definedName name="Bonefree_outof_CW_GB">'Parameters, country spec'!$M$9</definedName>
    <definedName name="Bonefree_outof_CW_GR">'Parameters, country spec'!$E$9</definedName>
    <definedName name="Bonefree_outof_CW_HR">'Parameters, country spec'!#REF!</definedName>
    <definedName name="Bonefree_outof_CW_HU">'Parameters, country spec'!$F$9</definedName>
    <definedName name="Bonefree_outof_CW_IE">'Parameters, country spec'!$G$9</definedName>
    <definedName name="Bonefree_outof_CW_IT">'Parameters, country spec'!$H$9</definedName>
    <definedName name="Bonefree_outof_CW_LT">'Parameters, country spec'!#REF!</definedName>
    <definedName name="Bonefree_outof_CW_LV">'Parameters, country spec'!#REF!</definedName>
    <definedName name="Bonefree_outof_CW_MT">'Parameters, country spec'!#REF!</definedName>
    <definedName name="Bonefree_outof_CW_NL">'Parameters, country spec'!$I$9</definedName>
    <definedName name="Bonefree_outof_CW_PL">'Parameters, country spec'!$J$9</definedName>
    <definedName name="Bonefree_outof_CW_PT">'Parameters, country spec'!#REF!</definedName>
    <definedName name="Bonefree_outof_CW_RO">'Parameters, country spec'!#REF!</definedName>
    <definedName name="Bonefree_outof_CW_SE">'Parameters, country spec'!$L$9</definedName>
    <definedName name="Bonefree_outof_CW_SI">'Parameters, country spec'!#REF!</definedName>
    <definedName name="Bonefree_outof_CW_SK">'Parameters, country spec'!#REF!</definedName>
    <definedName name="Bonefree_outof_CW_TH">'Parameters, country spec'!#REF!</definedName>
    <definedName name="Bonefree_outof_CW_US">'Parameters, country spec'!#REF!</definedName>
    <definedName name="CF_biog_CH4">'[1]CF climate'!$C$5</definedName>
    <definedName name="CF_fossil_CH4">'[1]CF climate'!$D$5</definedName>
    <definedName name="CF_GWP_CH4_fossil">'Parameters, general'!$B$15</definedName>
    <definedName name="CF_GWP_N2O">'Parameters, general'!$B$17</definedName>
    <definedName name="CF_N2O">'[1]CF climate'!$E$5</definedName>
    <definedName name="CH4_bio_codes">'[1]Crops CH4, bio'!$A$6:$A$118</definedName>
    <definedName name="CH4_bio_data">'[1]Crops CH4, bio'!$E$6:$N$118</definedName>
    <definedName name="CH4_codes">'[1]Crops CH4, fossil'!$A$6:$A$118</definedName>
    <definedName name="CH4_data">'[1]Crops CH4, fossil'!$E$6:$N$118</definedName>
    <definedName name="CO2_codes">'[1]Crops CO2'!$A$6:$A$118</definedName>
    <definedName name="CO2_data">'[1]Crops CO2'!$E$6:$N$118</definedName>
    <definedName name="Crop_data">'[1]Crops, input data per ha'!$A$6:$Z$118</definedName>
    <definedName name="Crop_data_codes">'[1]Crops, input data per ha'!$A$6:$A$118</definedName>
    <definedName name="CY">'Parameters, country spec'!#REF!</definedName>
    <definedName name="EF_ammonia_AT">'Parameters, country spec'!#REF!</definedName>
    <definedName name="EF_ammonia_BE">'Parameters, country spec'!#REF!</definedName>
    <definedName name="EF_ammonia_BG">'Parameters, country spec'!#REF!</definedName>
    <definedName name="EF_ammonia_BR">'Parameters, country spec'!#REF!</definedName>
    <definedName name="EF_ammonia_CY">'Parameters, country spec'!#REF!</definedName>
    <definedName name="EF_ammonia_CZ">'Parameters, country spec'!#REF!</definedName>
    <definedName name="EF_ammonia_DE">'Parameters, country spec'!$D$42</definedName>
    <definedName name="EF_ammonia_DK">'Parameters, country spec'!$B$42</definedName>
    <definedName name="EF_ammonia_EE">'Parameters, country spec'!#REF!</definedName>
    <definedName name="EF_ammonia_ES">'Parameters, country spec'!$K$42</definedName>
    <definedName name="EF_ammonia_FI">'Parameters, country spec'!#REF!</definedName>
    <definedName name="EF_ammonia_FR">'Parameters, country spec'!$C$42</definedName>
    <definedName name="EF_ammonia_GB">'Parameters, country spec'!$M$42</definedName>
    <definedName name="EF_ammonia_GR">'Parameters, country spec'!$E$42</definedName>
    <definedName name="EF_ammonia_HR">'Parameters, country spec'!#REF!</definedName>
    <definedName name="EF_ammonia_HU">'Parameters, country spec'!$F$42</definedName>
    <definedName name="EF_ammonia_IE">'Parameters, country spec'!$G$42</definedName>
    <definedName name="EF_ammonia_IT">'Parameters, country spec'!$H$42</definedName>
    <definedName name="EF_ammonia_LT">'Parameters, country spec'!#REF!</definedName>
    <definedName name="EF_ammonia_LV">'Parameters, country spec'!#REF!</definedName>
    <definedName name="EF_ammonia_MT">'Parameters, country spec'!#REF!</definedName>
    <definedName name="EF_ammonia_NL">'Parameters, country spec'!$I$42</definedName>
    <definedName name="EF_ammonia_PL">'Parameters, country spec'!$J$42</definedName>
    <definedName name="EF_ammonia_PT">'Parameters, country spec'!#REF!</definedName>
    <definedName name="EF_ammonia_RO">'Parameters, country spec'!#REF!</definedName>
    <definedName name="EF_ammonia_SE">'Parameters, country spec'!$L$42</definedName>
    <definedName name="EF_ammonia_SI">'Parameters, country spec'!#REF!</definedName>
    <definedName name="EF_ammonia_SK">'Parameters, country spec'!#REF!</definedName>
    <definedName name="EF_ammonia_TH">'Parameters, country spec'!#REF!</definedName>
    <definedName name="EF_ammonia_US">'Parameters, country spec'!#REF!</definedName>
    <definedName name="EF_biofuel_CH4">'Parameters, general'!$C$6</definedName>
    <definedName name="EF_biofuel_N2O">'Parameters, general'!$D$6</definedName>
    <definedName name="EF_biofuels_CO2">'Parameters, general'!$B$6</definedName>
    <definedName name="EF_capital_goods_CO2">'[1]Emission factors'!$B$35</definedName>
    <definedName name="EF_CH4_manure_AT">'Parameters, country spec'!#REF!</definedName>
    <definedName name="EF_CH4_manure_BE">'Parameters, country spec'!#REF!</definedName>
    <definedName name="EF_CH4_manure_BG">'Parameters, country spec'!#REF!</definedName>
    <definedName name="EF_CH4_manure_BR">'Parameters, country spec'!#REF!</definedName>
    <definedName name="EF_CH4_manure_CY">'Parameters, country spec'!#REF!</definedName>
    <definedName name="EF_CH4_manure_CZ">'Parameters, country spec'!#REF!</definedName>
    <definedName name="EF_CH4_manure_DE">'Parameters, country spec'!$D$49</definedName>
    <definedName name="EF_CH4_manure_DK">'Parameters, country spec'!$B$49</definedName>
    <definedName name="EF_CH4_manure_EE">'Parameters, country spec'!#REF!</definedName>
    <definedName name="EF_CH4_manure_ES">'Parameters, country spec'!$K$49</definedName>
    <definedName name="EF_CH4_manure_FI">'Parameters, country spec'!#REF!</definedName>
    <definedName name="EF_CH4_manure_FR">'Parameters, country spec'!$C$49</definedName>
    <definedName name="EF_CH4_manure_GB">'Parameters, country spec'!$M$49</definedName>
    <definedName name="EF_CH4_manure_GR">'Parameters, country spec'!$E$49</definedName>
    <definedName name="EF_CH4_manure_HR">'Parameters, country spec'!#REF!</definedName>
    <definedName name="EF_CH4_manure_HU">'Parameters, country spec'!$F$49</definedName>
    <definedName name="EF_CH4_manure_IE">'Parameters, country spec'!$G$49</definedName>
    <definedName name="EF_CH4_manure_IT">'Parameters, country spec'!$H$49</definedName>
    <definedName name="EF_CH4_manure_LT">'Parameters, country spec'!#REF!</definedName>
    <definedName name="EF_CH4_manure_LV">'Parameters, country spec'!#REF!</definedName>
    <definedName name="EF_CH4_manure_MT">'Parameters, country spec'!#REF!</definedName>
    <definedName name="EF_CH4_manure_NL">'Parameters, country spec'!$I$49</definedName>
    <definedName name="EF_CH4_manure_PL">'Parameters, country spec'!$J$49</definedName>
    <definedName name="EF_CH4_manure_PT">'Parameters, country spec'!#REF!</definedName>
    <definedName name="EF_CH4_manure_RO">'Parameters, country spec'!#REF!</definedName>
    <definedName name="EF_CH4_manure_SE">'Parameters, country spec'!$L$49</definedName>
    <definedName name="EF_CH4_manure_SI">'Parameters, country spec'!#REF!</definedName>
    <definedName name="EF_CH4_manure_SK">'Parameters, country spec'!#REF!</definedName>
    <definedName name="EF_CH4_manure_TH">'Parameters, country spec'!#REF!</definedName>
    <definedName name="EF_CH4_manure_US">'Parameters, country spec'!#REF!</definedName>
    <definedName name="EF_chips_CO2">'[1]Emission factors'!$B$10</definedName>
    <definedName name="EF_diesel_CO2">'[1]Emission factors'!$B$13</definedName>
    <definedName name="EF_el_CH4_AT">'Parameters, country spec'!#REF!</definedName>
    <definedName name="EF_el_CH4_BE">'Parameters, country spec'!#REF!</definedName>
    <definedName name="EF_el_CH4_BG">'Parameters, country spec'!#REF!</definedName>
    <definedName name="EF_el_CH4_BR">'Parameters, general'!$C$7</definedName>
    <definedName name="EF_el_CH4_CY">'Parameters, country spec'!#REF!</definedName>
    <definedName name="EF_el_CH4_CZ">'Parameters, country spec'!#REF!</definedName>
    <definedName name="EF_el_CH4_DE">'Parameters, country spec'!$D$65</definedName>
    <definedName name="EF_el_CH4_DK">'Parameters, country spec'!$B$65</definedName>
    <definedName name="EF_el_CH4_EE">'Parameters, country spec'!#REF!</definedName>
    <definedName name="EF_el_CH4_ES">'Parameters, country spec'!$K$65</definedName>
    <definedName name="EF_el_CH4_FI">'Parameters, country spec'!#REF!</definedName>
    <definedName name="EF_el_CH4_FR">'Parameters, country spec'!$C$65</definedName>
    <definedName name="EF_el_CH4_GB">'Parameters, country spec'!$M$65</definedName>
    <definedName name="EF_el_CH4_GR">'Parameters, country spec'!$E$65</definedName>
    <definedName name="EF_el_CH4_HR">'Parameters, country spec'!#REF!</definedName>
    <definedName name="EF_el_CH4_HU">'Parameters, country spec'!$F$65</definedName>
    <definedName name="EF_el_CH4_IE">'Parameters, country spec'!$G$65</definedName>
    <definedName name="EF_el_CH4_IT">'Parameters, country spec'!$H$65</definedName>
    <definedName name="EF_el_CH4_LT">'Parameters, country spec'!#REF!</definedName>
    <definedName name="EF_el_CH4_LV">'Parameters, country spec'!#REF!</definedName>
    <definedName name="EF_el_CH4_MT">'Parameters, country spec'!#REF!</definedName>
    <definedName name="EF_el_CH4_NL">'Parameters, country spec'!$I$65</definedName>
    <definedName name="EF_el_CH4_PL">'Parameters, country spec'!$J$65</definedName>
    <definedName name="EF_el_CH4_PT">'Parameters, country spec'!#REF!</definedName>
    <definedName name="EF_el_CH4_RO">'Parameters, country spec'!#REF!</definedName>
    <definedName name="EF_el_CH4_SE">'Parameters, country spec'!$L$65</definedName>
    <definedName name="EF_el_CH4_SI">'Parameters, country spec'!#REF!</definedName>
    <definedName name="EF_el_CH4_SK">'Parameters, country spec'!#REF!</definedName>
    <definedName name="EF_el_CH4_TH">'Parameters, country spec'!#REF!</definedName>
    <definedName name="EF_el_CH4_US">'Parameters, country spec'!#REF!</definedName>
    <definedName name="EF_el_CO2_AT">'Parameters, country spec'!#REF!</definedName>
    <definedName name="EF_el_CO2_BE">'Parameters, country spec'!#REF!</definedName>
    <definedName name="EF_el_CO2_BG">'Parameters, country spec'!#REF!</definedName>
    <definedName name="EF_el_CO2_BR">'Parameters, general'!$B$7</definedName>
    <definedName name="EF_el_CO2_CY">'Parameters, country spec'!#REF!</definedName>
    <definedName name="EF_el_CO2_CZ">'Parameters, country spec'!#REF!</definedName>
    <definedName name="EF_el_CO2_DE">'Parameters, country spec'!$D$64</definedName>
    <definedName name="EF_el_CO2_DK">'Parameters, country spec'!$B$64</definedName>
    <definedName name="EF_el_CO2_EE">'Parameters, country spec'!#REF!</definedName>
    <definedName name="EF_el_CO2_ES">'Parameters, country spec'!$K$64</definedName>
    <definedName name="EF_el_CO2_FI">'Parameters, country spec'!#REF!</definedName>
    <definedName name="EF_el_CO2_FR">'Parameters, country spec'!$C$64</definedName>
    <definedName name="EF_el_CO2_GB">'Parameters, country spec'!$M$64</definedName>
    <definedName name="EF_el_CO2_GR">'Parameters, country spec'!$E$64</definedName>
    <definedName name="EF_el_CO2_HR">'Parameters, country spec'!#REF!</definedName>
    <definedName name="EF_el_CO2_HU">'Parameters, country spec'!$F$64</definedName>
    <definedName name="EF_el_CO2_IE">'Parameters, country spec'!$G$64</definedName>
    <definedName name="EF_el_CO2_IT">'Parameters, country spec'!$H$64</definedName>
    <definedName name="EF_el_CO2_LT">'Parameters, country spec'!#REF!</definedName>
    <definedName name="EF_el_CO2_LV">'Parameters, country spec'!#REF!</definedName>
    <definedName name="EF_el_CO2_MT">'Parameters, country spec'!#REF!</definedName>
    <definedName name="EF_el_CO2_NL">'Parameters, country spec'!$I$64</definedName>
    <definedName name="EF_el_CO2_PL">'Parameters, country spec'!$J$64</definedName>
    <definedName name="EF_el_CO2_PT">'Parameters, country spec'!#REF!</definedName>
    <definedName name="EF_el_CO2_RO">'Parameters, country spec'!#REF!</definedName>
    <definedName name="EF_el_CO2_SE">'Parameters, country spec'!$L$64</definedName>
    <definedName name="EF_el_CO2_SI">'Parameters, country spec'!#REF!</definedName>
    <definedName name="EF_el_CO2_SK">'Parameters, country spec'!#REF!</definedName>
    <definedName name="EF_el_CO2_TH">'Parameters, country spec'!#REF!</definedName>
    <definedName name="EF_el_CO2_US">'Parameters, country spec'!#REF!</definedName>
    <definedName name="EF_el_N2O_AT">'Parameters, country spec'!#REF!</definedName>
    <definedName name="EF_el_N2O_BE">'Parameters, country spec'!#REF!</definedName>
    <definedName name="EF_el_N2O_BG">'Parameters, country spec'!#REF!</definedName>
    <definedName name="EF_el_N2O_BR">'Parameters, general'!$D$7</definedName>
    <definedName name="EF_el_N2O_CY">'Parameters, country spec'!#REF!</definedName>
    <definedName name="EF_el_N2O_CZ">'Parameters, country spec'!#REF!</definedName>
    <definedName name="EF_el_N2O_DE">'Parameters, country spec'!$D$66</definedName>
    <definedName name="EF_el_N2O_DK">'Parameters, country spec'!$B$66</definedName>
    <definedName name="EF_el_N2O_EE">'Parameters, country spec'!#REF!</definedName>
    <definedName name="EF_el_N2O_ES">'Parameters, country spec'!$K$66</definedName>
    <definedName name="EF_el_N2O_FI">'Parameters, country spec'!#REF!</definedName>
    <definedName name="EF_el_N2O_FR">'Parameters, country spec'!$C$66</definedName>
    <definedName name="EF_el_N2O_GB">'Parameters, country spec'!$M$66</definedName>
    <definedName name="EF_el_N2O_GR">'Parameters, country spec'!$E$66</definedName>
    <definedName name="EF_el_N2O_HR">'Parameters, country spec'!#REF!</definedName>
    <definedName name="EF_el_N2O_HU">'Parameters, country spec'!$F$66</definedName>
    <definedName name="EF_el_N2O_IE">'Parameters, country spec'!$G$66</definedName>
    <definedName name="EF_el_N2O_IT">'Parameters, country spec'!$H$66</definedName>
    <definedName name="EF_el_N2O_LT">'Parameters, country spec'!#REF!</definedName>
    <definedName name="EF_el_N2O_LV">'Parameters, country spec'!#REF!</definedName>
    <definedName name="EF_el_N2O_MT">'Parameters, country spec'!#REF!</definedName>
    <definedName name="EF_el_N2O_NL">'Parameters, country spec'!$I$66</definedName>
    <definedName name="EF_el_N2O_PL">'Parameters, country spec'!$J$66</definedName>
    <definedName name="EF_el_N2O_PT">'Parameters, country spec'!#REF!</definedName>
    <definedName name="EF_el_N2O_RO">'Parameters, country spec'!#REF!</definedName>
    <definedName name="EF_el_N2O_SE">'Parameters, country spec'!$L$66</definedName>
    <definedName name="EF_el_N2O_SI">'Parameters, country spec'!#REF!</definedName>
    <definedName name="EF_el_N2O_SK">'Parameters, country spec'!#REF!</definedName>
    <definedName name="EF_el_N2O_TH">'Parameters, country spec'!#REF!</definedName>
    <definedName name="EF_el_N2O_US">'Parameters, country spec'!#REF!</definedName>
    <definedName name="EF_electricity">'Parameters, country spec'!$L$63</definedName>
    <definedName name="EF_electricity_CO2">'[1]Emission factors'!$B$6</definedName>
    <definedName name="EF_GWP_CH4_biog">'Parameters, general'!#REF!</definedName>
    <definedName name="EF_heating_oil_CO2">'[1]Emission factors'!$B$7</definedName>
    <definedName name="EF_indirect_N2O_AT">'Parameters, country spec'!#REF!</definedName>
    <definedName name="EF_indirect_N2O_BE">'Parameters, country spec'!#REF!</definedName>
    <definedName name="EF_indirect_N2O_BG">'Parameters, country spec'!#REF!</definedName>
    <definedName name="EF_indirect_N2O_BR">'Parameters, country spec'!#REF!</definedName>
    <definedName name="EF_indirect_N2O_CY">'Parameters, country spec'!#REF!</definedName>
    <definedName name="EF_indirect_N2O_CZ">'Parameters, country spec'!#REF!</definedName>
    <definedName name="EF_indirect_N2O_DE">'Parameters, country spec'!$D$82</definedName>
    <definedName name="EF_indirect_N2O_DK">'Parameters, country spec'!$B$82</definedName>
    <definedName name="EF_indirect_N2O_EE">'Parameters, country spec'!#REF!</definedName>
    <definedName name="EF_indirect_N2O_ES">'Parameters, country spec'!$K$82</definedName>
    <definedName name="EF_indirect_N2O_FI">'Parameters, country spec'!#REF!</definedName>
    <definedName name="EF_indirect_N2O_FR">'Parameters, country spec'!$C$82</definedName>
    <definedName name="EF_indirect_N2O_GB">'Parameters, country spec'!$M$82</definedName>
    <definedName name="EF_indirect_N2O_GR">'Parameters, country spec'!$E$82</definedName>
    <definedName name="EF_indirect_N2O_HR">'Parameters, country spec'!#REF!</definedName>
    <definedName name="EF_indirect_N2O_HU">'Parameters, country spec'!$F$82</definedName>
    <definedName name="EF_indirect_N2O_IE">'Parameters, country spec'!$G$82</definedName>
    <definedName name="EF_indirect_N2O_IT">'Parameters, country spec'!$H$82</definedName>
    <definedName name="EF_indirect_N2O_LT">'Parameters, country spec'!#REF!</definedName>
    <definedName name="EF_indirect_N2O_LV">'Parameters, country spec'!#REF!</definedName>
    <definedName name="EF_indirect_N2O_MT">'Parameters, country spec'!#REF!</definedName>
    <definedName name="EF_indirect_N2O_NL">'Parameters, country spec'!$I$82</definedName>
    <definedName name="EF_indirect_N2O_PL">'Parameters, country spec'!$J$82</definedName>
    <definedName name="EF_indirect_N2O_PT">'Parameters, country spec'!#REF!</definedName>
    <definedName name="EF_indirect_N2O_RO">'Parameters, country spec'!#REF!</definedName>
    <definedName name="EF_indirect_N2O_SE">'Parameters, country spec'!$L$82</definedName>
    <definedName name="EF_indirect_N2O_SI">'Parameters, country spec'!#REF!</definedName>
    <definedName name="EF_indirect_N2O_SK">'Parameters, country spec'!#REF!</definedName>
    <definedName name="EF_indirect_N2O_TH">'Parameters, country spec'!#REF!</definedName>
    <definedName name="EF_indirect_N2O_US">'Parameters, country spec'!#REF!</definedName>
    <definedName name="EF_irrigation_CO2">'[1]Emission factors'!$B$28</definedName>
    <definedName name="EF_min_fert_AN_CH4">'Parameters, general'!$C$11</definedName>
    <definedName name="EF_min_fert_AN_CO2">'Parameters, general'!$B$11</definedName>
    <definedName name="EF_min_fert_AN_N2O">'Parameters, general'!$D$11</definedName>
    <definedName name="EF_min_fert_BAT_CH4">'Parameters, general'!$C$10</definedName>
    <definedName name="EF_min_fert_BAT_CO2">'Parameters, general'!$B$10</definedName>
    <definedName name="EF_min_fert_BAT_N2O">'Parameters, general'!$D$10</definedName>
    <definedName name="EF_N2O_diff_AT">'Parameters, country spec'!#REF!</definedName>
    <definedName name="EF_N2O_diff_BE">'Parameters, country spec'!#REF!</definedName>
    <definedName name="EF_N2O_diff_BG">'Parameters, country spec'!#REF!</definedName>
    <definedName name="EF_N2O_diff_BR">'Parameters, country spec'!#REF!</definedName>
    <definedName name="EF_N2O_diff_CY">'Parameters, country spec'!#REF!</definedName>
    <definedName name="EF_N2O_diff_CZ">'Parameters, country spec'!#REF!</definedName>
    <definedName name="EF_N2O_diff_DE">'Parameters, country spec'!$D$81</definedName>
    <definedName name="EF_N2O_diff_DK">'Parameters, country spec'!$B$81</definedName>
    <definedName name="EF_N2O_diff_EE">'Parameters, country spec'!#REF!</definedName>
    <definedName name="EF_N2O_diff_ES">'Parameters, country spec'!$K$81</definedName>
    <definedName name="EF_N2O_diff_FI">'Parameters, country spec'!#REF!</definedName>
    <definedName name="EF_N2O_diff_FR">'Parameters, country spec'!$C$81</definedName>
    <definedName name="EF_N2O_diff_GB">'Parameters, country spec'!$M$81</definedName>
    <definedName name="EF_N2O_diff_GR">'Parameters, country spec'!$E$81</definedName>
    <definedName name="EF_N2O_diff_HR">'Parameters, country spec'!#REF!</definedName>
    <definedName name="EF_N2O_diff_HU">'Parameters, country spec'!$F$81</definedName>
    <definedName name="EF_N2O_diff_IE">'Parameters, country spec'!$G$81</definedName>
    <definedName name="EF_N2O_diff_IT">'Parameters, country spec'!$H$81</definedName>
    <definedName name="EF_N2O_diff_LT">'Parameters, country spec'!#REF!</definedName>
    <definedName name="EF_N2O_diff_LV">'Parameters, country spec'!#REF!</definedName>
    <definedName name="EF_N2O_diff_MT">'Parameters, country spec'!#REF!</definedName>
    <definedName name="EF_N2O_diff_NL">'Parameters, country spec'!$I$81</definedName>
    <definedName name="EF_N2O_diff_PL">'Parameters, country spec'!$J$81</definedName>
    <definedName name="EF_N2O_diff_PT">'Parameters, country spec'!#REF!</definedName>
    <definedName name="EF_N2O_diff_RO">'Parameters, country spec'!#REF!</definedName>
    <definedName name="EF_N2O_diff_SE">'Parameters, country spec'!$L$81</definedName>
    <definedName name="EF_N2O_diff_SI">'Parameters, country spec'!#REF!</definedName>
    <definedName name="EF_N2O_diff_SK">'Parameters, country spec'!#REF!</definedName>
    <definedName name="EF_N2O_diff_TH">'Parameters, country spec'!#REF!</definedName>
    <definedName name="EF_N2O_diff_US">'Parameters, country spec'!#REF!</definedName>
    <definedName name="EF_N2O_manure_direct_AT">'Parameters, country spec'!#REF!</definedName>
    <definedName name="EF_N2O_manure_direct_BE">'Parameters, country spec'!#REF!</definedName>
    <definedName name="EF_N2O_manure_direct_BG">'Parameters, country spec'!#REF!</definedName>
    <definedName name="EF_N2O_manure_direct_BR">'Parameters, country spec'!#REF!</definedName>
    <definedName name="EF_N2O_manure_direct_CY">'Parameters, country spec'!#REF!</definedName>
    <definedName name="EF_N2O_manure_direct_CZ">'Parameters, country spec'!#REF!</definedName>
    <definedName name="EF_N2O_manure_direct_DE">'Parameters, country spec'!$D$50</definedName>
    <definedName name="EF_N2O_manure_direct_DK">'Parameters, country spec'!$B$50</definedName>
    <definedName name="EF_N2O_manure_direct_EE">'Parameters, country spec'!#REF!</definedName>
    <definedName name="EF_N2O_manure_direct_ES">'Parameters, country spec'!$K$50</definedName>
    <definedName name="EF_N2O_manure_direct_FI">'Parameters, country spec'!#REF!</definedName>
    <definedName name="EF_N2O_manure_direct_FR">'Parameters, country spec'!$C$50</definedName>
    <definedName name="EF_N2O_manure_direct_GB">'Parameters, country spec'!$M$50</definedName>
    <definedName name="EF_N2O_manure_direct_GR">'Parameters, country spec'!$E$50</definedName>
    <definedName name="EF_N2O_manure_direct_HR">'Parameters, country spec'!#REF!</definedName>
    <definedName name="EF_N2O_manure_direct_HU">'Parameters, country spec'!$F$50</definedName>
    <definedName name="EF_N2O_manure_direct_IE">'Parameters, country spec'!$G$50</definedName>
    <definedName name="EF_N2O_manure_direct_IT">'Parameters, country spec'!$H$50</definedName>
    <definedName name="EF_N2O_manure_direct_LT">'Parameters, country spec'!#REF!</definedName>
    <definedName name="EF_N2O_manure_direct_LV">'Parameters, country spec'!#REF!</definedName>
    <definedName name="EF_N2O_manure_direct_MT">'Parameters, country spec'!#REF!</definedName>
    <definedName name="EF_N2O_manure_direct_NL">'Parameters, country spec'!$I$50</definedName>
    <definedName name="EF_N2O_manure_direct_PL">'Parameters, country spec'!$J$50</definedName>
    <definedName name="EF_N2O_manure_direct_PT">'Parameters, country spec'!#REF!</definedName>
    <definedName name="EF_N2O_manure_direct_RO">'Parameters, country spec'!#REF!</definedName>
    <definedName name="EF_N2O_manure_direct_SE">'Parameters, country spec'!$L$50</definedName>
    <definedName name="EF_N2O_manure_direct_SI">'Parameters, country spec'!#REF!</definedName>
    <definedName name="EF_N2O_manure_direct_SK">'Parameters, country spec'!#REF!</definedName>
    <definedName name="EF_N2O_manure_direct_TH">'Parameters, country spec'!#REF!</definedName>
    <definedName name="EF_N2O_manure_direct_US">'Parameters, country spec'!#REF!</definedName>
    <definedName name="EF_N2O_manure_indirect_AT">'Parameters, country spec'!#REF!</definedName>
    <definedName name="EF_N2O_manure_indirect_BE">'Parameters, country spec'!#REF!</definedName>
    <definedName name="EF_N2O_manure_indirect_BG">'Parameters, country spec'!#REF!</definedName>
    <definedName name="EF_N2O_manure_indirect_BR">'Parameters, country spec'!#REF!</definedName>
    <definedName name="EF_N2O_manure_indirect_CY">'Parameters, country spec'!#REF!</definedName>
    <definedName name="EF_N2O_manure_indirect_CZ">'Parameters, country spec'!#REF!</definedName>
    <definedName name="EF_N2O_manure_indirect_DE">'Parameters, country spec'!$D$51</definedName>
    <definedName name="EF_N2O_manure_indirect_DK">'Parameters, country spec'!$B$51</definedName>
    <definedName name="EF_N2O_manure_indirect_EE">'Parameters, country spec'!#REF!</definedName>
    <definedName name="EF_N2O_manure_indirect_ES">'Parameters, country spec'!$K$51</definedName>
    <definedName name="EF_N2O_manure_indirect_FI">'Parameters, country spec'!#REF!</definedName>
    <definedName name="EF_N2O_manure_indirect_FR">'Parameters, country spec'!$C$51</definedName>
    <definedName name="EF_N2O_manure_indirect_GB">'Parameters, country spec'!$M$51</definedName>
    <definedName name="EF_N2O_manure_indirect_GR">'Parameters, country spec'!$E$51</definedName>
    <definedName name="EF_N2O_manure_indirect_HR">'Parameters, country spec'!#REF!</definedName>
    <definedName name="EF_N2O_manure_indirect_HU">'Parameters, country spec'!$F$51</definedName>
    <definedName name="EF_N2O_manure_indirect_IE">'Parameters, country spec'!$G$51</definedName>
    <definedName name="EF_N2O_manure_indirect_IT">'Parameters, country spec'!$H$51</definedName>
    <definedName name="EF_N2O_manure_indirect_LT">'Parameters, country spec'!#REF!</definedName>
    <definedName name="EF_N2O_manure_indirect_LV">'Parameters, country spec'!#REF!</definedName>
    <definedName name="EF_N2O_manure_indirect_MT">'Parameters, country spec'!#REF!</definedName>
    <definedName name="EF_N2O_manure_indirect_NL">'Parameters, country spec'!$I$51</definedName>
    <definedName name="EF_N2O_manure_indirect_PL">'Parameters, country spec'!$J$51</definedName>
    <definedName name="EF_N2O_manure_indirect_PT">'Parameters, country spec'!#REF!</definedName>
    <definedName name="EF_N2O_manure_indirect_RO">'Parameters, country spec'!#REF!</definedName>
    <definedName name="EF_N2O_manure_indirect_SE">'Parameters, country spec'!$L$51</definedName>
    <definedName name="EF_N2O_manure_indirect_SI">'Parameters, country spec'!#REF!</definedName>
    <definedName name="EF_N2O_manure_indirect_SK">'Parameters, country spec'!#REF!</definedName>
    <definedName name="EF_N2O_manure_indirect_TH">'Parameters, country spec'!#REF!</definedName>
    <definedName name="EF_N2O_manure_indirect_US">'Parameters, country spec'!#REF!</definedName>
    <definedName name="EF_NH3">'[1]Emission factors'!$B$73</definedName>
    <definedName name="EF_oil_CH4">'Parameters, general'!$C$5</definedName>
    <definedName name="EF_oil_CO2">'Parameters, general'!$B$5</definedName>
    <definedName name="EF_oil_N2O">'Parameters, general'!$D$5</definedName>
    <definedName name="Energy_slaughter_el_AT">'Parameters, country spec'!#REF!</definedName>
    <definedName name="Energy_slaughter_el_BE">'Parameters, country spec'!#REF!</definedName>
    <definedName name="Energy_slaughter_el_BG">'Parameters, country spec'!#REF!</definedName>
    <definedName name="Energy_slaughter_el_BR">'Parameters, country spec'!#REF!</definedName>
    <definedName name="Energy_slaughter_el_CY">'Parameters, country spec'!#REF!</definedName>
    <definedName name="Energy_slaughter_el_CZ">'Parameters, country spec'!#REF!</definedName>
    <definedName name="Energy_slaughter_el_DE">'Parameters, country spec'!$D$59</definedName>
    <definedName name="Energy_slaughter_el_DK">'Parameters, country spec'!$B$59</definedName>
    <definedName name="Energy_slaughter_el_EE">'Parameters, country spec'!#REF!</definedName>
    <definedName name="Energy_slaughter_el_ES">'Parameters, country spec'!$K$59</definedName>
    <definedName name="Energy_slaughter_el_FI">'Parameters, country spec'!#REF!</definedName>
    <definedName name="Energy_slaughter_el_FR">'Parameters, country spec'!$C$59</definedName>
    <definedName name="Energy_slaughter_el_GB">'Parameters, country spec'!$M$59</definedName>
    <definedName name="Energy_slaughter_el_GR">'Parameters, country spec'!$E$59</definedName>
    <definedName name="Energy_slaughter_el_HR">'Parameters, country spec'!#REF!</definedName>
    <definedName name="Energy_slaughter_el_HU">'Parameters, country spec'!$F$59</definedName>
    <definedName name="Energy_slaughter_el_IE">'Parameters, country spec'!$G$59</definedName>
    <definedName name="Energy_slaughter_el_IT">'Parameters, country spec'!$H$59</definedName>
    <definedName name="Energy_slaughter_el_LT">'Parameters, country spec'!#REF!</definedName>
    <definedName name="Energy_slaughter_el_LV">'Parameters, country spec'!#REF!</definedName>
    <definedName name="Energy_slaughter_el_MT">'Parameters, country spec'!#REF!</definedName>
    <definedName name="Energy_slaughter_el_NL">'Parameters, country spec'!$I$59</definedName>
    <definedName name="Energy_slaughter_el_PL">'Parameters, country spec'!$J$59</definedName>
    <definedName name="Energy_slaughter_el_PT">'Parameters, country spec'!#REF!</definedName>
    <definedName name="Energy_slaughter_el_RO">'Parameters, country spec'!#REF!</definedName>
    <definedName name="Energy_slaughter_el_SE">'Parameters, country spec'!$L$59</definedName>
    <definedName name="Energy_slaughter_el_SI">'Parameters, country spec'!#REF!</definedName>
    <definedName name="Energy_slaughter_el_SK">'Parameters, country spec'!#REF!</definedName>
    <definedName name="Energy_slaughter_el_TH">'Parameters, country spec'!#REF!</definedName>
    <definedName name="Energy_slaughter_el_US">'Parameters, country spec'!#REF!</definedName>
    <definedName name="Energy_slaughter_oil_AT">'Parameters, country spec'!#REF!</definedName>
    <definedName name="Energy_slaughter_oil_BE">'Parameters, country spec'!#REF!</definedName>
    <definedName name="Energy_slaughter_oil_BG">'Parameters, country spec'!#REF!</definedName>
    <definedName name="Energy_slaughter_oil_BR">'Parameters, country spec'!#REF!</definedName>
    <definedName name="Energy_slaughter_oil_CY">'Parameters, country spec'!#REF!</definedName>
    <definedName name="Energy_slaughter_oil_CZ">'Parameters, country spec'!#REF!</definedName>
    <definedName name="Energy_slaughter_oil_DE">'Parameters, country spec'!$D$60</definedName>
    <definedName name="Energy_slaughter_oil_DK">'Parameters, country spec'!$B$60</definedName>
    <definedName name="Energy_slaughter_oil_EE">'Parameters, country spec'!#REF!</definedName>
    <definedName name="Energy_slaughter_oil_ES">'Parameters, country spec'!$K$60</definedName>
    <definedName name="Energy_slaughter_oil_FI">'Parameters, country spec'!#REF!</definedName>
    <definedName name="Energy_slaughter_oil_FR">'Parameters, country spec'!$C$60</definedName>
    <definedName name="Energy_slaughter_oil_GB">'Parameters, country spec'!$M$60</definedName>
    <definedName name="Energy_slaughter_oil_GR">'Parameters, country spec'!$E$60</definedName>
    <definedName name="Energy_slaughter_oil_HR">'Parameters, country spec'!#REF!</definedName>
    <definedName name="Energy_slaughter_oil_HU">'Parameters, country spec'!$F$60</definedName>
    <definedName name="Energy_slaughter_oil_IE">'Parameters, country spec'!$G$60</definedName>
    <definedName name="Energy_slaughter_oil_IT">'Parameters, country spec'!$H$60</definedName>
    <definedName name="Energy_slaughter_oil_LT">'Parameters, country spec'!#REF!</definedName>
    <definedName name="Energy_slaughter_oil_LV">'Parameters, country spec'!#REF!</definedName>
    <definedName name="Energy_slaughter_oil_MT">'Parameters, country spec'!#REF!</definedName>
    <definedName name="Energy_slaughter_oil_NL">'Parameters, country spec'!$I$60</definedName>
    <definedName name="Energy_slaughter_oil_PL">'Parameters, country spec'!$J$60</definedName>
    <definedName name="Energy_slaughter_oil_PT">'Parameters, country spec'!#REF!</definedName>
    <definedName name="Energy_slaughter_oil_RO">'Parameters, country spec'!#REF!</definedName>
    <definedName name="Energy_slaughter_oil_SE">'Parameters, country spec'!$L$60</definedName>
    <definedName name="Energy_slaughter_oil_SI">'Parameters, country spec'!#REF!</definedName>
    <definedName name="Energy_slaughter_oil_SK">'Parameters, country spec'!#REF!</definedName>
    <definedName name="Energy_slaughter_oil_TH">'Parameters, country spec'!#REF!</definedName>
    <definedName name="Energy_slaughter_oil_US">'Parameters, country spec'!#REF!</definedName>
    <definedName name="Energy_stables_AT">'Parameters, country spec'!#REF!</definedName>
    <definedName name="Energy_stables_BE">'Parameters, country spec'!#REF!</definedName>
    <definedName name="Energy_stables_BG">'Parameters, country spec'!#REF!</definedName>
    <definedName name="Energy_stables_BR">'Parameters, country spec'!#REF!</definedName>
    <definedName name="Energy_stables_CY">'Parameters, country spec'!#REF!</definedName>
    <definedName name="Energy_stables_CZ">'Parameters, country spec'!#REF!</definedName>
    <definedName name="Energy_stables_DE">'Parameters, country spec'!$D$54</definedName>
    <definedName name="Energy_stables_DK">'Parameters, country spec'!$B$54</definedName>
    <definedName name="Energy_stables_EE">'Parameters, country spec'!#REF!</definedName>
    <definedName name="Energy_stables_ES">'Parameters, country spec'!$K$54</definedName>
    <definedName name="Energy_stables_FI">'Parameters, country spec'!#REF!</definedName>
    <definedName name="Energy_stables_FR">'Parameters, country spec'!$C$54</definedName>
    <definedName name="Energy_stables_GB">'Parameters, country spec'!$M$54</definedName>
    <definedName name="Energy_stables_GR">'Parameters, country spec'!$E$54</definedName>
    <definedName name="Energy_stables_HR">'Parameters, country spec'!#REF!</definedName>
    <definedName name="Energy_stables_HU">'Parameters, country spec'!$F$54</definedName>
    <definedName name="Energy_stables_IE">'Parameters, country spec'!$G$54</definedName>
    <definedName name="Energy_stables_IT">'Parameters, country spec'!$H$54</definedName>
    <definedName name="Energy_stables_LT">'Parameters, country spec'!#REF!</definedName>
    <definedName name="Energy_stables_LV">'Parameters, country spec'!#REF!</definedName>
    <definedName name="Energy_stables_MT">'Parameters, country spec'!#REF!</definedName>
    <definedName name="Energy_stables_NL">'Parameters, country spec'!$I$54</definedName>
    <definedName name="Energy_stables_PL">'Parameters, country spec'!$J$54</definedName>
    <definedName name="Energy_stables_PT">'Parameters, country spec'!#REF!</definedName>
    <definedName name="Energy_stables_RO">'Parameters, country spec'!#REF!</definedName>
    <definedName name="Energy_stables_SE">'Parameters, country spec'!$L$54</definedName>
    <definedName name="Energy_stables_SI">'Parameters, country spec'!#REF!</definedName>
    <definedName name="Energy_stables_SK">'Parameters, country spec'!#REF!</definedName>
    <definedName name="Energy_stables_TH">'Parameters, country spec'!#REF!</definedName>
    <definedName name="Energy_stables_US">'Parameters, country spec'!#REF!</definedName>
    <definedName name="Excreted_N_after_losses_AT">'Parameters, country spec'!#REF!</definedName>
    <definedName name="Excreted_N_after_losses_BE">'Parameters, country spec'!#REF!</definedName>
    <definedName name="Excreted_N_after_losses_BG">'Parameters, country spec'!#REF!</definedName>
    <definedName name="Excreted_N_after_losses_BR">'Parameters, country spec'!#REF!</definedName>
    <definedName name="Excreted_N_after_losses_CY">'Parameters, country spec'!#REF!</definedName>
    <definedName name="Excreted_N_after_losses_CZ">'Parameters, country spec'!#REF!</definedName>
    <definedName name="Excreted_N_after_losses_DE">'Parameters, country spec'!$D$46</definedName>
    <definedName name="Excreted_N_after_losses_DK">'Parameters, country spec'!$B$46</definedName>
    <definedName name="Excreted_N_after_losses_EE">'Parameters, country spec'!#REF!</definedName>
    <definedName name="Excreted_N_after_losses_ES">'Parameters, country spec'!$K$46</definedName>
    <definedName name="Excreted_N_after_losses_FI">'Parameters, country spec'!#REF!</definedName>
    <definedName name="Excreted_N_after_losses_FR">'Parameters, country spec'!$C$46</definedName>
    <definedName name="Excreted_N_after_losses_GB">'Parameters, country spec'!$M$46</definedName>
    <definedName name="Excreted_N_after_losses_GR">'Parameters, country spec'!$E$46</definedName>
    <definedName name="Excreted_N_after_losses_HR">'Parameters, country spec'!#REF!</definedName>
    <definedName name="Excreted_N_after_losses_HU">'Parameters, country spec'!$F$46</definedName>
    <definedName name="Excreted_N_after_losses_IE">'Parameters, country spec'!$G$46</definedName>
    <definedName name="Excreted_N_after_losses_IT">'Parameters, country spec'!$H$46</definedName>
    <definedName name="Excreted_N_after_losses_LT">'Parameters, country spec'!#REF!</definedName>
    <definedName name="Excreted_N_after_losses_LV">'Parameters, country spec'!#REF!</definedName>
    <definedName name="Excreted_N_after_losses_MT">'Parameters, country spec'!#REF!</definedName>
    <definedName name="Excreted_N_after_losses_NL">'Parameters, country spec'!$I$46</definedName>
    <definedName name="Excreted_N_after_losses_PL">'Parameters, country spec'!$J$46</definedName>
    <definedName name="Excreted_N_after_losses_PT">'Parameters, country spec'!#REF!</definedName>
    <definedName name="Excreted_N_after_losses_RO">'Parameters, country spec'!#REF!</definedName>
    <definedName name="Excreted_N_after_losses_SE">'Parameters, country spec'!$L$46</definedName>
    <definedName name="Excreted_N_after_losses_SI">'Parameters, country spec'!#REF!</definedName>
    <definedName name="Excreted_N_after_losses_SK">'Parameters, country spec'!#REF!</definedName>
    <definedName name="Excreted_N_after_losses_TH">'Parameters, country spec'!#REF!</definedName>
    <definedName name="Excreted_N_after_losses_US">'Parameters, country spec'!#REF!</definedName>
    <definedName name="Excreted_N_per_kg_of_bonefree_meat_AT">'Parameters, country spec'!#REF!</definedName>
    <definedName name="Excreted_N_per_kg_of_bonefree_meat_BE">'Parameters, country spec'!#REF!</definedName>
    <definedName name="Excreted_N_per_kg_of_bonefree_meat_BG">'Parameters, country spec'!#REF!</definedName>
    <definedName name="Excreted_N_per_kg_of_bonefree_meat_BR">'Parameters, country spec'!#REF!</definedName>
    <definedName name="Excreted_N_per_kg_of_bonefree_meat_CY">'Parameters, country spec'!#REF!</definedName>
    <definedName name="Excreted_N_per_kg_of_bonefree_meat_CZ">'Parameters, country spec'!#REF!</definedName>
    <definedName name="Excreted_N_per_kg_of_bonefree_meat_DE">'Parameters, country spec'!$D$43</definedName>
    <definedName name="Excreted_N_per_kg_of_bonefree_meat_DK">'Parameters, country spec'!$B$43</definedName>
    <definedName name="Excreted_N_per_kg_of_bonefree_meat_EE">'Parameters, country spec'!#REF!</definedName>
    <definedName name="Excreted_N_per_kg_of_bonefree_meat_ES">'Parameters, country spec'!$K$43</definedName>
    <definedName name="Excreted_N_per_kg_of_bonefree_meat_FI">'Parameters, country spec'!#REF!</definedName>
    <definedName name="Excreted_N_per_kg_of_bonefree_meat_FR">'Parameters, country spec'!$C$43</definedName>
    <definedName name="Excreted_N_per_kg_of_bonefree_meat_GB">'Parameters, country spec'!$M$43</definedName>
    <definedName name="Excreted_N_per_kg_of_bonefree_meat_GR">'Parameters, country spec'!$E$43</definedName>
    <definedName name="Excreted_N_per_kg_of_bonefree_meat_HR">'Parameters, country spec'!#REF!</definedName>
    <definedName name="Excreted_N_per_kg_of_bonefree_meat_HU">'Parameters, country spec'!$F$43</definedName>
    <definedName name="Excreted_N_per_kg_of_bonefree_meat_IE">'Parameters, country spec'!$G$43</definedName>
    <definedName name="Excreted_N_per_kg_of_bonefree_meat_IT">'Parameters, country spec'!$H$43</definedName>
    <definedName name="Excreted_N_per_kg_of_bonefree_meat_LT">'Parameters, country spec'!#REF!</definedName>
    <definedName name="Excreted_N_per_kg_of_bonefree_meat_LV">'Parameters, country spec'!#REF!</definedName>
    <definedName name="Excreted_N_per_kg_of_bonefree_meat_MT">'Parameters, country spec'!#REF!</definedName>
    <definedName name="Excreted_N_per_kg_of_bonefree_meat_NL">'Parameters, country spec'!$I$43</definedName>
    <definedName name="Excreted_N_per_kg_of_bonefree_meat_PL">'Parameters, country spec'!$J$43</definedName>
    <definedName name="Excreted_N_per_kg_of_bonefree_meat_PT">'Parameters, country spec'!#REF!</definedName>
    <definedName name="Excreted_N_per_kg_of_bonefree_meat_RO">'Parameters, country spec'!#REF!</definedName>
    <definedName name="Excreted_N_per_kg_of_bonefree_meat_SE">'Parameters, country spec'!$L$43</definedName>
    <definedName name="Excreted_N_per_kg_of_bonefree_meat_SI">'Parameters, country spec'!#REF!</definedName>
    <definedName name="Excreted_N_per_kg_of_bonefree_meat_SK">'Parameters, country spec'!#REF!</definedName>
    <definedName name="Excreted_N_per_kg_of_bonefree_meat_TH">'Parameters, country spec'!#REF!</definedName>
    <definedName name="Excreted_N_per_kg_of_bonefree_meat_US">'Parameters, country spec'!#REF!</definedName>
    <definedName name="FCR_bonefree_incl_parents_AT">'Parameters, country spec'!#REF!</definedName>
    <definedName name="FCR_bonefree_incl_parents_BE">'Parameters, country spec'!#REF!</definedName>
    <definedName name="FCR_bonefree_incl_parents_BG">'Parameters, country spec'!#REF!</definedName>
    <definedName name="FCR_bonefree_incl_parents_BR">'Parameters, country spec'!#REF!</definedName>
    <definedName name="FCR_bonefree_incl_parents_CY">'Parameters, country spec'!#REF!</definedName>
    <definedName name="FCR_bonefree_incl_parents_CZ">'Parameters, country spec'!#REF!</definedName>
    <definedName name="FCR_bonefree_incl_parents_DE">'Parameters, country spec'!$D$36</definedName>
    <definedName name="FCR_bonefree_incl_parents_DK">'Parameters, country spec'!$B$36</definedName>
    <definedName name="FCR_bonefree_incl_parents_EE">'Parameters, country spec'!#REF!</definedName>
    <definedName name="FCR_bonefree_incl_parents_ES">'Parameters, country spec'!$K$36</definedName>
    <definedName name="FCR_bonefree_incl_parents_FI">'Parameters, country spec'!#REF!</definedName>
    <definedName name="FCR_bonefree_incl_parents_FR">'Parameters, country spec'!$C$36</definedName>
    <definedName name="FCR_bonefree_incl_parents_GB">'Parameters, country spec'!$M$36</definedName>
    <definedName name="FCR_bonefree_incl_parents_GR">'Parameters, country spec'!$E$36</definedName>
    <definedName name="FCR_bonefree_incl_parents_HR">'Parameters, country spec'!#REF!</definedName>
    <definedName name="FCR_bonefree_incl_parents_HU">'Parameters, country spec'!$F$36</definedName>
    <definedName name="FCR_bonefree_incl_parents_IE">'Parameters, country spec'!$G$36</definedName>
    <definedName name="FCR_bonefree_incl_parents_IT">'Parameters, country spec'!$H$36</definedName>
    <definedName name="FCR_bonefree_incl_parents_LT">'Parameters, country spec'!#REF!</definedName>
    <definedName name="FCR_bonefree_incl_parents_LV">'Parameters, country spec'!#REF!</definedName>
    <definedName name="FCR_bonefree_incl_parents_MT">'Parameters, country spec'!#REF!</definedName>
    <definedName name="FCR_bonefree_incl_parents_NL">'Parameters, country spec'!$I$36</definedName>
    <definedName name="FCR_bonefree_incl_parents_PL">'Parameters, country spec'!$J$36</definedName>
    <definedName name="FCR_bonefree_incl_parents_PT">'Parameters, country spec'!#REF!</definedName>
    <definedName name="FCR_bonefree_incl_parents_RO">'Parameters, country spec'!#REF!</definedName>
    <definedName name="FCR_bonefree_incl_parents_SE">'Parameters, country spec'!$L$36</definedName>
    <definedName name="FCR_bonefree_incl_parents_SI">'Parameters, country spec'!#REF!</definedName>
    <definedName name="FCR_bonefree_incl_parents_SK">'Parameters, country spec'!#REF!</definedName>
    <definedName name="FCR_bonefree_incl_parents_TH">'Parameters, country spec'!#REF!</definedName>
    <definedName name="FCR_bonefree_incl_parents_US">'Parameters, country spec'!#REF!</definedName>
    <definedName name="Frac_AN">'[1]Emission factors'!$E$21</definedName>
    <definedName name="Frac_AN_AT">'Parameters, country spec'!#REF!</definedName>
    <definedName name="Frac_AN_BE">'Parameters, country spec'!#REF!</definedName>
    <definedName name="Frac_AN_BG">'Parameters, country spec'!#REF!</definedName>
    <definedName name="Frac_AN_BR">'Parameters, country spec'!#REF!</definedName>
    <definedName name="Frac_AN_CY">'Parameters, country spec'!#REF!</definedName>
    <definedName name="Frac_AN_CZ">'Parameters, country spec'!#REF!</definedName>
    <definedName name="Frac_AN_DE">'Parameters, country spec'!$D$76</definedName>
    <definedName name="Frac_AN_DK">'Parameters, country spec'!$B$76</definedName>
    <definedName name="Frac_AN_EE">'Parameters, country spec'!#REF!</definedName>
    <definedName name="Frac_AN_ES">'Parameters, country spec'!$K$76</definedName>
    <definedName name="Frac_AN_FI">'Parameters, country spec'!#REF!</definedName>
    <definedName name="Frac_AN_FR">'Parameters, country spec'!$C$76</definedName>
    <definedName name="Frac_AN_GB">'Parameters, country spec'!$M$76</definedName>
    <definedName name="Frac_AN_GR">'Parameters, country spec'!$E$76</definedName>
    <definedName name="Frac_AN_HR">'Parameters, country spec'!#REF!</definedName>
    <definedName name="Frac_AN_HU">'Parameters, country spec'!$F$76</definedName>
    <definedName name="Frac_AN_IE">'Parameters, country spec'!$G$76</definedName>
    <definedName name="Frac_AN_IT">'Parameters, country spec'!$H$76</definedName>
    <definedName name="Frac_AN_LT">'Parameters, country spec'!#REF!</definedName>
    <definedName name="Frac_AN_LV">'Parameters, country spec'!#REF!</definedName>
    <definedName name="Frac_AN_MT">'Parameters, country spec'!#REF!</definedName>
    <definedName name="Frac_AN_NL">'Parameters, country spec'!$I$76</definedName>
    <definedName name="Frac_AN_PL">'Parameters, country spec'!$J$76</definedName>
    <definedName name="Frac_AN_PT">'Parameters, country spec'!#REF!</definedName>
    <definedName name="Frac_AN_RO">'Parameters, country spec'!#REF!</definedName>
    <definedName name="Frac_AN_SE">'Parameters, country spec'!$L$76</definedName>
    <definedName name="Frac_AN_SI">'Parameters, country spec'!#REF!</definedName>
    <definedName name="Frac_AN_SK">'Parameters, country spec'!#REF!</definedName>
    <definedName name="Frac_AN_TH">'Parameters, country spec'!#REF!</definedName>
    <definedName name="Frac_AN_US">'Parameters, country spec'!#REF!</definedName>
    <definedName name="Frac_BAT">'[1]Emission factors'!$E$20</definedName>
    <definedName name="Frac_BAT_AT">'Parameters, country spec'!#REF!</definedName>
    <definedName name="Frac_BAT_BE">'Parameters, country spec'!#REF!</definedName>
    <definedName name="Frac_BAT_BG">'Parameters, country spec'!#REF!</definedName>
    <definedName name="Frac_BAT_BR">'Parameters, country spec'!#REF!</definedName>
    <definedName name="Frac_BAT_CY">'Parameters, country spec'!#REF!</definedName>
    <definedName name="Frac_BAT_CZ">'Parameters, country spec'!#REF!</definedName>
    <definedName name="Frac_BAT_DE">'Parameters, country spec'!$D$75</definedName>
    <definedName name="Frac_BAT_DK">'Parameters, country spec'!$B$75</definedName>
    <definedName name="Frac_BAT_EE">'Parameters, country spec'!#REF!</definedName>
    <definedName name="Frac_BAT_ES">'Parameters, country spec'!$K$75</definedName>
    <definedName name="Frac_BAT_FI">'Parameters, country spec'!#REF!</definedName>
    <definedName name="Frac_BAT_FR">'Parameters, country spec'!$C$75</definedName>
    <definedName name="Frac_BAT_GB">'Parameters, country spec'!$M$75</definedName>
    <definedName name="Frac_BAT_GR">'Parameters, country spec'!$E$75</definedName>
    <definedName name="Frac_BAT_HR">'Parameters, country spec'!#REF!</definedName>
    <definedName name="Frac_BAT_HU">'Parameters, country spec'!$F$75</definedName>
    <definedName name="Frac_BAT_IE">'Parameters, country spec'!$G$75</definedName>
    <definedName name="Frac_BAT_IT">'Parameters, country spec'!$H$75</definedName>
    <definedName name="Frac_BAT_LT">'Parameters, country spec'!#REF!</definedName>
    <definedName name="Frac_BAT_LV">'Parameters, country spec'!#REF!</definedName>
    <definedName name="Frac_BAT_MT">'Parameters, country spec'!#REF!</definedName>
    <definedName name="Frac_BAT_NL">'Parameters, country spec'!$I$75</definedName>
    <definedName name="Frac_BAT_PL">'Parameters, country spec'!$J$75</definedName>
    <definedName name="Frac_BAT_PT">'Parameters, country spec'!#REF!</definedName>
    <definedName name="Frac_BAT_RO">'Parameters, country spec'!#REF!</definedName>
    <definedName name="Frac_BAT_SE">'Parameters, country spec'!$L$75</definedName>
    <definedName name="Frac_BAT_SI">'Parameters, country spec'!#REF!</definedName>
    <definedName name="Frac_BAT_SK">'Parameters, country spec'!#REF!</definedName>
    <definedName name="Frac_BAT_TH">'Parameters, country spec'!#REF!</definedName>
    <definedName name="Frac_BAT_US">'Parameters, country spec'!#REF!</definedName>
    <definedName name="GBughter_el_AT">'Parameters, country spec'!$M$59</definedName>
    <definedName name="GRAT">'Parameters, country spec'!$E$66</definedName>
    <definedName name="Heating_value_diesel">'[1]Emission factors'!$E$13</definedName>
    <definedName name="Labour_per_animal_AT">'Parameters, country spec'!#REF!</definedName>
    <definedName name="Labour_per_animal_BE">'Parameters, country spec'!#REF!</definedName>
    <definedName name="Labour_per_animal_BG">'Parameters, country spec'!#REF!</definedName>
    <definedName name="Labour_per_animal_BR">'Parameters, country spec'!#REF!</definedName>
    <definedName name="Labour_per_animal_CY">'Parameters, country spec'!#REF!</definedName>
    <definedName name="Labour_per_animal_CZ">'Parameters, country spec'!#REF!</definedName>
    <definedName name="Labour_per_animal_DE">'Parameters, country spec'!$D$91</definedName>
    <definedName name="Labour_per_animal_DK">'Parameters, country spec'!$B$91</definedName>
    <definedName name="Labour_per_animal_EE">'Parameters, country spec'!#REF!</definedName>
    <definedName name="Labour_per_animal_ES">'Parameters, country spec'!$K$91</definedName>
    <definedName name="Labour_per_animal_FI">'Parameters, country spec'!#REF!</definedName>
    <definedName name="Labour_per_animal_FR">'Parameters, country spec'!$C$91</definedName>
    <definedName name="Labour_per_animal_GB">'Parameters, country spec'!$M$91</definedName>
    <definedName name="Labour_per_animal_GR">'Parameters, country spec'!$E$91</definedName>
    <definedName name="Labour_per_animal_HR">'Parameters, country spec'!#REF!</definedName>
    <definedName name="Labour_per_animal_HU">'Parameters, country spec'!$F$91</definedName>
    <definedName name="Labour_per_animal_IE">'Parameters, country spec'!$G$91</definedName>
    <definedName name="Labour_per_animal_IT">'Parameters, country spec'!$H$91</definedName>
    <definedName name="Labour_per_animal_LT">'Parameters, country spec'!#REF!</definedName>
    <definedName name="Labour_per_animal_LV">'Parameters, country spec'!#REF!</definedName>
    <definedName name="Labour_per_animal_MT">'Parameters, country spec'!#REF!</definedName>
    <definedName name="Labour_per_animal_NL">'Parameters, country spec'!$I$91</definedName>
    <definedName name="Labour_per_animal_PL">'Parameters, country spec'!$J$91</definedName>
    <definedName name="Labour_per_animal_PT">'Parameters, country spec'!#REF!</definedName>
    <definedName name="Labour_per_animal_RO">'Parameters, country spec'!#REF!</definedName>
    <definedName name="Labour_per_animal_SE">'Parameters, country spec'!$L$91</definedName>
    <definedName name="Labour_per_animal_SI">'Parameters, country spec'!#REF!</definedName>
    <definedName name="Labour_per_animal_SK">'Parameters, country spec'!#REF!</definedName>
    <definedName name="Labour_per_animal_TH">'Parameters, country spec'!#REF!</definedName>
    <definedName name="Labour_per_animal_US">'Parameters, country spec'!#REF!</definedName>
    <definedName name="Manure_repl_factor_AT">'Parameters, country spec'!#REF!</definedName>
    <definedName name="Manure_repl_factor_BE">'Parameters, country spec'!#REF!</definedName>
    <definedName name="Manure_repl_factor_BG">'Parameters, country spec'!#REF!</definedName>
    <definedName name="Manure_repl_factor_BR">'Parameters, country spec'!#REF!</definedName>
    <definedName name="Manure_repl_factor_CY">'Parameters, country spec'!#REF!</definedName>
    <definedName name="Manure_repl_factor_CZ">'Parameters, country spec'!#REF!</definedName>
    <definedName name="Manure_repl_factor_DE">'Parameters, country spec'!$D$85</definedName>
    <definedName name="Manure_repl_factor_DK">'Parameters, country spec'!$B$85</definedName>
    <definedName name="Manure_repl_factor_EE">'Parameters, country spec'!#REF!</definedName>
    <definedName name="Manure_repl_factor_ES">'Parameters, country spec'!$K$85</definedName>
    <definedName name="Manure_repl_factor_FI">'Parameters, country spec'!#REF!</definedName>
    <definedName name="Manure_repl_factor_FR">'Parameters, country spec'!$C$85</definedName>
    <definedName name="Manure_repl_factor_GB">'Parameters, country spec'!$M$85</definedName>
    <definedName name="Manure_repl_factor_GR">'Parameters, country spec'!$E$85</definedName>
    <definedName name="Manure_repl_factor_HR">'Parameters, country spec'!#REF!</definedName>
    <definedName name="Manure_repl_factor_HU">'Parameters, country spec'!$F$85</definedName>
    <definedName name="Manure_repl_factor_IE">'Parameters, country spec'!$G$85</definedName>
    <definedName name="Manure_repl_factor_IT">'Parameters, country spec'!$H$85</definedName>
    <definedName name="Manure_repl_factor_LT">'Parameters, country spec'!#REF!</definedName>
    <definedName name="Manure_repl_factor_LV">'Parameters, country spec'!#REF!</definedName>
    <definedName name="Manure_repl_factor_MT">'Parameters, country spec'!#REF!</definedName>
    <definedName name="Manure_repl_factor_NL">'Parameters, country spec'!$I$85</definedName>
    <definedName name="Manure_repl_factor_PL">'Parameters, country spec'!$J$85</definedName>
    <definedName name="Manure_repl_factor_PT">'Parameters, country spec'!#REF!</definedName>
    <definedName name="Manure_repl_factor_RO">'Parameters, country spec'!#REF!</definedName>
    <definedName name="Manure_repl_factor_SE">'Parameters, country spec'!$L$85</definedName>
    <definedName name="Manure_repl_factor_SI">'Parameters, country spec'!#REF!</definedName>
    <definedName name="Manure_repl_factor_SK">'Parameters, country spec'!#REF!</definedName>
    <definedName name="Manure_repl_factor_TH">'Parameters, country spec'!#REF!</definedName>
    <definedName name="Manure_repl_factor_US">'Parameters, country spec'!#REF!</definedName>
    <definedName name="N_to_NH3">'[1]Emission factors'!$B$74</definedName>
    <definedName name="N2O_codes">'[1]Crops N2O'!$A$6:$A$118</definedName>
    <definedName name="N2O_data">'[1]Crops N2O'!$E$6:$N$118</definedName>
    <definedName name="No_species">'[1]Emission factors'!$B$69</definedName>
    <definedName name="Post_harvest_energy_categories">[1]Energy!$A$28:$A$44</definedName>
    <definedName name="Post_harvest_energy_data">[1]Energy!$A$28:$D$44</definedName>
    <definedName name="Share_biofuels_AT">'Parameters, country spec'!#REF!</definedName>
    <definedName name="Share_biofuels_BE">'Parameters, country spec'!#REF!</definedName>
    <definedName name="Share_biofuels_BG">'Parameters, country spec'!#REF!</definedName>
    <definedName name="Share_biofuels_BR">'Parameters, country spec'!#REF!</definedName>
    <definedName name="Share_biofuels_CY">'Parameters, country spec'!#REF!</definedName>
    <definedName name="Share_biofuels_CZ">'Parameters, country spec'!#REF!</definedName>
    <definedName name="Share_biofuels_DE">'Parameters, country spec'!$D$56</definedName>
    <definedName name="Share_biofuels_DK">'Parameters, country spec'!$B$56</definedName>
    <definedName name="Share_biofuels_EE">'Parameters, country spec'!#REF!</definedName>
    <definedName name="Share_biofuels_ES">'Parameters, country spec'!$K$56</definedName>
    <definedName name="Share_biofuels_FI">'Parameters, country spec'!#REF!</definedName>
    <definedName name="Share_biofuels_FR">'Parameters, country spec'!$C$56</definedName>
    <definedName name="Share_biofuels_GB">'Parameters, country spec'!$M$56</definedName>
    <definedName name="Share_biofuels_GR">'Parameters, country spec'!$E$56</definedName>
    <definedName name="Share_biofuels_HR">'Parameters, country spec'!#REF!</definedName>
    <definedName name="Share_biofuels_HU">'Parameters, country spec'!$F$56</definedName>
    <definedName name="Share_biofuels_IE">'Parameters, country spec'!$G$56</definedName>
    <definedName name="Share_biofuels_IT">'Parameters, country spec'!$H$56</definedName>
    <definedName name="Share_biofuels_LT">'Parameters, country spec'!#REF!</definedName>
    <definedName name="Share_biofuels_LV">'Parameters, country spec'!#REF!</definedName>
    <definedName name="Share_biofuels_MT">'Parameters, country spec'!#REF!</definedName>
    <definedName name="Share_biofuels_NL">'Parameters, country spec'!$I$56</definedName>
    <definedName name="Share_biofuels_PL">'Parameters, country spec'!$J$56</definedName>
    <definedName name="Share_biofuels_PT">'Parameters, country spec'!#REF!</definedName>
    <definedName name="Share_biofuels_RO">'Parameters, country spec'!#REF!</definedName>
    <definedName name="Share_biofuels_SE">'Parameters, country spec'!$L$56</definedName>
    <definedName name="Share_biofuels_SI">'Parameters, country spec'!#REF!</definedName>
    <definedName name="Share_biofuels_SK">'Parameters, country spec'!#REF!</definedName>
    <definedName name="Share_biofuels_TH">'Parameters, country spec'!#REF!</definedName>
    <definedName name="Share_biofuels_US">'Parameters, country spec'!#REF!</definedName>
    <definedName name="Share_heating_AT">'Parameters, country spec'!#REF!</definedName>
    <definedName name="Share_heating_BE">'Parameters, country spec'!#REF!</definedName>
    <definedName name="Share_heating_BG">'Parameters, country spec'!#REF!</definedName>
    <definedName name="Share_heating_BR">'Parameters, country spec'!#REF!</definedName>
    <definedName name="Share_heating_CY">'Parameters, country spec'!#REF!</definedName>
    <definedName name="Share_heating_CZ">'Parameters, country spec'!#REF!</definedName>
    <definedName name="Share_heating_DE">'Parameters, country spec'!$D$55</definedName>
    <definedName name="Share_heating_DK">'Parameters, country spec'!$B$55</definedName>
    <definedName name="Share_heating_EE">'Parameters, country spec'!#REF!</definedName>
    <definedName name="Share_heating_ES">'Parameters, country spec'!$K$55</definedName>
    <definedName name="Share_heating_FI">'Parameters, country spec'!#REF!</definedName>
    <definedName name="Share_heating_FR">'Parameters, country spec'!$C$55</definedName>
    <definedName name="Share_heating_GB">'Parameters, country spec'!$M$55</definedName>
    <definedName name="Share_heating_GR">'Parameters, country spec'!$E$55</definedName>
    <definedName name="Share_heating_HR">'Parameters, country spec'!#REF!</definedName>
    <definedName name="Share_heating_HU">'Parameters, country spec'!$F$55</definedName>
    <definedName name="Share_heating_IE">'Parameters, country spec'!$G$55</definedName>
    <definedName name="Share_heating_IT">'Parameters, country spec'!$H$55</definedName>
    <definedName name="Share_heating_LT">'Parameters, country spec'!#REF!</definedName>
    <definedName name="Share_heating_LV">'Parameters, country spec'!#REF!</definedName>
    <definedName name="Share_heating_MT">'Parameters, country spec'!#REF!</definedName>
    <definedName name="Share_heating_NL">'Parameters, country spec'!$I$55</definedName>
    <definedName name="Share_heating_PL">'Parameters, country spec'!$J$55</definedName>
    <definedName name="Share_heating_PT">'Parameters, country spec'!#REF!</definedName>
    <definedName name="Share_heating_RO">'Parameters, country spec'!#REF!</definedName>
    <definedName name="Share_heating_SE">'Parameters, country spec'!$L$55</definedName>
    <definedName name="Share_heating_SI">'Parameters, country spec'!#REF!</definedName>
    <definedName name="Share_heating_SK">'Parameters, country spec'!#REF!</definedName>
    <definedName name="Share_heating_TH">'Parameters, country spec'!#REF!</definedName>
    <definedName name="Share_heating_US">'Parameters, country spec'!#REF!</definedName>
    <definedName name="Slaughter_age_AT">'Parameters, country spec'!#REF!</definedName>
    <definedName name="Slaughter_age_BE">'Parameters, country spec'!#REF!</definedName>
    <definedName name="Slaughter_age_BG">'Parameters, country spec'!#REF!</definedName>
    <definedName name="Slaughter_age_BR">'Parameters, country spec'!#REF!</definedName>
    <definedName name="Slaughter_age_CY">'Parameters, country spec'!#REF!</definedName>
    <definedName name="Slaughter_age_CZ">'Parameters, country spec'!#REF!</definedName>
    <definedName name="Slaughter_age_DE">'Parameters, country spec'!$D$5</definedName>
    <definedName name="Slaughter_age_DK">'Parameters, country spec'!$B$5</definedName>
    <definedName name="Slaughter_age_EE">'Parameters, country spec'!#REF!</definedName>
    <definedName name="Slaughter_age_ES">'Parameters, country spec'!$K$5</definedName>
    <definedName name="Slaughter_age_FI">'Parameters, country spec'!#REF!</definedName>
    <definedName name="Slaughter_age_FR">'Parameters, country spec'!$C$5</definedName>
    <definedName name="Slaughter_age_GB">'Parameters, country spec'!$M$5</definedName>
    <definedName name="Slaughter_age_GR">'Parameters, country spec'!$E$5</definedName>
    <definedName name="Slaughter_age_HR">'Parameters, country spec'!#REF!</definedName>
    <definedName name="Slaughter_age_HU">'Parameters, country spec'!$F$5</definedName>
    <definedName name="Slaughter_age_IE">'Parameters, country spec'!$G$5</definedName>
    <definedName name="Slaughter_age_IT">'Parameters, country spec'!$H$5</definedName>
    <definedName name="Slaughter_age_LT">'Parameters, country spec'!#REF!</definedName>
    <definedName name="Slaughter_age_LV">'Parameters, country spec'!#REF!</definedName>
    <definedName name="Slaughter_age_MT">'Parameters, country spec'!#REF!</definedName>
    <definedName name="Slaughter_age_NL">'Parameters, country spec'!$I$5</definedName>
    <definedName name="Slaughter_age_PL">'Parameters, country spec'!$J$5</definedName>
    <definedName name="Slaughter_age_PT">'Parameters, country spec'!#REF!</definedName>
    <definedName name="Slaughter_age_RO">'Parameters, country spec'!#REF!</definedName>
    <definedName name="Slaughter_age_SE">'Parameters, country spec'!$L$5</definedName>
    <definedName name="Slaughter_age_SI">'Parameters, country spec'!#REF!</definedName>
    <definedName name="Slaughter_age_SK">'Parameters, country spec'!#REF!</definedName>
    <definedName name="Slaughter_age_TH">'Parameters, country spec'!#REF!</definedName>
    <definedName name="Slaughter_age_US">'Parameters, country spec'!#REF!</definedName>
    <definedName name="Slaughter_duration_class">'Parameters, general'!$B$21</definedName>
    <definedName name="Soil_carbon_categories">'[1]Emission factors'!$A$41:$A$57</definedName>
    <definedName name="Soil_carbon_data">'[1]Emission factors'!$A$41:$B$57</definedName>
    <definedName name="Water_stables_AT">'Parameters, country spec'!#REF!</definedName>
    <definedName name="Water_stables_BE">'Parameters, country spec'!#REF!</definedName>
    <definedName name="Water_stables_BG">'Parameters, country spec'!#REF!</definedName>
    <definedName name="Water_stables_BR">'Parameters, country spec'!#REF!</definedName>
    <definedName name="Water_stables_CY">'Parameters, country spec'!#REF!</definedName>
    <definedName name="Water_stables_CZ">'Parameters, country spec'!#REF!</definedName>
    <definedName name="Water_stables_DE">'Parameters, country spec'!$D$88</definedName>
    <definedName name="Water_stables_DK">'Parameters, country spec'!$B$88</definedName>
    <definedName name="Water_stables_EE">'Parameters, country spec'!#REF!</definedName>
    <definedName name="Water_stables_ES">'Parameters, country spec'!$K$88</definedName>
    <definedName name="Water_stables_FI">'Parameters, country spec'!#REF!</definedName>
    <definedName name="Water_stables_FR">'Parameters, country spec'!$C$88</definedName>
    <definedName name="Water_stables_GB">'Parameters, country spec'!$M$88</definedName>
    <definedName name="Water_stables_GR">'Parameters, country spec'!$E$88</definedName>
    <definedName name="Water_stables_HR">'Parameters, country spec'!#REF!</definedName>
    <definedName name="Water_stables_HU">'Parameters, country spec'!$F$88</definedName>
    <definedName name="Water_stables_IE">'Parameters, country spec'!$G$88</definedName>
    <definedName name="Water_stables_IT">'Parameters, country spec'!$H$88</definedName>
    <definedName name="Water_stables_LT">'Parameters, country spec'!#REF!</definedName>
    <definedName name="Water_stables_LV">'Parameters, country spec'!#REF!</definedName>
    <definedName name="Water_stables_MT">'Parameters, country spec'!#REF!</definedName>
    <definedName name="Water_stables_NL">'Parameters, country spec'!$I$88</definedName>
    <definedName name="Water_stables_PL">'Parameters, country spec'!$J$88</definedName>
    <definedName name="Water_stables_PT">'Parameters, country spec'!#REF!</definedName>
    <definedName name="Water_stables_RO">'Parameters, country spec'!#REF!</definedName>
    <definedName name="Water_stables_SE">'Parameters, country spec'!$L$88</definedName>
    <definedName name="Water_stables_SI">'Parameters, country spec'!#REF!</definedName>
    <definedName name="Water_stables_SK">'Parameters, country spec'!#REF!</definedName>
    <definedName name="Water_stables_TH">'Parameters, country spec'!#REF!</definedName>
    <definedName name="Water_stables_US">'Parameters, country spec'!#REF!</definedName>
    <definedName name="Weight_ability_to_perceive_handling">'Parameters, general'!$B$24</definedName>
    <definedName name="Weight_diseases">'Parameters, general'!$B$26</definedName>
    <definedName name="Weight_mortality">'Parameters, general'!$B$25</definedName>
    <definedName name="Weight_no_of_animal">'Parameters, general'!$B$23</definedName>
    <definedName name="Weight_slaughter_duration_class">'Parameters, general'!$B$28</definedName>
    <definedName name="Weight_space">'Parameters, general'!$B$27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8" i="17" l="1"/>
  <c r="F140" i="15"/>
  <c r="F141" i="15"/>
  <c r="F142" i="15"/>
  <c r="F143" i="15"/>
  <c r="F144" i="15"/>
  <c r="F139" i="15"/>
  <c r="O23" i="23" l="1" a="1"/>
  <c r="O23" i="23" s="1"/>
  <c r="O26" i="23" l="1" a="1"/>
  <c r="O26" i="23" s="1"/>
  <c r="O24" i="23"/>
  <c r="H12" i="13"/>
  <c r="I13" i="16"/>
  <c r="I16" i="16" s="1"/>
  <c r="I14" i="16"/>
  <c r="I25" i="16"/>
  <c r="I28" i="16" s="1"/>
  <c r="I26" i="16"/>
  <c r="I37" i="16"/>
  <c r="I38" i="16"/>
  <c r="I49" i="16"/>
  <c r="I50" i="16"/>
  <c r="I61" i="16"/>
  <c r="I62" i="16"/>
  <c r="I73" i="16"/>
  <c r="I76" i="16" s="1"/>
  <c r="I74" i="16"/>
  <c r="I85" i="16"/>
  <c r="I86" i="16"/>
  <c r="I97" i="16"/>
  <c r="I98" i="16"/>
  <c r="I109" i="16"/>
  <c r="I110" i="16"/>
  <c r="I121" i="16"/>
  <c r="I122" i="16"/>
  <c r="I133" i="16"/>
  <c r="I134" i="16"/>
  <c r="I145" i="16"/>
  <c r="I146" i="16"/>
  <c r="O22" i="23" l="1"/>
  <c r="I100" i="16"/>
  <c r="I52" i="16"/>
  <c r="I148" i="16"/>
  <c r="I88" i="16"/>
  <c r="I124" i="16"/>
  <c r="I40" i="16"/>
  <c r="I136" i="16"/>
  <c r="I112" i="16"/>
  <c r="I64" i="16"/>
  <c r="W20" i="13"/>
  <c r="M21" i="13"/>
  <c r="L27" i="4" l="1"/>
  <c r="L29" i="4" s="1"/>
  <c r="F130" i="2"/>
  <c r="I78" i="24"/>
  <c r="X47" i="13"/>
  <c r="X17" i="13"/>
  <c r="N23" i="23" l="1"/>
  <c r="H74" i="23" l="1"/>
  <c r="X40" i="13"/>
  <c r="W40" i="13"/>
  <c r="X38" i="13"/>
  <c r="W38" i="13"/>
  <c r="X37" i="13"/>
  <c r="W37" i="13"/>
  <c r="C96" i="23"/>
  <c r="C95" i="23"/>
  <c r="I43" i="23"/>
  <c r="C106" i="23" l="1"/>
  <c r="P77" i="23"/>
  <c r="P75" i="23"/>
  <c r="P74" i="23"/>
  <c r="O74" i="23"/>
  <c r="C105" i="23"/>
  <c r="C104" i="23"/>
  <c r="C103" i="23"/>
  <c r="I77" i="23"/>
  <c r="G74" i="23"/>
  <c r="N16" i="23" l="1"/>
  <c r="O66" i="22" l="1"/>
  <c r="O64" i="22"/>
  <c r="N62" i="22"/>
  <c r="O61" i="22"/>
  <c r="O59" i="22"/>
  <c r="M58" i="22"/>
  <c r="M59" i="22" s="1"/>
  <c r="L58" i="22"/>
  <c r="L59" i="22" s="1"/>
  <c r="K58" i="22"/>
  <c r="K59" i="22" s="1"/>
  <c r="J58" i="22"/>
  <c r="J59" i="22" s="1"/>
  <c r="I58" i="22"/>
  <c r="I59" i="22" s="1"/>
  <c r="H58" i="22"/>
  <c r="H59" i="22" s="1"/>
  <c r="G58" i="22"/>
  <c r="G59" i="22" s="1"/>
  <c r="F58" i="22"/>
  <c r="F59" i="22" s="1"/>
  <c r="E51" i="22"/>
  <c r="M50" i="22"/>
  <c r="M65" i="22" s="1"/>
  <c r="M66" i="22" s="1"/>
  <c r="L50" i="22"/>
  <c r="L65" i="22" s="1"/>
  <c r="L66" i="22" s="1"/>
  <c r="K50" i="22"/>
  <c r="K65" i="22" s="1"/>
  <c r="K66" i="22" s="1"/>
  <c r="J50" i="22"/>
  <c r="J65" i="22" s="1"/>
  <c r="J66" i="22" s="1"/>
  <c r="I50" i="22"/>
  <c r="I65" i="22" s="1"/>
  <c r="I66" i="22" s="1"/>
  <c r="H50" i="22"/>
  <c r="H65" i="22" s="1"/>
  <c r="H66" i="22" s="1"/>
  <c r="G50" i="22"/>
  <c r="G65" i="22" s="1"/>
  <c r="G66" i="22" s="1"/>
  <c r="F50" i="22"/>
  <c r="F65" i="22" s="1"/>
  <c r="F66" i="22" s="1"/>
  <c r="E66" i="22" s="1"/>
  <c r="D66" i="22" s="1"/>
  <c r="O49" i="22"/>
  <c r="E65" i="22" s="1"/>
  <c r="M48" i="22"/>
  <c r="M63" i="22" s="1"/>
  <c r="M64" i="22" s="1"/>
  <c r="L48" i="22"/>
  <c r="L63" i="22" s="1"/>
  <c r="L64" i="22" s="1"/>
  <c r="K48" i="22"/>
  <c r="K63" i="22" s="1"/>
  <c r="K64" i="22" s="1"/>
  <c r="J48" i="22"/>
  <c r="J63" i="22" s="1"/>
  <c r="J64" i="22" s="1"/>
  <c r="I48" i="22"/>
  <c r="I63" i="22" s="1"/>
  <c r="I64" i="22" s="1"/>
  <c r="H48" i="22"/>
  <c r="H63" i="22" s="1"/>
  <c r="H64" i="22" s="1"/>
  <c r="G48" i="22"/>
  <c r="G63" i="22" s="1"/>
  <c r="G64" i="22" s="1"/>
  <c r="F48" i="22"/>
  <c r="F63" i="22" s="1"/>
  <c r="F64" i="22" s="1"/>
  <c r="O47" i="22"/>
  <c r="E63" i="22" s="1"/>
  <c r="M46" i="22"/>
  <c r="M62" i="22" s="1"/>
  <c r="L46" i="22"/>
  <c r="L62" i="22" s="1"/>
  <c r="K46" i="22"/>
  <c r="K62" i="22" s="1"/>
  <c r="J46" i="22"/>
  <c r="J62" i="22" s="1"/>
  <c r="I46" i="22"/>
  <c r="I62" i="22" s="1"/>
  <c r="H46" i="22"/>
  <c r="H62" i="22" s="1"/>
  <c r="G46" i="22"/>
  <c r="G62" i="22" s="1"/>
  <c r="F46" i="22"/>
  <c r="F62" i="22" s="1"/>
  <c r="O45" i="22"/>
  <c r="E62" i="22" s="1"/>
  <c r="E44" i="22"/>
  <c r="L60" i="22" s="1"/>
  <c r="L61" i="22" s="1"/>
  <c r="M43" i="22"/>
  <c r="L43" i="22"/>
  <c r="K43" i="22"/>
  <c r="J43" i="22"/>
  <c r="I43" i="22"/>
  <c r="H43" i="22"/>
  <c r="G43" i="22"/>
  <c r="F43" i="22"/>
  <c r="O42" i="22"/>
  <c r="E60" i="22" s="1"/>
  <c r="M41" i="22"/>
  <c r="L41" i="22"/>
  <c r="K41" i="22"/>
  <c r="J41" i="22"/>
  <c r="I41" i="22"/>
  <c r="H41" i="22"/>
  <c r="G41" i="22"/>
  <c r="F41" i="22"/>
  <c r="O40" i="22"/>
  <c r="E58" i="22" s="1"/>
  <c r="M39" i="22"/>
  <c r="M57" i="22" s="1"/>
  <c r="L39" i="22"/>
  <c r="L57" i="22" s="1"/>
  <c r="K39" i="22"/>
  <c r="K57" i="22" s="1"/>
  <c r="J39" i="22"/>
  <c r="J57" i="22" s="1"/>
  <c r="I39" i="22"/>
  <c r="I57" i="22" s="1"/>
  <c r="H39" i="22"/>
  <c r="H57" i="22" s="1"/>
  <c r="G39" i="22"/>
  <c r="G57" i="22" s="1"/>
  <c r="F39" i="22"/>
  <c r="F57" i="22" s="1"/>
  <c r="O38" i="22"/>
  <c r="E57" i="22" s="1"/>
  <c r="D57" i="22" s="1"/>
  <c r="M63" i="4"/>
  <c r="L63" i="4"/>
  <c r="K63" i="4"/>
  <c r="J63" i="4"/>
  <c r="I63" i="4"/>
  <c r="H63" i="4"/>
  <c r="G63" i="4"/>
  <c r="F63" i="4"/>
  <c r="E63" i="4"/>
  <c r="D63" i="4"/>
  <c r="C63" i="4"/>
  <c r="B63" i="4"/>
  <c r="L37" i="14"/>
  <c r="Q61" i="14"/>
  <c r="D62" i="16"/>
  <c r="D145" i="16"/>
  <c r="D133" i="16"/>
  <c r="D121" i="16"/>
  <c r="D109" i="16"/>
  <c r="D97" i="16"/>
  <c r="D85" i="16"/>
  <c r="D73" i="16"/>
  <c r="D61" i="16"/>
  <c r="D49" i="16"/>
  <c r="D37" i="16"/>
  <c r="D25" i="16"/>
  <c r="D13" i="16"/>
  <c r="O145" i="14"/>
  <c r="L145" i="14"/>
  <c r="D145" i="14"/>
  <c r="O133" i="14"/>
  <c r="L133" i="14"/>
  <c r="D133" i="14"/>
  <c r="O121" i="14"/>
  <c r="L121" i="14"/>
  <c r="D121" i="14"/>
  <c r="O109" i="14"/>
  <c r="L109" i="14"/>
  <c r="D109" i="14"/>
  <c r="O97" i="14"/>
  <c r="L97" i="14"/>
  <c r="D97" i="14"/>
  <c r="O85" i="14"/>
  <c r="L85" i="14"/>
  <c r="D85" i="14"/>
  <c r="O73" i="14"/>
  <c r="L73" i="14"/>
  <c r="D73" i="14"/>
  <c r="O61" i="14"/>
  <c r="L61" i="14"/>
  <c r="D61" i="14"/>
  <c r="O49" i="14"/>
  <c r="L49" i="14"/>
  <c r="D49" i="14"/>
  <c r="O37" i="14"/>
  <c r="D37" i="14"/>
  <c r="O25" i="14"/>
  <c r="L25" i="14"/>
  <c r="D25" i="14"/>
  <c r="O13" i="14"/>
  <c r="L13" i="14"/>
  <c r="D13" i="14"/>
  <c r="E64" i="22" l="1"/>
  <c r="D64" i="22" s="1"/>
  <c r="E59" i="22"/>
  <c r="D59" i="22" s="1"/>
  <c r="D62" i="22"/>
  <c r="F60" i="22"/>
  <c r="F61" i="22" s="1"/>
  <c r="E61" i="22" s="1"/>
  <c r="D61" i="22" s="1"/>
  <c r="M60" i="22"/>
  <c r="M61" i="22" s="1"/>
  <c r="G60" i="22"/>
  <c r="G61" i="22" s="1"/>
  <c r="H60" i="22"/>
  <c r="H61" i="22" s="1"/>
  <c r="J60" i="22"/>
  <c r="J61" i="22" s="1"/>
  <c r="K60" i="22"/>
  <c r="K61" i="22" s="1"/>
  <c r="I60" i="22"/>
  <c r="I61" i="22" s="1"/>
  <c r="Q25" i="14"/>
  <c r="Q49" i="14"/>
  <c r="Q73" i="14"/>
  <c r="Q109" i="14"/>
  <c r="Q145" i="14"/>
  <c r="Q13" i="14"/>
  <c r="Q37" i="14"/>
  <c r="Q85" i="14"/>
  <c r="Q97" i="14"/>
  <c r="Q133" i="14"/>
  <c r="Q121" i="14"/>
  <c r="B59" i="22" l="1"/>
  <c r="B64" i="22"/>
  <c r="Q146" i="2"/>
  <c r="L146" i="2"/>
  <c r="J146" i="2"/>
  <c r="D146" i="2"/>
  <c r="Q145" i="2"/>
  <c r="D145" i="2"/>
  <c r="Q134" i="2"/>
  <c r="L134" i="2"/>
  <c r="J134" i="2"/>
  <c r="D134" i="2"/>
  <c r="Q133" i="2"/>
  <c r="D133" i="2"/>
  <c r="Q122" i="2"/>
  <c r="L122" i="2"/>
  <c r="J122" i="2"/>
  <c r="D122" i="2"/>
  <c r="Q121" i="2"/>
  <c r="D121" i="2"/>
  <c r="Q110" i="2"/>
  <c r="L110" i="2"/>
  <c r="K110" i="2"/>
  <c r="J110" i="2"/>
  <c r="D110" i="2"/>
  <c r="Q109" i="2"/>
  <c r="D109" i="2"/>
  <c r="Q98" i="2"/>
  <c r="L98" i="2"/>
  <c r="J98" i="2"/>
  <c r="D98" i="2"/>
  <c r="Q97" i="2"/>
  <c r="D97" i="2"/>
  <c r="Q86" i="2"/>
  <c r="L86" i="2"/>
  <c r="J86" i="2"/>
  <c r="D86" i="2"/>
  <c r="Q85" i="2"/>
  <c r="O85" i="2"/>
  <c r="D85" i="2"/>
  <c r="Q74" i="2"/>
  <c r="L74" i="2"/>
  <c r="J74" i="2"/>
  <c r="D74" i="2"/>
  <c r="Q73" i="2"/>
  <c r="O73" i="2"/>
  <c r="D73" i="2"/>
  <c r="Q62" i="2"/>
  <c r="L62" i="2"/>
  <c r="J62" i="2"/>
  <c r="D62" i="2"/>
  <c r="Q61" i="2"/>
  <c r="O61" i="2"/>
  <c r="D61" i="2"/>
  <c r="Q50" i="2"/>
  <c r="L50" i="2"/>
  <c r="J50" i="2"/>
  <c r="D50" i="2"/>
  <c r="Q49" i="2"/>
  <c r="D49" i="2"/>
  <c r="Q38" i="2"/>
  <c r="L38" i="2"/>
  <c r="J38" i="2"/>
  <c r="D38" i="2"/>
  <c r="Q37" i="2"/>
  <c r="D37" i="2"/>
  <c r="Q26" i="2"/>
  <c r="L26" i="2"/>
  <c r="J26" i="2"/>
  <c r="D26" i="2"/>
  <c r="Q25" i="2"/>
  <c r="D25" i="2"/>
  <c r="Q14" i="2"/>
  <c r="L14" i="2"/>
  <c r="J14" i="2"/>
  <c r="D14" i="2"/>
  <c r="Q13" i="2"/>
  <c r="D13" i="2"/>
  <c r="Q85" i="15"/>
  <c r="J85" i="15"/>
  <c r="D85" i="15"/>
  <c r="Q73" i="15"/>
  <c r="J73" i="15"/>
  <c r="D73" i="15"/>
  <c r="Q61" i="15"/>
  <c r="J61" i="15"/>
  <c r="D61" i="15"/>
  <c r="Q49" i="15"/>
  <c r="J49" i="15"/>
  <c r="D49" i="15"/>
  <c r="Q37" i="15"/>
  <c r="J37" i="15"/>
  <c r="D37" i="15"/>
  <c r="Q25" i="15"/>
  <c r="O25" i="15"/>
  <c r="J25" i="15"/>
  <c r="D25" i="15"/>
  <c r="Q13" i="15"/>
  <c r="J13" i="15"/>
  <c r="D13" i="15"/>
  <c r="G88" i="23"/>
  <c r="H88" i="23"/>
  <c r="I88" i="23"/>
  <c r="J88" i="23"/>
  <c r="K88" i="23"/>
  <c r="L88" i="23"/>
  <c r="F88" i="23"/>
  <c r="G36" i="23"/>
  <c r="H36" i="23"/>
  <c r="I36" i="23"/>
  <c r="J36" i="23"/>
  <c r="K36" i="23"/>
  <c r="L36" i="23"/>
  <c r="F36" i="23"/>
  <c r="O77" i="23"/>
  <c r="O75" i="23"/>
  <c r="P121" i="2"/>
  <c r="F24" i="23"/>
  <c r="G24" i="23"/>
  <c r="J24" i="23"/>
  <c r="L24" i="23"/>
  <c r="M24" i="23"/>
  <c r="F26" i="23"/>
  <c r="G26" i="23"/>
  <c r="H26" i="23"/>
  <c r="I26" i="23"/>
  <c r="J26" i="23"/>
  <c r="L26" i="23"/>
  <c r="M26" i="23"/>
  <c r="G23" i="23"/>
  <c r="H23" i="23"/>
  <c r="I122" i="2" s="1"/>
  <c r="J23" i="23"/>
  <c r="L23" i="23"/>
  <c r="M23" i="23"/>
  <c r="F23" i="23"/>
  <c r="F75" i="23"/>
  <c r="G61" i="15" s="1"/>
  <c r="G75" i="23"/>
  <c r="I37" i="15"/>
  <c r="J75" i="23"/>
  <c r="L49" i="15"/>
  <c r="L75" i="23"/>
  <c r="M85" i="15" s="1"/>
  <c r="M75" i="23"/>
  <c r="N25" i="15" s="1"/>
  <c r="F77" i="23"/>
  <c r="G77" i="23"/>
  <c r="H77" i="23"/>
  <c r="J77" i="23"/>
  <c r="L77" i="23"/>
  <c r="M77" i="23"/>
  <c r="H73" i="2"/>
  <c r="I37" i="2"/>
  <c r="J37" i="2"/>
  <c r="J74" i="23"/>
  <c r="L74" i="23"/>
  <c r="M74" i="23"/>
  <c r="O49" i="2"/>
  <c r="F74" i="23"/>
  <c r="O146" i="2" l="1"/>
  <c r="N22" i="23"/>
  <c r="J145" i="16"/>
  <c r="J133" i="16"/>
  <c r="J121" i="16"/>
  <c r="J109" i="16"/>
  <c r="J97" i="16"/>
  <c r="J85" i="16"/>
  <c r="J73" i="16"/>
  <c r="J61" i="16"/>
  <c r="J49" i="16"/>
  <c r="J37" i="16"/>
  <c r="J25" i="16"/>
  <c r="J13" i="16"/>
  <c r="M121" i="14"/>
  <c r="M61" i="14"/>
  <c r="M109" i="14"/>
  <c r="M49" i="14"/>
  <c r="M145" i="14"/>
  <c r="M97" i="14"/>
  <c r="M85" i="14"/>
  <c r="M13" i="14"/>
  <c r="M37" i="14"/>
  <c r="M133" i="14"/>
  <c r="M73" i="14"/>
  <c r="M25" i="14"/>
  <c r="J62" i="16"/>
  <c r="N86" i="2"/>
  <c r="K133" i="14"/>
  <c r="K73" i="14"/>
  <c r="K25" i="14"/>
  <c r="K121" i="14"/>
  <c r="K61" i="14"/>
  <c r="K37" i="14"/>
  <c r="K109" i="14"/>
  <c r="K49" i="14"/>
  <c r="K145" i="14"/>
  <c r="K97" i="14"/>
  <c r="K85" i="14"/>
  <c r="K13" i="14"/>
  <c r="H145" i="16"/>
  <c r="H133" i="16"/>
  <c r="H121" i="16"/>
  <c r="H109" i="16"/>
  <c r="H97" i="16"/>
  <c r="H85" i="16"/>
  <c r="H73" i="16"/>
  <c r="H61" i="16"/>
  <c r="H49" i="16"/>
  <c r="H37" i="16"/>
  <c r="H25" i="16"/>
  <c r="H13" i="16"/>
  <c r="N61" i="2"/>
  <c r="H62" i="16"/>
  <c r="G145" i="16"/>
  <c r="G133" i="16"/>
  <c r="G121" i="16"/>
  <c r="G109" i="16"/>
  <c r="G97" i="16"/>
  <c r="G85" i="16"/>
  <c r="G73" i="16"/>
  <c r="G61" i="16"/>
  <c r="G49" i="16"/>
  <c r="G37" i="16"/>
  <c r="G25" i="16"/>
  <c r="G13" i="16"/>
  <c r="G146" i="2"/>
  <c r="K62" i="16"/>
  <c r="G62" i="16"/>
  <c r="G26" i="2"/>
  <c r="G38" i="2"/>
  <c r="G50" i="2"/>
  <c r="G134" i="2"/>
  <c r="H146" i="2"/>
  <c r="J97" i="14"/>
  <c r="J133" i="14"/>
  <c r="J73" i="14"/>
  <c r="J25" i="14"/>
  <c r="J13" i="14"/>
  <c r="J37" i="14"/>
  <c r="J121" i="14"/>
  <c r="J61" i="14"/>
  <c r="J145" i="14"/>
  <c r="J85" i="14"/>
  <c r="J109" i="14"/>
  <c r="J49" i="14"/>
  <c r="H37" i="14"/>
  <c r="H145" i="14"/>
  <c r="H97" i="14"/>
  <c r="H85" i="14"/>
  <c r="H13" i="14"/>
  <c r="H133" i="14"/>
  <c r="H73" i="14"/>
  <c r="H25" i="14"/>
  <c r="H109" i="14"/>
  <c r="H49" i="14"/>
  <c r="H121" i="14"/>
  <c r="H61" i="14"/>
  <c r="F145" i="16"/>
  <c r="F133" i="16"/>
  <c r="F121" i="16"/>
  <c r="F109" i="16"/>
  <c r="F97" i="16"/>
  <c r="F85" i="16"/>
  <c r="F73" i="16"/>
  <c r="F61" i="16"/>
  <c r="F49" i="16"/>
  <c r="F37" i="16"/>
  <c r="F25" i="16"/>
  <c r="F13" i="16"/>
  <c r="I50" i="2"/>
  <c r="G122" i="2"/>
  <c r="I145" i="14"/>
  <c r="I97" i="14"/>
  <c r="I85" i="14"/>
  <c r="I13" i="14"/>
  <c r="I37" i="14"/>
  <c r="I133" i="14"/>
  <c r="I73" i="14"/>
  <c r="I25" i="14"/>
  <c r="I121" i="14"/>
  <c r="I61" i="14"/>
  <c r="I109" i="14"/>
  <c r="I49" i="14"/>
  <c r="G37" i="14"/>
  <c r="G109" i="14"/>
  <c r="G49" i="14"/>
  <c r="G145" i="14"/>
  <c r="G97" i="14"/>
  <c r="G85" i="14"/>
  <c r="G13" i="14"/>
  <c r="G133" i="14"/>
  <c r="G73" i="14"/>
  <c r="G25" i="14"/>
  <c r="G121" i="14"/>
  <c r="G61" i="14"/>
  <c r="F62" i="16"/>
  <c r="L145" i="16"/>
  <c r="L133" i="16"/>
  <c r="L121" i="16"/>
  <c r="L109" i="16"/>
  <c r="L97" i="16"/>
  <c r="L85" i="16"/>
  <c r="L73" i="16"/>
  <c r="L61" i="16"/>
  <c r="L49" i="16"/>
  <c r="L37" i="16"/>
  <c r="L25" i="16"/>
  <c r="L13" i="16"/>
  <c r="G14" i="2"/>
  <c r="K26" i="2"/>
  <c r="G62" i="2"/>
  <c r="G74" i="2"/>
  <c r="G86" i="2"/>
  <c r="G98" i="2"/>
  <c r="G110" i="2"/>
  <c r="N109" i="14"/>
  <c r="N49" i="14"/>
  <c r="N61" i="14"/>
  <c r="N145" i="14"/>
  <c r="N97" i="14"/>
  <c r="N85" i="14"/>
  <c r="N13" i="14"/>
  <c r="N133" i="14"/>
  <c r="N73" i="14"/>
  <c r="N25" i="14"/>
  <c r="N37" i="14"/>
  <c r="N121" i="14"/>
  <c r="G85" i="2"/>
  <c r="L62" i="16"/>
  <c r="K145" i="16"/>
  <c r="K133" i="16"/>
  <c r="K121" i="16"/>
  <c r="K109" i="16"/>
  <c r="K97" i="16"/>
  <c r="K85" i="16"/>
  <c r="K73" i="16"/>
  <c r="K61" i="16"/>
  <c r="K49" i="16"/>
  <c r="K37" i="16"/>
  <c r="K25" i="16"/>
  <c r="K13" i="16"/>
  <c r="H61" i="15"/>
  <c r="N38" i="2"/>
  <c r="H98" i="2"/>
  <c r="K14" i="2"/>
  <c r="O38" i="2"/>
  <c r="K62" i="2"/>
  <c r="M74" i="2"/>
  <c r="O86" i="2"/>
  <c r="I98" i="2"/>
  <c r="K122" i="2"/>
  <c r="N134" i="2"/>
  <c r="I146" i="2"/>
  <c r="M134" i="2"/>
  <c r="M26" i="2"/>
  <c r="H38" i="2"/>
  <c r="K50" i="2"/>
  <c r="N74" i="2"/>
  <c r="H86" i="2"/>
  <c r="M110" i="2"/>
  <c r="O134" i="2"/>
  <c r="M14" i="2"/>
  <c r="I38" i="2"/>
  <c r="M62" i="2"/>
  <c r="O74" i="2"/>
  <c r="I86" i="2"/>
  <c r="K98" i="2"/>
  <c r="N110" i="2"/>
  <c r="M122" i="2"/>
  <c r="H134" i="2"/>
  <c r="K146" i="2"/>
  <c r="N26" i="2"/>
  <c r="N14" i="2"/>
  <c r="O26" i="2"/>
  <c r="M50" i="2"/>
  <c r="N62" i="2"/>
  <c r="H74" i="2"/>
  <c r="O110" i="2"/>
  <c r="N122" i="2"/>
  <c r="I134" i="2"/>
  <c r="O14" i="2"/>
  <c r="H26" i="2"/>
  <c r="K38" i="2"/>
  <c r="N50" i="2"/>
  <c r="O62" i="2"/>
  <c r="I74" i="2"/>
  <c r="K86" i="2"/>
  <c r="M98" i="2"/>
  <c r="H110" i="2"/>
  <c r="O122" i="2"/>
  <c r="M146" i="2"/>
  <c r="H14" i="2"/>
  <c r="I26" i="2"/>
  <c r="O50" i="2"/>
  <c r="H62" i="2"/>
  <c r="N98" i="2"/>
  <c r="I110" i="2"/>
  <c r="H122" i="2"/>
  <c r="K134" i="2"/>
  <c r="N146" i="2"/>
  <c r="I14" i="2"/>
  <c r="M38" i="2"/>
  <c r="H50" i="2"/>
  <c r="I62" i="2"/>
  <c r="K74" i="2"/>
  <c r="M86" i="2"/>
  <c r="O98" i="2"/>
  <c r="P49" i="15"/>
  <c r="P110" i="2"/>
  <c r="P73" i="15"/>
  <c r="P98" i="2"/>
  <c r="P146" i="2"/>
  <c r="P50" i="2"/>
  <c r="P134" i="2"/>
  <c r="P13" i="15"/>
  <c r="P13" i="2"/>
  <c r="P38" i="2"/>
  <c r="F38" i="2" s="1"/>
  <c r="P62" i="2"/>
  <c r="P74" i="2"/>
  <c r="P86" i="2"/>
  <c r="P122" i="2"/>
  <c r="P25" i="15"/>
  <c r="P37" i="15"/>
  <c r="P26" i="2"/>
  <c r="P109" i="2"/>
  <c r="P25" i="2"/>
  <c r="P61" i="15"/>
  <c r="P85" i="15"/>
  <c r="P97" i="2"/>
  <c r="P145" i="2"/>
  <c r="P133" i="14"/>
  <c r="P85" i="14"/>
  <c r="P13" i="14"/>
  <c r="P37" i="14"/>
  <c r="P109" i="14"/>
  <c r="P49" i="14"/>
  <c r="P145" i="14"/>
  <c r="P121" i="14"/>
  <c r="P73" i="14"/>
  <c r="P97" i="14"/>
  <c r="P61" i="14"/>
  <c r="P25" i="14"/>
  <c r="P49" i="2"/>
  <c r="P133" i="2"/>
  <c r="P14" i="2"/>
  <c r="P37" i="2"/>
  <c r="P61" i="2"/>
  <c r="P73" i="2"/>
  <c r="P85" i="2"/>
  <c r="O97" i="2"/>
  <c r="O121" i="2"/>
  <c r="O133" i="2"/>
  <c r="O145" i="2"/>
  <c r="O109" i="2"/>
  <c r="O13" i="2"/>
  <c r="O25" i="2"/>
  <c r="O37" i="2"/>
  <c r="I61" i="15"/>
  <c r="G49" i="15"/>
  <c r="G13" i="15"/>
  <c r="H13" i="15"/>
  <c r="M49" i="15"/>
  <c r="G85" i="15"/>
  <c r="L73" i="15"/>
  <c r="G25" i="15"/>
  <c r="H25" i="15"/>
  <c r="K37" i="15"/>
  <c r="I25" i="15"/>
  <c r="K73" i="15"/>
  <c r="N13" i="2"/>
  <c r="I61" i="2"/>
  <c r="K13" i="2"/>
  <c r="L13" i="2"/>
  <c r="K61" i="2"/>
  <c r="K25" i="2"/>
  <c r="I73" i="2"/>
  <c r="K37" i="2"/>
  <c r="K73" i="2"/>
  <c r="N97" i="2"/>
  <c r="I49" i="2"/>
  <c r="N73" i="2"/>
  <c r="N109" i="2"/>
  <c r="J49" i="2"/>
  <c r="H85" i="2"/>
  <c r="I13" i="2"/>
  <c r="L49" i="2"/>
  <c r="J85" i="2"/>
  <c r="M121" i="2"/>
  <c r="M133" i="2"/>
  <c r="M145" i="2"/>
  <c r="M13" i="2"/>
  <c r="L25" i="2"/>
  <c r="L37" i="2"/>
  <c r="K49" i="2"/>
  <c r="J61" i="2"/>
  <c r="J73" i="2"/>
  <c r="I85" i="2"/>
  <c r="G97" i="2"/>
  <c r="G109" i="2"/>
  <c r="N121" i="2"/>
  <c r="N133" i="2"/>
  <c r="N145" i="2"/>
  <c r="G133" i="2"/>
  <c r="G13" i="2"/>
  <c r="N25" i="2"/>
  <c r="N37" i="2"/>
  <c r="M49" i="2"/>
  <c r="L61" i="2"/>
  <c r="L73" i="2"/>
  <c r="K85" i="2"/>
  <c r="I97" i="2"/>
  <c r="I109" i="2"/>
  <c r="H121" i="2"/>
  <c r="H133" i="2"/>
  <c r="H145" i="2"/>
  <c r="M25" i="2"/>
  <c r="M37" i="2"/>
  <c r="H97" i="2"/>
  <c r="H109" i="2"/>
  <c r="G121" i="2"/>
  <c r="G145" i="2"/>
  <c r="H13" i="2"/>
  <c r="G25" i="2"/>
  <c r="G37" i="2"/>
  <c r="N49" i="2"/>
  <c r="M61" i="2"/>
  <c r="M73" i="2"/>
  <c r="L85" i="2"/>
  <c r="J97" i="2"/>
  <c r="J109" i="2"/>
  <c r="I121" i="2"/>
  <c r="I133" i="2"/>
  <c r="I145" i="2"/>
  <c r="H25" i="2"/>
  <c r="H37" i="2"/>
  <c r="G49" i="2"/>
  <c r="M85" i="2"/>
  <c r="K97" i="2"/>
  <c r="K109" i="2"/>
  <c r="J121" i="2"/>
  <c r="J133" i="2"/>
  <c r="J145" i="2"/>
  <c r="J13" i="2"/>
  <c r="I25" i="2"/>
  <c r="H49" i="2"/>
  <c r="G61" i="2"/>
  <c r="G73" i="2"/>
  <c r="N85" i="2"/>
  <c r="L97" i="2"/>
  <c r="L109" i="2"/>
  <c r="K121" i="2"/>
  <c r="K133" i="2"/>
  <c r="K145" i="2"/>
  <c r="J25" i="2"/>
  <c r="H61" i="2"/>
  <c r="M97" i="2"/>
  <c r="M109" i="2"/>
  <c r="L121" i="2"/>
  <c r="L133" i="2"/>
  <c r="L145" i="2"/>
  <c r="O85" i="15"/>
  <c r="O13" i="15"/>
  <c r="O73" i="15"/>
  <c r="O61" i="15"/>
  <c r="O49" i="15"/>
  <c r="O37" i="15"/>
  <c r="H85" i="15"/>
  <c r="N85" i="15"/>
  <c r="N49" i="15"/>
  <c r="I13" i="15"/>
  <c r="M37" i="15"/>
  <c r="H49" i="15"/>
  <c r="K61" i="15"/>
  <c r="N73" i="15"/>
  <c r="I85" i="15"/>
  <c r="G73" i="15"/>
  <c r="N13" i="15"/>
  <c r="M73" i="15"/>
  <c r="K13" i="15"/>
  <c r="L25" i="15"/>
  <c r="G37" i="15"/>
  <c r="M61" i="15"/>
  <c r="H73" i="15"/>
  <c r="K85" i="15"/>
  <c r="L37" i="15"/>
  <c r="L13" i="15"/>
  <c r="M25" i="15"/>
  <c r="H37" i="15"/>
  <c r="K49" i="15"/>
  <c r="N61" i="15"/>
  <c r="I73" i="15"/>
  <c r="L85" i="15"/>
  <c r="K25" i="15"/>
  <c r="N37" i="15"/>
  <c r="I49" i="15"/>
  <c r="L61" i="15"/>
  <c r="M13" i="15"/>
  <c r="F50" i="2" l="1"/>
  <c r="F14" i="2"/>
  <c r="F110" i="2"/>
  <c r="F146" i="2"/>
  <c r="F122" i="2"/>
  <c r="F26" i="2"/>
  <c r="F98" i="2"/>
  <c r="F86" i="2"/>
  <c r="F74" i="2"/>
  <c r="F62" i="2"/>
  <c r="F134" i="2"/>
  <c r="F109" i="2"/>
  <c r="F145" i="2"/>
  <c r="F133" i="2"/>
  <c r="F37" i="2"/>
  <c r="F85" i="2"/>
  <c r="F97" i="2"/>
  <c r="F121" i="2"/>
  <c r="F13" i="2"/>
  <c r="F25" i="2"/>
  <c r="F49" i="2"/>
  <c r="F73" i="2"/>
  <c r="F61" i="2"/>
  <c r="H73" i="23" l="1"/>
  <c r="E71" i="23"/>
  <c r="E70" i="23"/>
  <c r="E69" i="23"/>
  <c r="E68" i="23"/>
  <c r="P67" i="23"/>
  <c r="O67" i="23"/>
  <c r="M67" i="23"/>
  <c r="L67" i="23"/>
  <c r="K67" i="23"/>
  <c r="J67" i="23"/>
  <c r="I67" i="23"/>
  <c r="H67" i="23"/>
  <c r="G67" i="23"/>
  <c r="F67" i="23"/>
  <c r="E76" i="23"/>
  <c r="E65" i="23"/>
  <c r="E64" i="23"/>
  <c r="E63" i="23"/>
  <c r="E62" i="23"/>
  <c r="P61" i="23"/>
  <c r="O61" i="23"/>
  <c r="N61" i="23"/>
  <c r="M61" i="23"/>
  <c r="L61" i="23"/>
  <c r="K61" i="23"/>
  <c r="J61" i="23"/>
  <c r="I61" i="23"/>
  <c r="H61" i="23"/>
  <c r="G61" i="23"/>
  <c r="F61" i="23"/>
  <c r="E59" i="23"/>
  <c r="E58" i="23"/>
  <c r="E57" i="23"/>
  <c r="E56" i="23"/>
  <c r="P55" i="23"/>
  <c r="O55" i="23"/>
  <c r="N55" i="23"/>
  <c r="M55" i="23"/>
  <c r="L55" i="23"/>
  <c r="K55" i="23"/>
  <c r="J55" i="23"/>
  <c r="I55" i="23"/>
  <c r="H55" i="23"/>
  <c r="G55" i="23"/>
  <c r="F55" i="23"/>
  <c r="E67" i="23" l="1"/>
  <c r="M73" i="23"/>
  <c r="F73" i="23"/>
  <c r="I73" i="23"/>
  <c r="J73" i="23"/>
  <c r="E55" i="23"/>
  <c r="E77" i="23"/>
  <c r="E61" i="23"/>
  <c r="G73" i="23"/>
  <c r="L73" i="23"/>
  <c r="P73" i="23"/>
  <c r="B105" i="23" s="1"/>
  <c r="O73" i="23"/>
  <c r="B104" i="23" s="1"/>
  <c r="E74" i="23"/>
  <c r="E75" i="23"/>
  <c r="B103" i="23" l="1"/>
  <c r="B106" i="23" s="1"/>
  <c r="E73" i="23"/>
  <c r="F85" i="14"/>
  <c r="F13" i="14"/>
  <c r="F133" i="14"/>
  <c r="F25" i="14"/>
  <c r="F61" i="14"/>
  <c r="F145" i="14"/>
  <c r="F97" i="14"/>
  <c r="F37" i="14"/>
  <c r="F73" i="14"/>
  <c r="F121" i="14"/>
  <c r="F109" i="14"/>
  <c r="F49" i="14"/>
  <c r="F25" i="15"/>
  <c r="F37" i="15"/>
  <c r="F61" i="15"/>
  <c r="F49" i="15"/>
  <c r="F13" i="15"/>
  <c r="F73" i="15"/>
  <c r="F85" i="15"/>
  <c r="F13" i="22" l="1"/>
  <c r="F12" i="22"/>
  <c r="D146" i="16"/>
  <c r="D134" i="16"/>
  <c r="D122" i="16"/>
  <c r="D110" i="16"/>
  <c r="D98" i="16"/>
  <c r="D86" i="16"/>
  <c r="D74" i="16"/>
  <c r="D50" i="16"/>
  <c r="D38" i="16"/>
  <c r="D26" i="16"/>
  <c r="D14" i="16"/>
  <c r="O146" i="14"/>
  <c r="L146" i="14"/>
  <c r="D146" i="14"/>
  <c r="O134" i="14"/>
  <c r="L134" i="14"/>
  <c r="D134" i="14"/>
  <c r="O122" i="14"/>
  <c r="L122" i="14"/>
  <c r="D122" i="14"/>
  <c r="O110" i="14"/>
  <c r="L110" i="14"/>
  <c r="D110" i="14"/>
  <c r="O98" i="14"/>
  <c r="L98" i="14"/>
  <c r="D98" i="14"/>
  <c r="O86" i="14"/>
  <c r="L86" i="14"/>
  <c r="D86" i="14"/>
  <c r="O74" i="14"/>
  <c r="L74" i="14"/>
  <c r="D74" i="14"/>
  <c r="O62" i="14"/>
  <c r="L62" i="14"/>
  <c r="D62" i="14"/>
  <c r="O50" i="14"/>
  <c r="L50" i="14"/>
  <c r="D50" i="14"/>
  <c r="O38" i="14"/>
  <c r="L38" i="14"/>
  <c r="D38" i="14"/>
  <c r="O26" i="14"/>
  <c r="L26" i="14"/>
  <c r="D26" i="14"/>
  <c r="O14" i="14"/>
  <c r="L14" i="14"/>
  <c r="D14" i="14"/>
  <c r="O146" i="15"/>
  <c r="L146" i="15"/>
  <c r="J146" i="15"/>
  <c r="I146" i="15"/>
  <c r="D146" i="15"/>
  <c r="O134" i="15"/>
  <c r="L134" i="15"/>
  <c r="J134" i="15"/>
  <c r="I134" i="15"/>
  <c r="D134" i="15"/>
  <c r="O122" i="15"/>
  <c r="L122" i="15"/>
  <c r="J122" i="15"/>
  <c r="I122" i="15"/>
  <c r="D122" i="15"/>
  <c r="O110" i="15"/>
  <c r="L110" i="15"/>
  <c r="J110" i="15"/>
  <c r="I110" i="15"/>
  <c r="D110" i="15"/>
  <c r="O98" i="15"/>
  <c r="L98" i="15"/>
  <c r="J98" i="15"/>
  <c r="I98" i="15"/>
  <c r="D98" i="15"/>
  <c r="O86" i="15"/>
  <c r="L86" i="15"/>
  <c r="J86" i="15"/>
  <c r="I86" i="15"/>
  <c r="D86" i="15"/>
  <c r="O74" i="15"/>
  <c r="L74" i="15"/>
  <c r="J74" i="15"/>
  <c r="I74" i="15"/>
  <c r="D74" i="15"/>
  <c r="O62" i="15"/>
  <c r="L62" i="15"/>
  <c r="J62" i="15"/>
  <c r="I62" i="15"/>
  <c r="D62" i="15"/>
  <c r="O50" i="15"/>
  <c r="L50" i="15"/>
  <c r="J50" i="15"/>
  <c r="I50" i="15"/>
  <c r="D50" i="15"/>
  <c r="O38" i="15"/>
  <c r="L38" i="15"/>
  <c r="J38" i="15"/>
  <c r="I38" i="15"/>
  <c r="D38" i="15"/>
  <c r="O26" i="15"/>
  <c r="L26" i="15"/>
  <c r="J26" i="15"/>
  <c r="I26" i="15"/>
  <c r="D26" i="15"/>
  <c r="O14" i="15"/>
  <c r="L14" i="15"/>
  <c r="J14" i="15"/>
  <c r="I14" i="15"/>
  <c r="D14" i="15"/>
  <c r="P26" i="23"/>
  <c r="P24" i="23"/>
  <c r="P10" i="23"/>
  <c r="O10" i="23"/>
  <c r="N10" i="23"/>
  <c r="M10" i="23"/>
  <c r="L10" i="23"/>
  <c r="K10" i="23"/>
  <c r="J10" i="23"/>
  <c r="I10" i="23"/>
  <c r="H10" i="23"/>
  <c r="G10" i="23"/>
  <c r="F10" i="23"/>
  <c r="P16" i="23"/>
  <c r="O16" i="23"/>
  <c r="M16" i="23"/>
  <c r="L16" i="23"/>
  <c r="K16" i="23"/>
  <c r="J16" i="23"/>
  <c r="I16" i="23"/>
  <c r="H16" i="23"/>
  <c r="G16" i="23"/>
  <c r="F16" i="23"/>
  <c r="K22" i="23"/>
  <c r="E25" i="23"/>
  <c r="N122" i="15"/>
  <c r="E13" i="23"/>
  <c r="E14" i="23"/>
  <c r="E17" i="23"/>
  <c r="E18" i="23"/>
  <c r="E19" i="23"/>
  <c r="E20" i="23"/>
  <c r="E11" i="23"/>
  <c r="E12" i="23"/>
  <c r="H146" i="15"/>
  <c r="G110" i="14"/>
  <c r="M110" i="14"/>
  <c r="H86" i="16" l="1"/>
  <c r="H50" i="16"/>
  <c r="H134" i="16"/>
  <c r="H26" i="16"/>
  <c r="H98" i="16"/>
  <c r="H146" i="16"/>
  <c r="H74" i="16"/>
  <c r="H14" i="16"/>
  <c r="H122" i="16"/>
  <c r="H38" i="16"/>
  <c r="H110" i="16"/>
  <c r="F134" i="16"/>
  <c r="F146" i="16"/>
  <c r="G14" i="16"/>
  <c r="G26" i="16"/>
  <c r="G38" i="16"/>
  <c r="G50" i="16"/>
  <c r="G74" i="16"/>
  <c r="G86" i="16"/>
  <c r="G98" i="16"/>
  <c r="G110" i="16"/>
  <c r="G122" i="16"/>
  <c r="G134" i="16"/>
  <c r="G146" i="16"/>
  <c r="F50" i="16"/>
  <c r="F74" i="16"/>
  <c r="F98" i="16"/>
  <c r="F110" i="16"/>
  <c r="F122" i="16"/>
  <c r="J14" i="16"/>
  <c r="J26" i="16"/>
  <c r="J38" i="16"/>
  <c r="J50" i="16"/>
  <c r="J74" i="16"/>
  <c r="J86" i="16"/>
  <c r="J98" i="16"/>
  <c r="J110" i="16"/>
  <c r="J122" i="16"/>
  <c r="J134" i="16"/>
  <c r="J146" i="16"/>
  <c r="K14" i="16"/>
  <c r="K26" i="16"/>
  <c r="K38" i="16"/>
  <c r="K50" i="16"/>
  <c r="K74" i="16"/>
  <c r="K86" i="16"/>
  <c r="K98" i="16"/>
  <c r="K110" i="16"/>
  <c r="K122" i="16"/>
  <c r="K134" i="16"/>
  <c r="K146" i="16"/>
  <c r="F26" i="16"/>
  <c r="L14" i="16"/>
  <c r="L26" i="16"/>
  <c r="L38" i="16"/>
  <c r="L50" i="16"/>
  <c r="L74" i="16"/>
  <c r="L86" i="16"/>
  <c r="L98" i="16"/>
  <c r="L110" i="16"/>
  <c r="L122" i="16"/>
  <c r="L134" i="16"/>
  <c r="L146" i="16"/>
  <c r="F14" i="16"/>
  <c r="F38" i="16"/>
  <c r="F86" i="16"/>
  <c r="N134" i="15"/>
  <c r="K122" i="15"/>
  <c r="K98" i="14"/>
  <c r="K38" i="14"/>
  <c r="J62" i="14"/>
  <c r="M122" i="14"/>
  <c r="E16" i="23"/>
  <c r="M98" i="14"/>
  <c r="J22" i="23"/>
  <c r="P14" i="15"/>
  <c r="K38" i="15"/>
  <c r="K74" i="15"/>
  <c r="M38" i="14"/>
  <c r="I22" i="23"/>
  <c r="K26" i="15"/>
  <c r="P86" i="15"/>
  <c r="K98" i="15"/>
  <c r="J134" i="14"/>
  <c r="K146" i="15"/>
  <c r="K74" i="14"/>
  <c r="E10" i="23"/>
  <c r="G14" i="15"/>
  <c r="N26" i="15"/>
  <c r="K134" i="15"/>
  <c r="G86" i="15"/>
  <c r="M74" i="14"/>
  <c r="M62" i="15"/>
  <c r="M146" i="15"/>
  <c r="M98" i="15"/>
  <c r="M38" i="15"/>
  <c r="L22" i="23"/>
  <c r="P74" i="15"/>
  <c r="P110" i="15"/>
  <c r="P50" i="15"/>
  <c r="N14" i="15"/>
  <c r="H38" i="15"/>
  <c r="Q38" i="15"/>
  <c r="M50" i="15"/>
  <c r="G74" i="15"/>
  <c r="N86" i="15"/>
  <c r="H98" i="15"/>
  <c r="Q98" i="15"/>
  <c r="M110" i="15"/>
  <c r="H122" i="15"/>
  <c r="P122" i="15"/>
  <c r="Q146" i="15"/>
  <c r="H14" i="14"/>
  <c r="I26" i="14"/>
  <c r="H86" i="14"/>
  <c r="G122" i="14"/>
  <c r="M146" i="14"/>
  <c r="K86" i="15"/>
  <c r="K14" i="15"/>
  <c r="K62" i="15"/>
  <c r="K122" i="14"/>
  <c r="K110" i="14"/>
  <c r="K50" i="14"/>
  <c r="K86" i="14"/>
  <c r="K14" i="14"/>
  <c r="K134" i="14"/>
  <c r="K26" i="14"/>
  <c r="M26" i="15"/>
  <c r="N50" i="15"/>
  <c r="N110" i="15"/>
  <c r="M134" i="15"/>
  <c r="I14" i="14"/>
  <c r="J26" i="14"/>
  <c r="M50" i="14"/>
  <c r="K62" i="14"/>
  <c r="I86" i="14"/>
  <c r="H74" i="15"/>
  <c r="H110" i="15"/>
  <c r="H50" i="15"/>
  <c r="N134" i="14"/>
  <c r="N26" i="14"/>
  <c r="N62" i="14"/>
  <c r="N146" i="14"/>
  <c r="N98" i="14"/>
  <c r="N38" i="14"/>
  <c r="M86" i="14"/>
  <c r="M14" i="14"/>
  <c r="M134" i="14"/>
  <c r="M26" i="14"/>
  <c r="M62" i="14"/>
  <c r="H14" i="15"/>
  <c r="G26" i="15"/>
  <c r="Q50" i="15"/>
  <c r="G110" i="15"/>
  <c r="G134" i="15"/>
  <c r="N14" i="14"/>
  <c r="N74" i="14"/>
  <c r="N86" i="14"/>
  <c r="N122" i="14"/>
  <c r="P134" i="14"/>
  <c r="J146" i="14"/>
  <c r="J74" i="14"/>
  <c r="J122" i="14"/>
  <c r="J110" i="14"/>
  <c r="J50" i="14"/>
  <c r="J86" i="14"/>
  <c r="J14" i="14"/>
  <c r="H22" i="23"/>
  <c r="H26" i="15"/>
  <c r="P26" i="15"/>
  <c r="H134" i="15"/>
  <c r="P134" i="15"/>
  <c r="P26" i="14"/>
  <c r="P50" i="14"/>
  <c r="P62" i="14"/>
  <c r="P110" i="14"/>
  <c r="Q134" i="14"/>
  <c r="G22" i="23"/>
  <c r="Q26" i="15"/>
  <c r="N38" i="15"/>
  <c r="P62" i="15"/>
  <c r="M74" i="15"/>
  <c r="N98" i="15"/>
  <c r="M122" i="15"/>
  <c r="Q134" i="15"/>
  <c r="N146" i="15"/>
  <c r="P14" i="14"/>
  <c r="Q26" i="14"/>
  <c r="Q62" i="14"/>
  <c r="P86" i="14"/>
  <c r="N50" i="14"/>
  <c r="N110" i="14"/>
  <c r="G146" i="15"/>
  <c r="G98" i="15"/>
  <c r="G38" i="15"/>
  <c r="G122" i="15"/>
  <c r="Q146" i="14"/>
  <c r="Q98" i="14"/>
  <c r="Q38" i="14"/>
  <c r="Q74" i="14"/>
  <c r="Q122" i="14"/>
  <c r="Q110" i="14"/>
  <c r="Q50" i="14"/>
  <c r="G50" i="15"/>
  <c r="N62" i="15"/>
  <c r="H86" i="15"/>
  <c r="Q110" i="15"/>
  <c r="I146" i="14"/>
  <c r="I98" i="14"/>
  <c r="I38" i="14"/>
  <c r="I74" i="14"/>
  <c r="I122" i="14"/>
  <c r="I110" i="14"/>
  <c r="I50" i="14"/>
  <c r="H146" i="14"/>
  <c r="H98" i="14"/>
  <c r="H38" i="14"/>
  <c r="H74" i="14"/>
  <c r="H122" i="14"/>
  <c r="F22" i="23"/>
  <c r="K50" i="15"/>
  <c r="G62" i="15"/>
  <c r="Q62" i="15"/>
  <c r="K110" i="15"/>
  <c r="Q14" i="14"/>
  <c r="G26" i="14"/>
  <c r="G50" i="14"/>
  <c r="H62" i="14"/>
  <c r="Q86" i="14"/>
  <c r="H134" i="14"/>
  <c r="K146" i="14"/>
  <c r="P22" i="23"/>
  <c r="Q122" i="15"/>
  <c r="Q86" i="15"/>
  <c r="Q14" i="15"/>
  <c r="N74" i="15"/>
  <c r="G134" i="14"/>
  <c r="G62" i="14"/>
  <c r="G146" i="14"/>
  <c r="G98" i="14"/>
  <c r="G38" i="14"/>
  <c r="G74" i="14"/>
  <c r="M22" i="23"/>
  <c r="E26" i="23"/>
  <c r="P146" i="14"/>
  <c r="P98" i="14"/>
  <c r="P38" i="14"/>
  <c r="P74" i="14"/>
  <c r="P122" i="14"/>
  <c r="M14" i="15"/>
  <c r="P38" i="15"/>
  <c r="H62" i="15"/>
  <c r="Q74" i="15"/>
  <c r="M86" i="15"/>
  <c r="P98" i="15"/>
  <c r="P146" i="15"/>
  <c r="G14" i="14"/>
  <c r="H26" i="14"/>
  <c r="J38" i="14"/>
  <c r="H50" i="14"/>
  <c r="I62" i="14"/>
  <c r="G86" i="14"/>
  <c r="J98" i="14"/>
  <c r="H110" i="14"/>
  <c r="I134" i="14"/>
  <c r="E24" i="23"/>
  <c r="E23" i="23"/>
  <c r="E22" i="23" l="1"/>
  <c r="F15" i="22" s="1"/>
  <c r="F134" i="14"/>
  <c r="F26" i="14"/>
  <c r="F62" i="14"/>
  <c r="F146" i="14"/>
  <c r="F98" i="14"/>
  <c r="F38" i="14"/>
  <c r="F122" i="14"/>
  <c r="F74" i="14"/>
  <c r="F86" i="14"/>
  <c r="F14" i="14"/>
  <c r="F110" i="14"/>
  <c r="F50" i="14"/>
  <c r="F74" i="15"/>
  <c r="F146" i="15"/>
  <c r="F122" i="15"/>
  <c r="F98" i="15"/>
  <c r="F38" i="15"/>
  <c r="F62" i="15"/>
  <c r="F134" i="15"/>
  <c r="F110" i="15"/>
  <c r="F26" i="15"/>
  <c r="F50" i="15"/>
  <c r="F86" i="15"/>
  <c r="F14" i="15"/>
  <c r="D98" i="4" l="1"/>
  <c r="E98" i="4"/>
  <c r="F98" i="4"/>
  <c r="G98" i="4"/>
  <c r="H98" i="4"/>
  <c r="I98" i="4"/>
  <c r="J98" i="4"/>
  <c r="K98" i="4"/>
  <c r="L98" i="4"/>
  <c r="M98" i="4"/>
  <c r="D99" i="4"/>
  <c r="E99" i="4"/>
  <c r="F99" i="4"/>
  <c r="G99" i="4"/>
  <c r="H99" i="4"/>
  <c r="I99" i="4"/>
  <c r="J99" i="4"/>
  <c r="K99" i="4"/>
  <c r="L99" i="4"/>
  <c r="M99" i="4"/>
  <c r="R138" i="2" l="1"/>
  <c r="B26" i="11" l="1"/>
  <c r="C26" i="11"/>
  <c r="D26" i="11"/>
  <c r="E26" i="11"/>
  <c r="F26" i="11"/>
  <c r="G26" i="11"/>
  <c r="H26" i="11"/>
  <c r="I26" i="11"/>
  <c r="J26" i="11"/>
  <c r="K26" i="11"/>
  <c r="L26" i="11"/>
  <c r="M26" i="11"/>
  <c r="M138" i="16"/>
  <c r="L148" i="16" l="1"/>
  <c r="K148" i="16"/>
  <c r="J148" i="16"/>
  <c r="H148" i="16"/>
  <c r="G148" i="16"/>
  <c r="F148" i="16"/>
  <c r="L124" i="16"/>
  <c r="K124" i="16"/>
  <c r="J124" i="16"/>
  <c r="H124" i="16"/>
  <c r="G124" i="16"/>
  <c r="F124" i="16"/>
  <c r="L112" i="16"/>
  <c r="K112" i="16"/>
  <c r="J112" i="16"/>
  <c r="H112" i="16"/>
  <c r="G112" i="16"/>
  <c r="F112" i="16"/>
  <c r="L100" i="16"/>
  <c r="K100" i="16"/>
  <c r="J100" i="16"/>
  <c r="H100" i="16"/>
  <c r="G100" i="16"/>
  <c r="F100" i="16"/>
  <c r="L88" i="16"/>
  <c r="K88" i="16"/>
  <c r="J88" i="16"/>
  <c r="H88" i="16"/>
  <c r="G88" i="16"/>
  <c r="F88" i="16"/>
  <c r="L76" i="16"/>
  <c r="K76" i="16"/>
  <c r="J76" i="16"/>
  <c r="H76" i="16"/>
  <c r="G76" i="16"/>
  <c r="F76" i="16"/>
  <c r="L64" i="16"/>
  <c r="K64" i="16"/>
  <c r="J64" i="16"/>
  <c r="H64" i="16"/>
  <c r="G64" i="16"/>
  <c r="F64" i="16"/>
  <c r="L52" i="16"/>
  <c r="K52" i="16"/>
  <c r="J52" i="16"/>
  <c r="H52" i="16"/>
  <c r="G52" i="16"/>
  <c r="F52" i="16"/>
  <c r="L40" i="16"/>
  <c r="K40" i="16"/>
  <c r="J40" i="16"/>
  <c r="H40" i="16"/>
  <c r="G40" i="16"/>
  <c r="F40" i="16"/>
  <c r="L28" i="16"/>
  <c r="K28" i="16"/>
  <c r="J28" i="16"/>
  <c r="H28" i="16"/>
  <c r="G28" i="16"/>
  <c r="F28" i="16"/>
  <c r="L16" i="16"/>
  <c r="K16" i="16"/>
  <c r="J16" i="16"/>
  <c r="H16" i="16"/>
  <c r="G16" i="16"/>
  <c r="F16" i="16"/>
  <c r="L136" i="16"/>
  <c r="K136" i="16"/>
  <c r="J136" i="16"/>
  <c r="H136" i="16"/>
  <c r="G136" i="16"/>
  <c r="F136" i="16"/>
  <c r="M126" i="16"/>
  <c r="M127" i="16"/>
  <c r="M128" i="16"/>
  <c r="M129" i="16"/>
  <c r="M130" i="16"/>
  <c r="M131" i="16"/>
  <c r="M132" i="16"/>
  <c r="M133" i="16"/>
  <c r="M134" i="16"/>
  <c r="M135" i="16"/>
  <c r="M136" i="16"/>
  <c r="M148" i="16"/>
  <c r="M147" i="16"/>
  <c r="M146" i="16"/>
  <c r="M145" i="16"/>
  <c r="M144" i="16"/>
  <c r="M143" i="16"/>
  <c r="M142" i="16"/>
  <c r="M141" i="16"/>
  <c r="M140" i="16"/>
  <c r="M139" i="16"/>
  <c r="M124" i="16"/>
  <c r="M123" i="16"/>
  <c r="M122" i="16"/>
  <c r="M121" i="16"/>
  <c r="M120" i="16"/>
  <c r="M119" i="16"/>
  <c r="M118" i="16"/>
  <c r="M117" i="16"/>
  <c r="M116" i="16"/>
  <c r="M115" i="16"/>
  <c r="M114" i="16"/>
  <c r="M112" i="16"/>
  <c r="M111" i="16"/>
  <c r="M110" i="16"/>
  <c r="M109" i="16"/>
  <c r="M108" i="16"/>
  <c r="M107" i="16"/>
  <c r="M106" i="16"/>
  <c r="M105" i="16"/>
  <c r="M104" i="16"/>
  <c r="M103" i="16"/>
  <c r="M102" i="16"/>
  <c r="M100" i="16"/>
  <c r="M99" i="16"/>
  <c r="M98" i="16"/>
  <c r="M97" i="16"/>
  <c r="M96" i="16"/>
  <c r="M95" i="16"/>
  <c r="M94" i="16"/>
  <c r="M93" i="16"/>
  <c r="M92" i="16"/>
  <c r="M91" i="16"/>
  <c r="M90" i="16"/>
  <c r="M88" i="16"/>
  <c r="M87" i="16"/>
  <c r="M86" i="16"/>
  <c r="M85" i="16"/>
  <c r="M84" i="16"/>
  <c r="M83" i="16"/>
  <c r="M82" i="16"/>
  <c r="M81" i="16"/>
  <c r="M80" i="16"/>
  <c r="M79" i="16"/>
  <c r="M78" i="16"/>
  <c r="M76" i="16"/>
  <c r="M75" i="16"/>
  <c r="M74" i="16"/>
  <c r="M73" i="16"/>
  <c r="M72" i="16"/>
  <c r="M71" i="16"/>
  <c r="M70" i="16"/>
  <c r="M69" i="16"/>
  <c r="M68" i="16"/>
  <c r="M67" i="16"/>
  <c r="M66" i="16"/>
  <c r="M64" i="16"/>
  <c r="M63" i="16"/>
  <c r="M62" i="16"/>
  <c r="M61" i="16"/>
  <c r="M60" i="16"/>
  <c r="M59" i="16"/>
  <c r="M58" i="16"/>
  <c r="M57" i="16"/>
  <c r="M56" i="16"/>
  <c r="M55" i="16"/>
  <c r="M54" i="16"/>
  <c r="M52" i="16"/>
  <c r="M51" i="16"/>
  <c r="M50" i="16"/>
  <c r="M49" i="16"/>
  <c r="M48" i="16"/>
  <c r="M47" i="16"/>
  <c r="M46" i="16"/>
  <c r="M45" i="16"/>
  <c r="M44" i="16"/>
  <c r="M43" i="16"/>
  <c r="M42" i="16"/>
  <c r="M40" i="16"/>
  <c r="M39" i="16"/>
  <c r="M38" i="16"/>
  <c r="M37" i="16"/>
  <c r="M36" i="16"/>
  <c r="M35" i="16"/>
  <c r="M34" i="16"/>
  <c r="M33" i="16"/>
  <c r="M32" i="16"/>
  <c r="M31" i="16"/>
  <c r="M30" i="16"/>
  <c r="M28" i="16"/>
  <c r="M27" i="16"/>
  <c r="M26" i="16"/>
  <c r="M25" i="16"/>
  <c r="M24" i="16"/>
  <c r="M23" i="16"/>
  <c r="M22" i="16"/>
  <c r="M21" i="16"/>
  <c r="M20" i="16"/>
  <c r="M19" i="16"/>
  <c r="M18" i="16"/>
  <c r="M16" i="16"/>
  <c r="M15" i="16"/>
  <c r="M14" i="16"/>
  <c r="M13" i="16"/>
  <c r="M12" i="16"/>
  <c r="M11" i="16"/>
  <c r="M10" i="16"/>
  <c r="M9" i="16"/>
  <c r="M8" i="16"/>
  <c r="M7" i="16"/>
  <c r="M6" i="16"/>
  <c r="X65" i="13"/>
  <c r="W65" i="13"/>
  <c r="X63" i="13"/>
  <c r="W63" i="13"/>
  <c r="X62" i="13"/>
  <c r="W62" i="13"/>
  <c r="S66" i="13"/>
  <c r="I73" i="24" s="1"/>
  <c r="M66" i="13"/>
  <c r="X55" i="13"/>
  <c r="W55" i="13"/>
  <c r="X53" i="13"/>
  <c r="W53" i="13"/>
  <c r="X52" i="13"/>
  <c r="W52" i="13"/>
  <c r="S56" i="13"/>
  <c r="I79" i="24" s="1"/>
  <c r="M56" i="13"/>
  <c r="X50" i="13"/>
  <c r="W50" i="13"/>
  <c r="X48" i="13"/>
  <c r="W48" i="13"/>
  <c r="W47" i="13"/>
  <c r="S51" i="13"/>
  <c r="I72" i="24" s="1"/>
  <c r="M51" i="13"/>
  <c r="X45" i="13"/>
  <c r="W45" i="13"/>
  <c r="X43" i="13"/>
  <c r="W43" i="13"/>
  <c r="X42" i="13"/>
  <c r="W42" i="13"/>
  <c r="S46" i="13"/>
  <c r="I74" i="24" s="1"/>
  <c r="M46" i="13"/>
  <c r="I101" i="16" l="1"/>
  <c r="F101" i="16"/>
  <c r="F77" i="16"/>
  <c r="I77" i="16"/>
  <c r="I137" i="16"/>
  <c r="F137" i="16"/>
  <c r="I41" i="16"/>
  <c r="F41" i="16"/>
  <c r="I125" i="16"/>
  <c r="F125" i="16"/>
  <c r="F65" i="16"/>
  <c r="I65" i="16"/>
  <c r="F53" i="16"/>
  <c r="I53" i="16"/>
  <c r="I113" i="16"/>
  <c r="F113" i="16"/>
  <c r="F17" i="16"/>
  <c r="I17" i="16"/>
  <c r="I89" i="16"/>
  <c r="F89" i="16"/>
  <c r="F29" i="16"/>
  <c r="I29" i="16"/>
  <c r="I149" i="16"/>
  <c r="F149" i="16"/>
  <c r="X46" i="13"/>
  <c r="L74" i="24" s="1"/>
  <c r="X66" i="13"/>
  <c r="L73" i="24" s="1"/>
  <c r="L137" i="16"/>
  <c r="H101" i="16"/>
  <c r="G77" i="16"/>
  <c r="K137" i="16"/>
  <c r="H53" i="16"/>
  <c r="H113" i="16"/>
  <c r="H17" i="16"/>
  <c r="K149" i="16"/>
  <c r="K17" i="16"/>
  <c r="K29" i="16"/>
  <c r="H41" i="16"/>
  <c r="L53" i="16"/>
  <c r="J65" i="16"/>
  <c r="K77" i="16"/>
  <c r="J89" i="16"/>
  <c r="J101" i="16"/>
  <c r="J125" i="16"/>
  <c r="H149" i="16"/>
  <c r="W46" i="13"/>
  <c r="K74" i="24" s="1"/>
  <c r="G137" i="16"/>
  <c r="L17" i="16"/>
  <c r="K65" i="16"/>
  <c r="L77" i="16"/>
  <c r="K89" i="16"/>
  <c r="K101" i="16"/>
  <c r="J113" i="16"/>
  <c r="K125" i="16"/>
  <c r="H137" i="16"/>
  <c r="J29" i="16"/>
  <c r="G41" i="16"/>
  <c r="G53" i="16"/>
  <c r="L65" i="16"/>
  <c r="L89" i="16"/>
  <c r="L101" i="16"/>
  <c r="K113" i="16"/>
  <c r="L125" i="16"/>
  <c r="J149" i="16"/>
  <c r="H89" i="16"/>
  <c r="L113" i="16"/>
  <c r="W66" i="13"/>
  <c r="K73" i="24" s="1"/>
  <c r="J137" i="16"/>
  <c r="G17" i="16"/>
  <c r="L29" i="16"/>
  <c r="H125" i="16"/>
  <c r="L149" i="16"/>
  <c r="W51" i="13"/>
  <c r="K72" i="24" s="1"/>
  <c r="J41" i="16"/>
  <c r="G65" i="16"/>
  <c r="H77" i="16"/>
  <c r="G89" i="16"/>
  <c r="G101" i="16"/>
  <c r="G125" i="16"/>
  <c r="G149" i="16"/>
  <c r="X56" i="13"/>
  <c r="L79" i="24" s="1"/>
  <c r="W56" i="13"/>
  <c r="K79" i="24" s="1"/>
  <c r="H29" i="16"/>
  <c r="K41" i="16"/>
  <c r="J53" i="16"/>
  <c r="H65" i="16"/>
  <c r="G113" i="16"/>
  <c r="J17" i="16"/>
  <c r="G29" i="16"/>
  <c r="L41" i="16"/>
  <c r="K53" i="16"/>
  <c r="J77" i="16"/>
  <c r="X51" i="13"/>
  <c r="X41" i="13"/>
  <c r="L82" i="24" s="1"/>
  <c r="W41" i="13"/>
  <c r="K82" i="24" s="1"/>
  <c r="S41" i="13"/>
  <c r="I82" i="24" s="1"/>
  <c r="M41" i="13"/>
  <c r="X35" i="13"/>
  <c r="W35" i="13"/>
  <c r="X33" i="13"/>
  <c r="W33" i="13"/>
  <c r="X32" i="13"/>
  <c r="W32" i="13"/>
  <c r="S36" i="13"/>
  <c r="I80" i="24" s="1"/>
  <c r="M36" i="13"/>
  <c r="X30" i="13"/>
  <c r="W30" i="13"/>
  <c r="X28" i="13"/>
  <c r="W28" i="13"/>
  <c r="X27" i="13"/>
  <c r="W27" i="13"/>
  <c r="S31" i="13"/>
  <c r="I83" i="24" s="1"/>
  <c r="M31" i="13"/>
  <c r="X25" i="13"/>
  <c r="W25" i="13"/>
  <c r="X23" i="13"/>
  <c r="W23" i="13"/>
  <c r="X22" i="13"/>
  <c r="W22" i="13"/>
  <c r="S26" i="13"/>
  <c r="I77" i="24" s="1"/>
  <c r="M26" i="13"/>
  <c r="X20" i="13"/>
  <c r="X18" i="13"/>
  <c r="W18" i="13"/>
  <c r="W17" i="13"/>
  <c r="S21" i="13"/>
  <c r="X15" i="13"/>
  <c r="W15" i="13"/>
  <c r="X13" i="13"/>
  <c r="W13" i="13"/>
  <c r="X12" i="13"/>
  <c r="W12" i="13"/>
  <c r="S16" i="13"/>
  <c r="I81" i="24" s="1"/>
  <c r="M16" i="13"/>
  <c r="X10" i="13"/>
  <c r="W10" i="13"/>
  <c r="X8" i="13"/>
  <c r="W8" i="13"/>
  <c r="X7" i="13"/>
  <c r="W7" i="13"/>
  <c r="S11" i="13"/>
  <c r="I75" i="24" s="1"/>
  <c r="M11" i="13"/>
  <c r="X57" i="13"/>
  <c r="W57" i="13"/>
  <c r="W21" i="13" l="1"/>
  <c r="X21" i="13"/>
  <c r="L78" i="24" s="1"/>
  <c r="L72" i="24"/>
  <c r="W11" i="13"/>
  <c r="K75" i="24" s="1"/>
  <c r="W16" i="13"/>
  <c r="K81" i="24" s="1"/>
  <c r="W26" i="13"/>
  <c r="K77" i="24" s="1"/>
  <c r="X16" i="13"/>
  <c r="L81" i="24" s="1"/>
  <c r="W31" i="13"/>
  <c r="K83" i="24" s="1"/>
  <c r="X11" i="13"/>
  <c r="L75" i="24" s="1"/>
  <c r="X36" i="13"/>
  <c r="L80" i="24" s="1"/>
  <c r="W36" i="13"/>
  <c r="K80" i="24" s="1"/>
  <c r="X31" i="13"/>
  <c r="L83" i="24" s="1"/>
  <c r="X26" i="13"/>
  <c r="L77" i="24" s="1"/>
  <c r="K78" i="24" l="1"/>
  <c r="F144" i="14"/>
  <c r="F143" i="14"/>
  <c r="F142" i="14"/>
  <c r="F141" i="14"/>
  <c r="F140" i="14"/>
  <c r="F139" i="14"/>
  <c r="F138" i="14"/>
  <c r="F132" i="14"/>
  <c r="F131" i="14"/>
  <c r="F130" i="14"/>
  <c r="F129" i="14"/>
  <c r="F128" i="14"/>
  <c r="F127" i="14"/>
  <c r="F126" i="14"/>
  <c r="F120" i="14"/>
  <c r="F119" i="14"/>
  <c r="F118" i="14"/>
  <c r="F117" i="14"/>
  <c r="F116" i="14"/>
  <c r="F115" i="14"/>
  <c r="F114" i="14"/>
  <c r="F108" i="14"/>
  <c r="F107" i="14"/>
  <c r="F106" i="14"/>
  <c r="F105" i="14"/>
  <c r="F104" i="14"/>
  <c r="F103" i="14"/>
  <c r="F102" i="14"/>
  <c r="F96" i="14"/>
  <c r="F95" i="14"/>
  <c r="F94" i="14"/>
  <c r="F93" i="14"/>
  <c r="F92" i="14"/>
  <c r="F91" i="14"/>
  <c r="F90" i="14"/>
  <c r="F84" i="14"/>
  <c r="F83" i="14"/>
  <c r="F82" i="14"/>
  <c r="F81" i="14"/>
  <c r="F80" i="14"/>
  <c r="F79" i="14"/>
  <c r="F78" i="14"/>
  <c r="F72" i="14"/>
  <c r="F71" i="14"/>
  <c r="F70" i="14"/>
  <c r="F69" i="14"/>
  <c r="F68" i="14"/>
  <c r="F67" i="14"/>
  <c r="F66" i="14"/>
  <c r="F60" i="14"/>
  <c r="F59" i="14"/>
  <c r="F58" i="14"/>
  <c r="F57" i="14"/>
  <c r="F56" i="14"/>
  <c r="F55" i="14"/>
  <c r="F54" i="14"/>
  <c r="F48" i="14"/>
  <c r="F47" i="14"/>
  <c r="F46" i="14"/>
  <c r="F45" i="14"/>
  <c r="F44" i="14"/>
  <c r="F43" i="14"/>
  <c r="F42" i="14"/>
  <c r="F36" i="14"/>
  <c r="F35" i="14"/>
  <c r="F34" i="14"/>
  <c r="F33" i="14"/>
  <c r="F32" i="14"/>
  <c r="F31" i="14"/>
  <c r="F30" i="14"/>
  <c r="F24" i="14"/>
  <c r="F23" i="14"/>
  <c r="F22" i="14"/>
  <c r="F21" i="14"/>
  <c r="F20" i="14"/>
  <c r="F19" i="14"/>
  <c r="F18" i="14"/>
  <c r="F12" i="14"/>
  <c r="F11" i="14"/>
  <c r="F10" i="14"/>
  <c r="F9" i="14"/>
  <c r="F8" i="14"/>
  <c r="F7" i="14"/>
  <c r="F6" i="14"/>
  <c r="F120" i="15"/>
  <c r="F119" i="15"/>
  <c r="F118" i="15"/>
  <c r="F117" i="15"/>
  <c r="F116" i="15"/>
  <c r="F115" i="15"/>
  <c r="F114" i="15"/>
  <c r="F108" i="15"/>
  <c r="F107" i="15"/>
  <c r="F106" i="15"/>
  <c r="F105" i="15"/>
  <c r="F104" i="15"/>
  <c r="F103" i="15"/>
  <c r="F102" i="15"/>
  <c r="F96" i="15"/>
  <c r="F95" i="15"/>
  <c r="F94" i="15"/>
  <c r="F93" i="15"/>
  <c r="F92" i="15"/>
  <c r="F91" i="15"/>
  <c r="F90" i="15"/>
  <c r="F84" i="15"/>
  <c r="F83" i="15"/>
  <c r="F82" i="15"/>
  <c r="F81" i="15"/>
  <c r="F80" i="15"/>
  <c r="F79" i="15"/>
  <c r="F78" i="15"/>
  <c r="F72" i="15"/>
  <c r="F71" i="15"/>
  <c r="F70" i="15"/>
  <c r="F69" i="15"/>
  <c r="F68" i="15"/>
  <c r="F67" i="15"/>
  <c r="F66" i="15"/>
  <c r="F60" i="15"/>
  <c r="F59" i="15"/>
  <c r="F58" i="15"/>
  <c r="F57" i="15"/>
  <c r="F56" i="15"/>
  <c r="F55" i="15"/>
  <c r="F54" i="15"/>
  <c r="F48" i="15"/>
  <c r="F47" i="15"/>
  <c r="F46" i="15"/>
  <c r="F45" i="15"/>
  <c r="F44" i="15"/>
  <c r="F43" i="15"/>
  <c r="F42" i="15"/>
  <c r="F36" i="15"/>
  <c r="F35" i="15"/>
  <c r="F34" i="15"/>
  <c r="F33" i="15"/>
  <c r="F32" i="15"/>
  <c r="F31" i="15"/>
  <c r="F30" i="15"/>
  <c r="F24" i="15"/>
  <c r="F23" i="15"/>
  <c r="F22" i="15"/>
  <c r="F21" i="15"/>
  <c r="F20" i="15"/>
  <c r="F19" i="15"/>
  <c r="F18" i="15"/>
  <c r="F12" i="15"/>
  <c r="F11" i="15"/>
  <c r="F10" i="15"/>
  <c r="F9" i="15"/>
  <c r="F8" i="15"/>
  <c r="F7" i="15"/>
  <c r="F6" i="15"/>
  <c r="F138" i="15"/>
  <c r="F120" i="2"/>
  <c r="F119" i="2"/>
  <c r="F118" i="2"/>
  <c r="F117" i="2"/>
  <c r="F116" i="2"/>
  <c r="F115" i="2"/>
  <c r="F114" i="2"/>
  <c r="F108" i="2"/>
  <c r="F107" i="2"/>
  <c r="F106" i="2"/>
  <c r="F105" i="2"/>
  <c r="F104" i="2"/>
  <c r="F103" i="2"/>
  <c r="F102" i="2"/>
  <c r="F96" i="2"/>
  <c r="F95" i="2"/>
  <c r="F94" i="2"/>
  <c r="F93" i="2"/>
  <c r="F92" i="2"/>
  <c r="F91" i="2"/>
  <c r="F90" i="2"/>
  <c r="F84" i="2"/>
  <c r="F83" i="2"/>
  <c r="F82" i="2"/>
  <c r="F81" i="2"/>
  <c r="F80" i="2"/>
  <c r="F79" i="2"/>
  <c r="F78" i="2"/>
  <c r="F72" i="2"/>
  <c r="F71" i="2"/>
  <c r="F70" i="2"/>
  <c r="F69" i="2"/>
  <c r="F68" i="2"/>
  <c r="F67" i="2"/>
  <c r="F66" i="2"/>
  <c r="F60" i="2"/>
  <c r="F59" i="2"/>
  <c r="F58" i="2"/>
  <c r="F57" i="2"/>
  <c r="F56" i="2"/>
  <c r="F55" i="2"/>
  <c r="F54" i="2"/>
  <c r="F48" i="2"/>
  <c r="F47" i="2"/>
  <c r="F46" i="2"/>
  <c r="F45" i="2"/>
  <c r="F44" i="2"/>
  <c r="F43" i="2"/>
  <c r="F42" i="2"/>
  <c r="F36" i="2"/>
  <c r="F35" i="2"/>
  <c r="F34" i="2"/>
  <c r="F33" i="2"/>
  <c r="F32" i="2"/>
  <c r="F31" i="2"/>
  <c r="F30" i="2"/>
  <c r="F24" i="2"/>
  <c r="F23" i="2"/>
  <c r="F22" i="2"/>
  <c r="F21" i="2"/>
  <c r="F20" i="2"/>
  <c r="F19" i="2"/>
  <c r="F18" i="2"/>
  <c r="F12" i="2"/>
  <c r="F11" i="2"/>
  <c r="F10" i="2"/>
  <c r="F9" i="2"/>
  <c r="F8" i="2"/>
  <c r="F7" i="2"/>
  <c r="F6" i="2"/>
  <c r="F144" i="2"/>
  <c r="F143" i="2"/>
  <c r="F142" i="2"/>
  <c r="F141" i="2"/>
  <c r="F140" i="2"/>
  <c r="F139" i="2"/>
  <c r="F138" i="2"/>
  <c r="F132" i="15"/>
  <c r="F131" i="15"/>
  <c r="F130" i="15"/>
  <c r="F129" i="15"/>
  <c r="F128" i="15"/>
  <c r="F127" i="15"/>
  <c r="F126" i="15"/>
  <c r="F127" i="2"/>
  <c r="F128" i="2"/>
  <c r="F129" i="2"/>
  <c r="F131" i="2"/>
  <c r="F132" i="2"/>
  <c r="F126" i="2"/>
  <c r="S61" i="13"/>
  <c r="I76" i="24" s="1"/>
  <c r="M61" i="13"/>
  <c r="D11" i="22"/>
  <c r="C11" i="22"/>
  <c r="B11" i="22" l="1"/>
  <c r="X60" i="13" l="1"/>
  <c r="X58" i="13"/>
  <c r="W60" i="13"/>
  <c r="W58" i="13"/>
  <c r="R148" i="14" l="1"/>
  <c r="R147" i="14"/>
  <c r="R146" i="14"/>
  <c r="R145" i="14"/>
  <c r="R144" i="14"/>
  <c r="R143" i="14"/>
  <c r="R142" i="14"/>
  <c r="R141" i="14"/>
  <c r="R140" i="14"/>
  <c r="R139" i="14"/>
  <c r="R138" i="14"/>
  <c r="R136" i="14"/>
  <c r="R135" i="14"/>
  <c r="R134" i="14"/>
  <c r="R133" i="14"/>
  <c r="R132" i="14"/>
  <c r="R131" i="14"/>
  <c r="R130" i="14"/>
  <c r="R129" i="14"/>
  <c r="R128" i="14"/>
  <c r="R127" i="14"/>
  <c r="R126" i="14"/>
  <c r="R124" i="14"/>
  <c r="R123" i="14"/>
  <c r="R122" i="14"/>
  <c r="R121" i="14"/>
  <c r="R120" i="14"/>
  <c r="R119" i="14"/>
  <c r="R118" i="14"/>
  <c r="R117" i="14"/>
  <c r="R116" i="14"/>
  <c r="R115" i="14"/>
  <c r="R114" i="14"/>
  <c r="R112" i="14"/>
  <c r="R111" i="14"/>
  <c r="R110" i="14"/>
  <c r="R109" i="14"/>
  <c r="R108" i="14"/>
  <c r="R107" i="14"/>
  <c r="R106" i="14"/>
  <c r="R105" i="14"/>
  <c r="R104" i="14"/>
  <c r="R103" i="14"/>
  <c r="R102" i="14"/>
  <c r="R100" i="14"/>
  <c r="R99" i="14"/>
  <c r="R98" i="14"/>
  <c r="R97" i="14"/>
  <c r="R96" i="14"/>
  <c r="R95" i="14"/>
  <c r="R94" i="14"/>
  <c r="R93" i="14"/>
  <c r="R92" i="14"/>
  <c r="R91" i="14"/>
  <c r="R90" i="14"/>
  <c r="R88" i="14"/>
  <c r="R87" i="14"/>
  <c r="R86" i="14"/>
  <c r="R85" i="14"/>
  <c r="R84" i="14"/>
  <c r="R83" i="14"/>
  <c r="R82" i="14"/>
  <c r="R81" i="14"/>
  <c r="R80" i="14"/>
  <c r="R79" i="14"/>
  <c r="R78" i="14"/>
  <c r="R76" i="14"/>
  <c r="R75" i="14"/>
  <c r="R74" i="14"/>
  <c r="R73" i="14"/>
  <c r="R72" i="14"/>
  <c r="R71" i="14"/>
  <c r="R70" i="14"/>
  <c r="R69" i="14"/>
  <c r="R68" i="14"/>
  <c r="R67" i="14"/>
  <c r="R66" i="14"/>
  <c r="R64" i="14"/>
  <c r="R63" i="14"/>
  <c r="R62" i="14"/>
  <c r="R61" i="14"/>
  <c r="R60" i="14"/>
  <c r="R59" i="14"/>
  <c r="R58" i="14"/>
  <c r="R57" i="14"/>
  <c r="R56" i="14"/>
  <c r="R55" i="14"/>
  <c r="R54" i="14"/>
  <c r="R52" i="14"/>
  <c r="R51" i="14"/>
  <c r="R50" i="14"/>
  <c r="R49" i="14"/>
  <c r="R48" i="14"/>
  <c r="R47" i="14"/>
  <c r="R46" i="14"/>
  <c r="R45" i="14"/>
  <c r="R44" i="14"/>
  <c r="R43" i="14"/>
  <c r="R42" i="14"/>
  <c r="R40" i="14"/>
  <c r="R39" i="14"/>
  <c r="R38" i="14"/>
  <c r="R37" i="14"/>
  <c r="R36" i="14"/>
  <c r="R35" i="14"/>
  <c r="R34" i="14"/>
  <c r="R33" i="14"/>
  <c r="R32" i="14"/>
  <c r="R31" i="14"/>
  <c r="R30" i="14"/>
  <c r="R28" i="14"/>
  <c r="R27" i="14"/>
  <c r="R26" i="14"/>
  <c r="R25" i="14"/>
  <c r="R24" i="14"/>
  <c r="R23" i="14"/>
  <c r="R22" i="14"/>
  <c r="R21" i="14"/>
  <c r="R20" i="14"/>
  <c r="R19" i="14"/>
  <c r="R18" i="14"/>
  <c r="R16" i="14"/>
  <c r="R15" i="14"/>
  <c r="R14" i="14"/>
  <c r="R13" i="14"/>
  <c r="R12" i="14"/>
  <c r="R11" i="14"/>
  <c r="R10" i="14"/>
  <c r="R9" i="14"/>
  <c r="R8" i="14"/>
  <c r="R7" i="14"/>
  <c r="R6" i="14"/>
  <c r="R140" i="15"/>
  <c r="R141" i="15"/>
  <c r="R142" i="15"/>
  <c r="R143" i="15"/>
  <c r="R144" i="15"/>
  <c r="R145" i="15"/>
  <c r="R146" i="15"/>
  <c r="R147" i="15"/>
  <c r="R148" i="15"/>
  <c r="R139" i="15"/>
  <c r="R138" i="15"/>
  <c r="R116" i="15"/>
  <c r="R117" i="15"/>
  <c r="R118" i="15"/>
  <c r="R119" i="15"/>
  <c r="R120" i="15"/>
  <c r="R121" i="15"/>
  <c r="R122" i="15"/>
  <c r="R123" i="15"/>
  <c r="R124" i="15"/>
  <c r="R115" i="15"/>
  <c r="R114" i="15"/>
  <c r="R104" i="15"/>
  <c r="R105" i="15"/>
  <c r="R106" i="15"/>
  <c r="R107" i="15"/>
  <c r="R108" i="15"/>
  <c r="R109" i="15"/>
  <c r="R110" i="15"/>
  <c r="R111" i="15"/>
  <c r="R112" i="15"/>
  <c r="R103" i="15"/>
  <c r="R102" i="15"/>
  <c r="R92" i="15"/>
  <c r="R93" i="15"/>
  <c r="R94" i="15"/>
  <c r="R95" i="15"/>
  <c r="R96" i="15"/>
  <c r="R97" i="15"/>
  <c r="R98" i="15"/>
  <c r="R99" i="15"/>
  <c r="R100" i="15"/>
  <c r="R91" i="15"/>
  <c r="R90" i="15"/>
  <c r="R78" i="15"/>
  <c r="R80" i="15"/>
  <c r="R81" i="15"/>
  <c r="R82" i="15"/>
  <c r="R83" i="15"/>
  <c r="R84" i="15"/>
  <c r="R85" i="15"/>
  <c r="R86" i="15"/>
  <c r="R87" i="15"/>
  <c r="R88" i="15"/>
  <c r="R79" i="15"/>
  <c r="R68" i="15"/>
  <c r="R69" i="15"/>
  <c r="R70" i="15"/>
  <c r="R71" i="15"/>
  <c r="R72" i="15"/>
  <c r="R73" i="15"/>
  <c r="R74" i="15"/>
  <c r="R75" i="15"/>
  <c r="R76" i="15"/>
  <c r="R67" i="15"/>
  <c r="R66" i="15"/>
  <c r="R56" i="15"/>
  <c r="R57" i="15"/>
  <c r="R58" i="15"/>
  <c r="R59" i="15"/>
  <c r="R60" i="15"/>
  <c r="R61" i="15"/>
  <c r="R62" i="15"/>
  <c r="R63" i="15"/>
  <c r="R64" i="15"/>
  <c r="R55" i="15"/>
  <c r="R54" i="15"/>
  <c r="R44" i="15"/>
  <c r="R45" i="15"/>
  <c r="R46" i="15"/>
  <c r="R47" i="15"/>
  <c r="R48" i="15"/>
  <c r="R49" i="15"/>
  <c r="R50" i="15"/>
  <c r="R51" i="15"/>
  <c r="R52" i="15"/>
  <c r="R43" i="15"/>
  <c r="R42" i="15"/>
  <c r="R32" i="15"/>
  <c r="R33" i="15"/>
  <c r="R34" i="15"/>
  <c r="R35" i="15"/>
  <c r="R36" i="15"/>
  <c r="R37" i="15"/>
  <c r="R38" i="15"/>
  <c r="R39" i="15"/>
  <c r="R40" i="15"/>
  <c r="R31" i="15"/>
  <c r="R30" i="15"/>
  <c r="R20" i="15"/>
  <c r="R21" i="15"/>
  <c r="R22" i="15"/>
  <c r="R23" i="15"/>
  <c r="R24" i="15"/>
  <c r="R25" i="15"/>
  <c r="R26" i="15"/>
  <c r="R27" i="15"/>
  <c r="R28" i="15"/>
  <c r="R19" i="15"/>
  <c r="R18" i="15"/>
  <c r="R7" i="15"/>
  <c r="R8" i="15"/>
  <c r="R9" i="15"/>
  <c r="R10" i="15"/>
  <c r="R11" i="15"/>
  <c r="R12" i="15"/>
  <c r="R13" i="15"/>
  <c r="R14" i="15"/>
  <c r="R15" i="15"/>
  <c r="R16" i="15"/>
  <c r="R6" i="15"/>
  <c r="R139" i="2"/>
  <c r="R140" i="2"/>
  <c r="R141" i="2"/>
  <c r="R142" i="2"/>
  <c r="R143" i="2"/>
  <c r="R144" i="2"/>
  <c r="R145" i="2"/>
  <c r="R146" i="2"/>
  <c r="R147" i="2"/>
  <c r="R148" i="2"/>
  <c r="R115" i="2"/>
  <c r="R116" i="2"/>
  <c r="R117" i="2"/>
  <c r="R118" i="2"/>
  <c r="R119" i="2"/>
  <c r="R120" i="2"/>
  <c r="R121" i="2"/>
  <c r="R122" i="2"/>
  <c r="R123" i="2"/>
  <c r="R124" i="2"/>
  <c r="R114" i="2"/>
  <c r="R103" i="2"/>
  <c r="R104" i="2"/>
  <c r="R105" i="2"/>
  <c r="R106" i="2"/>
  <c r="R107" i="2"/>
  <c r="R108" i="2"/>
  <c r="R109" i="2"/>
  <c r="R110" i="2"/>
  <c r="R111" i="2"/>
  <c r="R112" i="2"/>
  <c r="R102" i="2"/>
  <c r="R91" i="2"/>
  <c r="R92" i="2"/>
  <c r="R93" i="2"/>
  <c r="R94" i="2"/>
  <c r="R95" i="2"/>
  <c r="R96" i="2"/>
  <c r="R97" i="2"/>
  <c r="R98" i="2"/>
  <c r="R99" i="2"/>
  <c r="R100" i="2"/>
  <c r="R90" i="2"/>
  <c r="R79" i="2"/>
  <c r="R80" i="2"/>
  <c r="R81" i="2"/>
  <c r="R82" i="2"/>
  <c r="R83" i="2"/>
  <c r="R84" i="2"/>
  <c r="R85" i="2"/>
  <c r="R86" i="2"/>
  <c r="R87" i="2"/>
  <c r="R88" i="2"/>
  <c r="R78" i="2"/>
  <c r="R67" i="2"/>
  <c r="R68" i="2"/>
  <c r="R69" i="2"/>
  <c r="R70" i="2"/>
  <c r="R71" i="2"/>
  <c r="R72" i="2"/>
  <c r="R73" i="2"/>
  <c r="R74" i="2"/>
  <c r="R75" i="2"/>
  <c r="R76" i="2"/>
  <c r="R66" i="2"/>
  <c r="R55" i="2"/>
  <c r="R56" i="2"/>
  <c r="R57" i="2"/>
  <c r="R58" i="2"/>
  <c r="R59" i="2"/>
  <c r="R60" i="2"/>
  <c r="R61" i="2"/>
  <c r="R62" i="2"/>
  <c r="R63" i="2"/>
  <c r="R64" i="2"/>
  <c r="R54" i="2"/>
  <c r="R43" i="2"/>
  <c r="R44" i="2"/>
  <c r="R45" i="2"/>
  <c r="R46" i="2"/>
  <c r="R47" i="2"/>
  <c r="R48" i="2"/>
  <c r="R49" i="2"/>
  <c r="R50" i="2"/>
  <c r="R51" i="2"/>
  <c r="R52" i="2"/>
  <c r="R42" i="2"/>
  <c r="R30" i="2"/>
  <c r="R31" i="2"/>
  <c r="R32" i="2"/>
  <c r="R33" i="2"/>
  <c r="R34" i="2"/>
  <c r="R35" i="2"/>
  <c r="R36" i="2"/>
  <c r="R37" i="2"/>
  <c r="R38" i="2"/>
  <c r="R39" i="2"/>
  <c r="R40" i="2"/>
  <c r="R19" i="2"/>
  <c r="R20" i="2"/>
  <c r="R21" i="2"/>
  <c r="R22" i="2"/>
  <c r="R23" i="2"/>
  <c r="R24" i="2"/>
  <c r="R25" i="2"/>
  <c r="R26" i="2"/>
  <c r="R27" i="2"/>
  <c r="R28" i="2"/>
  <c r="R18" i="2"/>
  <c r="R7" i="2"/>
  <c r="R8" i="2"/>
  <c r="R9" i="2"/>
  <c r="R10" i="2"/>
  <c r="R11" i="2"/>
  <c r="R12" i="2"/>
  <c r="R13" i="2"/>
  <c r="R14" i="2"/>
  <c r="R15" i="2"/>
  <c r="R16" i="2"/>
  <c r="R6" i="2"/>
  <c r="P125" i="15" l="1"/>
  <c r="P29" i="14"/>
  <c r="F29" i="14"/>
  <c r="P137" i="14"/>
  <c r="F137" i="14"/>
  <c r="P53" i="2"/>
  <c r="P113" i="2"/>
  <c r="P53" i="15"/>
  <c r="P113" i="15"/>
  <c r="F65" i="14"/>
  <c r="P65" i="14"/>
  <c r="P41" i="2"/>
  <c r="P125" i="2"/>
  <c r="P17" i="2"/>
  <c r="Q7" i="13" s="1"/>
  <c r="O17" i="2"/>
  <c r="Q17" i="2"/>
  <c r="P89" i="2"/>
  <c r="P17" i="15"/>
  <c r="P77" i="15"/>
  <c r="P29" i="15"/>
  <c r="P149" i="15"/>
  <c r="P149" i="14"/>
  <c r="P65" i="2"/>
  <c r="P149" i="2"/>
  <c r="P65" i="15"/>
  <c r="P89" i="15"/>
  <c r="F77" i="14"/>
  <c r="P77" i="14"/>
  <c r="F17" i="14"/>
  <c r="P17" i="14"/>
  <c r="F89" i="14"/>
  <c r="P89" i="14"/>
  <c r="P29" i="2"/>
  <c r="P125" i="14"/>
  <c r="F125" i="14"/>
  <c r="P77" i="2"/>
  <c r="P41" i="14"/>
  <c r="F41" i="14"/>
  <c r="P101" i="14"/>
  <c r="F101" i="14"/>
  <c r="P101" i="2"/>
  <c r="P41" i="15"/>
  <c r="P101" i="15"/>
  <c r="P53" i="14"/>
  <c r="F53" i="14"/>
  <c r="P113" i="14"/>
  <c r="F113" i="14"/>
  <c r="Q88" i="15"/>
  <c r="Q89" i="15" s="1"/>
  <c r="O88" i="15"/>
  <c r="O89" i="15" s="1"/>
  <c r="O52" i="15"/>
  <c r="O53" i="15" s="1"/>
  <c r="O112" i="15"/>
  <c r="O113" i="15" s="1"/>
  <c r="Q101" i="2"/>
  <c r="O101" i="2"/>
  <c r="Q52" i="15"/>
  <c r="Q53" i="15" s="1"/>
  <c r="Q77" i="15"/>
  <c r="Q112" i="15"/>
  <c r="Q113" i="15" s="1"/>
  <c r="Q17" i="15"/>
  <c r="O53" i="14"/>
  <c r="Q17" i="14"/>
  <c r="Q41" i="14"/>
  <c r="O101" i="14"/>
  <c r="O125" i="14"/>
  <c r="Q41" i="15"/>
  <c r="O101" i="15"/>
  <c r="Q101" i="15"/>
  <c r="O77" i="2"/>
  <c r="O125" i="15"/>
  <c r="Q125" i="15"/>
  <c r="Q65" i="14"/>
  <c r="O17" i="15"/>
  <c r="Q41" i="2"/>
  <c r="O41" i="2"/>
  <c r="O77" i="15"/>
  <c r="O149" i="2"/>
  <c r="O65" i="14"/>
  <c r="Q29" i="14"/>
  <c r="Q89" i="2"/>
  <c r="Q53" i="2"/>
  <c r="O53" i="2"/>
  <c r="O125" i="2"/>
  <c r="Q125" i="2"/>
  <c r="Q101" i="14"/>
  <c r="Q149" i="14"/>
  <c r="O29" i="2"/>
  <c r="O149" i="14"/>
  <c r="O89" i="2"/>
  <c r="Q149" i="15"/>
  <c r="O77" i="14"/>
  <c r="Q77" i="14"/>
  <c r="Q29" i="15"/>
  <c r="O65" i="15"/>
  <c r="Q65" i="15"/>
  <c r="Q65" i="2"/>
  <c r="O65" i="2"/>
  <c r="Q53" i="14"/>
  <c r="O113" i="14"/>
  <c r="Q113" i="14"/>
  <c r="Q77" i="2"/>
  <c r="O41" i="15"/>
  <c r="Q125" i="14"/>
  <c r="O29" i="15"/>
  <c r="O41" i="14"/>
  <c r="O17" i="14"/>
  <c r="O89" i="14"/>
  <c r="Q89" i="14"/>
  <c r="O149" i="15"/>
  <c r="Q149" i="2"/>
  <c r="Q29" i="2"/>
  <c r="O113" i="2"/>
  <c r="Q113" i="2"/>
  <c r="Q137" i="14"/>
  <c r="O137" i="14"/>
  <c r="O29" i="14"/>
  <c r="X61" i="13" l="1"/>
  <c r="L76" i="24" s="1"/>
  <c r="B44" i="4"/>
  <c r="C44" i="4"/>
  <c r="D44" i="4"/>
  <c r="E44" i="4"/>
  <c r="F44" i="4"/>
  <c r="G44" i="4"/>
  <c r="H44" i="4"/>
  <c r="I44" i="4"/>
  <c r="J44" i="4"/>
  <c r="K44" i="4"/>
  <c r="L44" i="4"/>
  <c r="M44" i="4"/>
  <c r="J124" i="14" l="1"/>
  <c r="J125" i="14" s="1"/>
  <c r="J88" i="14"/>
  <c r="J89" i="14" s="1"/>
  <c r="J136" i="14"/>
  <c r="J137" i="14" s="1"/>
  <c r="J52" i="14"/>
  <c r="J53" i="14" s="1"/>
  <c r="J112" i="14"/>
  <c r="J113" i="14" s="1"/>
  <c r="J16" i="14"/>
  <c r="J17" i="14" s="1"/>
  <c r="J64" i="14"/>
  <c r="J65" i="14" s="1"/>
  <c r="G136" i="2"/>
  <c r="G100" i="2"/>
  <c r="G101" i="2" s="1"/>
  <c r="J40" i="14"/>
  <c r="J41" i="14" s="1"/>
  <c r="J28" i="14"/>
  <c r="J29" i="14" s="1"/>
  <c r="J148" i="14"/>
  <c r="J149" i="14" s="1"/>
  <c r="J100" i="14"/>
  <c r="J101" i="14" s="1"/>
  <c r="J76" i="14"/>
  <c r="J77" i="14" s="1"/>
  <c r="R136" i="15"/>
  <c r="R135" i="15"/>
  <c r="R134" i="15"/>
  <c r="R133" i="15"/>
  <c r="R132" i="15"/>
  <c r="R131" i="15"/>
  <c r="R130" i="15"/>
  <c r="R129" i="15"/>
  <c r="R128" i="15"/>
  <c r="R127" i="15"/>
  <c r="R126" i="15"/>
  <c r="B40" i="4"/>
  <c r="C40" i="4"/>
  <c r="D40" i="4"/>
  <c r="E40" i="4"/>
  <c r="F40" i="4"/>
  <c r="G40" i="4"/>
  <c r="H40" i="4"/>
  <c r="I40" i="4"/>
  <c r="J40" i="4"/>
  <c r="K40" i="4"/>
  <c r="L40" i="4"/>
  <c r="M40" i="4"/>
  <c r="M40" i="11"/>
  <c r="M12" i="11"/>
  <c r="M19" i="11" s="1"/>
  <c r="M33" i="11" s="1"/>
  <c r="B12" i="11"/>
  <c r="B19" i="11" s="1"/>
  <c r="C12" i="11"/>
  <c r="C19" i="11" s="1"/>
  <c r="D12" i="11"/>
  <c r="D19" i="11" s="1"/>
  <c r="D33" i="11" s="1"/>
  <c r="E12" i="11"/>
  <c r="E19" i="11" s="1"/>
  <c r="E33" i="11" s="1"/>
  <c r="F12" i="11"/>
  <c r="F19" i="11" s="1"/>
  <c r="F33" i="11" s="1"/>
  <c r="G12" i="11"/>
  <c r="G19" i="11" s="1"/>
  <c r="G33" i="11" s="1"/>
  <c r="H12" i="11"/>
  <c r="H19" i="11" s="1"/>
  <c r="I12" i="11"/>
  <c r="I19" i="11" s="1"/>
  <c r="I33" i="11" s="1"/>
  <c r="J12" i="11"/>
  <c r="J19" i="11" s="1"/>
  <c r="J33" i="11" s="1"/>
  <c r="K12" i="11"/>
  <c r="K19" i="11" s="1"/>
  <c r="B40" i="11"/>
  <c r="C40" i="11"/>
  <c r="D40" i="11"/>
  <c r="E40" i="11"/>
  <c r="F40" i="11"/>
  <c r="G40" i="11"/>
  <c r="H40" i="11"/>
  <c r="I40" i="11"/>
  <c r="J40" i="11"/>
  <c r="K40" i="11"/>
  <c r="M81" i="4"/>
  <c r="M31" i="4"/>
  <c r="B31" i="4"/>
  <c r="C31" i="4"/>
  <c r="D31" i="4"/>
  <c r="E31" i="4"/>
  <c r="F31" i="4"/>
  <c r="G31" i="4"/>
  <c r="H31" i="4"/>
  <c r="I31" i="4"/>
  <c r="J31" i="4"/>
  <c r="K31" i="4"/>
  <c r="B81" i="4"/>
  <c r="C81" i="4"/>
  <c r="D81" i="4"/>
  <c r="E81" i="4"/>
  <c r="F81" i="4"/>
  <c r="G81" i="4"/>
  <c r="H81" i="4"/>
  <c r="I81" i="4"/>
  <c r="J81" i="4"/>
  <c r="K81" i="4"/>
  <c r="L31" i="4"/>
  <c r="W61" i="13"/>
  <c r="K76" i="24" s="1"/>
  <c r="L81" i="4"/>
  <c r="P137" i="15" l="1"/>
  <c r="F137" i="15"/>
  <c r="C33" i="11"/>
  <c r="K33" i="11"/>
  <c r="H33" i="11"/>
  <c r="B33" i="11"/>
  <c r="H136" i="2"/>
  <c r="H41" i="11"/>
  <c r="B41" i="11"/>
  <c r="M41" i="11"/>
  <c r="F41" i="11"/>
  <c r="J41" i="11"/>
  <c r="E41" i="11"/>
  <c r="I41" i="11"/>
  <c r="D41" i="11"/>
  <c r="H100" i="2"/>
  <c r="H101" i="2" s="1"/>
  <c r="G40" i="2"/>
  <c r="G41" i="2" s="1"/>
  <c r="G76" i="2"/>
  <c r="G77" i="2" s="1"/>
  <c r="G112" i="2"/>
  <c r="G113" i="2" s="1"/>
  <c r="G88" i="2"/>
  <c r="G89" i="2" s="1"/>
  <c r="G52" i="2"/>
  <c r="G53" i="2" s="1"/>
  <c r="G124" i="2"/>
  <c r="G125" i="2" s="1"/>
  <c r="G28" i="2"/>
  <c r="G29" i="2" s="1"/>
  <c r="K100" i="2"/>
  <c r="K101" i="2" s="1"/>
  <c r="I100" i="2"/>
  <c r="G64" i="2"/>
  <c r="G65" i="2" s="1"/>
  <c r="I136" i="15"/>
  <c r="I137" i="15" s="1"/>
  <c r="G136" i="15"/>
  <c r="G137" i="15" s="1"/>
  <c r="K136" i="2"/>
  <c r="J136" i="15"/>
  <c r="J137" i="15" s="1"/>
  <c r="H136" i="15"/>
  <c r="H137" i="15" s="1"/>
  <c r="L16" i="15"/>
  <c r="L17" i="15" s="1"/>
  <c r="M76" i="14"/>
  <c r="M77" i="14" s="1"/>
  <c r="N76" i="2"/>
  <c r="N77" i="2" s="1"/>
  <c r="M52" i="2"/>
  <c r="M53" i="2" s="1"/>
  <c r="J112" i="15"/>
  <c r="J113" i="15" s="1"/>
  <c r="I64" i="14"/>
  <c r="I65" i="14" s="1"/>
  <c r="K64" i="15"/>
  <c r="K65" i="15" s="1"/>
  <c r="K100" i="15"/>
  <c r="K101" i="15" s="1"/>
  <c r="M40" i="14"/>
  <c r="M41" i="14" s="1"/>
  <c r="M28" i="14"/>
  <c r="M29" i="14" s="1"/>
  <c r="I76" i="2"/>
  <c r="I77" i="2" s="1"/>
  <c r="I28" i="2"/>
  <c r="I29" i="2" s="1"/>
  <c r="H64" i="15"/>
  <c r="H65" i="15" s="1"/>
  <c r="H40" i="15"/>
  <c r="H41" i="15" s="1"/>
  <c r="H148" i="15"/>
  <c r="H149" i="15" s="1"/>
  <c r="N136" i="2"/>
  <c r="I124" i="15"/>
  <c r="I125" i="15" s="1"/>
  <c r="M148" i="2"/>
  <c r="M149" i="2" s="1"/>
  <c r="M88" i="2"/>
  <c r="M89" i="2" s="1"/>
  <c r="H112" i="14"/>
  <c r="H113" i="14" s="1"/>
  <c r="M76" i="15"/>
  <c r="M77" i="15" s="1"/>
  <c r="G124" i="14"/>
  <c r="J64" i="15"/>
  <c r="J65" i="15" s="1"/>
  <c r="J16" i="15"/>
  <c r="J17" i="15" s="1"/>
  <c r="J124" i="15"/>
  <c r="J125" i="15" s="1"/>
  <c r="N124" i="14"/>
  <c r="N125" i="14" s="1"/>
  <c r="N40" i="15"/>
  <c r="N41" i="15" s="1"/>
  <c r="G52" i="15"/>
  <c r="G53" i="15" s="1"/>
  <c r="L112" i="14"/>
  <c r="L113" i="14" s="1"/>
  <c r="L100" i="14"/>
  <c r="L101" i="14" s="1"/>
  <c r="K88" i="14"/>
  <c r="K89" i="14" s="1"/>
  <c r="K136" i="14"/>
  <c r="K137" i="14" s="1"/>
  <c r="K52" i="14"/>
  <c r="K53" i="14" s="1"/>
  <c r="H52" i="2"/>
  <c r="H53" i="2" s="1"/>
  <c r="H124" i="14"/>
  <c r="H125" i="14" s="1"/>
  <c r="I76" i="14"/>
  <c r="I77" i="14" s="1"/>
  <c r="L40" i="15"/>
  <c r="L41" i="15" s="1"/>
  <c r="L136" i="15"/>
  <c r="L137" i="15" s="1"/>
  <c r="K28" i="15"/>
  <c r="K29" i="15" s="1"/>
  <c r="K148" i="15"/>
  <c r="K149" i="15" s="1"/>
  <c r="M112" i="14"/>
  <c r="M113" i="14" s="1"/>
  <c r="M100" i="14"/>
  <c r="M101" i="14" s="1"/>
  <c r="I88" i="2"/>
  <c r="I89" i="2" s="1"/>
  <c r="I64" i="2"/>
  <c r="I65" i="2" s="1"/>
  <c r="H124" i="15"/>
  <c r="H125" i="15" s="1"/>
  <c r="I64" i="15"/>
  <c r="I65" i="15" s="1"/>
  <c r="I40" i="15"/>
  <c r="I41" i="15" s="1"/>
  <c r="M40" i="2"/>
  <c r="M41" i="2" s="1"/>
  <c r="K124" i="2"/>
  <c r="K125" i="2" s="1"/>
  <c r="K40" i="2"/>
  <c r="K41" i="2" s="1"/>
  <c r="H64" i="14"/>
  <c r="H65" i="14" s="1"/>
  <c r="H88" i="14"/>
  <c r="H89" i="14" s="1"/>
  <c r="M16" i="15"/>
  <c r="M17" i="15" s="1"/>
  <c r="G148" i="14"/>
  <c r="J88" i="15"/>
  <c r="J89" i="15" s="1"/>
  <c r="N148" i="14"/>
  <c r="N149" i="14" s="1"/>
  <c r="G64" i="15"/>
  <c r="G65" i="15" s="1"/>
  <c r="G148" i="15"/>
  <c r="G149" i="15" s="1"/>
  <c r="G28" i="15"/>
  <c r="G29" i="15" s="1"/>
  <c r="L88" i="14"/>
  <c r="L89" i="14" s="1"/>
  <c r="L136" i="14"/>
  <c r="L137" i="14" s="1"/>
  <c r="G148" i="2"/>
  <c r="G149" i="2" s="1"/>
  <c r="H28" i="2"/>
  <c r="H29" i="2" s="1"/>
  <c r="L124" i="15"/>
  <c r="L125" i="15" s="1"/>
  <c r="I112" i="15"/>
  <c r="I113" i="15" s="1"/>
  <c r="K88" i="2"/>
  <c r="K89" i="2" s="1"/>
  <c r="L124" i="14"/>
  <c r="L125" i="14" s="1"/>
  <c r="I100" i="14"/>
  <c r="I101" i="14" s="1"/>
  <c r="I16" i="14"/>
  <c r="I17" i="14" s="1"/>
  <c r="L88" i="15"/>
  <c r="L89" i="15" s="1"/>
  <c r="L64" i="15"/>
  <c r="L65" i="15" s="1"/>
  <c r="L100" i="15"/>
  <c r="L101" i="15" s="1"/>
  <c r="K76" i="15"/>
  <c r="K77" i="15" s="1"/>
  <c r="M124" i="14"/>
  <c r="M125" i="14" s="1"/>
  <c r="I148" i="2"/>
  <c r="I124" i="2"/>
  <c r="I125" i="2" s="1"/>
  <c r="I40" i="2"/>
  <c r="I41" i="2" s="1"/>
  <c r="H112" i="15"/>
  <c r="H113" i="15" s="1"/>
  <c r="N112" i="2"/>
  <c r="N113" i="2" s="1"/>
  <c r="N88" i="2"/>
  <c r="N89" i="2" s="1"/>
  <c r="N28" i="2"/>
  <c r="N29" i="2" s="1"/>
  <c r="I28" i="15"/>
  <c r="I29" i="15" s="1"/>
  <c r="I88" i="15"/>
  <c r="I89" i="15" s="1"/>
  <c r="M100" i="2"/>
  <c r="M101" i="2" s="1"/>
  <c r="H28" i="14"/>
  <c r="H29" i="14" s="1"/>
  <c r="H148" i="14"/>
  <c r="H149" i="14" s="1"/>
  <c r="M40" i="15"/>
  <c r="M41" i="15" s="1"/>
  <c r="J28" i="15"/>
  <c r="J29" i="15" s="1"/>
  <c r="J100" i="15"/>
  <c r="J101" i="15" s="1"/>
  <c r="N148" i="15"/>
  <c r="N149" i="15" s="1"/>
  <c r="G76" i="15"/>
  <c r="G77" i="15" s="1"/>
  <c r="L148" i="14"/>
  <c r="L149" i="14" s="1"/>
  <c r="K16" i="14"/>
  <c r="K17" i="14" s="1"/>
  <c r="K64" i="14"/>
  <c r="K65" i="14" s="1"/>
  <c r="H88" i="2"/>
  <c r="H89" i="2" s="1"/>
  <c r="H64" i="2"/>
  <c r="H65" i="2" s="1"/>
  <c r="I40" i="14"/>
  <c r="I41" i="14" s="1"/>
  <c r="K16" i="15"/>
  <c r="K17" i="15" s="1"/>
  <c r="K52" i="15"/>
  <c r="K53" i="15" s="1"/>
  <c r="K124" i="15"/>
  <c r="K125" i="15" s="1"/>
  <c r="M88" i="14"/>
  <c r="M89" i="14" s="1"/>
  <c r="M136" i="14"/>
  <c r="M137" i="14" s="1"/>
  <c r="I136" i="2"/>
  <c r="H52" i="15"/>
  <c r="H53" i="15" s="1"/>
  <c r="H28" i="15"/>
  <c r="H29" i="15" s="1"/>
  <c r="N52" i="2"/>
  <c r="N53" i="2" s="1"/>
  <c r="N124" i="2"/>
  <c r="N125" i="2" s="1"/>
  <c r="I76" i="15"/>
  <c r="I77" i="15" s="1"/>
  <c r="I100" i="15"/>
  <c r="I101" i="15" s="1"/>
  <c r="M64" i="2"/>
  <c r="M65" i="2" s="1"/>
  <c r="H76" i="14"/>
  <c r="H77" i="14" s="1"/>
  <c r="M88" i="15"/>
  <c r="M89" i="15" s="1"/>
  <c r="M148" i="15"/>
  <c r="M149" i="15" s="1"/>
  <c r="G16" i="14"/>
  <c r="J76" i="15"/>
  <c r="J77" i="15" s="1"/>
  <c r="J52" i="15"/>
  <c r="J53" i="15" s="1"/>
  <c r="N16" i="14"/>
  <c r="N17" i="14" s="1"/>
  <c r="N52" i="15"/>
  <c r="N53" i="15" s="1"/>
  <c r="N28" i="15"/>
  <c r="N29" i="15" s="1"/>
  <c r="N124" i="15"/>
  <c r="N125" i="15" s="1"/>
  <c r="N136" i="15"/>
  <c r="N137" i="15" s="1"/>
  <c r="G112" i="15"/>
  <c r="G113" i="15" s="1"/>
  <c r="G16" i="15"/>
  <c r="G17" i="15" s="1"/>
  <c r="K40" i="14"/>
  <c r="K41" i="14" s="1"/>
  <c r="K28" i="14"/>
  <c r="K29" i="14" s="1"/>
  <c r="K148" i="14"/>
  <c r="K149" i="14" s="1"/>
  <c r="H124" i="2"/>
  <c r="H125" i="2" s="1"/>
  <c r="H40" i="2"/>
  <c r="H41" i="2" s="1"/>
  <c r="H88" i="15"/>
  <c r="H89" i="15" s="1"/>
  <c r="I16" i="15"/>
  <c r="I17" i="15" s="1"/>
  <c r="J40" i="15"/>
  <c r="J41" i="15" s="1"/>
  <c r="N88" i="14"/>
  <c r="N89" i="14" s="1"/>
  <c r="N64" i="15"/>
  <c r="N65" i="15" s="1"/>
  <c r="I88" i="14"/>
  <c r="I89" i="14" s="1"/>
  <c r="I136" i="14"/>
  <c r="I137" i="14" s="1"/>
  <c r="I52" i="14"/>
  <c r="I53" i="14" s="1"/>
  <c r="K40" i="15"/>
  <c r="K41" i="15" s="1"/>
  <c r="K136" i="15"/>
  <c r="K137" i="15" s="1"/>
  <c r="M148" i="14"/>
  <c r="M149" i="14" s="1"/>
  <c r="H76" i="15"/>
  <c r="H77" i="15" s="1"/>
  <c r="H100" i="15"/>
  <c r="H101" i="15" s="1"/>
  <c r="M112" i="2"/>
  <c r="M113" i="2" s="1"/>
  <c r="K64" i="2"/>
  <c r="K65" i="2" s="1"/>
  <c r="K112" i="2"/>
  <c r="K113" i="2" s="1"/>
  <c r="H100" i="14"/>
  <c r="H101" i="14" s="1"/>
  <c r="H16" i="14"/>
  <c r="H17" i="14" s="1"/>
  <c r="M52" i="15"/>
  <c r="M53" i="15" s="1"/>
  <c r="M64" i="15"/>
  <c r="M65" i="15" s="1"/>
  <c r="M136" i="15"/>
  <c r="M137" i="15" s="1"/>
  <c r="G40" i="14"/>
  <c r="G28" i="14"/>
  <c r="G29" i="14" s="1"/>
  <c r="N40" i="14"/>
  <c r="N41" i="14" s="1"/>
  <c r="N28" i="14"/>
  <c r="N29" i="14" s="1"/>
  <c r="N76" i="15"/>
  <c r="N77" i="15" s="1"/>
  <c r="N112" i="15"/>
  <c r="N113" i="15" s="1"/>
  <c r="G40" i="15"/>
  <c r="G41" i="15" s="1"/>
  <c r="G124" i="15"/>
  <c r="G125" i="15" s="1"/>
  <c r="L16" i="14"/>
  <c r="L17" i="14" s="1"/>
  <c r="L64" i="14"/>
  <c r="L65" i="14" s="1"/>
  <c r="K76" i="14"/>
  <c r="K77" i="14" s="1"/>
  <c r="H76" i="2"/>
  <c r="H77" i="2" s="1"/>
  <c r="I148" i="14"/>
  <c r="I149" i="14" s="1"/>
  <c r="L112" i="15"/>
  <c r="L113" i="15" s="1"/>
  <c r="M52" i="14"/>
  <c r="M53" i="14" s="1"/>
  <c r="M124" i="2"/>
  <c r="M125" i="2" s="1"/>
  <c r="M124" i="15"/>
  <c r="M125" i="15" s="1"/>
  <c r="G64" i="14"/>
  <c r="N64" i="14"/>
  <c r="N65" i="14" s="1"/>
  <c r="N88" i="15"/>
  <c r="N89" i="15" s="1"/>
  <c r="I112" i="14"/>
  <c r="I113" i="14" s="1"/>
  <c r="L28" i="15"/>
  <c r="L29" i="15" s="1"/>
  <c r="K88" i="15"/>
  <c r="K89" i="15" s="1"/>
  <c r="I112" i="2"/>
  <c r="I113" i="2" s="1"/>
  <c r="N148" i="2"/>
  <c r="N149" i="2" s="1"/>
  <c r="N40" i="2"/>
  <c r="N41" i="2" s="1"/>
  <c r="I52" i="15"/>
  <c r="I53" i="15" s="1"/>
  <c r="M76" i="2"/>
  <c r="M77" i="2" s="1"/>
  <c r="M136" i="2"/>
  <c r="K52" i="2"/>
  <c r="K53" i="2" s="1"/>
  <c r="H40" i="14"/>
  <c r="H41" i="14" s="1"/>
  <c r="G136" i="14"/>
  <c r="G52" i="14"/>
  <c r="G76" i="14"/>
  <c r="J148" i="15"/>
  <c r="J149" i="15" s="1"/>
  <c r="N52" i="14"/>
  <c r="N53" i="14" s="1"/>
  <c r="N76" i="14"/>
  <c r="N77" i="14" s="1"/>
  <c r="G88" i="15"/>
  <c r="G89" i="15" s="1"/>
  <c r="L40" i="14"/>
  <c r="L41" i="14" s="1"/>
  <c r="L28" i="14"/>
  <c r="L29" i="14" s="1"/>
  <c r="K112" i="14"/>
  <c r="K113" i="14" s="1"/>
  <c r="K100" i="14"/>
  <c r="K101" i="14" s="1"/>
  <c r="I28" i="14"/>
  <c r="I29" i="14" s="1"/>
  <c r="K148" i="2"/>
  <c r="K149" i="2" s="1"/>
  <c r="G88" i="14"/>
  <c r="N136" i="14"/>
  <c r="I124" i="14"/>
  <c r="I125" i="14" s="1"/>
  <c r="L76" i="15"/>
  <c r="L77" i="15" s="1"/>
  <c r="L52" i="15"/>
  <c r="L53" i="15" s="1"/>
  <c r="L148" i="15"/>
  <c r="L149" i="15" s="1"/>
  <c r="K112" i="15"/>
  <c r="K113" i="15" s="1"/>
  <c r="M16" i="14"/>
  <c r="M17" i="14" s="1"/>
  <c r="M64" i="14"/>
  <c r="M65" i="14" s="1"/>
  <c r="I52" i="2"/>
  <c r="I53" i="2" s="1"/>
  <c r="H16" i="15"/>
  <c r="H17" i="15" s="1"/>
  <c r="N64" i="2"/>
  <c r="N65" i="2" s="1"/>
  <c r="N100" i="2"/>
  <c r="N101" i="2" s="1"/>
  <c r="I148" i="15"/>
  <c r="I149" i="15" s="1"/>
  <c r="M28" i="2"/>
  <c r="M29" i="2" s="1"/>
  <c r="K76" i="2"/>
  <c r="K77" i="2" s="1"/>
  <c r="K28" i="2"/>
  <c r="K29" i="2" s="1"/>
  <c r="H136" i="14"/>
  <c r="H52" i="14"/>
  <c r="H53" i="14" s="1"/>
  <c r="M100" i="15"/>
  <c r="M101" i="15" s="1"/>
  <c r="M28" i="15"/>
  <c r="M29" i="15" s="1"/>
  <c r="M112" i="15"/>
  <c r="M113" i="15" s="1"/>
  <c r="G112" i="14"/>
  <c r="G100" i="14"/>
  <c r="N112" i="14"/>
  <c r="N113" i="14" s="1"/>
  <c r="N100" i="14"/>
  <c r="N101" i="14" s="1"/>
  <c r="N16" i="15"/>
  <c r="N17" i="15" s="1"/>
  <c r="N100" i="15"/>
  <c r="N101" i="15" s="1"/>
  <c r="G100" i="15"/>
  <c r="G101" i="15" s="1"/>
  <c r="L52" i="14"/>
  <c r="L53" i="14" s="1"/>
  <c r="L76" i="14"/>
  <c r="L77" i="14" s="1"/>
  <c r="K124" i="14"/>
  <c r="K125" i="14" s="1"/>
  <c r="H148" i="2"/>
  <c r="H149" i="2" s="1"/>
  <c r="H112" i="2"/>
  <c r="H113" i="2" s="1"/>
  <c r="O137" i="15"/>
  <c r="Q137" i="15"/>
  <c r="K41" i="11"/>
  <c r="G41" i="11"/>
  <c r="C41" i="11"/>
  <c r="R127" i="2"/>
  <c r="R128" i="2"/>
  <c r="R129" i="2"/>
  <c r="R130" i="2"/>
  <c r="R131" i="2"/>
  <c r="R132" i="2"/>
  <c r="R133" i="2"/>
  <c r="R134" i="2"/>
  <c r="R135" i="2"/>
  <c r="R136" i="2"/>
  <c r="R126" i="2"/>
  <c r="P137" i="2" l="1"/>
  <c r="G137" i="2"/>
  <c r="I149" i="2"/>
  <c r="F148" i="2"/>
  <c r="F149" i="2" s="1"/>
  <c r="C6" i="11"/>
  <c r="C27" i="11" s="1"/>
  <c r="G6" i="11"/>
  <c r="G27" i="11" s="1"/>
  <c r="D6" i="11"/>
  <c r="D27" i="11" s="1"/>
  <c r="I6" i="11"/>
  <c r="M6" i="11"/>
  <c r="M27" i="11" s="1"/>
  <c r="B42" i="11"/>
  <c r="B7" i="11" s="1"/>
  <c r="H42" i="11"/>
  <c r="H43" i="11" s="1"/>
  <c r="I42" i="11"/>
  <c r="I7" i="11" s="1"/>
  <c r="M42" i="11"/>
  <c r="D42" i="11"/>
  <c r="D43" i="11" s="1"/>
  <c r="F42" i="11"/>
  <c r="F6" i="11"/>
  <c r="F27" i="11" s="1"/>
  <c r="E42" i="11"/>
  <c r="E6" i="11"/>
  <c r="E27" i="11" s="1"/>
  <c r="B6" i="11"/>
  <c r="J42" i="11"/>
  <c r="J6" i="11"/>
  <c r="J27" i="11" s="1"/>
  <c r="H6" i="11"/>
  <c r="K42" i="11"/>
  <c r="K6" i="11"/>
  <c r="K27" i="11" s="1"/>
  <c r="AA56" i="13"/>
  <c r="F136" i="2"/>
  <c r="F137" i="2" s="1"/>
  <c r="F100" i="2"/>
  <c r="F101" i="2" s="1"/>
  <c r="F124" i="2"/>
  <c r="F125" i="2" s="1"/>
  <c r="F28" i="14"/>
  <c r="F52" i="2"/>
  <c r="F53" i="2" s="1"/>
  <c r="F76" i="2"/>
  <c r="F77" i="2" s="1"/>
  <c r="F40" i="2"/>
  <c r="F41" i="2" s="1"/>
  <c r="F28" i="2"/>
  <c r="F29" i="2" s="1"/>
  <c r="I101" i="2"/>
  <c r="F88" i="2"/>
  <c r="F89" i="2" s="1"/>
  <c r="F136" i="15"/>
  <c r="F100" i="15"/>
  <c r="F101" i="15" s="1"/>
  <c r="F28" i="15"/>
  <c r="F29" i="15" s="1"/>
  <c r="G77" i="14"/>
  <c r="F76" i="14"/>
  <c r="G65" i="14"/>
  <c r="F64" i="14"/>
  <c r="F124" i="15"/>
  <c r="F125" i="15" s="1"/>
  <c r="F148" i="15"/>
  <c r="F149" i="15" s="1"/>
  <c r="F40" i="15"/>
  <c r="F41" i="15" s="1"/>
  <c r="F64" i="15"/>
  <c r="F65" i="15" s="1"/>
  <c r="G53" i="14"/>
  <c r="F52" i="14"/>
  <c r="G17" i="14"/>
  <c r="F16" i="14"/>
  <c r="F52" i="15"/>
  <c r="F53" i="15" s="1"/>
  <c r="F112" i="2"/>
  <c r="F113" i="2" s="1"/>
  <c r="G137" i="14"/>
  <c r="F136" i="14"/>
  <c r="G89" i="14"/>
  <c r="F88" i="14"/>
  <c r="G41" i="14"/>
  <c r="F40" i="14"/>
  <c r="F76" i="15"/>
  <c r="F77" i="15" s="1"/>
  <c r="F64" i="2"/>
  <c r="F65" i="2" s="1"/>
  <c r="G101" i="14"/>
  <c r="F100" i="14"/>
  <c r="F88" i="15"/>
  <c r="F89" i="15" s="1"/>
  <c r="F16" i="15"/>
  <c r="F17" i="15" s="1"/>
  <c r="G113" i="14"/>
  <c r="F112" i="14"/>
  <c r="F112" i="15"/>
  <c r="F113" i="15" s="1"/>
  <c r="G149" i="14"/>
  <c r="F148" i="14"/>
  <c r="F149" i="14" s="1"/>
  <c r="G125" i="14"/>
  <c r="F124" i="14"/>
  <c r="N137" i="14"/>
  <c r="H137" i="14"/>
  <c r="H137" i="2"/>
  <c r="I137" i="2"/>
  <c r="O137" i="2"/>
  <c r="Q137" i="2"/>
  <c r="M137" i="2"/>
  <c r="K137" i="2"/>
  <c r="N137" i="2"/>
  <c r="L16" i="2"/>
  <c r="L17" i="2" s="1"/>
  <c r="J16" i="2"/>
  <c r="J17" i="2" s="1"/>
  <c r="G16" i="2"/>
  <c r="G17" i="2" s="1"/>
  <c r="I16" i="2"/>
  <c r="I17" i="2" s="1"/>
  <c r="N16" i="2"/>
  <c r="N17" i="2" s="1"/>
  <c r="K16" i="2"/>
  <c r="K17" i="2" s="1"/>
  <c r="M16" i="2"/>
  <c r="M17" i="2" s="1"/>
  <c r="H16" i="2"/>
  <c r="H17" i="2" s="1"/>
  <c r="G42" i="11"/>
  <c r="C42" i="11"/>
  <c r="H7" i="11" l="1"/>
  <c r="H14" i="11" s="1"/>
  <c r="H21" i="11" s="1"/>
  <c r="AA61" i="13"/>
  <c r="M13" i="11"/>
  <c r="M20" i="11" s="1"/>
  <c r="M34" i="11" s="1"/>
  <c r="B43" i="11"/>
  <c r="B8" i="11" s="1"/>
  <c r="B29" i="11" s="1"/>
  <c r="D13" i="11"/>
  <c r="D20" i="11" s="1"/>
  <c r="D34" i="11" s="1"/>
  <c r="D8" i="11"/>
  <c r="D29" i="11" s="1"/>
  <c r="K43" i="11"/>
  <c r="K44" i="11" s="1"/>
  <c r="D7" i="11"/>
  <c r="D14" i="11" s="1"/>
  <c r="D21" i="11" s="1"/>
  <c r="M7" i="11"/>
  <c r="M14" i="11" s="1"/>
  <c r="M21" i="11" s="1"/>
  <c r="I43" i="11"/>
  <c r="I44" i="11" s="1"/>
  <c r="I27" i="11"/>
  <c r="I13" i="11"/>
  <c r="I20" i="11" s="1"/>
  <c r="F13" i="11"/>
  <c r="F20" i="11" s="1"/>
  <c r="F34" i="11" s="1"/>
  <c r="K13" i="11"/>
  <c r="K20" i="11" s="1"/>
  <c r="K34" i="11" s="1"/>
  <c r="E13" i="11"/>
  <c r="E20" i="11" s="1"/>
  <c r="M43" i="11"/>
  <c r="M44" i="11" s="1"/>
  <c r="U64" i="13" s="1"/>
  <c r="T64" i="13" s="1"/>
  <c r="G64" i="13" s="1"/>
  <c r="H13" i="11"/>
  <c r="H20" i="11" s="1"/>
  <c r="H27" i="11"/>
  <c r="I14" i="11"/>
  <c r="I21" i="11" s="1"/>
  <c r="I28" i="11"/>
  <c r="B14" i="11"/>
  <c r="B21" i="11" s="1"/>
  <c r="B28" i="11"/>
  <c r="J13" i="11"/>
  <c r="J20" i="11" s="1"/>
  <c r="B13" i="11"/>
  <c r="B20" i="11" s="1"/>
  <c r="B27" i="11"/>
  <c r="C7" i="11"/>
  <c r="H44" i="11"/>
  <c r="U39" i="13" s="1"/>
  <c r="H8" i="11"/>
  <c r="J7" i="11"/>
  <c r="J43" i="11"/>
  <c r="E7" i="11"/>
  <c r="E43" i="11"/>
  <c r="F43" i="11"/>
  <c r="F7" i="11"/>
  <c r="G7" i="11"/>
  <c r="K7" i="11"/>
  <c r="K28" i="11" s="1"/>
  <c r="AA31" i="13"/>
  <c r="AA41" i="13"/>
  <c r="AA16" i="13"/>
  <c r="AA46" i="13"/>
  <c r="AA21" i="13"/>
  <c r="AA36" i="13"/>
  <c r="AA66" i="13"/>
  <c r="AA51" i="13"/>
  <c r="AA26" i="13"/>
  <c r="F16" i="2"/>
  <c r="D44" i="11"/>
  <c r="G43" i="11"/>
  <c r="C43" i="11"/>
  <c r="G13" i="11"/>
  <c r="G20" i="11" s="1"/>
  <c r="G34" i="11" s="1"/>
  <c r="C13" i="11"/>
  <c r="C20" i="11" s="1"/>
  <c r="H28" i="11" l="1"/>
  <c r="H35" i="11" s="1"/>
  <c r="F17" i="2"/>
  <c r="AA11" i="13" s="1"/>
  <c r="B44" i="11"/>
  <c r="B9" i="11" s="1"/>
  <c r="B30" i="11" s="1"/>
  <c r="B31" i="11" s="1"/>
  <c r="I8" i="11"/>
  <c r="I29" i="11" s="1"/>
  <c r="M28" i="11"/>
  <c r="M35" i="11" s="1"/>
  <c r="D28" i="11"/>
  <c r="D35" i="11" s="1"/>
  <c r="I34" i="11"/>
  <c r="D15" i="11"/>
  <c r="D22" i="11" s="1"/>
  <c r="D36" i="11" s="1"/>
  <c r="M9" i="11"/>
  <c r="M30" i="11" s="1"/>
  <c r="G8" i="11"/>
  <c r="G29" i="11" s="1"/>
  <c r="D9" i="11"/>
  <c r="D30" i="11" s="1"/>
  <c r="U44" i="13"/>
  <c r="M8" i="11"/>
  <c r="M29" i="11" s="1"/>
  <c r="K8" i="11"/>
  <c r="K29" i="11" s="1"/>
  <c r="H45" i="11"/>
  <c r="B35" i="11"/>
  <c r="H34" i="11"/>
  <c r="B34" i="11"/>
  <c r="J34" i="11"/>
  <c r="I35" i="11"/>
  <c r="E34" i="11"/>
  <c r="C34" i="11"/>
  <c r="C14" i="11"/>
  <c r="C21" i="11" s="1"/>
  <c r="C28" i="11"/>
  <c r="K14" i="11"/>
  <c r="K21" i="11" s="1"/>
  <c r="H15" i="11"/>
  <c r="H22" i="11" s="1"/>
  <c r="H29" i="11"/>
  <c r="G14" i="11"/>
  <c r="G21" i="11" s="1"/>
  <c r="G28" i="11"/>
  <c r="E14" i="11"/>
  <c r="E21" i="11" s="1"/>
  <c r="E28" i="11"/>
  <c r="J14" i="11"/>
  <c r="J21" i="11" s="1"/>
  <c r="J28" i="11"/>
  <c r="I45" i="11"/>
  <c r="F14" i="11"/>
  <c r="F21" i="11" s="1"/>
  <c r="F28" i="11"/>
  <c r="F8" i="11"/>
  <c r="F29" i="11" s="1"/>
  <c r="F44" i="11"/>
  <c r="E8" i="11"/>
  <c r="E44" i="11"/>
  <c r="C8" i="11"/>
  <c r="K9" i="11"/>
  <c r="I9" i="11"/>
  <c r="J8" i="11"/>
  <c r="J44" i="11"/>
  <c r="H9" i="11"/>
  <c r="H10" i="11" s="1"/>
  <c r="U54" i="13"/>
  <c r="I18" i="17"/>
  <c r="U19" i="13"/>
  <c r="T19" i="13" s="1"/>
  <c r="G19" i="13" s="1"/>
  <c r="G44" i="11"/>
  <c r="D45" i="11"/>
  <c r="C44" i="11"/>
  <c r="K45" i="11"/>
  <c r="B15" i="11"/>
  <c r="B22" i="11" s="1"/>
  <c r="B36" i="11" s="1"/>
  <c r="M45" i="11"/>
  <c r="B45" i="11" l="1"/>
  <c r="U9" i="13"/>
  <c r="T9" i="13" s="1"/>
  <c r="D31" i="11"/>
  <c r="T54" i="13"/>
  <c r="G54" i="13" s="1"/>
  <c r="T44" i="13"/>
  <c r="T39" i="13"/>
  <c r="I9" i="17"/>
  <c r="D16" i="11"/>
  <c r="D23" i="11" s="1"/>
  <c r="D37" i="11" s="1"/>
  <c r="D38" i="11" s="1"/>
  <c r="I15" i="11"/>
  <c r="I22" i="11" s="1"/>
  <c r="I36" i="11" s="1"/>
  <c r="I10" i="11"/>
  <c r="M31" i="11"/>
  <c r="G15" i="11"/>
  <c r="G22" i="11" s="1"/>
  <c r="G36" i="11" s="1"/>
  <c r="K15" i="11"/>
  <c r="K22" i="11" s="1"/>
  <c r="K36" i="11" s="1"/>
  <c r="M15" i="11"/>
  <c r="M22" i="11" s="1"/>
  <c r="M16" i="11"/>
  <c r="M23" i="11" s="1"/>
  <c r="M37" i="11" s="1"/>
  <c r="M10" i="11"/>
  <c r="C9" i="11"/>
  <c r="C30" i="11" s="1"/>
  <c r="B16" i="11"/>
  <c r="B23" i="11" s="1"/>
  <c r="B37" i="11" s="1"/>
  <c r="B38" i="11" s="1"/>
  <c r="J35" i="11"/>
  <c r="E35" i="11"/>
  <c r="G35" i="11"/>
  <c r="H36" i="11"/>
  <c r="K35" i="11"/>
  <c r="C35" i="11"/>
  <c r="F35" i="11"/>
  <c r="I16" i="11"/>
  <c r="I23" i="11" s="1"/>
  <c r="I30" i="11"/>
  <c r="I31" i="11" s="1"/>
  <c r="H16" i="11"/>
  <c r="H23" i="11" s="1"/>
  <c r="H30" i="11"/>
  <c r="H31" i="11" s="1"/>
  <c r="J15" i="11"/>
  <c r="J22" i="11" s="1"/>
  <c r="J29" i="11"/>
  <c r="K16" i="11"/>
  <c r="K23" i="11" s="1"/>
  <c r="K30" i="11"/>
  <c r="K31" i="11" s="1"/>
  <c r="C15" i="11"/>
  <c r="C22" i="11" s="1"/>
  <c r="C29" i="11"/>
  <c r="E15" i="11"/>
  <c r="E22" i="11" s="1"/>
  <c r="E29" i="11"/>
  <c r="K10" i="11"/>
  <c r="F15" i="11"/>
  <c r="F22" i="11" s="1"/>
  <c r="F36" i="11" s="1"/>
  <c r="F9" i="11"/>
  <c r="F45" i="11"/>
  <c r="U29" i="13"/>
  <c r="T29" i="13" s="1"/>
  <c r="G29" i="13" s="1"/>
  <c r="J9" i="11"/>
  <c r="J16" i="11" s="1"/>
  <c r="J23" i="11" s="1"/>
  <c r="J45" i="11"/>
  <c r="U49" i="13"/>
  <c r="G9" i="11"/>
  <c r="E45" i="11"/>
  <c r="E9" i="11"/>
  <c r="U24" i="13"/>
  <c r="U34" i="13"/>
  <c r="U14" i="13"/>
  <c r="T14" i="13" s="1"/>
  <c r="G45" i="11"/>
  <c r="D10" i="11"/>
  <c r="C45" i="11"/>
  <c r="B10" i="11"/>
  <c r="B17" i="11" l="1"/>
  <c r="D17" i="11"/>
  <c r="D24" i="11"/>
  <c r="G44" i="13"/>
  <c r="I14" i="17" s="1"/>
  <c r="G14" i="13"/>
  <c r="I8" i="17" s="1"/>
  <c r="I16" i="17"/>
  <c r="G9" i="13"/>
  <c r="I7" i="17" s="1"/>
  <c r="G39" i="13"/>
  <c r="I13" i="17" s="1"/>
  <c r="T24" i="13"/>
  <c r="G24" i="13" s="1"/>
  <c r="T49" i="13"/>
  <c r="T34" i="13"/>
  <c r="I11" i="17"/>
  <c r="I24" i="11"/>
  <c r="B24" i="11"/>
  <c r="M24" i="11"/>
  <c r="M17" i="11"/>
  <c r="M36" i="11"/>
  <c r="M38" i="11" s="1"/>
  <c r="M48" i="11" s="1"/>
  <c r="C16" i="11"/>
  <c r="C23" i="11" s="1"/>
  <c r="C37" i="11" s="1"/>
  <c r="C31" i="11"/>
  <c r="D47" i="11"/>
  <c r="D48" i="11"/>
  <c r="D50" i="11"/>
  <c r="D49" i="11"/>
  <c r="D51" i="11"/>
  <c r="B47" i="11"/>
  <c r="B48" i="11"/>
  <c r="B50" i="11"/>
  <c r="B49" i="11"/>
  <c r="B51" i="11"/>
  <c r="K17" i="11"/>
  <c r="E36" i="11"/>
  <c r="H37" i="11"/>
  <c r="H38" i="11" s="1"/>
  <c r="K37" i="11"/>
  <c r="K38" i="11" s="1"/>
  <c r="C36" i="11"/>
  <c r="H24" i="11"/>
  <c r="H17" i="11"/>
  <c r="J36" i="11"/>
  <c r="J24" i="11"/>
  <c r="I37" i="11"/>
  <c r="I38" i="11" s="1"/>
  <c r="K24" i="11"/>
  <c r="E16" i="11"/>
  <c r="E23" i="11" s="1"/>
  <c r="E30" i="11"/>
  <c r="E31" i="11" s="1"/>
  <c r="J10" i="11"/>
  <c r="J30" i="11"/>
  <c r="J31" i="11" s="1"/>
  <c r="I17" i="11"/>
  <c r="F10" i="11"/>
  <c r="F30" i="11"/>
  <c r="F31" i="11" s="1"/>
  <c r="G10" i="11"/>
  <c r="G30" i="11"/>
  <c r="G31" i="11" s="1"/>
  <c r="G16" i="11"/>
  <c r="G23" i="11" s="1"/>
  <c r="J17" i="11"/>
  <c r="F16" i="11"/>
  <c r="F23" i="11" s="1"/>
  <c r="E10" i="11"/>
  <c r="C10" i="11"/>
  <c r="L12" i="11"/>
  <c r="L19" i="11" s="1"/>
  <c r="L40" i="11"/>
  <c r="D36" i="4" l="1"/>
  <c r="B36" i="4"/>
  <c r="G49" i="13"/>
  <c r="I15" i="17" s="1"/>
  <c r="G34" i="13"/>
  <c r="I12" i="17" s="1"/>
  <c r="I10" i="17"/>
  <c r="D100" i="4"/>
  <c r="M47" i="11"/>
  <c r="M50" i="11"/>
  <c r="M51" i="11"/>
  <c r="M49" i="11"/>
  <c r="C24" i="11"/>
  <c r="C38" i="11"/>
  <c r="C47" i="11" s="1"/>
  <c r="C17" i="11"/>
  <c r="I47" i="11"/>
  <c r="I48" i="11"/>
  <c r="I49" i="11"/>
  <c r="I51" i="11"/>
  <c r="I50" i="11"/>
  <c r="K47" i="11"/>
  <c r="K48" i="11"/>
  <c r="K49" i="11"/>
  <c r="K51" i="11"/>
  <c r="K50" i="11"/>
  <c r="H47" i="11"/>
  <c r="H48" i="11"/>
  <c r="H50" i="11"/>
  <c r="H49" i="11"/>
  <c r="H51" i="11"/>
  <c r="B52" i="11"/>
  <c r="S7" i="17" s="1"/>
  <c r="B43" i="4"/>
  <c r="D52" i="11"/>
  <c r="S9" i="17" s="1"/>
  <c r="D43" i="4"/>
  <c r="J37" i="11"/>
  <c r="J38" i="11" s="1"/>
  <c r="E17" i="11"/>
  <c r="F17" i="11"/>
  <c r="L33" i="11"/>
  <c r="F37" i="11"/>
  <c r="F38" i="11" s="1"/>
  <c r="F24" i="11"/>
  <c r="G24" i="11"/>
  <c r="G37" i="11"/>
  <c r="G38" i="11" s="1"/>
  <c r="E37" i="11"/>
  <c r="E38" i="11" s="1"/>
  <c r="E24" i="11"/>
  <c r="G17" i="11"/>
  <c r="L41" i="11"/>
  <c r="L6" i="11" s="1"/>
  <c r="L27" i="11" s="1"/>
  <c r="M36" i="4" l="1"/>
  <c r="P62" i="13" s="1"/>
  <c r="K36" i="4"/>
  <c r="Q55" i="13" s="1"/>
  <c r="Q8" i="13"/>
  <c r="Q10" i="13"/>
  <c r="Q52" i="13"/>
  <c r="H36" i="4"/>
  <c r="I36" i="4"/>
  <c r="Q18" i="13"/>
  <c r="Q20" i="13"/>
  <c r="Q17" i="13"/>
  <c r="C49" i="11"/>
  <c r="K100" i="4"/>
  <c r="H100" i="4"/>
  <c r="M100" i="4"/>
  <c r="I100" i="4"/>
  <c r="M43" i="4"/>
  <c r="M45" i="4" s="1"/>
  <c r="M46" i="4" s="1"/>
  <c r="M52" i="11"/>
  <c r="S18" i="17" s="1"/>
  <c r="C51" i="11"/>
  <c r="C50" i="11"/>
  <c r="C48" i="11"/>
  <c r="I52" i="11"/>
  <c r="S14" i="17" s="1"/>
  <c r="E47" i="11"/>
  <c r="E48" i="11"/>
  <c r="E49" i="11"/>
  <c r="E50" i="11"/>
  <c r="E51" i="11"/>
  <c r="G47" i="11"/>
  <c r="G48" i="11"/>
  <c r="G49" i="11"/>
  <c r="G50" i="11"/>
  <c r="G51" i="11"/>
  <c r="F47" i="11"/>
  <c r="F48" i="11"/>
  <c r="F49" i="11"/>
  <c r="F50" i="11"/>
  <c r="F51" i="11"/>
  <c r="J47" i="11"/>
  <c r="J48" i="11"/>
  <c r="J49" i="11"/>
  <c r="J50" i="11"/>
  <c r="J51" i="11"/>
  <c r="O9" i="17"/>
  <c r="P9" i="17"/>
  <c r="L9" i="17"/>
  <c r="Q9" i="17"/>
  <c r="N9" i="17"/>
  <c r="P18" i="13"/>
  <c r="R18" i="13"/>
  <c r="P20" i="13"/>
  <c r="P17" i="13"/>
  <c r="R17" i="13"/>
  <c r="R20" i="13"/>
  <c r="I18" i="13"/>
  <c r="L20" i="13"/>
  <c r="I20" i="13"/>
  <c r="L18" i="13"/>
  <c r="N18" i="13"/>
  <c r="L17" i="13"/>
  <c r="I17" i="13"/>
  <c r="N20" i="13"/>
  <c r="O20" i="13"/>
  <c r="J17" i="13"/>
  <c r="N17" i="13"/>
  <c r="O17" i="13"/>
  <c r="O18" i="13"/>
  <c r="D45" i="4"/>
  <c r="D46" i="4" s="1"/>
  <c r="U20" i="13"/>
  <c r="N7" i="17"/>
  <c r="O7" i="17"/>
  <c r="L7" i="17"/>
  <c r="Q7" i="17"/>
  <c r="P7" i="17"/>
  <c r="P8" i="13"/>
  <c r="R8" i="13"/>
  <c r="P10" i="13"/>
  <c r="R10" i="13"/>
  <c r="O10" i="13"/>
  <c r="I10" i="13"/>
  <c r="I8" i="13"/>
  <c r="L10" i="13"/>
  <c r="N10" i="13"/>
  <c r="O8" i="13"/>
  <c r="L8" i="13"/>
  <c r="N8" i="13"/>
  <c r="R7" i="13"/>
  <c r="O7" i="13"/>
  <c r="P7" i="13"/>
  <c r="I7" i="13"/>
  <c r="L7" i="13"/>
  <c r="N7" i="13"/>
  <c r="J7" i="13"/>
  <c r="U10" i="13"/>
  <c r="V10" i="13" s="1"/>
  <c r="T10" i="13" s="1"/>
  <c r="T11" i="13" s="1"/>
  <c r="J75" i="24" s="1"/>
  <c r="B45" i="4"/>
  <c r="B46" i="4" s="1"/>
  <c r="H52" i="11"/>
  <c r="S13" i="17" s="1"/>
  <c r="H43" i="4"/>
  <c r="K43" i="4"/>
  <c r="K52" i="11"/>
  <c r="S16" i="17" s="1"/>
  <c r="I43" i="4"/>
  <c r="L13" i="11"/>
  <c r="L20" i="11" s="1"/>
  <c r="L42" i="11"/>
  <c r="L7" i="11" s="1"/>
  <c r="L28" i="11" s="1"/>
  <c r="N18" i="17" l="1"/>
  <c r="Q65" i="13"/>
  <c r="Q63" i="13"/>
  <c r="Q62" i="13"/>
  <c r="Q53" i="13"/>
  <c r="Q56" i="13" s="1"/>
  <c r="J36" i="4"/>
  <c r="Q47" i="13" s="1"/>
  <c r="Q21" i="13"/>
  <c r="Q11" i="13"/>
  <c r="H45" i="4"/>
  <c r="H46" i="4" s="1"/>
  <c r="R13" i="17" s="1"/>
  <c r="U40" i="13"/>
  <c r="V40" i="13" s="1"/>
  <c r="E36" i="4"/>
  <c r="G36" i="4"/>
  <c r="C36" i="4"/>
  <c r="R13" i="13" s="1"/>
  <c r="Q45" i="13"/>
  <c r="Q42" i="13"/>
  <c r="Q43" i="13"/>
  <c r="F36" i="4"/>
  <c r="Q37" i="13"/>
  <c r="Q38" i="13"/>
  <c r="Q40" i="13"/>
  <c r="L40" i="13"/>
  <c r="P38" i="13"/>
  <c r="R37" i="13"/>
  <c r="N37" i="13"/>
  <c r="L37" i="13"/>
  <c r="I37" i="13"/>
  <c r="P40" i="13"/>
  <c r="N40" i="13"/>
  <c r="J40" i="13"/>
  <c r="K40" i="13" s="1"/>
  <c r="O38" i="13"/>
  <c r="O37" i="13"/>
  <c r="R40" i="13"/>
  <c r="I40" i="13"/>
  <c r="N38" i="13"/>
  <c r="L38" i="13"/>
  <c r="O40" i="13"/>
  <c r="R38" i="13"/>
  <c r="I38" i="13"/>
  <c r="P37" i="13"/>
  <c r="J37" i="13"/>
  <c r="L21" i="13"/>
  <c r="P21" i="13"/>
  <c r="O21" i="13"/>
  <c r="I21" i="13"/>
  <c r="N21" i="13"/>
  <c r="R21" i="13"/>
  <c r="V20" i="13"/>
  <c r="T20" i="13" s="1"/>
  <c r="T21" i="13" s="1"/>
  <c r="J78" i="24" s="1"/>
  <c r="L62" i="13"/>
  <c r="O63" i="13"/>
  <c r="O62" i="13"/>
  <c r="R62" i="13"/>
  <c r="C100" i="4"/>
  <c r="M7" i="17"/>
  <c r="R7" i="17"/>
  <c r="R9" i="17"/>
  <c r="M9" i="17"/>
  <c r="P63" i="13"/>
  <c r="M18" i="17"/>
  <c r="R18" i="17"/>
  <c r="N63" i="13"/>
  <c r="L65" i="13"/>
  <c r="N65" i="13"/>
  <c r="O18" i="17"/>
  <c r="I63" i="13"/>
  <c r="L18" i="17"/>
  <c r="I62" i="13"/>
  <c r="P65" i="13"/>
  <c r="P18" i="17"/>
  <c r="O65" i="13"/>
  <c r="Q18" i="17"/>
  <c r="L63" i="13"/>
  <c r="I65" i="13"/>
  <c r="R63" i="13"/>
  <c r="J100" i="4"/>
  <c r="E100" i="4"/>
  <c r="R65" i="13"/>
  <c r="J62" i="13"/>
  <c r="N62" i="13"/>
  <c r="G100" i="4"/>
  <c r="U65" i="13"/>
  <c r="V65" i="13" s="1"/>
  <c r="T65" i="13" s="1"/>
  <c r="T66" i="13" s="1"/>
  <c r="J73" i="24" s="1"/>
  <c r="F100" i="4"/>
  <c r="C52" i="11"/>
  <c r="S8" i="17" s="1"/>
  <c r="C43" i="4"/>
  <c r="U15" i="13" s="1"/>
  <c r="J42" i="13"/>
  <c r="I45" i="13"/>
  <c r="I43" i="13"/>
  <c r="O14" i="17"/>
  <c r="L14" i="17"/>
  <c r="O42" i="13"/>
  <c r="P43" i="13"/>
  <c r="O43" i="13"/>
  <c r="N45" i="13"/>
  <c r="Q14" i="17"/>
  <c r="N42" i="13"/>
  <c r="R45" i="13"/>
  <c r="P14" i="17"/>
  <c r="R43" i="13"/>
  <c r="I42" i="13"/>
  <c r="L45" i="13"/>
  <c r="P42" i="13"/>
  <c r="N14" i="17"/>
  <c r="N43" i="13"/>
  <c r="L43" i="13"/>
  <c r="P45" i="13"/>
  <c r="L42" i="13"/>
  <c r="O45" i="13"/>
  <c r="R42" i="13"/>
  <c r="I45" i="4"/>
  <c r="I46" i="4" s="1"/>
  <c r="U45" i="13"/>
  <c r="V45" i="13" s="1"/>
  <c r="T45" i="13" s="1"/>
  <c r="T46" i="13" s="1"/>
  <c r="J74" i="24" s="1"/>
  <c r="P16" i="17"/>
  <c r="L16" i="17"/>
  <c r="Q16" i="17"/>
  <c r="O16" i="17"/>
  <c r="N16" i="17"/>
  <c r="R52" i="13"/>
  <c r="P53" i="13"/>
  <c r="P52" i="13"/>
  <c r="P55" i="13"/>
  <c r="R55" i="13"/>
  <c r="R53" i="13"/>
  <c r="O55" i="13"/>
  <c r="L53" i="13"/>
  <c r="O53" i="13"/>
  <c r="J52" i="13"/>
  <c r="I53" i="13"/>
  <c r="L55" i="13"/>
  <c r="I52" i="13"/>
  <c r="L52" i="13"/>
  <c r="I55" i="13"/>
  <c r="N52" i="13"/>
  <c r="N55" i="13"/>
  <c r="N53" i="13"/>
  <c r="O52" i="13"/>
  <c r="K45" i="4"/>
  <c r="K46" i="4" s="1"/>
  <c r="U55" i="13"/>
  <c r="V55" i="13" s="1"/>
  <c r="T55" i="13" s="1"/>
  <c r="T56" i="13" s="1"/>
  <c r="J79" i="24" s="1"/>
  <c r="O13" i="17"/>
  <c r="Q13" i="17"/>
  <c r="L13" i="17"/>
  <c r="N13" i="17"/>
  <c r="P13" i="17"/>
  <c r="J10" i="13"/>
  <c r="K10" i="13" s="1"/>
  <c r="K11" i="13" s="1"/>
  <c r="H10" i="13"/>
  <c r="H8" i="13"/>
  <c r="H7" i="13"/>
  <c r="G7" i="13" s="1"/>
  <c r="J20" i="13"/>
  <c r="K20" i="13" s="1"/>
  <c r="K21" i="13" s="1"/>
  <c r="H17" i="13"/>
  <c r="H18" i="13"/>
  <c r="G18" i="13" s="1"/>
  <c r="H20" i="13"/>
  <c r="J65" i="13"/>
  <c r="K65" i="13" s="1"/>
  <c r="K66" i="13" s="1"/>
  <c r="H65" i="13"/>
  <c r="H63" i="13"/>
  <c r="H62" i="13"/>
  <c r="J52" i="11"/>
  <c r="S15" i="17" s="1"/>
  <c r="J43" i="4"/>
  <c r="F43" i="4"/>
  <c r="F52" i="11"/>
  <c r="S11" i="17" s="1"/>
  <c r="G52" i="11"/>
  <c r="S12" i="17" s="1"/>
  <c r="G43" i="4"/>
  <c r="E52" i="11"/>
  <c r="S10" i="17" s="1"/>
  <c r="E43" i="4"/>
  <c r="L34" i="11"/>
  <c r="L43" i="11"/>
  <c r="L14" i="11"/>
  <c r="L21" i="11" s="1"/>
  <c r="L35" i="11" s="1"/>
  <c r="Q66" i="13" l="1"/>
  <c r="Q50" i="13"/>
  <c r="Q48" i="13"/>
  <c r="Q8" i="17"/>
  <c r="N12" i="13"/>
  <c r="Q41" i="13"/>
  <c r="L15" i="13"/>
  <c r="R12" i="13"/>
  <c r="O12" i="13"/>
  <c r="R15" i="13"/>
  <c r="H38" i="13"/>
  <c r="Q30" i="13"/>
  <c r="Q27" i="13"/>
  <c r="Q28" i="13"/>
  <c r="M13" i="17"/>
  <c r="Q15" i="13"/>
  <c r="Q12" i="13"/>
  <c r="Q13" i="13"/>
  <c r="H37" i="13"/>
  <c r="Q32" i="13"/>
  <c r="Q33" i="13"/>
  <c r="Q35" i="13"/>
  <c r="N8" i="17"/>
  <c r="H40" i="13"/>
  <c r="Q46" i="13"/>
  <c r="Q22" i="13"/>
  <c r="Q23" i="13"/>
  <c r="Q25" i="13"/>
  <c r="G63" i="13"/>
  <c r="G20" i="13"/>
  <c r="J9" i="17" s="1"/>
  <c r="G10" i="13"/>
  <c r="J7" i="17" s="1"/>
  <c r="G65" i="13"/>
  <c r="G62" i="13"/>
  <c r="J21" i="13"/>
  <c r="D78" i="24" s="1"/>
  <c r="G17" i="13"/>
  <c r="G9" i="17" s="1"/>
  <c r="H21" i="13"/>
  <c r="N13" i="13"/>
  <c r="P8" i="17"/>
  <c r="N15" i="13"/>
  <c r="O8" i="17"/>
  <c r="P15" i="13"/>
  <c r="L12" i="13"/>
  <c r="J12" i="13"/>
  <c r="P13" i="13"/>
  <c r="I15" i="13"/>
  <c r="I12" i="13"/>
  <c r="P12" i="13"/>
  <c r="L13" i="13"/>
  <c r="O15" i="13"/>
  <c r="L8" i="17"/>
  <c r="O13" i="13"/>
  <c r="I13" i="13"/>
  <c r="H9" i="17"/>
  <c r="G7" i="17"/>
  <c r="G8" i="13"/>
  <c r="H7" i="17" s="1"/>
  <c r="M16" i="17"/>
  <c r="R16" i="17"/>
  <c r="M14" i="17"/>
  <c r="R14" i="17"/>
  <c r="C45" i="4"/>
  <c r="C46" i="4" s="1"/>
  <c r="H15" i="13" s="1"/>
  <c r="V15" i="13"/>
  <c r="T15" i="13" s="1"/>
  <c r="T16" i="13" s="1"/>
  <c r="J81" i="24" s="1"/>
  <c r="J66" i="13"/>
  <c r="D73" i="24" s="1"/>
  <c r="J11" i="13"/>
  <c r="D75" i="24" s="1"/>
  <c r="P10" i="17"/>
  <c r="L22" i="13"/>
  <c r="O23" i="13"/>
  <c r="N22" i="13"/>
  <c r="I22" i="13"/>
  <c r="R23" i="13"/>
  <c r="O22" i="13"/>
  <c r="I25" i="13"/>
  <c r="L10" i="17"/>
  <c r="O25" i="13"/>
  <c r="Q10" i="17"/>
  <c r="N25" i="13"/>
  <c r="O10" i="17"/>
  <c r="R22" i="13"/>
  <c r="I23" i="13"/>
  <c r="J22" i="13"/>
  <c r="P25" i="13"/>
  <c r="P22" i="13"/>
  <c r="N10" i="17"/>
  <c r="R25" i="13"/>
  <c r="L23" i="13"/>
  <c r="N23" i="13"/>
  <c r="P23" i="13"/>
  <c r="L25" i="13"/>
  <c r="E45" i="4"/>
  <c r="E46" i="4" s="1"/>
  <c r="U25" i="13"/>
  <c r="V25" i="13" s="1"/>
  <c r="T25" i="13" s="1"/>
  <c r="T26" i="13" s="1"/>
  <c r="J77" i="24" s="1"/>
  <c r="Q12" i="17"/>
  <c r="P12" i="17"/>
  <c r="N12" i="17"/>
  <c r="L12" i="17"/>
  <c r="O12" i="17"/>
  <c r="P32" i="13"/>
  <c r="R33" i="13"/>
  <c r="P35" i="13"/>
  <c r="P33" i="13"/>
  <c r="R32" i="13"/>
  <c r="R35" i="13"/>
  <c r="I35" i="13"/>
  <c r="L35" i="13"/>
  <c r="N32" i="13"/>
  <c r="I32" i="13"/>
  <c r="O32" i="13"/>
  <c r="I33" i="13"/>
  <c r="L32" i="13"/>
  <c r="N33" i="13"/>
  <c r="L33" i="13"/>
  <c r="N35" i="13"/>
  <c r="J32" i="13"/>
  <c r="O33" i="13"/>
  <c r="O35" i="13"/>
  <c r="G45" i="4"/>
  <c r="G46" i="4" s="1"/>
  <c r="U35" i="13"/>
  <c r="P27" i="13"/>
  <c r="N27" i="13"/>
  <c r="R28" i="13"/>
  <c r="L11" i="17"/>
  <c r="L27" i="13"/>
  <c r="J27" i="13"/>
  <c r="O27" i="13"/>
  <c r="N11" i="17"/>
  <c r="L30" i="13"/>
  <c r="L28" i="13"/>
  <c r="Q11" i="17"/>
  <c r="I30" i="13"/>
  <c r="P11" i="17"/>
  <c r="R27" i="13"/>
  <c r="I27" i="13"/>
  <c r="O28" i="13"/>
  <c r="R30" i="13"/>
  <c r="P30" i="13"/>
  <c r="O11" i="17"/>
  <c r="P28" i="13"/>
  <c r="O30" i="13"/>
  <c r="N28" i="13"/>
  <c r="I28" i="13"/>
  <c r="N30" i="13"/>
  <c r="U30" i="13"/>
  <c r="V30" i="13" s="1"/>
  <c r="T30" i="13" s="1"/>
  <c r="T31" i="13" s="1"/>
  <c r="J83" i="24" s="1"/>
  <c r="F45" i="4"/>
  <c r="F46" i="4" s="1"/>
  <c r="P47" i="13"/>
  <c r="I47" i="13"/>
  <c r="I50" i="13"/>
  <c r="J47" i="13"/>
  <c r="R50" i="13"/>
  <c r="Q15" i="17"/>
  <c r="P48" i="13"/>
  <c r="N47" i="13"/>
  <c r="I48" i="13"/>
  <c r="N48" i="13"/>
  <c r="L15" i="17"/>
  <c r="R48" i="13"/>
  <c r="O50" i="13"/>
  <c r="P15" i="17"/>
  <c r="L47" i="13"/>
  <c r="N15" i="17"/>
  <c r="P50" i="13"/>
  <c r="O48" i="13"/>
  <c r="L50" i="13"/>
  <c r="O47" i="13"/>
  <c r="O15" i="17"/>
  <c r="L48" i="13"/>
  <c r="N50" i="13"/>
  <c r="R47" i="13"/>
  <c r="U50" i="13"/>
  <c r="V50" i="13" s="1"/>
  <c r="T50" i="13" s="1"/>
  <c r="T51" i="13" s="1"/>
  <c r="J72" i="24" s="1"/>
  <c r="J45" i="4"/>
  <c r="J46" i="4" s="1"/>
  <c r="H52" i="13"/>
  <c r="G52" i="13" s="1"/>
  <c r="J55" i="13"/>
  <c r="K55" i="13" s="1"/>
  <c r="K56" i="13" s="1"/>
  <c r="H53" i="13"/>
  <c r="G53" i="13" s="1"/>
  <c r="H55" i="13"/>
  <c r="H13" i="13"/>
  <c r="H43" i="13"/>
  <c r="H42" i="13"/>
  <c r="H45" i="13"/>
  <c r="J45" i="13"/>
  <c r="K45" i="13" s="1"/>
  <c r="K46" i="13" s="1"/>
  <c r="L44" i="11"/>
  <c r="L8" i="11"/>
  <c r="L29" i="11" s="1"/>
  <c r="Q51" i="13" l="1"/>
  <c r="J15" i="13"/>
  <c r="K15" i="13" s="1"/>
  <c r="K16" i="13" s="1"/>
  <c r="G12" i="13"/>
  <c r="G8" i="17" s="1"/>
  <c r="Q16" i="13"/>
  <c r="Q31" i="13"/>
  <c r="Q36" i="13"/>
  <c r="Q26" i="13"/>
  <c r="G45" i="13"/>
  <c r="J14" i="17" s="1"/>
  <c r="G55" i="13"/>
  <c r="J16" i="17" s="1"/>
  <c r="H56" i="13"/>
  <c r="G21" i="13"/>
  <c r="G13" i="13"/>
  <c r="H8" i="17" s="1"/>
  <c r="G43" i="13"/>
  <c r="H14" i="17" s="1"/>
  <c r="G42" i="13"/>
  <c r="G14" i="17" s="1"/>
  <c r="G16" i="17"/>
  <c r="H16" i="17"/>
  <c r="M15" i="17"/>
  <c r="R15" i="17"/>
  <c r="M11" i="17"/>
  <c r="R11" i="17"/>
  <c r="R12" i="17"/>
  <c r="M12" i="17"/>
  <c r="R10" i="17"/>
  <c r="M10" i="17"/>
  <c r="M8" i="17"/>
  <c r="R8" i="17"/>
  <c r="L15" i="11"/>
  <c r="L22" i="11" s="1"/>
  <c r="L36" i="11" s="1"/>
  <c r="J46" i="13"/>
  <c r="D74" i="24" s="1"/>
  <c r="J56" i="13"/>
  <c r="D79" i="24" s="1"/>
  <c r="T40" i="13"/>
  <c r="J50" i="13"/>
  <c r="K50" i="13" s="1"/>
  <c r="K51" i="13" s="1"/>
  <c r="H47" i="13"/>
  <c r="H50" i="13"/>
  <c r="H48" i="13"/>
  <c r="H27" i="13"/>
  <c r="H28" i="13"/>
  <c r="H30" i="13"/>
  <c r="J30" i="13"/>
  <c r="K30" i="13" s="1"/>
  <c r="K31" i="13" s="1"/>
  <c r="V35" i="13"/>
  <c r="T35" i="13" s="1"/>
  <c r="T36" i="13" s="1"/>
  <c r="J80" i="24" s="1"/>
  <c r="H32" i="13"/>
  <c r="H35" i="13"/>
  <c r="J35" i="13"/>
  <c r="K35" i="13" s="1"/>
  <c r="K36" i="13" s="1"/>
  <c r="H33" i="13"/>
  <c r="J25" i="13"/>
  <c r="K25" i="13" s="1"/>
  <c r="K26" i="13" s="1"/>
  <c r="H25" i="13"/>
  <c r="H22" i="13"/>
  <c r="G22" i="13" s="1"/>
  <c r="H23" i="13"/>
  <c r="G23" i="13" s="1"/>
  <c r="L45" i="11"/>
  <c r="U59" i="13"/>
  <c r="L9" i="11"/>
  <c r="H18" i="17"/>
  <c r="G15" i="13" l="1"/>
  <c r="J8" i="17" s="1"/>
  <c r="J16" i="13"/>
  <c r="D81" i="24" s="1"/>
  <c r="G50" i="13"/>
  <c r="J15" i="17" s="1"/>
  <c r="G35" i="13"/>
  <c r="J12" i="17" s="1"/>
  <c r="G30" i="13"/>
  <c r="J11" i="17" s="1"/>
  <c r="T41" i="13"/>
  <c r="J82" i="24" s="1"/>
  <c r="G40" i="13"/>
  <c r="G25" i="13"/>
  <c r="J10" i="17" s="1"/>
  <c r="T59" i="13"/>
  <c r="G59" i="13" s="1"/>
  <c r="G10" i="17"/>
  <c r="G48" i="13"/>
  <c r="H15" i="17" s="1"/>
  <c r="G33" i="13"/>
  <c r="H12" i="17" s="1"/>
  <c r="G47" i="13"/>
  <c r="G15" i="17" s="1"/>
  <c r="G32" i="13"/>
  <c r="G12" i="17" s="1"/>
  <c r="G28" i="13"/>
  <c r="H11" i="17" s="1"/>
  <c r="H10" i="17"/>
  <c r="G27" i="13"/>
  <c r="G11" i="17" s="1"/>
  <c r="J51" i="13"/>
  <c r="D72" i="24" s="1"/>
  <c r="J36" i="13"/>
  <c r="D80" i="24" s="1"/>
  <c r="J26" i="13"/>
  <c r="D77" i="24" s="1"/>
  <c r="J31" i="13"/>
  <c r="D83" i="24" s="1"/>
  <c r="K41" i="13"/>
  <c r="L16" i="11"/>
  <c r="L23" i="11" s="1"/>
  <c r="L30" i="11"/>
  <c r="L31" i="11" s="1"/>
  <c r="L10" i="11"/>
  <c r="G18" i="17"/>
  <c r="J18" i="17"/>
  <c r="I17" i="17" l="1"/>
  <c r="J13" i="17"/>
  <c r="G37" i="13"/>
  <c r="G13" i="17" s="1"/>
  <c r="G38" i="13"/>
  <c r="H13" i="17" s="1"/>
  <c r="J41" i="13"/>
  <c r="D82" i="24" s="1"/>
  <c r="L17" i="11"/>
  <c r="L37" i="11"/>
  <c r="L38" i="11" s="1"/>
  <c r="L24" i="11"/>
  <c r="L50" i="11" l="1"/>
  <c r="L47" i="11"/>
  <c r="L49" i="11"/>
  <c r="L51" i="11"/>
  <c r="L48" i="11"/>
  <c r="L36" i="4" l="1"/>
  <c r="Q58" i="13" s="1"/>
  <c r="L100" i="4"/>
  <c r="L52" i="11"/>
  <c r="S17" i="17" s="1"/>
  <c r="L43" i="4"/>
  <c r="Q60" i="13" l="1"/>
  <c r="Q57" i="13"/>
  <c r="P58" i="13"/>
  <c r="I58" i="13"/>
  <c r="I57" i="13"/>
  <c r="I60" i="13"/>
  <c r="R60" i="13"/>
  <c r="L17" i="17"/>
  <c r="O58" i="13"/>
  <c r="J57" i="13"/>
  <c r="R57" i="13"/>
  <c r="O17" i="17"/>
  <c r="N58" i="13"/>
  <c r="N57" i="13"/>
  <c r="Q17" i="17"/>
  <c r="R58" i="13"/>
  <c r="L60" i="13"/>
  <c r="L58" i="13"/>
  <c r="P57" i="13"/>
  <c r="N17" i="17"/>
  <c r="P60" i="13"/>
  <c r="N60" i="13"/>
  <c r="L57" i="13"/>
  <c r="P17" i="17"/>
  <c r="O57" i="13"/>
  <c r="O60" i="13"/>
  <c r="L45" i="4"/>
  <c r="L46" i="4" s="1"/>
  <c r="U60" i="13"/>
  <c r="Q61" i="13" l="1"/>
  <c r="H58" i="13"/>
  <c r="M17" i="17"/>
  <c r="R17" i="17"/>
  <c r="L61" i="13"/>
  <c r="N61" i="13"/>
  <c r="H60" i="13"/>
  <c r="J60" i="13"/>
  <c r="K60" i="13" s="1"/>
  <c r="K61" i="13" s="1"/>
  <c r="P61" i="13"/>
  <c r="H57" i="13"/>
  <c r="G57" i="13" s="1"/>
  <c r="R61" i="13"/>
  <c r="H76" i="24" s="1"/>
  <c r="V60" i="13"/>
  <c r="T60" i="13" s="1"/>
  <c r="T61" i="13" s="1"/>
  <c r="J76" i="24" s="1"/>
  <c r="I61" i="13"/>
  <c r="O61" i="13"/>
  <c r="F76" i="24" s="1"/>
  <c r="G60" i="13" l="1"/>
  <c r="J17" i="17" s="1"/>
  <c r="G58" i="13"/>
  <c r="H17" i="17" s="1"/>
  <c r="G76" i="24"/>
  <c r="C76" i="24"/>
  <c r="E76" i="24"/>
  <c r="G17" i="17"/>
  <c r="J61" i="13"/>
  <c r="H61" i="13"/>
  <c r="N46" i="13"/>
  <c r="O46" i="13"/>
  <c r="F74" i="24" s="1"/>
  <c r="R46" i="13"/>
  <c r="H74" i="24" s="1"/>
  <c r="I46" i="13"/>
  <c r="C74" i="24" s="1"/>
  <c r="L46" i="13"/>
  <c r="P46" i="13"/>
  <c r="G74" i="24" s="1"/>
  <c r="I41" i="13"/>
  <c r="C82" i="24" s="1"/>
  <c r="L11" i="13"/>
  <c r="I11" i="13"/>
  <c r="C75" i="24" s="1"/>
  <c r="O41" i="13"/>
  <c r="F82" i="24" s="1"/>
  <c r="R66" i="13"/>
  <c r="H73" i="24" s="1"/>
  <c r="R41" i="13"/>
  <c r="H82" i="24" s="1"/>
  <c r="O66" i="13"/>
  <c r="F73" i="24" s="1"/>
  <c r="P66" i="13"/>
  <c r="G73" i="24" s="1"/>
  <c r="H78" i="24"/>
  <c r="N66" i="13"/>
  <c r="O11" i="13"/>
  <c r="F75" i="24" s="1"/>
  <c r="P11" i="13"/>
  <c r="G75" i="24" s="1"/>
  <c r="P41" i="13"/>
  <c r="G82" i="24" s="1"/>
  <c r="C78" i="24"/>
  <c r="I66" i="13"/>
  <c r="C73" i="24" s="1"/>
  <c r="R11" i="13"/>
  <c r="H75" i="24" s="1"/>
  <c r="L41" i="13"/>
  <c r="N11" i="13"/>
  <c r="F78" i="24"/>
  <c r="G78" i="24"/>
  <c r="L66" i="13"/>
  <c r="N41" i="13"/>
  <c r="H11" i="13"/>
  <c r="B75" i="24" s="1"/>
  <c r="L51" i="13"/>
  <c r="I31" i="13"/>
  <c r="C83" i="24" s="1"/>
  <c r="R51" i="13"/>
  <c r="O31" i="13"/>
  <c r="F83" i="24" s="1"/>
  <c r="L31" i="13"/>
  <c r="N51" i="13"/>
  <c r="O26" i="13"/>
  <c r="F77" i="24" s="1"/>
  <c r="R31" i="13"/>
  <c r="H83" i="24" s="1"/>
  <c r="H46" i="13"/>
  <c r="B74" i="24" s="1"/>
  <c r="I26" i="13"/>
  <c r="C77" i="24" s="1"/>
  <c r="R26" i="13"/>
  <c r="H77" i="24" s="1"/>
  <c r="O51" i="13"/>
  <c r="F72" i="24" s="1"/>
  <c r="N26" i="13"/>
  <c r="I51" i="13"/>
  <c r="C72" i="24" s="1"/>
  <c r="P51" i="13"/>
  <c r="G72" i="24" s="1"/>
  <c r="P26" i="13"/>
  <c r="G77" i="24" s="1"/>
  <c r="N31" i="13"/>
  <c r="L26" i="13"/>
  <c r="P31" i="13"/>
  <c r="G83" i="24" s="1"/>
  <c r="O16" i="13"/>
  <c r="F81" i="24" s="1"/>
  <c r="L36" i="13"/>
  <c r="R36" i="13"/>
  <c r="H80" i="24" s="1"/>
  <c r="L56" i="13"/>
  <c r="I56" i="13"/>
  <c r="C79" i="24" s="1"/>
  <c r="H41" i="13"/>
  <c r="B82" i="24" s="1"/>
  <c r="P36" i="13"/>
  <c r="G80" i="24" s="1"/>
  <c r="L16" i="13"/>
  <c r="I16" i="13"/>
  <c r="C81" i="24" s="1"/>
  <c r="P16" i="13"/>
  <c r="G81" i="24" s="1"/>
  <c r="P56" i="13"/>
  <c r="G79" i="24" s="1"/>
  <c r="H66" i="13"/>
  <c r="B73" i="24" s="1"/>
  <c r="B78" i="24"/>
  <c r="I36" i="13"/>
  <c r="C80" i="24" s="1"/>
  <c r="N56" i="13"/>
  <c r="R56" i="13"/>
  <c r="H79" i="24" s="1"/>
  <c r="N16" i="13"/>
  <c r="O36" i="13"/>
  <c r="F80" i="24" s="1"/>
  <c r="R16" i="13"/>
  <c r="H81" i="24" s="1"/>
  <c r="O56" i="13"/>
  <c r="F79" i="24" s="1"/>
  <c r="N36" i="13"/>
  <c r="B79" i="24"/>
  <c r="H31" i="13"/>
  <c r="B83" i="24" s="1"/>
  <c r="H26" i="13"/>
  <c r="H51" i="13"/>
  <c r="B72" i="24" s="1"/>
  <c r="H36" i="13"/>
  <c r="B80" i="24" s="1"/>
  <c r="H16" i="13"/>
  <c r="B81" i="24" s="1"/>
  <c r="B77" i="24" l="1"/>
  <c r="G26" i="13"/>
  <c r="F10" i="17" s="1"/>
  <c r="B76" i="24"/>
  <c r="Z61" i="13"/>
  <c r="D76" i="24"/>
  <c r="G61" i="13"/>
  <c r="F17" i="17" s="1"/>
  <c r="E74" i="24"/>
  <c r="M74" i="24" s="1"/>
  <c r="E77" i="24"/>
  <c r="E73" i="24"/>
  <c r="M73" i="24" s="1"/>
  <c r="E81" i="24"/>
  <c r="M81" i="24" s="1"/>
  <c r="E82" i="24"/>
  <c r="M82" i="24" s="1"/>
  <c r="E83" i="24"/>
  <c r="M83" i="24" s="1"/>
  <c r="E78" i="24"/>
  <c r="E79" i="24"/>
  <c r="M79" i="24" s="1"/>
  <c r="H72" i="24"/>
  <c r="E72" i="24"/>
  <c r="E75" i="24"/>
  <c r="M75" i="24" s="1"/>
  <c r="E80" i="24"/>
  <c r="M80" i="24" s="1"/>
  <c r="G56" i="13"/>
  <c r="F16" i="17" s="1"/>
  <c r="G66" i="13"/>
  <c r="F18" i="17" s="1"/>
  <c r="G41" i="13"/>
  <c r="F13" i="17" s="1"/>
  <c r="Z16" i="13"/>
  <c r="G36" i="13"/>
  <c r="F12" i="17" s="1"/>
  <c r="G11" i="13"/>
  <c r="F7" i="17" s="1"/>
  <c r="Z31" i="13"/>
  <c r="Z21" i="13"/>
  <c r="Z46" i="13"/>
  <c r="Z41" i="13"/>
  <c r="Z26" i="13"/>
  <c r="Z51" i="13"/>
  <c r="Z56" i="13"/>
  <c r="Z11" i="13"/>
  <c r="G46" i="13"/>
  <c r="F14" i="17" s="1"/>
  <c r="Z66" i="13"/>
  <c r="Z36" i="13"/>
  <c r="G31" i="13"/>
  <c r="F11" i="17" s="1"/>
  <c r="F9" i="17"/>
  <c r="G51" i="13"/>
  <c r="F15" i="17" s="1"/>
  <c r="G16" i="13"/>
  <c r="F8" i="17" s="1"/>
  <c r="M77" i="24" l="1"/>
  <c r="M76" i="24"/>
  <c r="M78" i="24"/>
  <c r="M72"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Ludvig Karlsson</author>
  </authors>
  <commentList>
    <comment ref="G49" authorId="0" shapeId="0" xr:uid="{217EDF5C-0C88-46A6-916F-585F90141D99}">
      <text>
        <r>
          <rPr>
            <sz val="11"/>
            <color theme="1"/>
            <rFont val="Calibri"/>
            <family val="2"/>
            <scheme val="minor"/>
          </rPr>
          <t xml:space="preserve">Ludvig Karlsson:
0,21 according to CRF table. Assumed that they forgot a zero and adjusted to 0,021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<sst xmlns="http://schemas.openxmlformats.org/spreadsheetml/2006/main" count="3807" uniqueCount="453">
  <si>
    <t>Read me</t>
  </si>
  <si>
    <t>This is a file that contains the calculations of environmental footprints, labour requirements, animal welfare and use of antibiotics for chicken production.</t>
  </si>
  <si>
    <t>Assumptions:</t>
  </si>
  <si>
    <t xml:space="preserve"> - All parent animals are also eaten</t>
  </si>
  <si>
    <t xml:space="preserve"> - Impacts are allocated equally across flesh and offals</t>
  </si>
  <si>
    <t>Tab color codes:</t>
  </si>
  <si>
    <t>Results</t>
  </si>
  <si>
    <t>Sheets for input</t>
  </si>
  <si>
    <t>Intermediate calculations</t>
  </si>
  <si>
    <t>Att göra:</t>
  </si>
  <si>
    <t>Se om det går att få ut en foderstat för denna från Frankrike https://productions-animales.org/article/view/5396</t>
  </si>
  <si>
    <t xml:space="preserve">Justera till landsspecifik energianvändning https://www.mdpi.com/2076-3417/12/4/2142 </t>
  </si>
  <si>
    <t>Vattenanvändning per land - OBS att detta är för anv i stallar, inte foderodlingen</t>
  </si>
  <si>
    <t>Figures</t>
  </si>
  <si>
    <t>Production of mineral fertilizer</t>
  </si>
  <si>
    <t xml:space="preserve">Production of capital goods </t>
  </si>
  <si>
    <t xml:space="preserve">Emissions from soil </t>
  </si>
  <si>
    <t>Diesel use field machinary</t>
  </si>
  <si>
    <t>Energy use for feed processing</t>
  </si>
  <si>
    <t>Land use change emissions</t>
  </si>
  <si>
    <t>Feed transports</t>
  </si>
  <si>
    <t>Enteric fermentation</t>
  </si>
  <si>
    <t>Manure management</t>
  </si>
  <si>
    <t>Energy use in stables</t>
  </si>
  <si>
    <t>Energy use for slaughter</t>
  </si>
  <si>
    <t>Tot</t>
  </si>
  <si>
    <t>UK</t>
  </si>
  <si>
    <t>Ireland</t>
  </si>
  <si>
    <t>Poland</t>
  </si>
  <si>
    <t>Germany</t>
  </si>
  <si>
    <t>Netherlands</t>
  </si>
  <si>
    <t xml:space="preserve">Denmark </t>
  </si>
  <si>
    <t>Greece</t>
  </si>
  <si>
    <t>Italy</t>
  </si>
  <si>
    <t>Sweden</t>
  </si>
  <si>
    <t>France</t>
  </si>
  <si>
    <t xml:space="preserve">Hungary </t>
  </si>
  <si>
    <t>Spain</t>
  </si>
  <si>
    <t>Footprints (per kg of bonefree meat)</t>
  </si>
  <si>
    <t>* Adjusted for manure</t>
  </si>
  <si>
    <t>Animal products</t>
  </si>
  <si>
    <t>Climate</t>
  </si>
  <si>
    <t>Land</t>
  </si>
  <si>
    <t>Nitrogen*</t>
  </si>
  <si>
    <t>Phosphorus</t>
  </si>
  <si>
    <t>Water</t>
  </si>
  <si>
    <t>Pesticides</t>
  </si>
  <si>
    <t>Biodiversity</t>
  </si>
  <si>
    <t>Ammonia</t>
  </si>
  <si>
    <t>Labour</t>
  </si>
  <si>
    <t>Animal welfare</t>
  </si>
  <si>
    <t>Use of antibiotics</t>
  </si>
  <si>
    <t>Code</t>
  </si>
  <si>
    <t>Name</t>
  </si>
  <si>
    <t>Category</t>
  </si>
  <si>
    <t>Country</t>
  </si>
  <si>
    <t>Country code</t>
  </si>
  <si>
    <t>Carbon footprint, kg CO2e/kg</t>
  </si>
  <si>
    <t>Carbon dioxide, kg CO2/kg</t>
  </si>
  <si>
    <t>Methane, fossil, kg CH4/kg</t>
  </si>
  <si>
    <t>Methane, biogenic, kg CH4/kg</t>
  </si>
  <si>
    <t>Nitrous oxide, kg N2O/kg</t>
  </si>
  <si>
    <t>HFCs, kg HFCs/kg</t>
  </si>
  <si>
    <t>Cropland use, m2/kg</t>
  </si>
  <si>
    <t>New N input, kg N/kg</t>
  </si>
  <si>
    <t>New P input, kg P/kg</t>
  </si>
  <si>
    <t>Blue freshwater use, m3/kg</t>
  </si>
  <si>
    <t>Pesticide use,             g a.i./kg</t>
  </si>
  <si>
    <t>Extinction rate, E/MSY/kg</t>
  </si>
  <si>
    <t>Ammonia emission, kg NH3/kg</t>
  </si>
  <si>
    <t>Labour requirements, h/kg</t>
  </si>
  <si>
    <t>Animal welfare index per kg of bonefree meat</t>
  </si>
  <si>
    <t>Chicken meat</t>
  </si>
  <si>
    <t>White meat</t>
  </si>
  <si>
    <t>AT</t>
  </si>
  <si>
    <t>DK</t>
  </si>
  <si>
    <t>FR</t>
  </si>
  <si>
    <t>DE</t>
  </si>
  <si>
    <t>GR</t>
  </si>
  <si>
    <t>HU</t>
  </si>
  <si>
    <t>IE</t>
  </si>
  <si>
    <t>IT</t>
  </si>
  <si>
    <t>NL</t>
  </si>
  <si>
    <t>PL</t>
  </si>
  <si>
    <t>ES</t>
  </si>
  <si>
    <t>SE</t>
  </si>
  <si>
    <t>GB</t>
  </si>
  <si>
    <t>Brazil</t>
  </si>
  <si>
    <t>BR</t>
  </si>
  <si>
    <t>* Production of mineral fertiliser is adjusted to account for the N supplied by manure.</t>
  </si>
  <si>
    <t>GHG emissions (per kg of bonefree meat)</t>
  </si>
  <si>
    <t>** Adjusted for use of manure instead of mineral fertiliser (lower emission factor for manure)</t>
  </si>
  <si>
    <t>*** Calculated as percentage of direct emissions due to assumption due to data limitations regarding nitrogen leaching and volatilization from soils in different regions.</t>
  </si>
  <si>
    <t>Animals</t>
  </si>
  <si>
    <t>Stables</t>
  </si>
  <si>
    <t>Slaughter</t>
  </si>
  <si>
    <t>Control</t>
  </si>
  <si>
    <t>Sum</t>
  </si>
  <si>
    <t>Inputs</t>
  </si>
  <si>
    <t>Soil emissions</t>
  </si>
  <si>
    <t>Energy use</t>
  </si>
  <si>
    <t>Land use change</t>
  </si>
  <si>
    <t>Transports</t>
  </si>
  <si>
    <t>FoodEx code</t>
  </si>
  <si>
    <t>FoodEx name</t>
  </si>
  <si>
    <t>Food Ex category (L1)</t>
  </si>
  <si>
    <t>Gas</t>
  </si>
  <si>
    <t>GHG</t>
  </si>
  <si>
    <t>Production of mineral fertilizer*</t>
  </si>
  <si>
    <t>Direct emissions**</t>
  </si>
  <si>
    <t>Indirect emissions***</t>
  </si>
  <si>
    <t>Diesel use field mach</t>
  </si>
  <si>
    <t>Energy use in greenhouses</t>
  </si>
  <si>
    <t>Energy use for irrigation</t>
  </si>
  <si>
    <t>Energy use for post-harvest proc</t>
  </si>
  <si>
    <t>LUC emissions</t>
  </si>
  <si>
    <t>Manure management - tot</t>
  </si>
  <si>
    <t>Manure management - direct</t>
  </si>
  <si>
    <t>Manure management - indirect</t>
  </si>
  <si>
    <t>Feed mix emissions, kg CO2 per kg feed, excl. adjustement manure</t>
  </si>
  <si>
    <t>A01SP</t>
  </si>
  <si>
    <t>Chicken fresh meat</t>
  </si>
  <si>
    <t>Meat and meat products</t>
  </si>
  <si>
    <t>CO2</t>
  </si>
  <si>
    <t>CH4, fossil</t>
  </si>
  <si>
    <t>CH4, biogenic</t>
  </si>
  <si>
    <t>N2O</t>
  </si>
  <si>
    <t>CO2e</t>
  </si>
  <si>
    <t>Denmark</t>
  </si>
  <si>
    <t>Hungary</t>
  </si>
  <si>
    <t xml:space="preserve">Ireland </t>
  </si>
  <si>
    <t>Netherland</t>
  </si>
  <si>
    <t>CH4</t>
  </si>
  <si>
    <t>Production system</t>
  </si>
  <si>
    <t>Animals slaughtered (no)</t>
  </si>
  <si>
    <t>Chicken</t>
  </si>
  <si>
    <t>Parent hens</t>
  </si>
  <si>
    <t>Parent roasters</t>
  </si>
  <si>
    <t>Grandparent hens</t>
  </si>
  <si>
    <t>Grandparent roasters</t>
  </si>
  <si>
    <t>Total:</t>
  </si>
  <si>
    <t>Meat produced (kg CW)</t>
  </si>
  <si>
    <t>Meat produced (kg bonefree)</t>
  </si>
  <si>
    <t>Offal produced (kg edible)</t>
  </si>
  <si>
    <t>Meat and offal produced (kg bonefree)</t>
  </si>
  <si>
    <t>Animals in production (no)</t>
  </si>
  <si>
    <t>Animals in production per kg of meat/offal produced (no)</t>
  </si>
  <si>
    <t>Production parameters and emission factors, country specific</t>
  </si>
  <si>
    <t>Production parameters</t>
  </si>
  <si>
    <t>Source France</t>
  </si>
  <si>
    <t>Comment:</t>
  </si>
  <si>
    <t xml:space="preserve">Source Sweden: </t>
  </si>
  <si>
    <t>Slaughter age, days</t>
  </si>
  <si>
    <t>From LL, dig up source</t>
  </si>
  <si>
    <t>Mortality rearing, %</t>
  </si>
  <si>
    <t>Bennetorf &amp; Lindahl, 2016</t>
  </si>
  <si>
    <t>Rejection after slaughter, %</t>
  </si>
  <si>
    <t>Jordbruksverket, 2022</t>
  </si>
  <si>
    <t>Meat yield, kg CW/liveweight</t>
  </si>
  <si>
    <t>Meat yield, kg bonefree meat/CW</t>
  </si>
  <si>
    <t>Meat yield, kg CW/chicken</t>
  </si>
  <si>
    <t>Jordbruksverket (slaktad vikt/slaktade djur)</t>
  </si>
  <si>
    <t>Meat yield, kg CW/hen</t>
  </si>
  <si>
    <t>4.2-4.4, Ida Ljungkvist</t>
  </si>
  <si>
    <t>Meat yield, kg CW/roaster</t>
  </si>
  <si>
    <t>5 kg, Ida Ljungkvist</t>
  </si>
  <si>
    <t>Offal yield, kg edible/animal (chicken, hen, roaster)</t>
  </si>
  <si>
    <t>KunskapsKokboken (hjärta 45 g, muselmage 150 g, lever 80 g)</t>
  </si>
  <si>
    <t>Eggs per parent hen</t>
  </si>
  <si>
    <t>Ida Ljungkvist</t>
  </si>
  <si>
    <t>Parent hens per roaster</t>
  </si>
  <si>
    <t>Mortality parents, %</t>
  </si>
  <si>
    <t>Share of feed ingredients (%)</t>
  </si>
  <si>
    <t>Barley, average</t>
  </si>
  <si>
    <t>Se om det går att använda denna:</t>
  </si>
  <si>
    <t>European feed mixes from Karlsson et al. 2020 for all countries</t>
  </si>
  <si>
    <t>Maize (corn)</t>
  </si>
  <si>
    <t>https://productions-animales.org/article/view/5396</t>
  </si>
  <si>
    <t>Rest approximated with UK for now</t>
  </si>
  <si>
    <t>BR, TH and US approximated with GB</t>
  </si>
  <si>
    <t>Oats</t>
  </si>
  <si>
    <t>Rye</t>
  </si>
  <si>
    <t>Wheat, average</t>
  </si>
  <si>
    <t>Peas, dry</t>
  </si>
  <si>
    <t>Broad beans and horse beans, dry</t>
  </si>
  <si>
    <t>Rape seed cake</t>
  </si>
  <si>
    <t>Soy cake</t>
  </si>
  <si>
    <t>By-products</t>
  </si>
  <si>
    <t>Other</t>
  </si>
  <si>
    <t>Cereals</t>
  </si>
  <si>
    <t>Feed requirement</t>
  </si>
  <si>
    <t>Source:</t>
  </si>
  <si>
    <t>Feed conversion ratio live slaugher chicken, kg per kg liveweight</t>
  </si>
  <si>
    <t>Svensk Fågel, pers. comm., confirmed by Ida Ljungkvist, pers. comm.</t>
  </si>
  <si>
    <t>Feed per kg of liveweight</t>
  </si>
  <si>
    <t>Feed parent hens, kg per hen</t>
  </si>
  <si>
    <t>Ida Ljungkvist, pers. comm.</t>
  </si>
  <si>
    <t>Includes feed for roasters (1 roaster per 12.5 hens)</t>
  </si>
  <si>
    <t>Feed conversion, kg per kg bonefree including parents and losses</t>
  </si>
  <si>
    <t>Excreted N in manure</t>
  </si>
  <si>
    <t>Slaughter chickens, kg N/animal/year</t>
  </si>
  <si>
    <t>NIR, 2022, Table 5.17</t>
  </si>
  <si>
    <t>CRF 2023, Table3.B(b)</t>
  </si>
  <si>
    <t>NIR 2023, Table 5.3.16</t>
  </si>
  <si>
    <t>NIR 2023, 5.31</t>
  </si>
  <si>
    <t>NIR 2023, Table 5.3.9</t>
  </si>
  <si>
    <t>Slaughter chickens, kg N/animal</t>
  </si>
  <si>
    <t>NIR, 2022, Table 5.17 (8.5 cycles per year)</t>
  </si>
  <si>
    <t>Parent and grandparent hens and roaster, kg N/animal/year</t>
  </si>
  <si>
    <t>Figure for laying hens</t>
  </si>
  <si>
    <t xml:space="preserve">Ammonia emissions from excreted N </t>
  </si>
  <si>
    <t>EMEP/EEA 2019. Table 3.2, Broilers, litter, Tier 1 approach</t>
  </si>
  <si>
    <t>Excreted N, kg N per kg of bonefree meat/offal</t>
  </si>
  <si>
    <t>Losses due to direct N2O emissions, kg N per kg N excreted</t>
  </si>
  <si>
    <t>Losses due to indirect N2O emissions, kg N per kg N excreted</t>
  </si>
  <si>
    <t>Excreted N after losses, kg N per kg bonefree meat</t>
  </si>
  <si>
    <t>Emission factors manure management</t>
  </si>
  <si>
    <t>Methane from manure management, kg CH4/animal/year</t>
  </si>
  <si>
    <t>IPCC, 2019</t>
  </si>
  <si>
    <t>NIR uses the same factor, Table 5.16, RISE gets it from Greppa</t>
  </si>
  <si>
    <t>CRF 2023, Table3.B(b). In CRF 0.21, assumed that they forgot a zero and adjusted to 0.021</t>
  </si>
  <si>
    <t>Direct nitrous oxide from poultry manure, kg N2O-N/N</t>
  </si>
  <si>
    <t>IPCC, 2019, Table 10.21 (Poultry manure with litter)</t>
  </si>
  <si>
    <t>Emissions from manure storage, 1% i NIR Table 5.18, but RISE also uses 0.1%</t>
  </si>
  <si>
    <t>Indirect nitrous oxide from poultry manure, kg N2O-N/NH3-N</t>
  </si>
  <si>
    <t xml:space="preserve">IPCC, 2019, Table 11.3, EF4 </t>
  </si>
  <si>
    <t>RISE uses 1%,  but Emma had 0.1% but NIR, 2022 also refers EF4 (p. 342)</t>
  </si>
  <si>
    <t xml:space="preserve">Energy use in stables </t>
  </si>
  <si>
    <t>Total energy use, kWh/kg CW</t>
  </si>
  <si>
    <t>SVENSK FÅGEL undated-a. Energikartläggning Kyckling [Online]. Available: https://svenskfagel.se/wp-content/uploads/2017/09/energikartlaggning_kyckling.pdf [Accessed Sept 2021]</t>
  </si>
  <si>
    <t>Share for heating</t>
  </si>
  <si>
    <t>Share biofuels for heating</t>
  </si>
  <si>
    <t>SVENSK FÅGEL undated-b. Kyckling är klimatsmartare [Online]. Available: https://svenskfagel.se/wp-content/uploads/2018/10/Klimat-150306-MO1-1.pdf</t>
  </si>
  <si>
    <t>Men Katarina skriver att de har en högre andel icke-förnybart så att totalen från energianvändningen blir 0.05, vilket motsvarar 50% förnybart här</t>
  </si>
  <si>
    <t>Energy use at slaughter</t>
  </si>
  <si>
    <t>Energy use electricity, kWh/kg CW</t>
  </si>
  <si>
    <t xml:space="preserve">Edman et al. 2022 </t>
  </si>
  <si>
    <t>Energy use heating oil, kWh/kg CW</t>
  </si>
  <si>
    <t>https://svenskfagel.se/wp-content/uploads/2022/11/klimatavtryck-sv-kyckling-foder-information-november-2022-publik.pdf</t>
  </si>
  <si>
    <t>Emission factors electricity</t>
  </si>
  <si>
    <t>Electricity, kg CO2e/kWh</t>
  </si>
  <si>
    <t>ecoinvent; market for electricity, low voltage</t>
  </si>
  <si>
    <t>Electricity, kg CO2/kWh</t>
  </si>
  <si>
    <t>Electricity, kg CH4/kWh</t>
  </si>
  <si>
    <t>Electricity, kg N2O/kWh</t>
  </si>
  <si>
    <t>Emission factors changes in SOC and LUC</t>
  </si>
  <si>
    <t>Soil carbon loss, kg CO2e/feed</t>
  </si>
  <si>
    <t>Moberg et al. 2019</t>
  </si>
  <si>
    <t>LUC emissions from soy, kg CO2/kg soy</t>
  </si>
  <si>
    <t>Pendrill et al. 2020</t>
  </si>
  <si>
    <t>Soy meal per kg soy, kg</t>
  </si>
  <si>
    <t>Flysjö et al. 2010</t>
  </si>
  <si>
    <t>Economic allocation of impact to meal</t>
  </si>
  <si>
    <t>Emission from the production of mineral fertilisers (kg)</t>
  </si>
  <si>
    <t>Fraction BAT</t>
  </si>
  <si>
    <t>Swedish Agency for Public Management (2010)</t>
  </si>
  <si>
    <t>Fraction AN</t>
  </si>
  <si>
    <t>Emission factors N2O from soil</t>
  </si>
  <si>
    <t>Direct emissions from mineral fertiliser</t>
  </si>
  <si>
    <t>IPCC, 2019, Table 11.1, figure 3A.5.1 for whether countries are wet/dry (only Spain dry in Europé, US both)</t>
  </si>
  <si>
    <t>Direct emissions from manure</t>
  </si>
  <si>
    <t>Difference in emission factor min. fert - manure</t>
  </si>
  <si>
    <t>Indirect emissions, share of direct emissions</t>
  </si>
  <si>
    <t>Manure replacement factor</t>
  </si>
  <si>
    <t>Based on växttillgängligt kväve</t>
  </si>
  <si>
    <t>Water use</t>
  </si>
  <si>
    <t>Water use for housing and drinking, m3 per kg CW</t>
  </si>
  <si>
    <t>Mekonnen and Hoekstra (2012)</t>
  </si>
  <si>
    <t>Labour requirements</t>
  </si>
  <si>
    <t xml:space="preserve">Labour requirements, h per animal </t>
  </si>
  <si>
    <t>Diseases chicken (ratio of animals)</t>
  </si>
  <si>
    <r>
      <t>Diseas</t>
    </r>
    <r>
      <rPr>
        <i/>
        <sz val="11"/>
        <color rgb="FF000000"/>
        <rFont val="Calibri"/>
        <family val="2"/>
      </rPr>
      <t xml:space="preserve"> parents (ratio of animals)</t>
    </r>
  </si>
  <si>
    <t>Space chicken</t>
  </si>
  <si>
    <t>Space parents</t>
  </si>
  <si>
    <t>Animal welfare in production system chicken</t>
  </si>
  <si>
    <t>Animal welfare in production system parents</t>
  </si>
  <si>
    <t>Animal welfare index per kg of meat</t>
  </si>
  <si>
    <t>* approx with Greece</t>
  </si>
  <si>
    <t>Det är olika 0,64 på rad 95 96 97, bara råkar bli samma</t>
  </si>
  <si>
    <t>Emissions of CO2 from feed crops (per kg of crop)</t>
  </si>
  <si>
    <t>Columns A-M copied straight from RPC filerna</t>
  </si>
  <si>
    <t xml:space="preserve">Shares from Karlsson et al. </t>
  </si>
  <si>
    <t>Crops</t>
  </si>
  <si>
    <t>Feed processing</t>
  </si>
  <si>
    <t>Share</t>
  </si>
  <si>
    <t xml:space="preserve">Categories </t>
  </si>
  <si>
    <t>Direct emissions</t>
  </si>
  <si>
    <t>Indirect emissions</t>
  </si>
  <si>
    <t>Energy use feed processing</t>
  </si>
  <si>
    <t>Transports of feed</t>
  </si>
  <si>
    <t>0115</t>
  </si>
  <si>
    <t>Cereals, incl feed</t>
  </si>
  <si>
    <t>0112</t>
  </si>
  <si>
    <t>0117</t>
  </si>
  <si>
    <t>0116</t>
  </si>
  <si>
    <t>0111</t>
  </si>
  <si>
    <t>01705</t>
  </si>
  <si>
    <t>Pulses, incl feed</t>
  </si>
  <si>
    <t>01702</t>
  </si>
  <si>
    <t>Protein feed</t>
  </si>
  <si>
    <t>Soy bean meal</t>
  </si>
  <si>
    <t>By-product</t>
  </si>
  <si>
    <t>Other, feed</t>
  </si>
  <si>
    <t>Feed, other</t>
  </si>
  <si>
    <t>Total for the feed mix:</t>
  </si>
  <si>
    <t>Emissions of CH4 from feed crops (per kg of crop)</t>
  </si>
  <si>
    <t>France, Germany, Poland</t>
  </si>
  <si>
    <t>Emissions of N2O from feed crops (per kg of crop)</t>
  </si>
  <si>
    <t>Environmental footprints per kg of feed</t>
  </si>
  <si>
    <t>Columns F-L copied straight from RPC filerna</t>
  </si>
  <si>
    <t>Nitrogen</t>
  </si>
  <si>
    <t>N application, kg N/kg</t>
  </si>
  <si>
    <t>P application, kg P/kg</t>
  </si>
  <si>
    <t>Brazil, Argentina</t>
  </si>
  <si>
    <t>Emission and characterisation factors, general</t>
  </si>
  <si>
    <t>Emission factors energy carriers</t>
  </si>
  <si>
    <t>kg CO2 per kWh</t>
  </si>
  <si>
    <t>kg CH4 per kWh</t>
  </si>
  <si>
    <t>kg N2O per kWh</t>
  </si>
  <si>
    <t>Heating oil, kg CO2e/kWh</t>
  </si>
  <si>
    <t>Gode et al 2011</t>
  </si>
  <si>
    <t>Biofuels, kg CO2e/kWh</t>
  </si>
  <si>
    <t>Gode et al 2011, average of bark and chips, pellets and briquettes</t>
  </si>
  <si>
    <t>kg CO2 per kg N</t>
  </si>
  <si>
    <t>kg CH4 per kg N</t>
  </si>
  <si>
    <t>kg N2O per kg N</t>
  </si>
  <si>
    <t>Best Available Technology (BAT)</t>
  </si>
  <si>
    <t>BAT: Yara International (2010)</t>
  </si>
  <si>
    <t>Ammonium nitrate</t>
  </si>
  <si>
    <t>Ammonium nitrate: Ecoinvent Centre (2021). Activity name: “Ammonium nitrate production", Rest of the world, adjusted to N content in fertilizer (33.5%)</t>
  </si>
  <si>
    <t>Characterisations factors</t>
  </si>
  <si>
    <t>Ability to perceive handling (from 0 to 1)</t>
  </si>
  <si>
    <t>Slaughter duration class (0.01-2)</t>
  </si>
  <si>
    <t>Weight no of animal</t>
  </si>
  <si>
    <t>Weight ability to perceive handling</t>
  </si>
  <si>
    <t>Weight mortality</t>
  </si>
  <si>
    <t>Weight diseases</t>
  </si>
  <si>
    <t>Weight space</t>
  </si>
  <si>
    <t>Weight slaughter duration class</t>
  </si>
  <si>
    <t>Off-farm feed</t>
  </si>
  <si>
    <t>Greenhouse gas emissons:</t>
  </si>
  <si>
    <t>Cultivated in country</t>
  </si>
  <si>
    <t>Source LUC:</t>
  </si>
  <si>
    <t>0141</t>
  </si>
  <si>
    <t>Soya beans</t>
  </si>
  <si>
    <t>Pendrill et al. 2022</t>
  </si>
  <si>
    <t>CH4, bio</t>
  </si>
  <si>
    <t>Argentina</t>
  </si>
  <si>
    <t>0141_m</t>
  </si>
  <si>
    <t>Flysjö et al. 2008, Figur 6.35</t>
  </si>
  <si>
    <t>Flysjö et al. 2008, Figur 6.35, divided by GWP-factor used in report, Tabell 5.1</t>
  </si>
  <si>
    <t>Other footprints:</t>
  </si>
  <si>
    <t>Pulses</t>
  </si>
  <si>
    <t>AR</t>
  </si>
  <si>
    <t>Feed</t>
  </si>
  <si>
    <t>Parameters for soy</t>
  </si>
  <si>
    <t>Soy meal in 1 kg soy bean</t>
  </si>
  <si>
    <t>Flysjö et al. 2008, Tabell 4.24</t>
  </si>
  <si>
    <t>Economic allocation factor meal</t>
  </si>
  <si>
    <t>Energy use processing:</t>
  </si>
  <si>
    <t>Electricity</t>
  </si>
  <si>
    <t>MJ per kg soy beans processed</t>
  </si>
  <si>
    <t>Flysjö et al. 2008</t>
  </si>
  <si>
    <t>Biomass</t>
  </si>
  <si>
    <t>Assuming half of soy from Brazil and the other half from Argentina.</t>
  </si>
  <si>
    <t xml:space="preserve">https://www.fediol.eu/data/Where%20does%20soy%20come%20from.pdf </t>
  </si>
  <si>
    <t>Rape seed meal</t>
  </si>
  <si>
    <t>01443</t>
  </si>
  <si>
    <t>Rape or colza seed, average</t>
  </si>
  <si>
    <t>01443_m</t>
  </si>
  <si>
    <t>Parameters for rape seed</t>
  </si>
  <si>
    <t>Rape meal in 1 kg rape seed</t>
  </si>
  <si>
    <t>Using the three largest rapeseed countries and taking an average of these.</t>
  </si>
  <si>
    <t>https://projects.luke.fi/ruokafakta/en/field-crops/rapeseed-production-volumes/#:~:text=The%20largest%20producers%20are%20France,Germany%2C%20with%203.7%20billion%20kilos.</t>
  </si>
  <si>
    <t>References</t>
  </si>
  <si>
    <t>Edman, F., Wallman, M., Nilsson, K. 2022. Klimatavtryck av Svensk Fågels kycklingproduktion 2021, version 3. RISE Rapport 2022:84. Tabell 2, https://svenskfagel.se/wp-content/uploads/2022/11/klimatavtryck-sv-kyckling-foder-information-november-2022-publik.pdf</t>
  </si>
  <si>
    <t>Comparison without LUC and SOC, and with AR4, bonefree meat (excl. offal), without any waste and without the correction of N input from manure</t>
  </si>
  <si>
    <t>This study</t>
  </si>
  <si>
    <t>Moberg updated</t>
  </si>
  <si>
    <t>RISE</t>
  </si>
  <si>
    <t>Manure</t>
  </si>
  <si>
    <t>Energy stables</t>
  </si>
  <si>
    <t>Energy slaughter</t>
  </si>
  <si>
    <t>Slightly higher for feed, explained by slightly different emissions from feed ingredients (0.65 kg CO2e per kg feed mix)</t>
  </si>
  <si>
    <t>RISE has higher for energy stables for a range of reasons, includes bedding + more energy (the whole farm)</t>
  </si>
  <si>
    <t>Processed feed stuff</t>
  </si>
  <si>
    <t>This was data from the Global Feed LCA database I used before calculating impacts from soy and rape seed from scratch in "Off-farm feed" tab</t>
  </si>
  <si>
    <t>Data from the Global Feed LCA database</t>
  </si>
  <si>
    <t>Global warming - Including LUC &amp; Peat (kg CO2 eq / ton product)</t>
  </si>
  <si>
    <t>Global warming - Excluding LUC &amp; peat(kg CO2 eq / ton product)</t>
  </si>
  <si>
    <t>Global warming - LUC only (kg CO2 eq / ton product)</t>
  </si>
  <si>
    <t>Global warming - Peat only (kg CO2 eq / ton product)</t>
  </si>
  <si>
    <t>Soybean meal (solvent), at processing/AR Economic S</t>
  </si>
  <si>
    <t>AFP 6.3</t>
  </si>
  <si>
    <t xml:space="preserve">Global Feed LCA database, www.globalfeedlca.org </t>
  </si>
  <si>
    <t>Soybean meal (solvent), at processing/BR Economic S</t>
  </si>
  <si>
    <t xml:space="preserve">See file: GFLI+LCIA+31Oct2022.zip </t>
  </si>
  <si>
    <t>Rapeseed meal (solvent), at processing/DE Economic S</t>
  </si>
  <si>
    <t>The Global FCA database does not provide disaggregated data or LCI data for free, so here we use the aggregated value and divide it upon different emissions sources based on the approximate shares for wheat (for rapeseed cake) and peas (for soybean meal)</t>
  </si>
  <si>
    <t>(Data on wheat and peas from Sweden, just used for proportion of processes)</t>
  </si>
  <si>
    <t>Sum excl. LUC and transports</t>
  </si>
  <si>
    <t>Share of gases:</t>
  </si>
  <si>
    <t>Share:</t>
  </si>
  <si>
    <t>Emission data for soybean meal and rapeseed cake (same across countries), kg per kg feed</t>
  </si>
  <si>
    <t>Sum incl. LUC and transports</t>
  </si>
  <si>
    <t>Source transports:</t>
  </si>
  <si>
    <t>Totalt:</t>
  </si>
  <si>
    <t>CH4 in CO2e</t>
  </si>
  <si>
    <t xml:space="preserve">CH4  </t>
  </si>
  <si>
    <t>N2O in CO2e</t>
  </si>
  <si>
    <t>Pendrill et al. (2020)</t>
  </si>
  <si>
    <t>Verification</t>
  </si>
  <si>
    <t>Cultivation</t>
  </si>
  <si>
    <t>Processing</t>
  </si>
  <si>
    <t>Transport</t>
  </si>
  <si>
    <t>Total</t>
  </si>
  <si>
    <t>Flysjö et al. 2008, Figur 6.36</t>
  </si>
  <si>
    <t>Flysjö et al. 2008, Figur 6.36, divided by GWP-factor used in report, Tabell 5.1</t>
  </si>
  <si>
    <t>Slightly different because of different GWP-factors</t>
  </si>
  <si>
    <t>Slightly different because in this study we use a mix of three countries, Flysjö only Sweden</t>
  </si>
  <si>
    <t>Share electricity:</t>
  </si>
  <si>
    <t>MJ per kg rape seed processed</t>
  </si>
  <si>
    <t>Flysjö et al. 2008, p. 45, using share of electricity as for soy because ratio between electricity and gas/biofuels not stated</t>
  </si>
  <si>
    <t>Slightly higher because of electricity mix from the three countries</t>
  </si>
  <si>
    <t>Total feed, incl LUC</t>
  </si>
  <si>
    <t>LCA from RISE, foderstat C, grains delat på alla sädesslag - kolla upp!</t>
  </si>
  <si>
    <t>Feed excl correcting for N manure</t>
  </si>
  <si>
    <t>CF feed without LUC</t>
  </si>
  <si>
    <t>Grains (86% DM)</t>
  </si>
  <si>
    <t>Maize (92% DM)</t>
  </si>
  <si>
    <t>By-products cereal industry (86% DM)</t>
  </si>
  <si>
    <t>Fats and fatty acids</t>
  </si>
  <si>
    <t>Palmkernal expels (91% DM)</t>
  </si>
  <si>
    <t>Rapeseed, whole (91% DM)</t>
  </si>
  <si>
    <t>Rapeseed, meal (91% DM)</t>
  </si>
  <si>
    <t>Minerals and salt (100% DM)</t>
  </si>
  <si>
    <t>Soymeal and soy-based products (87% DM)</t>
  </si>
  <si>
    <t>Peas and horsebeans (86% DM)</t>
  </si>
  <si>
    <t>By-products sugar industry (84% DM)</t>
  </si>
  <si>
    <t>Other protein feed**</t>
  </si>
  <si>
    <t>Pasture (100% DM)</t>
  </si>
  <si>
    <t>Forage (100% DM)</t>
  </si>
  <si>
    <t>Mobergs feed emissions, AR6 factors</t>
  </si>
  <si>
    <t>Greenhouse gas emission for bonefree chicken meat across countries, to farmgate including slaughter, no waste</t>
  </si>
  <si>
    <t>Lesschen:</t>
  </si>
  <si>
    <t>Order in this study:</t>
  </si>
  <si>
    <t>Order in Lesschen:</t>
  </si>
  <si>
    <t>Gödselemissioner från NIR - är det klart? Kolla med Ludvig</t>
  </si>
  <si>
    <t>Electricity Brazil</t>
  </si>
  <si>
    <t>Not grown in GB. Approx. W. wheat</t>
  </si>
  <si>
    <t>No data, approx. With wheat</t>
  </si>
  <si>
    <t>Not grown in UK, approximated w . Wheat</t>
  </si>
  <si>
    <t>Not grown in UK, approx. W. wheat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</si>
</sst>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0.000"/>
    <numFmt numFmtId="165" formatCode="0.0"/>
    <numFmt numFmtId="166" formatCode="0.0E+00"/>
    <numFmt numFmtId="167" formatCode="#,##0.0"/>
    <numFmt numFmtId="168" formatCode="0.000E+00"/>
    <numFmt numFmtId="169" formatCode="0E+00"/>
    <numFmt numFmtId="170" formatCode="0.0000"/>
    <numFmt numFmtId="171" formatCode="0.00000"/>
    <numFmt numFmtId="172" formatCode="0.000000000000000"/>
  </numFmts>
  <fonts count="35" x14ac:knownFonts="1">
    <font>
      <sz val="11"/>
      <color theme="1"/>
      <name val="Calibri"/>
      <family val="2"/>
      <scheme val="minor"/>
    </font>
    <font>
      <sz val="11"/>
      <color rgb="FFFF0000"/>
      <name val="Calibri"/>
      <family val="2"/>
      <scheme val="minor"/>
    </font>
    <font>
      <b/>
      <sz val="11"/>
      <color theme="1"/>
      <name val="Calibri"/>
      <family val="2"/>
      <scheme val="minor"/>
    </font>
    <font>
      <sz val="14"/>
      <color theme="1"/>
      <name val="Calibri"/>
      <family val="2"/>
      <scheme val="minor"/>
    </font>
    <font>
      <sz val="16"/>
      <color theme="1"/>
      <name val="Calibri"/>
      <family val="2"/>
      <scheme val="minor"/>
    </font>
    <font>
      <sz val="10"/>
      <name val="Arial"/>
      <family val="2"/>
    </font>
    <font>
      <i/>
      <sz val="10"/>
      <color theme="1"/>
      <name val="Calibri"/>
      <family val="2"/>
      <scheme val="minor"/>
    </font>
    <font>
      <i/>
      <sz val="11"/>
      <color theme="1"/>
      <name val="Calibri"/>
      <family val="2"/>
      <scheme val="minor"/>
    </font>
    <font>
      <sz val="11"/>
      <name val="Calibri"/>
      <family val="2"/>
      <scheme val="minor"/>
    </font>
    <font>
      <b/>
      <i/>
      <sz val="11"/>
      <color theme="1"/>
      <name val="Calibri"/>
      <family val="2"/>
      <scheme val="minor"/>
    </font>
    <font>
      <sz val="11"/>
      <color theme="1" tint="0.499984740745262"/>
      <name val="Calibri"/>
      <family val="2"/>
      <scheme val="minor"/>
    </font>
    <font>
      <b/>
      <sz val="11"/>
      <color theme="1" tint="0.499984740745262"/>
      <name val="Calibri"/>
      <family val="2"/>
      <scheme val="minor"/>
    </font>
    <font>
      <b/>
      <sz val="11"/>
      <color theme="0"/>
      <name val="Calibri"/>
      <family val="2"/>
      <scheme val="minor"/>
    </font>
    <font>
      <sz val="11"/>
      <color theme="0"/>
      <name val="Calibri"/>
      <family val="2"/>
      <scheme val="minor"/>
    </font>
    <font>
      <sz val="11"/>
      <color theme="4" tint="-0.249977111117893"/>
      <name val="Calibri"/>
      <family val="2"/>
      <scheme val="minor"/>
    </font>
    <font>
      <sz val="9"/>
      <color theme="1"/>
      <name val="Calibri"/>
      <family val="2"/>
      <scheme val="minor"/>
    </font>
    <font>
      <sz val="11"/>
      <color theme="4" tint="-0.499984740745262"/>
      <name val="Calibri"/>
      <family val="2"/>
      <scheme val="minor"/>
    </font>
    <font>
      <b/>
      <sz val="11"/>
      <name val="Calibri"/>
      <family val="2"/>
      <scheme val="minor"/>
    </font>
    <font>
      <i/>
      <sz val="11"/>
      <name val="Calibri"/>
      <family val="2"/>
      <scheme val="minor"/>
    </font>
    <font>
      <sz val="10"/>
      <color theme="1"/>
      <name val="Calibri"/>
      <family val="2"/>
      <scheme val="minor"/>
    </font>
    <font>
      <sz val="10"/>
      <color rgb="FF000000"/>
      <name val="Calibri"/>
      <family val="2"/>
      <scheme val="minor"/>
    </font>
    <font>
      <sz val="10"/>
      <color rgb="FF777777"/>
      <name val="Arial"/>
      <family val="2"/>
    </font>
    <font>
      <i/>
      <sz val="11"/>
      <color theme="4" tint="-0.249977111117893"/>
      <name val="Calibri"/>
      <family val="2"/>
      <scheme val="minor"/>
    </font>
    <font>
      <sz val="16"/>
      <name val="Calibri"/>
      <family val="2"/>
      <scheme val="minor"/>
    </font>
    <font>
      <sz val="10"/>
      <color rgb="FF000000"/>
      <name val="Trebuchet MS"/>
      <family val="2"/>
    </font>
    <font>
      <b/>
      <i/>
      <sz val="11"/>
      <name val="Calibri"/>
      <family val="2"/>
      <scheme val="minor"/>
    </font>
    <font>
      <sz val="11"/>
      <color rgb="FF000000"/>
      <name val="Calibri"/>
      <family val="2"/>
      <scheme val="minor"/>
    </font>
    <font>
      <i/>
      <sz val="11"/>
      <color rgb="FF000000"/>
      <name val="Calibri"/>
      <family val="2"/>
    </font>
    <font>
      <b/>
      <sz val="11"/>
      <color theme="5"/>
      <name val="Calibri"/>
      <family val="2"/>
      <scheme val="minor"/>
    </font>
    <font>
      <sz val="11"/>
      <color theme="5"/>
      <name val="Calibri"/>
      <family val="2"/>
      <scheme val="minor"/>
    </font>
    <font>
      <sz val="8"/>
      <name val="Calibri"/>
      <family val="2"/>
      <scheme val="minor"/>
    </font>
    <font>
      <sz val="11"/>
      <color theme="4"/>
      <name val="Calibri"/>
      <family val="2"/>
      <scheme val="minor"/>
    </font>
    <font>
      <sz val="11"/>
      <color theme="8"/>
      <name val="Calibri"/>
      <family val="2"/>
      <scheme val="minor"/>
    </font>
    <font>
      <sz val="10"/>
      <color rgb="FFFF0000"/>
      <name val="Calibri"/>
      <family val="2"/>
      <scheme val="minor"/>
    </font>
    <font>
      <sz val="11"/>
      <color theme="1"/>
      <name val="Calibri"/>
      <family val="2"/>
      <scheme val="minor"/>
    </font>
  </fonts>
  <fills count="16">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2"/>
        <bgColor indexed="64"/>
      </patternFill>
    </fill>
    <fill>
      <patternFill patternType="solid">
        <fgColor theme="0" tint="-4.9989318521683403E-2"/>
        <bgColor indexed="64"/>
      </patternFill>
    </fill>
    <fill>
      <patternFill patternType="solid">
        <fgColor theme="4" tint="0.39997558519241921"/>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rgb="FFFFFF00"/>
        <bgColor indexed="64"/>
      </patternFill>
    </fill>
    <fill>
      <patternFill patternType="solid">
        <fgColor theme="2" tint="-0.249977111117893"/>
        <bgColor indexed="64"/>
      </patternFill>
    </fill>
  </fills>
  <borders count="14">
    <border>
      <left/>
      <right/>
      <top/>
      <bottom/>
      <diagonal/>
    </border>
    <border>
      <left/>
      <right/>
      <top style="thin">
        <color indexed="64"/>
      </top>
      <bottom/>
      <diagonal/>
    </border>
    <border>
      <left style="thin">
        <color indexed="64"/>
      </left>
      <right/>
      <top/>
      <bottom/>
      <diagonal/>
    </border>
    <border>
      <left/>
      <right/>
      <top/>
      <bottom style="thin">
        <color indexed="64"/>
      </bottom>
      <diagonal/>
    </border>
    <border>
      <left/>
      <right style="double">
        <color theme="9" tint="-0.249977111117893"/>
      </right>
      <top/>
      <bottom style="thin">
        <color indexed="64"/>
      </bottom>
      <diagonal/>
    </border>
    <border>
      <left style="double">
        <color theme="9" tint="-0.249977111117893"/>
      </left>
      <right style="double">
        <color theme="9" tint="-0.249977111117893"/>
      </right>
      <top style="double">
        <color theme="9" tint="-0.249977111117893"/>
      </top>
      <bottom style="double">
        <color theme="9" tint="-0.249977111117893"/>
      </bottom>
      <diagonal/>
    </border>
    <border>
      <left style="double">
        <color theme="9" tint="-0.249977111117893"/>
      </left>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8">
    <xf numFmtId="0" fontId="0" fillId="0" borderId="0"/>
    <xf numFmtId="0" fontId="5" fillId="0" borderId="0"/>
    <xf numFmtId="0" fontId="26" fillId="0" borderId="0"/>
    <xf numFmtId="0" fontId="34" fillId="0" borderId="0"/>
    <xf numFmtId="9" fontId="26" fillId="0" borderId="0" applyFont="0" applyFill="0" applyBorder="0" applyAlignment="0" applyProtection="0"/>
    <xf numFmtId="0" fontId="34" fillId="0" borderId="0"/>
    <xf numFmtId="43" fontId="26" fillId="0" borderId="0" applyFont="0" applyFill="0" applyBorder="0" applyAlignment="0" applyProtection="0"/>
    <xf numFmtId="0" fontId="34" fillId="0" borderId="0"/>
  </cellStyleXfs>
  <cellXfs count="324">
    <xf numFmtId="0" fontId="0" fillId="0" borderId="0" xfId="0"/>
    <xf numFmtId="0" fontId="3" fillId="0" borderId="0" xfId="0" applyFont="1"/>
    <xf numFmtId="0" fontId="4" fillId="0" borderId="0" xfId="0" applyFont="1"/>
    <xf numFmtId="0" fontId="7" fillId="0" borderId="0" xfId="0" applyFont="1"/>
    <xf numFmtId="164" fontId="0" fillId="0" borderId="0" xfId="0" applyNumberFormat="1"/>
    <xf numFmtId="165" fontId="0" fillId="0" borderId="0" xfId="0" applyNumberFormat="1"/>
    <xf numFmtId="0" fontId="9" fillId="0" borderId="0" xfId="0" applyFont="1"/>
    <xf numFmtId="4" fontId="2" fillId="0" borderId="0" xfId="0" applyNumberFormat="1" applyFont="1"/>
    <xf numFmtId="0" fontId="1" fillId="0" borderId="0" xfId="0" applyFont="1"/>
    <xf numFmtId="0" fontId="10" fillId="0" borderId="0" xfId="0" applyFont="1"/>
    <xf numFmtId="0" fontId="0" fillId="0" borderId="0" xfId="0" applyAlignment="1">
      <alignment vertical="center"/>
    </xf>
    <xf numFmtId="4" fontId="0" fillId="0" borderId="0" xfId="0" applyNumberFormat="1"/>
    <xf numFmtId="2" fontId="0" fillId="0" borderId="0" xfId="0" applyNumberFormat="1"/>
    <xf numFmtId="0" fontId="0" fillId="0" borderId="0" xfId="0" applyAlignment="1">
      <alignment horizontal="left" vertical="top"/>
    </xf>
    <xf numFmtId="0" fontId="14" fillId="0" borderId="0" xfId="0" applyFont="1"/>
    <xf numFmtId="165" fontId="14" fillId="0" borderId="0" xfId="0" applyNumberFormat="1" applyFont="1"/>
    <xf numFmtId="2" fontId="14" fillId="0" borderId="0" xfId="0" applyNumberFormat="1" applyFont="1"/>
    <xf numFmtId="0" fontId="8" fillId="0" borderId="0" xfId="0" applyFont="1"/>
    <xf numFmtId="3" fontId="0" fillId="0" borderId="0" xfId="0" applyNumberFormat="1"/>
    <xf numFmtId="2" fontId="8" fillId="0" borderId="0" xfId="0" applyNumberFormat="1" applyFont="1"/>
    <xf numFmtId="164" fontId="8" fillId="0" borderId="0" xfId="0" applyNumberFormat="1" applyFont="1"/>
    <xf numFmtId="2" fontId="16" fillId="0" borderId="0" xfId="0" applyNumberFormat="1" applyFont="1"/>
    <xf numFmtId="49" fontId="0" fillId="0" borderId="0" xfId="0" applyNumberFormat="1"/>
    <xf numFmtId="0" fontId="8" fillId="0" borderId="0" xfId="0" applyFont="1" applyAlignment="1">
      <alignment horizontal="left"/>
    </xf>
    <xf numFmtId="2" fontId="16" fillId="0" borderId="0" xfId="0" applyNumberFormat="1" applyFont="1" applyAlignment="1">
      <alignment horizontal="right"/>
    </xf>
    <xf numFmtId="3" fontId="2" fillId="5" borderId="3" xfId="0" applyNumberFormat="1" applyFont="1" applyFill="1" applyBorder="1"/>
    <xf numFmtId="0" fontId="8" fillId="5" borderId="3" xfId="0" applyFont="1" applyFill="1" applyBorder="1"/>
    <xf numFmtId="164" fontId="8" fillId="5" borderId="3" xfId="0" applyNumberFormat="1" applyFont="1" applyFill="1" applyBorder="1"/>
    <xf numFmtId="11" fontId="16" fillId="0" borderId="0" xfId="0" applyNumberFormat="1" applyFont="1"/>
    <xf numFmtId="11" fontId="8" fillId="0" borderId="0" xfId="0" applyNumberFormat="1" applyFont="1"/>
    <xf numFmtId="11" fontId="8" fillId="5" borderId="3" xfId="0" applyNumberFormat="1" applyFont="1" applyFill="1" applyBorder="1"/>
    <xf numFmtId="0" fontId="0" fillId="0" borderId="0" xfId="0" applyAlignment="1">
      <alignment horizontal="left"/>
    </xf>
    <xf numFmtId="2" fontId="0" fillId="0" borderId="0" xfId="0" applyNumberFormat="1" applyAlignment="1">
      <alignment vertical="center"/>
    </xf>
    <xf numFmtId="166" fontId="8" fillId="0" borderId="0" xfId="0" applyNumberFormat="1" applyFont="1"/>
    <xf numFmtId="166" fontId="0" fillId="0" borderId="0" xfId="0" applyNumberFormat="1"/>
    <xf numFmtId="11" fontId="8" fillId="0" borderId="0" xfId="0" applyNumberFormat="1" applyFont="1" applyAlignment="1">
      <alignment horizontal="left" vertical="top"/>
    </xf>
    <xf numFmtId="3" fontId="0" fillId="0" borderId="0" xfId="0" applyNumberFormat="1" applyAlignment="1">
      <alignment horizontal="left" vertical="top"/>
    </xf>
    <xf numFmtId="3" fontId="0" fillId="4" borderId="0" xfId="0" applyNumberFormat="1" applyFill="1"/>
    <xf numFmtId="11" fontId="8" fillId="4" borderId="0" xfId="0" applyNumberFormat="1" applyFont="1" applyFill="1" applyAlignment="1">
      <alignment horizontal="left" vertical="top"/>
    </xf>
    <xf numFmtId="164" fontId="16" fillId="0" borderId="0" xfId="0" applyNumberFormat="1" applyFont="1"/>
    <xf numFmtId="2" fontId="2" fillId="3" borderId="0" xfId="0" applyNumberFormat="1" applyFont="1" applyFill="1" applyAlignment="1">
      <alignment horizontal="left" vertical="center"/>
    </xf>
    <xf numFmtId="11" fontId="2" fillId="3" borderId="0" xfId="0" applyNumberFormat="1" applyFont="1" applyFill="1" applyAlignment="1">
      <alignment horizontal="left" vertical="center"/>
    </xf>
    <xf numFmtId="0" fontId="0" fillId="5" borderId="0" xfId="0" applyFill="1"/>
    <xf numFmtId="3" fontId="2" fillId="5" borderId="0" xfId="0" applyNumberFormat="1" applyFont="1" applyFill="1"/>
    <xf numFmtId="0" fontId="8" fillId="5" borderId="0" xfId="0" applyFont="1" applyFill="1"/>
    <xf numFmtId="0" fontId="8" fillId="5" borderId="0" xfId="0" applyFont="1" applyFill="1" applyAlignment="1">
      <alignment horizontal="left"/>
    </xf>
    <xf numFmtId="11" fontId="8" fillId="5" borderId="0" xfId="0" applyNumberFormat="1" applyFont="1" applyFill="1"/>
    <xf numFmtId="0" fontId="8" fillId="3" borderId="0" xfId="0" applyFont="1" applyFill="1"/>
    <xf numFmtId="11" fontId="0" fillId="0" borderId="0" xfId="0" applyNumberFormat="1"/>
    <xf numFmtId="0" fontId="13" fillId="7" borderId="0" xfId="0" applyFont="1" applyFill="1"/>
    <xf numFmtId="0" fontId="12" fillId="7" borderId="0" xfId="0" applyFont="1" applyFill="1"/>
    <xf numFmtId="166" fontId="12" fillId="7" borderId="0" xfId="0" applyNumberFormat="1" applyFont="1" applyFill="1"/>
    <xf numFmtId="0" fontId="0" fillId="4" borderId="0" xfId="0" applyFill="1" applyAlignment="1">
      <alignment horizontal="left" vertical="top"/>
    </xf>
    <xf numFmtId="166" fontId="0" fillId="2" borderId="0" xfId="0" applyNumberFormat="1" applyFill="1" applyAlignment="1">
      <alignment horizontal="center" vertical="center" wrapText="1"/>
    </xf>
    <xf numFmtId="0" fontId="0" fillId="3" borderId="0" xfId="0" applyFill="1"/>
    <xf numFmtId="0" fontId="0" fillId="3" borderId="0" xfId="0" applyFill="1" applyAlignment="1">
      <alignment horizontal="left" vertical="top"/>
    </xf>
    <xf numFmtId="166" fontId="2" fillId="3" borderId="0" xfId="0" applyNumberFormat="1" applyFont="1" applyFill="1" applyAlignment="1">
      <alignment horizontal="left" vertical="center"/>
    </xf>
    <xf numFmtId="166" fontId="0" fillId="3" borderId="0" xfId="0" applyNumberFormat="1" applyFill="1" applyAlignment="1">
      <alignment horizontal="center" vertical="center" wrapText="1"/>
    </xf>
    <xf numFmtId="166" fontId="0" fillId="3" borderId="0" xfId="0" applyNumberFormat="1" applyFill="1"/>
    <xf numFmtId="166" fontId="2" fillId="3" borderId="0" xfId="0" applyNumberFormat="1" applyFont="1" applyFill="1"/>
    <xf numFmtId="0" fontId="13" fillId="3" borderId="0" xfId="0" applyFont="1" applyFill="1"/>
    <xf numFmtId="166" fontId="13" fillId="3" borderId="0" xfId="0" applyNumberFormat="1" applyFont="1" applyFill="1"/>
    <xf numFmtId="0" fontId="11" fillId="7" borderId="0" xfId="0" applyFont="1" applyFill="1"/>
    <xf numFmtId="0" fontId="10" fillId="3" borderId="0" xfId="0" applyFont="1" applyFill="1"/>
    <xf numFmtId="11" fontId="10" fillId="0" borderId="0" xfId="0" applyNumberFormat="1" applyFont="1"/>
    <xf numFmtId="0" fontId="4" fillId="0" borderId="0" xfId="0" applyFont="1" applyAlignment="1">
      <alignment horizontal="left"/>
    </xf>
    <xf numFmtId="0" fontId="13" fillId="7" borderId="0" xfId="0" applyFont="1" applyFill="1" applyAlignment="1">
      <alignment horizontal="left"/>
    </xf>
    <xf numFmtId="49" fontId="2" fillId="3" borderId="0" xfId="0" applyNumberFormat="1" applyFont="1" applyFill="1" applyAlignment="1">
      <alignment horizontal="left"/>
    </xf>
    <xf numFmtId="0" fontId="8" fillId="2" borderId="0" xfId="0" applyFont="1" applyFill="1" applyAlignment="1">
      <alignment horizontal="center" vertical="center" wrapText="1"/>
    </xf>
    <xf numFmtId="49" fontId="0" fillId="2" borderId="0" xfId="0" applyNumberFormat="1" applyFill="1" applyAlignment="1">
      <alignment horizontal="center" vertical="center" wrapText="1"/>
    </xf>
    <xf numFmtId="0" fontId="0" fillId="2" borderId="0" xfId="0" applyFill="1" applyAlignment="1">
      <alignment horizontal="center" vertical="center"/>
    </xf>
    <xf numFmtId="0" fontId="0" fillId="2" borderId="0" xfId="0" applyFill="1" applyAlignment="1">
      <alignment horizontal="center" vertical="center" wrapText="1"/>
    </xf>
    <xf numFmtId="0" fontId="10" fillId="2" borderId="0" xfId="0" applyFont="1" applyFill="1" applyAlignment="1">
      <alignment horizontal="center" vertical="center" wrapText="1"/>
    </xf>
    <xf numFmtId="0" fontId="8" fillId="4" borderId="0" xfId="0" applyFont="1" applyFill="1"/>
    <xf numFmtId="166" fontId="0" fillId="2" borderId="0" xfId="0" applyNumberFormat="1" applyFill="1" applyAlignment="1">
      <alignment vertical="center" wrapText="1"/>
    </xf>
    <xf numFmtId="1" fontId="8" fillId="2" borderId="0" xfId="0" applyNumberFormat="1" applyFont="1" applyFill="1" applyAlignment="1">
      <alignment horizontal="center" vertical="center" wrapText="1"/>
    </xf>
    <xf numFmtId="2" fontId="8" fillId="2" borderId="0" xfId="0" applyNumberFormat="1" applyFont="1" applyFill="1" applyAlignment="1">
      <alignment horizontal="center" vertical="center" wrapText="1"/>
    </xf>
    <xf numFmtId="168" fontId="0" fillId="2" borderId="0" xfId="0" applyNumberFormat="1" applyFill="1" applyAlignment="1">
      <alignment horizontal="center" vertical="center" wrapText="1"/>
    </xf>
    <xf numFmtId="11" fontId="0" fillId="2" borderId="0" xfId="0" applyNumberFormat="1" applyFill="1" applyAlignment="1">
      <alignment horizontal="center" vertical="center" wrapText="1"/>
    </xf>
    <xf numFmtId="49" fontId="0" fillId="0" borderId="2" xfId="0" applyNumberFormat="1" applyBorder="1"/>
    <xf numFmtId="164" fontId="14" fillId="0" borderId="0" xfId="0" applyNumberFormat="1" applyFont="1"/>
    <xf numFmtId="2" fontId="8" fillId="0" borderId="0" xfId="0" applyNumberFormat="1" applyFont="1" applyAlignment="1">
      <alignment horizontal="right" vertical="center"/>
    </xf>
    <xf numFmtId="11" fontId="8" fillId="0" borderId="0" xfId="0" applyNumberFormat="1" applyFont="1" applyAlignment="1">
      <alignment horizontal="right" vertical="center"/>
    </xf>
    <xf numFmtId="0" fontId="6" fillId="0" borderId="0" xfId="0" applyFont="1" applyAlignment="1">
      <alignment horizontal="left" vertical="center"/>
    </xf>
    <xf numFmtId="2" fontId="8" fillId="0" borderId="0" xfId="0" applyNumberFormat="1" applyFont="1" applyAlignment="1">
      <alignment horizontal="left" vertical="center"/>
    </xf>
    <xf numFmtId="0" fontId="0" fillId="3" borderId="0" xfId="0" applyFill="1" applyAlignment="1">
      <alignment horizontal="left"/>
    </xf>
    <xf numFmtId="0" fontId="0" fillId="7" borderId="0" xfId="0" applyFill="1" applyAlignment="1">
      <alignment horizontal="left"/>
    </xf>
    <xf numFmtId="0" fontId="0" fillId="7" borderId="0" xfId="0" applyFill="1"/>
    <xf numFmtId="0" fontId="0" fillId="7" borderId="0" xfId="0" applyFill="1" applyAlignment="1">
      <alignment horizontal="left" vertical="top"/>
    </xf>
    <xf numFmtId="0" fontId="1" fillId="7" borderId="0" xfId="0" applyFont="1" applyFill="1"/>
    <xf numFmtId="0" fontId="10" fillId="7" borderId="0" xfId="0" applyFont="1" applyFill="1"/>
    <xf numFmtId="0" fontId="18" fillId="0" borderId="0" xfId="0" applyFont="1"/>
    <xf numFmtId="3" fontId="7" fillId="0" borderId="0" xfId="0" applyNumberFormat="1" applyFont="1"/>
    <xf numFmtId="167" fontId="7" fillId="0" borderId="0" xfId="0" applyNumberFormat="1" applyFont="1"/>
    <xf numFmtId="0" fontId="7" fillId="0" borderId="0" xfId="0" applyFont="1" applyAlignment="1">
      <alignment horizontal="left" vertical="center"/>
    </xf>
    <xf numFmtId="0" fontId="7" fillId="0" borderId="0" xfId="0" applyFont="1" applyAlignment="1">
      <alignment vertical="center"/>
    </xf>
    <xf numFmtId="0" fontId="15" fillId="0" borderId="0" xfId="0" applyFont="1"/>
    <xf numFmtId="0" fontId="19" fillId="0" borderId="0" xfId="0" applyFont="1"/>
    <xf numFmtId="0" fontId="0" fillId="8" borderId="0" xfId="0" applyFill="1" applyAlignment="1">
      <alignment horizontal="left" vertical="center"/>
    </xf>
    <xf numFmtId="166" fontId="0" fillId="8" borderId="0" xfId="0" applyNumberFormat="1" applyFill="1" applyAlignment="1">
      <alignment horizontal="center" vertical="center" wrapText="1"/>
    </xf>
    <xf numFmtId="166" fontId="14" fillId="0" borderId="0" xfId="0" applyNumberFormat="1" applyFont="1"/>
    <xf numFmtId="169" fontId="14" fillId="0" borderId="0" xfId="0" applyNumberFormat="1" applyFont="1"/>
    <xf numFmtId="11" fontId="14" fillId="0" borderId="0" xfId="0" applyNumberFormat="1" applyFont="1"/>
    <xf numFmtId="0" fontId="8" fillId="5" borderId="3" xfId="0" applyFont="1" applyFill="1" applyBorder="1" applyAlignment="1">
      <alignment horizontal="left"/>
    </xf>
    <xf numFmtId="166" fontId="0" fillId="6" borderId="0" xfId="0" applyNumberFormat="1" applyFill="1" applyAlignment="1">
      <alignment horizontal="center" vertical="center"/>
    </xf>
    <xf numFmtId="166" fontId="2" fillId="6" borderId="0" xfId="0" applyNumberFormat="1" applyFont="1" applyFill="1" applyAlignment="1">
      <alignment horizontal="center" vertical="center" wrapText="1"/>
    </xf>
    <xf numFmtId="2" fontId="0" fillId="0" borderId="0" xfId="0" applyNumberFormat="1" applyAlignment="1">
      <alignment horizontal="center"/>
    </xf>
    <xf numFmtId="2" fontId="1" fillId="0" borderId="0" xfId="0" applyNumberFormat="1" applyFont="1"/>
    <xf numFmtId="164" fontId="1" fillId="0" borderId="0" xfId="0" applyNumberFormat="1" applyFont="1"/>
    <xf numFmtId="164" fontId="8" fillId="0" borderId="0" xfId="0" applyNumberFormat="1" applyFont="1" applyAlignment="1">
      <alignment horizontal="right" vertical="center"/>
    </xf>
    <xf numFmtId="170" fontId="0" fillId="0" borderId="0" xfId="0" applyNumberFormat="1"/>
    <xf numFmtId="0" fontId="0" fillId="6" borderId="0" xfId="0" applyFill="1" applyAlignment="1">
      <alignment horizontal="left"/>
    </xf>
    <xf numFmtId="0" fontId="0" fillId="4" borderId="0" xfId="0" applyFill="1" applyAlignment="1">
      <alignment horizontal="left"/>
    </xf>
    <xf numFmtId="0" fontId="20" fillId="0" borderId="0" xfId="0" applyFont="1" applyAlignment="1">
      <alignment horizontal="left" vertical="center"/>
    </xf>
    <xf numFmtId="0" fontId="2" fillId="0" borderId="0" xfId="0" applyFont="1" applyAlignment="1">
      <alignment horizontal="left"/>
    </xf>
    <xf numFmtId="2" fontId="8" fillId="4" borderId="0" xfId="0" applyNumberFormat="1" applyFont="1" applyFill="1"/>
    <xf numFmtId="11" fontId="1" fillId="0" borderId="0" xfId="0" applyNumberFormat="1" applyFont="1"/>
    <xf numFmtId="2" fontId="14" fillId="0" borderId="0" xfId="0" applyNumberFormat="1" applyFont="1" applyAlignment="1">
      <alignment vertical="center"/>
    </xf>
    <xf numFmtId="0" fontId="21" fillId="0" borderId="0" xfId="0" applyFont="1" applyAlignment="1">
      <alignment horizontal="left" vertical="center" wrapText="1" indent="1"/>
    </xf>
    <xf numFmtId="0" fontId="0" fillId="4" borderId="0" xfId="0" applyFill="1"/>
    <xf numFmtId="2" fontId="8" fillId="0" borderId="0" xfId="0" applyNumberFormat="1" applyFont="1" applyAlignment="1">
      <alignment horizontal="right"/>
    </xf>
    <xf numFmtId="166" fontId="8" fillId="0" borderId="0" xfId="0" applyNumberFormat="1" applyFont="1" applyAlignment="1">
      <alignment horizontal="right"/>
    </xf>
    <xf numFmtId="2" fontId="8" fillId="0" borderId="0" xfId="0" applyNumberFormat="1" applyFont="1" applyAlignment="1">
      <alignment horizontal="right" vertical="center" wrapText="1"/>
    </xf>
    <xf numFmtId="1" fontId="8" fillId="0" borderId="0" xfId="0" applyNumberFormat="1" applyFont="1" applyAlignment="1">
      <alignment vertical="center"/>
    </xf>
    <xf numFmtId="165" fontId="8" fillId="0" borderId="0" xfId="0" applyNumberFormat="1" applyFont="1" applyAlignment="1">
      <alignment vertical="center"/>
    </xf>
    <xf numFmtId="165" fontId="8" fillId="0" borderId="0" xfId="0" applyNumberFormat="1" applyFont="1"/>
    <xf numFmtId="0" fontId="19" fillId="0" borderId="0" xfId="0" applyFont="1" applyAlignment="1">
      <alignment horizontal="left" vertical="center"/>
    </xf>
    <xf numFmtId="0" fontId="19" fillId="0" borderId="0" xfId="0" applyFont="1" applyAlignment="1">
      <alignment vertical="center"/>
    </xf>
    <xf numFmtId="1" fontId="0" fillId="0" borderId="0" xfId="0" applyNumberFormat="1"/>
    <xf numFmtId="0" fontId="8" fillId="4" borderId="0" xfId="0" applyFont="1" applyFill="1" applyAlignment="1">
      <alignment horizontal="center" wrapText="1"/>
    </xf>
    <xf numFmtId="0" fontId="0" fillId="4" borderId="0" xfId="0" applyFill="1" applyAlignment="1">
      <alignment horizontal="center" wrapText="1"/>
    </xf>
    <xf numFmtId="0" fontId="0" fillId="9" borderId="0" xfId="0" applyFill="1"/>
    <xf numFmtId="166" fontId="0" fillId="9" borderId="0" xfId="0" applyNumberFormat="1" applyFill="1" applyAlignment="1">
      <alignment horizontal="center" vertical="center"/>
    </xf>
    <xf numFmtId="166" fontId="2" fillId="9" borderId="0" xfId="0" applyNumberFormat="1" applyFont="1" applyFill="1" applyAlignment="1">
      <alignment horizontal="center" vertical="center" wrapText="1"/>
    </xf>
    <xf numFmtId="166" fontId="0" fillId="4" borderId="0" xfId="0" applyNumberFormat="1" applyFill="1" applyAlignment="1">
      <alignment horizontal="center" vertical="center" wrapText="1"/>
    </xf>
    <xf numFmtId="166" fontId="0" fillId="9" borderId="0" xfId="0" applyNumberFormat="1" applyFill="1" applyAlignment="1">
      <alignment horizontal="center" vertical="center" wrapText="1"/>
    </xf>
    <xf numFmtId="166" fontId="2" fillId="9" borderId="0" xfId="0" applyNumberFormat="1" applyFont="1" applyFill="1" applyAlignment="1">
      <alignment horizontal="center" vertical="center"/>
    </xf>
    <xf numFmtId="0" fontId="2" fillId="9" borderId="0" xfId="0" applyFont="1" applyFill="1" applyAlignment="1">
      <alignment horizontal="center" vertical="center"/>
    </xf>
    <xf numFmtId="0" fontId="2" fillId="4" borderId="0" xfId="0" applyFont="1" applyFill="1" applyAlignment="1">
      <alignment horizontal="left" vertical="center" wrapText="1"/>
    </xf>
    <xf numFmtId="0" fontId="0" fillId="4" borderId="0" xfId="0" applyFill="1" applyAlignment="1">
      <alignment horizontal="center" vertical="center" wrapText="1"/>
    </xf>
    <xf numFmtId="0" fontId="22" fillId="0" borderId="0" xfId="0" applyFont="1"/>
    <xf numFmtId="0" fontId="0" fillId="11" borderId="0" xfId="0" applyFill="1"/>
    <xf numFmtId="0" fontId="7" fillId="4" borderId="0" xfId="0" applyFont="1" applyFill="1" applyAlignment="1">
      <alignment horizontal="left" vertical="center" wrapText="1"/>
    </xf>
    <xf numFmtId="49" fontId="7" fillId="0" borderId="0" xfId="0" applyNumberFormat="1" applyFont="1"/>
    <xf numFmtId="2" fontId="18" fillId="0" borderId="0" xfId="0" applyNumberFormat="1" applyFont="1" applyAlignment="1">
      <alignment horizontal="right"/>
    </xf>
    <xf numFmtId="164" fontId="18" fillId="0" borderId="0" xfId="0" applyNumberFormat="1" applyFont="1"/>
    <xf numFmtId="11" fontId="8" fillId="0" borderId="0" xfId="0" applyNumberFormat="1" applyFont="1" applyAlignment="1">
      <alignment horizontal="right"/>
    </xf>
    <xf numFmtId="169" fontId="8" fillId="0" borderId="0" xfId="0" applyNumberFormat="1" applyFont="1"/>
    <xf numFmtId="0" fontId="23" fillId="0" borderId="0" xfId="0" applyFont="1"/>
    <xf numFmtId="49" fontId="0" fillId="10" borderId="0" xfId="0" applyNumberFormat="1" applyFill="1"/>
    <xf numFmtId="0" fontId="8" fillId="10" borderId="0" xfId="0" applyFont="1" applyFill="1"/>
    <xf numFmtId="0" fontId="18" fillId="10" borderId="0" xfId="0" applyFont="1" applyFill="1"/>
    <xf numFmtId="2" fontId="18" fillId="10" borderId="0" xfId="0" applyNumberFormat="1" applyFont="1" applyFill="1" applyAlignment="1">
      <alignment horizontal="right"/>
    </xf>
    <xf numFmtId="164" fontId="18" fillId="10" borderId="0" xfId="0" applyNumberFormat="1" applyFont="1" applyFill="1"/>
    <xf numFmtId="168" fontId="8" fillId="0" borderId="0" xfId="0" applyNumberFormat="1" applyFont="1"/>
    <xf numFmtId="0" fontId="8" fillId="11" borderId="0" xfId="0" applyFont="1" applyFill="1"/>
    <xf numFmtId="2" fontId="0" fillId="11" borderId="0" xfId="0" applyNumberFormat="1" applyFill="1"/>
    <xf numFmtId="2" fontId="8" fillId="11" borderId="0" xfId="0" applyNumberFormat="1" applyFont="1" applyFill="1"/>
    <xf numFmtId="164" fontId="8" fillId="11" borderId="0" xfId="0" applyNumberFormat="1" applyFont="1" applyFill="1"/>
    <xf numFmtId="11" fontId="0" fillId="11" borderId="0" xfId="0" applyNumberFormat="1" applyFill="1"/>
    <xf numFmtId="166" fontId="8" fillId="11" borderId="0" xfId="0" applyNumberFormat="1" applyFont="1" applyFill="1"/>
    <xf numFmtId="166" fontId="0" fillId="11" borderId="0" xfId="0" applyNumberFormat="1" applyFill="1"/>
    <xf numFmtId="0" fontId="0" fillId="0" borderId="1" xfId="0" applyBorder="1"/>
    <xf numFmtId="3" fontId="0" fillId="0" borderId="1" xfId="0" applyNumberFormat="1" applyBorder="1"/>
    <xf numFmtId="0" fontId="8" fillId="11" borderId="1" xfId="0" applyFont="1" applyFill="1" applyBorder="1"/>
    <xf numFmtId="2" fontId="0" fillId="11" borderId="1" xfId="0" applyNumberFormat="1" applyFill="1" applyBorder="1"/>
    <xf numFmtId="2" fontId="8" fillId="11" borderId="1" xfId="0" applyNumberFormat="1" applyFont="1" applyFill="1" applyBorder="1"/>
    <xf numFmtId="164" fontId="0" fillId="11" borderId="1" xfId="0" applyNumberFormat="1" applyFill="1" applyBorder="1"/>
    <xf numFmtId="0" fontId="0" fillId="11" borderId="1" xfId="0" applyFill="1" applyBorder="1"/>
    <xf numFmtId="0" fontId="20" fillId="0" borderId="0" xfId="0" applyFont="1" applyAlignment="1">
      <alignment horizontal="left" vertical="center" wrapText="1"/>
    </xf>
    <xf numFmtId="0" fontId="0" fillId="8" borderId="0" xfId="0" applyFill="1"/>
    <xf numFmtId="4" fontId="0" fillId="4" borderId="0" xfId="0" applyNumberFormat="1" applyFill="1"/>
    <xf numFmtId="0" fontId="0" fillId="4" borderId="3" xfId="0" applyFill="1" applyBorder="1" applyAlignment="1">
      <alignment horizontal="left" vertical="top"/>
    </xf>
    <xf numFmtId="0" fontId="8" fillId="4" borderId="3" xfId="0" applyFont="1" applyFill="1" applyBorder="1"/>
    <xf numFmtId="3" fontId="0" fillId="4" borderId="3" xfId="0" applyNumberFormat="1" applyFill="1" applyBorder="1"/>
    <xf numFmtId="11" fontId="8" fillId="4" borderId="3" xfId="0" applyNumberFormat="1" applyFont="1" applyFill="1" applyBorder="1" applyAlignment="1">
      <alignment horizontal="left" vertical="top"/>
    </xf>
    <xf numFmtId="164" fontId="8" fillId="4" borderId="3" xfId="0" applyNumberFormat="1" applyFont="1" applyFill="1" applyBorder="1"/>
    <xf numFmtId="164" fontId="10" fillId="4" borderId="3" xfId="0" applyNumberFormat="1" applyFont="1" applyFill="1" applyBorder="1"/>
    <xf numFmtId="0" fontId="0" fillId="0" borderId="1" xfId="0" applyBorder="1" applyAlignment="1">
      <alignment horizontal="left" vertical="top"/>
    </xf>
    <xf numFmtId="0" fontId="8" fillId="0" borderId="1" xfId="0" applyFont="1" applyBorder="1"/>
    <xf numFmtId="3" fontId="0" fillId="0" borderId="1" xfId="0" applyNumberFormat="1" applyBorder="1" applyAlignment="1">
      <alignment horizontal="left" vertical="top"/>
    </xf>
    <xf numFmtId="164" fontId="8" fillId="0" borderId="1" xfId="0" applyNumberFormat="1" applyFont="1" applyBorder="1"/>
    <xf numFmtId="0" fontId="10" fillId="0" borderId="1" xfId="0" applyFont="1" applyBorder="1"/>
    <xf numFmtId="164" fontId="0" fillId="0" borderId="1" xfId="0" applyNumberFormat="1" applyBorder="1"/>
    <xf numFmtId="2" fontId="0" fillId="0" borderId="1" xfId="0" applyNumberFormat="1" applyBorder="1"/>
    <xf numFmtId="11" fontId="8" fillId="4" borderId="4" xfId="0" applyNumberFormat="1" applyFont="1" applyFill="1" applyBorder="1" applyAlignment="1">
      <alignment horizontal="left" vertical="top"/>
    </xf>
    <xf numFmtId="2" fontId="8" fillId="4" borderId="5" xfId="0" applyNumberFormat="1" applyFont="1" applyFill="1" applyBorder="1"/>
    <xf numFmtId="0" fontId="24" fillId="0" borderId="0" xfId="0" applyFont="1" applyAlignment="1">
      <alignment horizontal="left" vertical="center" wrapText="1"/>
    </xf>
    <xf numFmtId="11" fontId="24" fillId="0" borderId="0" xfId="0" applyNumberFormat="1" applyFont="1" applyAlignment="1">
      <alignment horizontal="left" vertical="center" wrapText="1"/>
    </xf>
    <xf numFmtId="0" fontId="0" fillId="6" borderId="0" xfId="0" applyFill="1" applyAlignment="1">
      <alignment horizontal="center" vertical="center"/>
    </xf>
    <xf numFmtId="166" fontId="2" fillId="6" borderId="0" xfId="0" applyNumberFormat="1" applyFont="1" applyFill="1" applyAlignment="1">
      <alignment horizontal="center" vertical="center"/>
    </xf>
    <xf numFmtId="166" fontId="0" fillId="6" borderId="0" xfId="0" applyNumberFormat="1" applyFill="1" applyAlignment="1">
      <alignment horizontal="center" vertical="center" wrapText="1"/>
    </xf>
    <xf numFmtId="0" fontId="2" fillId="6" borderId="0" xfId="0" applyFont="1" applyFill="1" applyAlignment="1">
      <alignment horizontal="center" vertical="center"/>
    </xf>
    <xf numFmtId="0" fontId="2" fillId="8" borderId="0" xfId="0" applyFont="1" applyFill="1" applyAlignment="1">
      <alignment horizontal="left" vertical="center" wrapText="1"/>
    </xf>
    <xf numFmtId="0" fontId="0" fillId="8" borderId="0" xfId="0" applyFill="1" applyAlignment="1">
      <alignment horizontal="center" vertical="center" wrapText="1"/>
    </xf>
    <xf numFmtId="0" fontId="0" fillId="5" borderId="3" xfId="0" applyFill="1" applyBorder="1"/>
    <xf numFmtId="0" fontId="17" fillId="5" borderId="3" xfId="0" applyFont="1" applyFill="1" applyBorder="1"/>
    <xf numFmtId="2" fontId="18" fillId="0" borderId="0" xfId="0" applyNumberFormat="1" applyFont="1"/>
    <xf numFmtId="0" fontId="25" fillId="5" borderId="3" xfId="0" applyFont="1" applyFill="1" applyBorder="1"/>
    <xf numFmtId="49" fontId="0" fillId="0" borderId="1" xfId="0" applyNumberFormat="1" applyBorder="1"/>
    <xf numFmtId="0" fontId="8" fillId="0" borderId="1" xfId="0" applyFont="1" applyBorder="1" applyAlignment="1">
      <alignment horizontal="left"/>
    </xf>
    <xf numFmtId="166" fontId="14" fillId="0" borderId="1" xfId="0" applyNumberFormat="1" applyFont="1" applyBorder="1"/>
    <xf numFmtId="169" fontId="14" fillId="0" borderId="1" xfId="0" applyNumberFormat="1" applyFont="1" applyBorder="1"/>
    <xf numFmtId="2" fontId="14" fillId="0" borderId="1" xfId="0" applyNumberFormat="1" applyFont="1" applyBorder="1"/>
    <xf numFmtId="0" fontId="14" fillId="0" borderId="1" xfId="0" applyFont="1" applyBorder="1"/>
    <xf numFmtId="11" fontId="14" fillId="0" borderId="1" xfId="0" applyNumberFormat="1" applyFont="1" applyBorder="1"/>
    <xf numFmtId="0" fontId="2" fillId="6" borderId="0" xfId="0" applyFont="1" applyFill="1" applyAlignment="1">
      <alignment vertical="center"/>
    </xf>
    <xf numFmtId="0" fontId="25" fillId="5" borderId="0" xfId="0" applyFont="1" applyFill="1"/>
    <xf numFmtId="2" fontId="18" fillId="0" borderId="1" xfId="0" applyNumberFormat="1" applyFont="1" applyBorder="1"/>
    <xf numFmtId="2" fontId="8" fillId="5" borderId="3" xfId="0" applyNumberFormat="1" applyFont="1" applyFill="1" applyBorder="1"/>
    <xf numFmtId="2" fontId="0" fillId="12" borderId="0" xfId="0" applyNumberFormat="1" applyFill="1"/>
    <xf numFmtId="0" fontId="0" fillId="4" borderId="3" xfId="0" applyFill="1" applyBorder="1"/>
    <xf numFmtId="0" fontId="2" fillId="6" borderId="0" xfId="0" applyFont="1" applyFill="1"/>
    <xf numFmtId="0" fontId="0" fillId="6" borderId="0" xfId="0" applyFill="1"/>
    <xf numFmtId="2" fontId="2" fillId="6" borderId="0" xfId="0" applyNumberFormat="1" applyFont="1" applyFill="1" applyAlignment="1">
      <alignment horizontal="left" vertical="center"/>
    </xf>
    <xf numFmtId="11" fontId="2" fillId="6" borderId="0" xfId="0" applyNumberFormat="1" applyFont="1" applyFill="1" applyAlignment="1">
      <alignment horizontal="left" vertical="center"/>
    </xf>
    <xf numFmtId="166" fontId="2" fillId="6" borderId="0" xfId="0" applyNumberFormat="1" applyFont="1" applyFill="1"/>
    <xf numFmtId="0" fontId="0" fillId="8" borderId="0" xfId="0" applyFill="1" applyAlignment="1">
      <alignment horizontal="center" vertical="center"/>
    </xf>
    <xf numFmtId="0" fontId="7" fillId="4" borderId="0" xfId="0" applyFont="1" applyFill="1"/>
    <xf numFmtId="2" fontId="2" fillId="0" borderId="0" xfId="0" applyNumberFormat="1" applyFont="1"/>
    <xf numFmtId="2" fontId="0" fillId="0" borderId="0" xfId="0" applyNumberFormat="1" applyAlignment="1">
      <alignment horizontal="right"/>
    </xf>
    <xf numFmtId="11" fontId="14" fillId="0" borderId="0" xfId="0" applyNumberFormat="1" applyFont="1" applyAlignment="1">
      <alignment horizontal="right"/>
    </xf>
    <xf numFmtId="11" fontId="0" fillId="0" borderId="0" xfId="0" applyNumberFormat="1" applyAlignment="1">
      <alignment horizontal="right"/>
    </xf>
    <xf numFmtId="11" fontId="14" fillId="0" borderId="1" xfId="0" applyNumberFormat="1" applyFont="1" applyBorder="1" applyAlignment="1">
      <alignment horizontal="right"/>
    </xf>
    <xf numFmtId="0" fontId="19" fillId="0" borderId="0" xfId="0" applyFont="1" applyAlignment="1">
      <alignment horizontal="left"/>
    </xf>
    <xf numFmtId="164" fontId="8" fillId="4" borderId="6" xfId="0" applyNumberFormat="1" applyFont="1" applyFill="1" applyBorder="1"/>
    <xf numFmtId="168" fontId="8" fillId="0" borderId="0" xfId="0" applyNumberFormat="1" applyFont="1" applyAlignment="1">
      <alignment horizontal="right" vertical="center"/>
    </xf>
    <xf numFmtId="1" fontId="8" fillId="8" borderId="0" xfId="0" applyNumberFormat="1" applyFont="1" applyFill="1" applyAlignment="1">
      <alignment horizontal="center" vertical="center" wrapText="1"/>
    </xf>
    <xf numFmtId="2" fontId="8" fillId="8" borderId="0" xfId="0" applyNumberFormat="1" applyFont="1" applyFill="1" applyAlignment="1">
      <alignment horizontal="center" vertical="center" wrapText="1"/>
    </xf>
    <xf numFmtId="168" fontId="0" fillId="8" borderId="0" xfId="0" applyNumberFormat="1" applyFill="1" applyAlignment="1">
      <alignment horizontal="center" vertical="center" wrapText="1"/>
    </xf>
    <xf numFmtId="11" fontId="0" fillId="8" borderId="0" xfId="0" applyNumberFormat="1" applyFill="1" applyAlignment="1">
      <alignment horizontal="center" vertical="center" wrapText="1"/>
    </xf>
    <xf numFmtId="0" fontId="0" fillId="8" borderId="7" xfId="0" applyFill="1" applyBorder="1"/>
    <xf numFmtId="0" fontId="14" fillId="0" borderId="7" xfId="0" applyFont="1" applyBorder="1"/>
    <xf numFmtId="165" fontId="14" fillId="0" borderId="7" xfId="0" applyNumberFormat="1" applyFont="1" applyBorder="1"/>
    <xf numFmtId="0" fontId="0" fillId="0" borderId="7" xfId="0" applyBorder="1"/>
    <xf numFmtId="2" fontId="0" fillId="0" borderId="7" xfId="0" applyNumberFormat="1" applyBorder="1"/>
    <xf numFmtId="164" fontId="8" fillId="0" borderId="7" xfId="0" applyNumberFormat="1" applyFont="1" applyBorder="1"/>
    <xf numFmtId="164" fontId="0" fillId="0" borderId="7" xfId="0" applyNumberFormat="1" applyBorder="1"/>
    <xf numFmtId="170" fontId="0" fillId="0" borderId="7" xfId="0" applyNumberFormat="1" applyBorder="1"/>
    <xf numFmtId="2" fontId="14" fillId="0" borderId="7" xfId="0" applyNumberFormat="1" applyFont="1" applyBorder="1"/>
    <xf numFmtId="2" fontId="0" fillId="0" borderId="7" xfId="0" applyNumberFormat="1" applyBorder="1" applyAlignment="1">
      <alignment vertical="center"/>
    </xf>
    <xf numFmtId="2" fontId="14" fillId="0" borderId="7" xfId="0" applyNumberFormat="1" applyFont="1" applyBorder="1" applyAlignment="1">
      <alignment vertical="center"/>
    </xf>
    <xf numFmtId="169" fontId="0" fillId="0" borderId="0" xfId="0" applyNumberFormat="1"/>
    <xf numFmtId="4" fontId="8" fillId="0" borderId="0" xfId="0" applyNumberFormat="1" applyFont="1"/>
    <xf numFmtId="0" fontId="2" fillId="0" borderId="0" xfId="0" applyFont="1"/>
    <xf numFmtId="1" fontId="8" fillId="2" borderId="0" xfId="0" applyNumberFormat="1" applyFont="1" applyFill="1" applyAlignment="1">
      <alignment horizontal="left" vertical="top" wrapText="1"/>
    </xf>
    <xf numFmtId="1" fontId="0" fillId="2" borderId="0" xfId="0" applyNumberFormat="1" applyFill="1" applyAlignment="1">
      <alignment horizontal="left" vertical="top" wrapText="1"/>
    </xf>
    <xf numFmtId="0" fontId="2" fillId="3" borderId="0" xfId="0" applyFont="1" applyFill="1"/>
    <xf numFmtId="0" fontId="26" fillId="0" borderId="0" xfId="0" applyFont="1" applyAlignment="1">
      <alignment horizontal="right" vertical="center" wrapText="1"/>
    </xf>
    <xf numFmtId="165" fontId="26" fillId="0" borderId="0" xfId="0" applyNumberFormat="1" applyFont="1" applyAlignment="1">
      <alignment horizontal="right" vertical="center" wrapText="1"/>
    </xf>
    <xf numFmtId="0" fontId="27" fillId="0" borderId="0" xfId="0" applyFont="1"/>
    <xf numFmtId="0" fontId="28" fillId="0" borderId="0" xfId="0" applyFont="1"/>
    <xf numFmtId="165" fontId="28" fillId="0" borderId="0" xfId="0" applyNumberFormat="1" applyFont="1"/>
    <xf numFmtId="164" fontId="29" fillId="0" borderId="0" xfId="0" applyNumberFormat="1" applyFont="1"/>
    <xf numFmtId="170" fontId="29" fillId="0" borderId="0" xfId="0" applyNumberFormat="1" applyFont="1"/>
    <xf numFmtId="164" fontId="29" fillId="0" borderId="7" xfId="0" applyNumberFormat="1" applyFont="1" applyBorder="1"/>
    <xf numFmtId="171" fontId="29" fillId="0" borderId="0" xfId="0" applyNumberFormat="1" applyFont="1"/>
    <xf numFmtId="171" fontId="29" fillId="0" borderId="7" xfId="0" applyNumberFormat="1" applyFont="1" applyBorder="1"/>
    <xf numFmtId="166" fontId="29" fillId="0" borderId="0" xfId="0" applyNumberFormat="1" applyFont="1"/>
    <xf numFmtId="166" fontId="29" fillId="0" borderId="7" xfId="0" applyNumberFormat="1" applyFont="1" applyBorder="1"/>
    <xf numFmtId="0" fontId="29" fillId="0" borderId="0" xfId="0" applyFont="1" applyAlignment="1">
      <alignment horizontal="right"/>
    </xf>
    <xf numFmtId="0" fontId="29" fillId="0" borderId="0" xfId="0" applyFont="1" applyAlignment="1">
      <alignment horizontal="right" vertical="center"/>
    </xf>
    <xf numFmtId="0" fontId="29" fillId="0" borderId="7" xfId="0" applyFont="1" applyBorder="1" applyAlignment="1">
      <alignment horizontal="right"/>
    </xf>
    <xf numFmtId="0" fontId="29" fillId="0" borderId="7" xfId="0" applyFont="1" applyBorder="1" applyAlignment="1">
      <alignment horizontal="right" vertical="center"/>
    </xf>
    <xf numFmtId="164" fontId="29" fillId="0" borderId="0" xfId="0" applyNumberFormat="1" applyFont="1" applyAlignment="1">
      <alignment vertical="center"/>
    </xf>
    <xf numFmtId="164" fontId="29" fillId="0" borderId="7" xfId="0" applyNumberFormat="1" applyFont="1" applyBorder="1" applyAlignment="1">
      <alignment vertical="center"/>
    </xf>
    <xf numFmtId="165" fontId="29" fillId="0" borderId="0" xfId="0" applyNumberFormat="1" applyFont="1" applyAlignment="1">
      <alignment vertical="center"/>
    </xf>
    <xf numFmtId="165" fontId="29" fillId="0" borderId="7" xfId="0" applyNumberFormat="1" applyFont="1" applyBorder="1" applyAlignment="1">
      <alignment vertical="center"/>
    </xf>
    <xf numFmtId="0" fontId="29" fillId="0" borderId="0" xfId="0" applyFont="1"/>
    <xf numFmtId="0" fontId="29" fillId="0" borderId="7" xfId="0" applyFont="1" applyBorder="1"/>
    <xf numFmtId="164" fontId="28" fillId="0" borderId="0" xfId="0" applyNumberFormat="1" applyFont="1"/>
    <xf numFmtId="0" fontId="28" fillId="8" borderId="0" xfId="0" applyFont="1" applyFill="1"/>
    <xf numFmtId="2" fontId="28" fillId="0" borderId="0" xfId="0" applyNumberFormat="1" applyFont="1"/>
    <xf numFmtId="0" fontId="0" fillId="2" borderId="0" xfId="0" applyFill="1" applyAlignment="1">
      <alignment horizontal="left" vertical="center"/>
    </xf>
    <xf numFmtId="0" fontId="0" fillId="2" borderId="0" xfId="0" applyFill="1" applyAlignment="1">
      <alignment horizontal="left" vertical="top" wrapText="1"/>
    </xf>
    <xf numFmtId="166" fontId="0" fillId="0" borderId="0" xfId="0" applyNumberFormat="1" applyAlignment="1">
      <alignment horizontal="center" vertical="center" wrapText="1"/>
    </xf>
    <xf numFmtId="166" fontId="2" fillId="13" borderId="0" xfId="0" applyNumberFormat="1" applyFont="1" applyFill="1"/>
    <xf numFmtId="166" fontId="0" fillId="0" borderId="0" xfId="0" applyNumberFormat="1" applyAlignment="1">
      <alignment horizontal="left" vertical="center" wrapText="1"/>
    </xf>
    <xf numFmtId="0" fontId="0" fillId="0" borderId="3" xfId="0" applyBorder="1"/>
    <xf numFmtId="0" fontId="2" fillId="13" borderId="0" xfId="0" applyFont="1" applyFill="1"/>
    <xf numFmtId="0" fontId="0" fillId="13" borderId="0" xfId="0" applyFill="1"/>
    <xf numFmtId="166" fontId="2" fillId="13" borderId="0" xfId="0" applyNumberFormat="1" applyFont="1" applyFill="1" applyAlignment="1">
      <alignment horizontal="left" vertical="center"/>
    </xf>
    <xf numFmtId="166" fontId="0" fillId="13" borderId="0" xfId="0" applyNumberFormat="1" applyFill="1" applyAlignment="1">
      <alignment horizontal="center" vertical="center" wrapText="1"/>
    </xf>
    <xf numFmtId="166" fontId="0" fillId="13" borderId="0" xfId="0" applyNumberFormat="1" applyFill="1"/>
    <xf numFmtId="0" fontId="2" fillId="2" borderId="0" xfId="0" applyFont="1" applyFill="1" applyAlignment="1">
      <alignment horizontal="left" vertical="center" wrapText="1"/>
    </xf>
    <xf numFmtId="166" fontId="2" fillId="0" borderId="0" xfId="0" applyNumberFormat="1" applyFont="1"/>
    <xf numFmtId="0" fontId="0" fillId="0" borderId="0" xfId="0" applyAlignment="1">
      <alignment horizontal="center" vertical="center" wrapText="1"/>
    </xf>
    <xf numFmtId="0" fontId="3" fillId="4" borderId="0" xfId="0" applyFont="1" applyFill="1"/>
    <xf numFmtId="0" fontId="0" fillId="0" borderId="8" xfId="0" applyBorder="1"/>
    <xf numFmtId="164" fontId="0" fillId="0" borderId="9" xfId="0" applyNumberFormat="1" applyBorder="1"/>
    <xf numFmtId="0" fontId="0" fillId="0" borderId="2" xfId="0" applyBorder="1"/>
    <xf numFmtId="0" fontId="0" fillId="0" borderId="10" xfId="0" applyBorder="1"/>
    <xf numFmtId="164" fontId="0" fillId="0" borderId="3" xfId="0" applyNumberFormat="1" applyBorder="1"/>
    <xf numFmtId="164" fontId="0" fillId="0" borderId="11" xfId="0" applyNumberFormat="1" applyBorder="1"/>
    <xf numFmtId="49" fontId="0" fillId="0" borderId="12" xfId="0" applyNumberFormat="1" applyBorder="1"/>
    <xf numFmtId="0" fontId="0" fillId="0" borderId="13" xfId="0" applyBorder="1"/>
    <xf numFmtId="170" fontId="0" fillId="0" borderId="13" xfId="0" applyNumberFormat="1" applyBorder="1"/>
    <xf numFmtId="2" fontId="0" fillId="0" borderId="13" xfId="0" applyNumberFormat="1" applyBorder="1"/>
    <xf numFmtId="11" fontId="0" fillId="0" borderId="13" xfId="0" applyNumberFormat="1" applyBorder="1"/>
    <xf numFmtId="2" fontId="0" fillId="0" borderId="0" xfId="0" applyNumberFormat="1" applyAlignment="1">
      <alignment horizontal="left"/>
    </xf>
    <xf numFmtId="0" fontId="0" fillId="0" borderId="12" xfId="0" applyBorder="1"/>
    <xf numFmtId="168" fontId="0" fillId="0" borderId="0" xfId="0" applyNumberFormat="1"/>
    <xf numFmtId="0" fontId="31" fillId="0" borderId="0" xfId="0" applyFont="1"/>
    <xf numFmtId="2" fontId="14" fillId="0" borderId="0" xfId="1" applyNumberFormat="1" applyFont="1" applyAlignment="1">
      <alignment horizontal="right" vertical="center"/>
    </xf>
    <xf numFmtId="0" fontId="26" fillId="0" borderId="2" xfId="0" applyFont="1" applyBorder="1"/>
    <xf numFmtId="0" fontId="26" fillId="0" borderId="0" xfId="0" applyFont="1"/>
    <xf numFmtId="0" fontId="26" fillId="0" borderId="0" xfId="0" applyFont="1" applyAlignment="1">
      <alignment horizontal="right" vertical="center"/>
    </xf>
    <xf numFmtId="11" fontId="26" fillId="0" borderId="0" xfId="0" applyNumberFormat="1" applyFont="1" applyAlignment="1">
      <alignment horizontal="right" vertical="center"/>
    </xf>
    <xf numFmtId="11" fontId="26" fillId="0" borderId="7" xfId="0" applyNumberFormat="1" applyFont="1" applyBorder="1" applyAlignment="1">
      <alignment horizontal="right" vertical="center"/>
    </xf>
    <xf numFmtId="2" fontId="14" fillId="14" borderId="0" xfId="1" applyNumberFormat="1" applyFont="1" applyFill="1" applyAlignment="1">
      <alignment horizontal="right" vertical="center"/>
    </xf>
    <xf numFmtId="2" fontId="32" fillId="0" borderId="0" xfId="0" applyNumberFormat="1" applyFont="1" applyAlignment="1">
      <alignment horizontal="right"/>
    </xf>
    <xf numFmtId="0" fontId="33" fillId="0" borderId="0" xfId="0" applyFont="1"/>
    <xf numFmtId="166" fontId="8" fillId="0" borderId="0" xfId="0" applyNumberFormat="1" applyFont="1" applyAlignment="1">
      <alignment horizontal="left" vertical="center" wrapText="1"/>
    </xf>
    <xf numFmtId="0" fontId="8" fillId="0" borderId="0" xfId="0" applyFont="1" applyAlignment="1">
      <alignment horizontal="left" vertical="center" wrapText="1"/>
    </xf>
    <xf numFmtId="0" fontId="0" fillId="0" borderId="0" xfId="0" applyAlignment="1">
      <alignment wrapText="1"/>
    </xf>
    <xf numFmtId="171" fontId="0" fillId="0" borderId="0" xfId="0" applyNumberFormat="1"/>
    <xf numFmtId="170" fontId="0" fillId="0" borderId="3" xfId="0" applyNumberFormat="1" applyBorder="1"/>
    <xf numFmtId="171" fontId="0" fillId="0" borderId="3" xfId="0" applyNumberFormat="1" applyBorder="1"/>
    <xf numFmtId="164" fontId="2" fillId="0" borderId="0" xfId="0" applyNumberFormat="1" applyFont="1"/>
    <xf numFmtId="172" fontId="0" fillId="0" borderId="0" xfId="0" applyNumberFormat="1"/>
    <xf numFmtId="0" fontId="0" fillId="15" borderId="0" xfId="0" applyFill="1" applyAlignment="1">
      <alignment horizontal="left"/>
    </xf>
    <xf numFmtId="171" fontId="8" fillId="4" borderId="3" xfId="0" applyNumberFormat="1" applyFont="1" applyFill="1" applyBorder="1"/>
    <xf numFmtId="0" fontId="0" fillId="2" borderId="3" xfId="0" applyFill="1" applyBorder="1" applyAlignment="1">
      <alignment horizontal="center" vertical="center" wrapText="1"/>
    </xf>
    <xf numFmtId="165" fontId="0" fillId="4" borderId="0" xfId="0" applyNumberFormat="1" applyFill="1"/>
  </cellXfs>
  <cellStyles count="8">
    <cellStyle name="Comma 2" xfId="6" xr:uid="{C30EE139-BEE4-440D-9421-0E8D59E39A8C}"/>
    <cellStyle name="Normal" xfId="0" builtinId="0"/>
    <cellStyle name="Normal 2" xfId="3" xr:uid="{43C4FF24-D4D5-4749-BD54-775AA9A4DC93}"/>
    <cellStyle name="Normal 3" xfId="1" xr:uid="{00000000-0005-0000-0000-000001000000}"/>
    <cellStyle name="Normal 3 2" xfId="5" xr:uid="{0009E56C-199C-4601-8C62-F4DB00109842}"/>
    <cellStyle name="Normal 4" xfId="7" xr:uid="{6BE2A4C3-DC88-42B8-A088-B565C689C58F}"/>
    <cellStyle name="Normal 5" xfId="2" xr:uid="{17EB8409-33BA-493F-8874-4D9B6A21AB78}"/>
    <cellStyle name="Percent 2" xfId="4" xr:uid="{E044D882-96F4-47F4-8EE1-12E9C8BCBC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Figures!$B$71</c:f>
              <c:strCache>
                <c:ptCount val="1"/>
                <c:pt idx="0">
                  <c:v>Production of mineral fertilizer</c:v>
                </c:pt>
              </c:strCache>
            </c:strRef>
          </c:tx>
          <c:spPr>
            <a:solidFill>
              <a:schemeClr val="accent1"/>
            </a:solidFill>
            <a:ln>
              <a:noFill/>
            </a:ln>
            <a:effectLst/>
          </c:spPr>
          <c:invertIfNegative val="0"/>
          <c:cat>
            <c:strRef>
              <c:f>Figures!$A$72:$A$83</c:f>
              <c:strCache>
                <c:ptCount val="12"/>
                <c:pt idx="0">
                  <c:v>Poland</c:v>
                </c:pt>
                <c:pt idx="1">
                  <c:v>UK</c:v>
                </c:pt>
                <c:pt idx="2">
                  <c:v>Netherlands</c:v>
                </c:pt>
                <c:pt idx="3">
                  <c:v>Denmark </c:v>
                </c:pt>
                <c:pt idx="4">
                  <c:v>Sweden</c:v>
                </c:pt>
                <c:pt idx="5">
                  <c:v>Greece</c:v>
                </c:pt>
                <c:pt idx="6">
                  <c:v>Germany</c:v>
                </c:pt>
                <c:pt idx="7">
                  <c:v>Spain</c:v>
                </c:pt>
                <c:pt idx="8">
                  <c:v>Ireland</c:v>
                </c:pt>
                <c:pt idx="9">
                  <c:v>France</c:v>
                </c:pt>
                <c:pt idx="10">
                  <c:v>Italy</c:v>
                </c:pt>
                <c:pt idx="11">
                  <c:v>Hungary </c:v>
                </c:pt>
              </c:strCache>
            </c:strRef>
          </c:cat>
          <c:val>
            <c:numRef>
              <c:f>Figures!$B$72:$B$83</c:f>
              <c:numCache>
                <c:formatCode>General</c:formatCode>
                <c:ptCount val="12"/>
                <c:pt idx="0">
                  <c:v>0.23803530641059373</c:v>
                </c:pt>
                <c:pt idx="1">
                  <c:v>0.28892788817470272</c:v>
                </c:pt>
                <c:pt idx="2">
                  <c:v>0.18889797903668962</c:v>
                </c:pt>
                <c:pt idx="3">
                  <c:v>0.24971371223845368</c:v>
                </c:pt>
                <c:pt idx="4">
                  <c:v>0.25129263891056819</c:v>
                </c:pt>
                <c:pt idx="5">
                  <c:v>0.12850413006433067</c:v>
                </c:pt>
                <c:pt idx="6">
                  <c:v>0.22779947666878139</c:v>
                </c:pt>
                <c:pt idx="7">
                  <c:v>0.16629825740550352</c:v>
                </c:pt>
                <c:pt idx="8">
                  <c:v>0.12006494472129353</c:v>
                </c:pt>
                <c:pt idx="9">
                  <c:v>0.25670204712471223</c:v>
                </c:pt>
                <c:pt idx="10">
                  <c:v>0.20126111374932382</c:v>
                </c:pt>
                <c:pt idx="11">
                  <c:v>0.19919809092462742</c:v>
                </c:pt>
              </c:numCache>
            </c:numRef>
          </c:val>
          <c:extLst>
            <c:ext xmlns:c16="http://schemas.microsoft.com/office/drawing/2014/chart" uri="{C3380CC4-5D6E-409C-BE32-E72D297353CC}">
              <c16:uniqueId val="{00000000-46A0-4E29-85B6-FB91F17140E0}"/>
            </c:ext>
          </c:extLst>
        </c:ser>
        <c:ser>
          <c:idx val="1"/>
          <c:order val="1"/>
          <c:tx>
            <c:strRef>
              <c:f>Figures!$C$71</c:f>
              <c:strCache>
                <c:ptCount val="1"/>
                <c:pt idx="0">
                  <c:v>Production of capital goods </c:v>
                </c:pt>
              </c:strCache>
            </c:strRef>
          </c:tx>
          <c:spPr>
            <a:solidFill>
              <a:schemeClr val="accent2"/>
            </a:solidFill>
            <a:ln>
              <a:noFill/>
            </a:ln>
            <a:effectLst/>
          </c:spPr>
          <c:invertIfNegative val="0"/>
          <c:cat>
            <c:strRef>
              <c:f>Figures!$A$72:$A$83</c:f>
              <c:strCache>
                <c:ptCount val="12"/>
                <c:pt idx="0">
                  <c:v>Poland</c:v>
                </c:pt>
                <c:pt idx="1">
                  <c:v>UK</c:v>
                </c:pt>
                <c:pt idx="2">
                  <c:v>Netherlands</c:v>
                </c:pt>
                <c:pt idx="3">
                  <c:v>Denmark </c:v>
                </c:pt>
                <c:pt idx="4">
                  <c:v>Sweden</c:v>
                </c:pt>
                <c:pt idx="5">
                  <c:v>Greece</c:v>
                </c:pt>
                <c:pt idx="6">
                  <c:v>Germany</c:v>
                </c:pt>
                <c:pt idx="7">
                  <c:v>Spain</c:v>
                </c:pt>
                <c:pt idx="8">
                  <c:v>Ireland</c:v>
                </c:pt>
                <c:pt idx="9">
                  <c:v>France</c:v>
                </c:pt>
                <c:pt idx="10">
                  <c:v>Italy</c:v>
                </c:pt>
                <c:pt idx="11">
                  <c:v>Hungary </c:v>
                </c:pt>
              </c:strCache>
            </c:strRef>
          </c:cat>
          <c:val>
            <c:numRef>
              <c:f>Figures!$C$72:$C$83</c:f>
              <c:numCache>
                <c:formatCode>General</c:formatCode>
                <c:ptCount val="12"/>
                <c:pt idx="0">
                  <c:v>9.0380114167463596E-2</c:v>
                </c:pt>
                <c:pt idx="1">
                  <c:v>9.0151259590037003E-2</c:v>
                </c:pt>
                <c:pt idx="2">
                  <c:v>8.8547667634318053E-2</c:v>
                </c:pt>
                <c:pt idx="3">
                  <c:v>9.0853562585327785E-2</c:v>
                </c:pt>
                <c:pt idx="4">
                  <c:v>9.2035734889641035E-2</c:v>
                </c:pt>
                <c:pt idx="5">
                  <c:v>8.1097112490599629E-2</c:v>
                </c:pt>
                <c:pt idx="6">
                  <c:v>9.0347173687458884E-2</c:v>
                </c:pt>
                <c:pt idx="7">
                  <c:v>9.199003271465872E-2</c:v>
                </c:pt>
                <c:pt idx="8">
                  <c:v>6.9390557624715576E-2</c:v>
                </c:pt>
                <c:pt idx="9">
                  <c:v>8.452825609174093E-2</c:v>
                </c:pt>
                <c:pt idx="10">
                  <c:v>8.3040165648594427E-2</c:v>
                </c:pt>
                <c:pt idx="11">
                  <c:v>8.8757377370740048E-2</c:v>
                </c:pt>
              </c:numCache>
            </c:numRef>
          </c:val>
          <c:extLst>
            <c:ext xmlns:c16="http://schemas.microsoft.com/office/drawing/2014/chart" uri="{C3380CC4-5D6E-409C-BE32-E72D297353CC}">
              <c16:uniqueId val="{00000001-46A0-4E29-85B6-FB91F17140E0}"/>
            </c:ext>
          </c:extLst>
        </c:ser>
        <c:ser>
          <c:idx val="2"/>
          <c:order val="2"/>
          <c:tx>
            <c:strRef>
              <c:f>Figures!$D$71</c:f>
              <c:strCache>
                <c:ptCount val="1"/>
                <c:pt idx="0">
                  <c:v>Emissions from soil </c:v>
                </c:pt>
              </c:strCache>
            </c:strRef>
          </c:tx>
          <c:spPr>
            <a:solidFill>
              <a:schemeClr val="accent3"/>
            </a:solidFill>
            <a:ln>
              <a:noFill/>
            </a:ln>
            <a:effectLst/>
          </c:spPr>
          <c:invertIfNegative val="0"/>
          <c:cat>
            <c:strRef>
              <c:f>Figures!$A$72:$A$83</c:f>
              <c:strCache>
                <c:ptCount val="12"/>
                <c:pt idx="0">
                  <c:v>Poland</c:v>
                </c:pt>
                <c:pt idx="1">
                  <c:v>UK</c:v>
                </c:pt>
                <c:pt idx="2">
                  <c:v>Netherlands</c:v>
                </c:pt>
                <c:pt idx="3">
                  <c:v>Denmark </c:v>
                </c:pt>
                <c:pt idx="4">
                  <c:v>Sweden</c:v>
                </c:pt>
                <c:pt idx="5">
                  <c:v>Greece</c:v>
                </c:pt>
                <c:pt idx="6">
                  <c:v>Germany</c:v>
                </c:pt>
                <c:pt idx="7">
                  <c:v>Spain</c:v>
                </c:pt>
                <c:pt idx="8">
                  <c:v>Ireland</c:v>
                </c:pt>
                <c:pt idx="9">
                  <c:v>France</c:v>
                </c:pt>
                <c:pt idx="10">
                  <c:v>Italy</c:v>
                </c:pt>
                <c:pt idx="11">
                  <c:v>Hungary </c:v>
                </c:pt>
              </c:strCache>
            </c:strRef>
          </c:cat>
          <c:val>
            <c:numRef>
              <c:f>Figures!$D$72:$D$83</c:f>
              <c:numCache>
                <c:formatCode>General</c:formatCode>
                <c:ptCount val="12"/>
                <c:pt idx="0">
                  <c:v>0.35702712435151035</c:v>
                </c:pt>
                <c:pt idx="1">
                  <c:v>0.46015496007395412</c:v>
                </c:pt>
                <c:pt idx="2">
                  <c:v>0.38352742302063969</c:v>
                </c:pt>
                <c:pt idx="3">
                  <c:v>0.48955718902602935</c:v>
                </c:pt>
                <c:pt idx="4">
                  <c:v>0</c:v>
                </c:pt>
                <c:pt idx="5">
                  <c:v>0.11730113152558365</c:v>
                </c:pt>
                <c:pt idx="6">
                  <c:v>0.34558455350263384</c:v>
                </c:pt>
                <c:pt idx="7">
                  <c:v>0.22550367499002022</c:v>
                </c:pt>
                <c:pt idx="8">
                  <c:v>0.29117874693707196</c:v>
                </c:pt>
                <c:pt idx="9">
                  <c:v>0.34183842865958947</c:v>
                </c:pt>
                <c:pt idx="10">
                  <c:v>0.1364632801706574</c:v>
                </c:pt>
                <c:pt idx="11">
                  <c:v>0.12819491367328623</c:v>
                </c:pt>
              </c:numCache>
            </c:numRef>
          </c:val>
          <c:extLst>
            <c:ext xmlns:c16="http://schemas.microsoft.com/office/drawing/2014/chart" uri="{C3380CC4-5D6E-409C-BE32-E72D297353CC}">
              <c16:uniqueId val="{00000002-46A0-4E29-85B6-FB91F17140E0}"/>
            </c:ext>
          </c:extLst>
        </c:ser>
        <c:ser>
          <c:idx val="3"/>
          <c:order val="3"/>
          <c:tx>
            <c:strRef>
              <c:f>Figures!$E$71</c:f>
              <c:strCache>
                <c:ptCount val="1"/>
                <c:pt idx="0">
                  <c:v>Diesel use field machinary</c:v>
                </c:pt>
              </c:strCache>
            </c:strRef>
          </c:tx>
          <c:spPr>
            <a:solidFill>
              <a:schemeClr val="accent4"/>
            </a:solidFill>
            <a:ln>
              <a:noFill/>
            </a:ln>
            <a:effectLst/>
          </c:spPr>
          <c:invertIfNegative val="0"/>
          <c:cat>
            <c:strRef>
              <c:f>Figures!$A$72:$A$83</c:f>
              <c:strCache>
                <c:ptCount val="12"/>
                <c:pt idx="0">
                  <c:v>Poland</c:v>
                </c:pt>
                <c:pt idx="1">
                  <c:v>UK</c:v>
                </c:pt>
                <c:pt idx="2">
                  <c:v>Netherlands</c:v>
                </c:pt>
                <c:pt idx="3">
                  <c:v>Denmark </c:v>
                </c:pt>
                <c:pt idx="4">
                  <c:v>Sweden</c:v>
                </c:pt>
                <c:pt idx="5">
                  <c:v>Greece</c:v>
                </c:pt>
                <c:pt idx="6">
                  <c:v>Germany</c:v>
                </c:pt>
                <c:pt idx="7">
                  <c:v>Spain</c:v>
                </c:pt>
                <c:pt idx="8">
                  <c:v>Ireland</c:v>
                </c:pt>
                <c:pt idx="9">
                  <c:v>France</c:v>
                </c:pt>
                <c:pt idx="10">
                  <c:v>Italy</c:v>
                </c:pt>
                <c:pt idx="11">
                  <c:v>Hungary </c:v>
                </c:pt>
              </c:strCache>
            </c:strRef>
          </c:cat>
          <c:val>
            <c:numRef>
              <c:f>Figures!$E$72:$E$83</c:f>
              <c:numCache>
                <c:formatCode>General</c:formatCode>
                <c:ptCount val="12"/>
                <c:pt idx="0">
                  <c:v>0.13266083723617669</c:v>
                </c:pt>
                <c:pt idx="1">
                  <c:v>0.10133221963820224</c:v>
                </c:pt>
                <c:pt idx="2">
                  <c:v>9.827251317024023E-2</c:v>
                </c:pt>
                <c:pt idx="3">
                  <c:v>9.9457168638487581E-2</c:v>
                </c:pt>
                <c:pt idx="4">
                  <c:v>0.11182226975411456</c:v>
                </c:pt>
                <c:pt idx="5">
                  <c:v>0.15210488045828771</c:v>
                </c:pt>
                <c:pt idx="6">
                  <c:v>9.0175519062989679E-2</c:v>
                </c:pt>
                <c:pt idx="7">
                  <c:v>0.17747388672212985</c:v>
                </c:pt>
                <c:pt idx="8">
                  <c:v>7.5023333099158707E-2</c:v>
                </c:pt>
                <c:pt idx="9">
                  <c:v>9.3381307750231013E-2</c:v>
                </c:pt>
                <c:pt idx="10">
                  <c:v>0.11065476555282697</c:v>
                </c:pt>
                <c:pt idx="11">
                  <c:v>0.10101657494852012</c:v>
                </c:pt>
              </c:numCache>
            </c:numRef>
          </c:val>
          <c:extLst>
            <c:ext xmlns:c16="http://schemas.microsoft.com/office/drawing/2014/chart" uri="{C3380CC4-5D6E-409C-BE32-E72D297353CC}">
              <c16:uniqueId val="{00000003-46A0-4E29-85B6-FB91F17140E0}"/>
            </c:ext>
          </c:extLst>
        </c:ser>
        <c:ser>
          <c:idx val="4"/>
          <c:order val="4"/>
          <c:tx>
            <c:strRef>
              <c:f>Figures!$F$71</c:f>
              <c:strCache>
                <c:ptCount val="1"/>
                <c:pt idx="0">
                  <c:v>Energy use for feed processing</c:v>
                </c:pt>
              </c:strCache>
            </c:strRef>
          </c:tx>
          <c:spPr>
            <a:solidFill>
              <a:schemeClr val="accent5"/>
            </a:solidFill>
            <a:ln>
              <a:noFill/>
            </a:ln>
            <a:effectLst/>
          </c:spPr>
          <c:invertIfNegative val="0"/>
          <c:cat>
            <c:strRef>
              <c:f>Figures!$A$72:$A$83</c:f>
              <c:strCache>
                <c:ptCount val="12"/>
                <c:pt idx="0">
                  <c:v>Poland</c:v>
                </c:pt>
                <c:pt idx="1">
                  <c:v>UK</c:v>
                </c:pt>
                <c:pt idx="2">
                  <c:v>Netherlands</c:v>
                </c:pt>
                <c:pt idx="3">
                  <c:v>Denmark </c:v>
                </c:pt>
                <c:pt idx="4">
                  <c:v>Sweden</c:v>
                </c:pt>
                <c:pt idx="5">
                  <c:v>Greece</c:v>
                </c:pt>
                <c:pt idx="6">
                  <c:v>Germany</c:v>
                </c:pt>
                <c:pt idx="7">
                  <c:v>Spain</c:v>
                </c:pt>
                <c:pt idx="8">
                  <c:v>Ireland</c:v>
                </c:pt>
                <c:pt idx="9">
                  <c:v>France</c:v>
                </c:pt>
                <c:pt idx="10">
                  <c:v>Italy</c:v>
                </c:pt>
                <c:pt idx="11">
                  <c:v>Hungary </c:v>
                </c:pt>
              </c:strCache>
            </c:strRef>
          </c:cat>
          <c:val>
            <c:numRef>
              <c:f>Figures!$F$72:$F$83</c:f>
              <c:numCache>
                <c:formatCode>General</c:formatCode>
                <c:ptCount val="12"/>
                <c:pt idx="0">
                  <c:v>0.15985879297689648</c:v>
                </c:pt>
                <c:pt idx="1">
                  <c:v>0.12778528894848146</c:v>
                </c:pt>
                <c:pt idx="2">
                  <c:v>0.13182430709561582</c:v>
                </c:pt>
                <c:pt idx="3">
                  <c:v>0.12602943738808636</c:v>
                </c:pt>
                <c:pt idx="4">
                  <c:v>0.1147290387670723</c:v>
                </c:pt>
                <c:pt idx="5">
                  <c:v>0.12393546866124183</c:v>
                </c:pt>
                <c:pt idx="6">
                  <c:v>0.1339672441805671</c:v>
                </c:pt>
                <c:pt idx="7">
                  <c:v>0.12052009355126349</c:v>
                </c:pt>
                <c:pt idx="8">
                  <c:v>0.10049495688677507</c:v>
                </c:pt>
                <c:pt idx="9">
                  <c:v>0.1083022565483913</c:v>
                </c:pt>
                <c:pt idx="10">
                  <c:v>0.11751803695468491</c:v>
                </c:pt>
                <c:pt idx="11">
                  <c:v>0.12688012533715867</c:v>
                </c:pt>
              </c:numCache>
            </c:numRef>
          </c:val>
          <c:extLst>
            <c:ext xmlns:c16="http://schemas.microsoft.com/office/drawing/2014/chart" uri="{C3380CC4-5D6E-409C-BE32-E72D297353CC}">
              <c16:uniqueId val="{00000004-46A0-4E29-85B6-FB91F17140E0}"/>
            </c:ext>
          </c:extLst>
        </c:ser>
        <c:ser>
          <c:idx val="5"/>
          <c:order val="5"/>
          <c:tx>
            <c:strRef>
              <c:f>Figures!$G$71</c:f>
              <c:strCache>
                <c:ptCount val="1"/>
                <c:pt idx="0">
                  <c:v>Land use change emissions</c:v>
                </c:pt>
              </c:strCache>
            </c:strRef>
          </c:tx>
          <c:spPr>
            <a:solidFill>
              <a:schemeClr val="accent6"/>
            </a:solidFill>
            <a:ln>
              <a:noFill/>
            </a:ln>
            <a:effectLst/>
          </c:spPr>
          <c:invertIfNegative val="0"/>
          <c:cat>
            <c:strRef>
              <c:f>Figures!$A$72:$A$83</c:f>
              <c:strCache>
                <c:ptCount val="12"/>
                <c:pt idx="0">
                  <c:v>Poland</c:v>
                </c:pt>
                <c:pt idx="1">
                  <c:v>UK</c:v>
                </c:pt>
                <c:pt idx="2">
                  <c:v>Netherlands</c:v>
                </c:pt>
                <c:pt idx="3">
                  <c:v>Denmark </c:v>
                </c:pt>
                <c:pt idx="4">
                  <c:v>Sweden</c:v>
                </c:pt>
                <c:pt idx="5">
                  <c:v>Greece</c:v>
                </c:pt>
                <c:pt idx="6">
                  <c:v>Germany</c:v>
                </c:pt>
                <c:pt idx="7">
                  <c:v>Spain</c:v>
                </c:pt>
                <c:pt idx="8">
                  <c:v>Ireland</c:v>
                </c:pt>
                <c:pt idx="9">
                  <c:v>France</c:v>
                </c:pt>
                <c:pt idx="10">
                  <c:v>Italy</c:v>
                </c:pt>
                <c:pt idx="11">
                  <c:v>Hungary </c:v>
                </c:pt>
              </c:strCache>
            </c:strRef>
          </c:cat>
          <c:val>
            <c:numRef>
              <c:f>Figures!$G$72:$G$83</c:f>
              <c:numCache>
                <c:formatCode>General</c:formatCode>
                <c:ptCount val="12"/>
                <c:pt idx="0">
                  <c:v>0.10943919104259656</c:v>
                </c:pt>
                <c:pt idx="1">
                  <c:v>0.19408948992808309</c:v>
                </c:pt>
                <c:pt idx="2">
                  <c:v>0.16580919227488314</c:v>
                </c:pt>
                <c:pt idx="3">
                  <c:v>0.11199553670653163</c:v>
                </c:pt>
                <c:pt idx="4">
                  <c:v>0.1936675271752315</c:v>
                </c:pt>
                <c:pt idx="5">
                  <c:v>0.21074568629094556</c:v>
                </c:pt>
                <c:pt idx="6">
                  <c:v>9.4471241184542698E-2</c:v>
                </c:pt>
                <c:pt idx="7">
                  <c:v>0.17947456253376395</c:v>
                </c:pt>
                <c:pt idx="8">
                  <c:v>0.14537905545271551</c:v>
                </c:pt>
                <c:pt idx="9">
                  <c:v>9.1730991286372396E-2</c:v>
                </c:pt>
                <c:pt idx="10">
                  <c:v>0.12172101088019294</c:v>
                </c:pt>
                <c:pt idx="11">
                  <c:v>0.10270073851020657</c:v>
                </c:pt>
              </c:numCache>
            </c:numRef>
          </c:val>
          <c:extLst>
            <c:ext xmlns:c16="http://schemas.microsoft.com/office/drawing/2014/chart" uri="{C3380CC4-5D6E-409C-BE32-E72D297353CC}">
              <c16:uniqueId val="{00000005-46A0-4E29-85B6-FB91F17140E0}"/>
            </c:ext>
          </c:extLst>
        </c:ser>
        <c:ser>
          <c:idx val="6"/>
          <c:order val="6"/>
          <c:tx>
            <c:strRef>
              <c:f>Figures!$H$71</c:f>
              <c:strCache>
                <c:ptCount val="1"/>
                <c:pt idx="0">
                  <c:v>Feed transports</c:v>
                </c:pt>
              </c:strCache>
            </c:strRef>
          </c:tx>
          <c:spPr>
            <a:solidFill>
              <a:schemeClr val="accent1">
                <a:lumMod val="60000"/>
              </a:schemeClr>
            </a:solidFill>
            <a:ln>
              <a:noFill/>
            </a:ln>
            <a:effectLst/>
          </c:spPr>
          <c:invertIfNegative val="0"/>
          <c:cat>
            <c:strRef>
              <c:f>Figures!$A$72:$A$83</c:f>
              <c:strCache>
                <c:ptCount val="12"/>
                <c:pt idx="0">
                  <c:v>Poland</c:v>
                </c:pt>
                <c:pt idx="1">
                  <c:v>UK</c:v>
                </c:pt>
                <c:pt idx="2">
                  <c:v>Netherlands</c:v>
                </c:pt>
                <c:pt idx="3">
                  <c:v>Denmark </c:v>
                </c:pt>
                <c:pt idx="4">
                  <c:v>Sweden</c:v>
                </c:pt>
                <c:pt idx="5">
                  <c:v>Greece</c:v>
                </c:pt>
                <c:pt idx="6">
                  <c:v>Germany</c:v>
                </c:pt>
                <c:pt idx="7">
                  <c:v>Spain</c:v>
                </c:pt>
                <c:pt idx="8">
                  <c:v>Ireland</c:v>
                </c:pt>
                <c:pt idx="9">
                  <c:v>France</c:v>
                </c:pt>
                <c:pt idx="10">
                  <c:v>Italy</c:v>
                </c:pt>
                <c:pt idx="11">
                  <c:v>Hungary </c:v>
                </c:pt>
              </c:strCache>
            </c:strRef>
          </c:cat>
          <c:val>
            <c:numRef>
              <c:f>Figures!$H$72:$H$83</c:f>
              <c:numCache>
                <c:formatCode>General</c:formatCode>
                <c:ptCount val="12"/>
                <c:pt idx="0">
                  <c:v>9.6323149723153562E-2</c:v>
                </c:pt>
                <c:pt idx="1">
                  <c:v>0.17830095846016009</c:v>
                </c:pt>
                <c:pt idx="2">
                  <c:v>0.16108315438700654</c:v>
                </c:pt>
                <c:pt idx="3">
                  <c:v>0.10108348867710014</c:v>
                </c:pt>
                <c:pt idx="4">
                  <c:v>0.17244619098414077</c:v>
                </c:pt>
                <c:pt idx="5">
                  <c:v>0.17453023247926583</c:v>
                </c:pt>
                <c:pt idx="6">
                  <c:v>9.7794323173801503E-2</c:v>
                </c:pt>
                <c:pt idx="7">
                  <c:v>0.15094580882326702</c:v>
                </c:pt>
                <c:pt idx="8">
                  <c:v>0.13484734119175021</c:v>
                </c:pt>
                <c:pt idx="9">
                  <c:v>9.6283525688234423E-2</c:v>
                </c:pt>
                <c:pt idx="10">
                  <c:v>0.10263629067269443</c:v>
                </c:pt>
                <c:pt idx="11">
                  <c:v>8.4100046730292963E-2</c:v>
                </c:pt>
              </c:numCache>
            </c:numRef>
          </c:val>
          <c:extLst>
            <c:ext xmlns:c16="http://schemas.microsoft.com/office/drawing/2014/chart" uri="{C3380CC4-5D6E-409C-BE32-E72D297353CC}">
              <c16:uniqueId val="{00000006-46A0-4E29-85B6-FB91F17140E0}"/>
            </c:ext>
          </c:extLst>
        </c:ser>
        <c:ser>
          <c:idx val="7"/>
          <c:order val="7"/>
          <c:tx>
            <c:strRef>
              <c:f>Figures!$I$71</c:f>
              <c:strCache>
                <c:ptCount val="1"/>
                <c:pt idx="0">
                  <c:v>Enteric fermentation</c:v>
                </c:pt>
              </c:strCache>
            </c:strRef>
          </c:tx>
          <c:spPr>
            <a:solidFill>
              <a:schemeClr val="accent2">
                <a:lumMod val="60000"/>
              </a:schemeClr>
            </a:solidFill>
            <a:ln>
              <a:noFill/>
            </a:ln>
            <a:effectLst/>
          </c:spPr>
          <c:invertIfNegative val="0"/>
          <c:cat>
            <c:strRef>
              <c:f>Figures!$A$72:$A$83</c:f>
              <c:strCache>
                <c:ptCount val="12"/>
                <c:pt idx="0">
                  <c:v>Poland</c:v>
                </c:pt>
                <c:pt idx="1">
                  <c:v>UK</c:v>
                </c:pt>
                <c:pt idx="2">
                  <c:v>Netherlands</c:v>
                </c:pt>
                <c:pt idx="3">
                  <c:v>Denmark </c:v>
                </c:pt>
                <c:pt idx="4">
                  <c:v>Sweden</c:v>
                </c:pt>
                <c:pt idx="5">
                  <c:v>Greece</c:v>
                </c:pt>
                <c:pt idx="6">
                  <c:v>Germany</c:v>
                </c:pt>
                <c:pt idx="7">
                  <c:v>Spain</c:v>
                </c:pt>
                <c:pt idx="8">
                  <c:v>Ireland</c:v>
                </c:pt>
                <c:pt idx="9">
                  <c:v>France</c:v>
                </c:pt>
                <c:pt idx="10">
                  <c:v>Italy</c:v>
                </c:pt>
                <c:pt idx="11">
                  <c:v>Hungary </c:v>
                </c:pt>
              </c:strCache>
            </c:strRef>
          </c:cat>
          <c:val>
            <c:numRef>
              <c:f>Figures!$I$72:$I$83</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7-46A0-4E29-85B6-FB91F17140E0}"/>
            </c:ext>
          </c:extLst>
        </c:ser>
        <c:ser>
          <c:idx val="8"/>
          <c:order val="8"/>
          <c:tx>
            <c:strRef>
              <c:f>Figures!$J$71</c:f>
              <c:strCache>
                <c:ptCount val="1"/>
                <c:pt idx="0">
                  <c:v>Manure management</c:v>
                </c:pt>
              </c:strCache>
            </c:strRef>
          </c:tx>
          <c:spPr>
            <a:solidFill>
              <a:schemeClr val="accent3">
                <a:lumMod val="60000"/>
              </a:schemeClr>
            </a:solidFill>
            <a:ln>
              <a:noFill/>
            </a:ln>
            <a:effectLst/>
          </c:spPr>
          <c:invertIfNegative val="0"/>
          <c:cat>
            <c:strRef>
              <c:f>Figures!$A$72:$A$83</c:f>
              <c:strCache>
                <c:ptCount val="12"/>
                <c:pt idx="0">
                  <c:v>Poland</c:v>
                </c:pt>
                <c:pt idx="1">
                  <c:v>UK</c:v>
                </c:pt>
                <c:pt idx="2">
                  <c:v>Netherlands</c:v>
                </c:pt>
                <c:pt idx="3">
                  <c:v>Denmark </c:v>
                </c:pt>
                <c:pt idx="4">
                  <c:v>Sweden</c:v>
                </c:pt>
                <c:pt idx="5">
                  <c:v>Greece</c:v>
                </c:pt>
                <c:pt idx="6">
                  <c:v>Germany</c:v>
                </c:pt>
                <c:pt idx="7">
                  <c:v>Spain</c:v>
                </c:pt>
                <c:pt idx="8">
                  <c:v>Ireland</c:v>
                </c:pt>
                <c:pt idx="9">
                  <c:v>France</c:v>
                </c:pt>
                <c:pt idx="10">
                  <c:v>Italy</c:v>
                </c:pt>
                <c:pt idx="11">
                  <c:v>Hungary </c:v>
                </c:pt>
              </c:strCache>
            </c:strRef>
          </c:cat>
          <c:val>
            <c:numRef>
              <c:f>Figures!$J$72:$J$83</c:f>
              <c:numCache>
                <c:formatCode>General</c:formatCode>
                <c:ptCount val="12"/>
                <c:pt idx="0">
                  <c:v>0.13869379537724535</c:v>
                </c:pt>
                <c:pt idx="1">
                  <c:v>9.3263728567251403E-2</c:v>
                </c:pt>
                <c:pt idx="2">
                  <c:v>0.15104449580553436</c:v>
                </c:pt>
                <c:pt idx="3">
                  <c:v>9.3263728567251403E-2</c:v>
                </c:pt>
                <c:pt idx="4">
                  <c:v>9.3263728567251403E-2</c:v>
                </c:pt>
                <c:pt idx="5">
                  <c:v>0.14380683590262272</c:v>
                </c:pt>
                <c:pt idx="6">
                  <c:v>0.16129505897840996</c:v>
                </c:pt>
                <c:pt idx="7">
                  <c:v>0.15066079905510055</c:v>
                </c:pt>
                <c:pt idx="8">
                  <c:v>0.12361807791880663</c:v>
                </c:pt>
                <c:pt idx="9">
                  <c:v>0.11017855987224708</c:v>
                </c:pt>
                <c:pt idx="10">
                  <c:v>0.1008461520215579</c:v>
                </c:pt>
                <c:pt idx="11">
                  <c:v>0.11443726599848156</c:v>
                </c:pt>
              </c:numCache>
            </c:numRef>
          </c:val>
          <c:extLst>
            <c:ext xmlns:c16="http://schemas.microsoft.com/office/drawing/2014/chart" uri="{C3380CC4-5D6E-409C-BE32-E72D297353CC}">
              <c16:uniqueId val="{00000008-46A0-4E29-85B6-FB91F17140E0}"/>
            </c:ext>
          </c:extLst>
        </c:ser>
        <c:ser>
          <c:idx val="9"/>
          <c:order val="9"/>
          <c:tx>
            <c:strRef>
              <c:f>Figures!$K$71</c:f>
              <c:strCache>
                <c:ptCount val="1"/>
                <c:pt idx="0">
                  <c:v>Energy use in stables</c:v>
                </c:pt>
              </c:strCache>
            </c:strRef>
          </c:tx>
          <c:spPr>
            <a:solidFill>
              <a:schemeClr val="accent4">
                <a:lumMod val="60000"/>
              </a:schemeClr>
            </a:solidFill>
            <a:ln>
              <a:noFill/>
            </a:ln>
            <a:effectLst/>
          </c:spPr>
          <c:invertIfNegative val="0"/>
          <c:cat>
            <c:strRef>
              <c:f>Figures!$A$72:$A$83</c:f>
              <c:strCache>
                <c:ptCount val="12"/>
                <c:pt idx="0">
                  <c:v>Poland</c:v>
                </c:pt>
                <c:pt idx="1">
                  <c:v>UK</c:v>
                </c:pt>
                <c:pt idx="2">
                  <c:v>Netherlands</c:v>
                </c:pt>
                <c:pt idx="3">
                  <c:v>Denmark </c:v>
                </c:pt>
                <c:pt idx="4">
                  <c:v>Sweden</c:v>
                </c:pt>
                <c:pt idx="5">
                  <c:v>Greece</c:v>
                </c:pt>
                <c:pt idx="6">
                  <c:v>Germany</c:v>
                </c:pt>
                <c:pt idx="7">
                  <c:v>Spain</c:v>
                </c:pt>
                <c:pt idx="8">
                  <c:v>Ireland</c:v>
                </c:pt>
                <c:pt idx="9">
                  <c:v>France</c:v>
                </c:pt>
                <c:pt idx="10">
                  <c:v>Italy</c:v>
                </c:pt>
                <c:pt idx="11">
                  <c:v>Hungary </c:v>
                </c:pt>
              </c:strCache>
            </c:strRef>
          </c:cat>
          <c:val>
            <c:numRef>
              <c:f>Figures!$K$72:$K$83</c:f>
              <c:numCache>
                <c:formatCode>General</c:formatCode>
                <c:ptCount val="12"/>
                <c:pt idx="0">
                  <c:v>0.1507493227417642</c:v>
                </c:pt>
                <c:pt idx="1">
                  <c:v>9.4238726789122609E-2</c:v>
                </c:pt>
                <c:pt idx="2">
                  <c:v>0.10486036971128213</c:v>
                </c:pt>
                <c:pt idx="3">
                  <c:v>9.2086076701015276E-2</c:v>
                </c:pt>
                <c:pt idx="4">
                  <c:v>6.5053683314751559E-2</c:v>
                </c:pt>
                <c:pt idx="5">
                  <c:v>0.11871036444910726</c:v>
                </c:pt>
                <c:pt idx="6">
                  <c:v>0.10159751091576574</c:v>
                </c:pt>
                <c:pt idx="7">
                  <c:v>8.3464270801641899E-2</c:v>
                </c:pt>
                <c:pt idx="8">
                  <c:v>9.366977233729705E-2</c:v>
                </c:pt>
                <c:pt idx="9">
                  <c:v>6.5397296060153529E-2</c:v>
                </c:pt>
                <c:pt idx="10">
                  <c:v>9.5764816402928402E-2</c:v>
                </c:pt>
                <c:pt idx="11">
                  <c:v>9.9655029410123525E-2</c:v>
                </c:pt>
              </c:numCache>
            </c:numRef>
          </c:val>
          <c:extLst>
            <c:ext xmlns:c16="http://schemas.microsoft.com/office/drawing/2014/chart" uri="{C3380CC4-5D6E-409C-BE32-E72D297353CC}">
              <c16:uniqueId val="{00000009-46A0-4E29-85B6-FB91F17140E0}"/>
            </c:ext>
          </c:extLst>
        </c:ser>
        <c:ser>
          <c:idx val="10"/>
          <c:order val="10"/>
          <c:tx>
            <c:strRef>
              <c:f>Figures!$L$71</c:f>
              <c:strCache>
                <c:ptCount val="1"/>
                <c:pt idx="0">
                  <c:v>Energy use for slaughter</c:v>
                </c:pt>
              </c:strCache>
            </c:strRef>
          </c:tx>
          <c:spPr>
            <a:solidFill>
              <a:schemeClr val="accent5">
                <a:lumMod val="60000"/>
              </a:schemeClr>
            </a:solidFill>
            <a:ln>
              <a:noFill/>
            </a:ln>
            <a:effectLst/>
          </c:spPr>
          <c:invertIfNegative val="0"/>
          <c:cat>
            <c:strRef>
              <c:f>Figures!$A$72:$A$83</c:f>
              <c:strCache>
                <c:ptCount val="12"/>
                <c:pt idx="0">
                  <c:v>Poland</c:v>
                </c:pt>
                <c:pt idx="1">
                  <c:v>UK</c:v>
                </c:pt>
                <c:pt idx="2">
                  <c:v>Netherlands</c:v>
                </c:pt>
                <c:pt idx="3">
                  <c:v>Denmark </c:v>
                </c:pt>
                <c:pt idx="4">
                  <c:v>Sweden</c:v>
                </c:pt>
                <c:pt idx="5">
                  <c:v>Greece</c:v>
                </c:pt>
                <c:pt idx="6">
                  <c:v>Germany</c:v>
                </c:pt>
                <c:pt idx="7">
                  <c:v>Spain</c:v>
                </c:pt>
                <c:pt idx="8">
                  <c:v>Ireland</c:v>
                </c:pt>
                <c:pt idx="9">
                  <c:v>France</c:v>
                </c:pt>
                <c:pt idx="10">
                  <c:v>Italy</c:v>
                </c:pt>
                <c:pt idx="11">
                  <c:v>Hungary </c:v>
                </c:pt>
              </c:strCache>
            </c:strRef>
          </c:cat>
          <c:val>
            <c:numRef>
              <c:f>Figures!$L$72:$L$83</c:f>
              <c:numCache>
                <c:formatCode>General</c:formatCode>
                <c:ptCount val="12"/>
                <c:pt idx="0">
                  <c:v>0.54600896351345796</c:v>
                </c:pt>
                <c:pt idx="1">
                  <c:v>0.2230912723555058</c:v>
                </c:pt>
                <c:pt idx="2">
                  <c:v>0.28378637476784591</c:v>
                </c:pt>
                <c:pt idx="3">
                  <c:v>0.21079041470917817</c:v>
                </c:pt>
                <c:pt idx="4">
                  <c:v>5.6319595359099743E-2</c:v>
                </c:pt>
                <c:pt idx="5">
                  <c:v>0.36292920184113242</c:v>
                </c:pt>
                <c:pt idx="6">
                  <c:v>0.26514146736489513</c:v>
                </c:pt>
                <c:pt idx="7">
                  <c:v>0.16152295242704456</c:v>
                </c:pt>
                <c:pt idx="8">
                  <c:v>0.21984010405935969</c:v>
                </c:pt>
                <c:pt idx="9">
                  <c:v>5.8283096761396737E-2</c:v>
                </c:pt>
                <c:pt idx="10">
                  <c:v>0.2318117844343961</c:v>
                </c:pt>
                <c:pt idx="11">
                  <c:v>0.25404157304693958</c:v>
                </c:pt>
              </c:numCache>
            </c:numRef>
          </c:val>
          <c:extLst>
            <c:ext xmlns:c16="http://schemas.microsoft.com/office/drawing/2014/chart" uri="{C3380CC4-5D6E-409C-BE32-E72D297353CC}">
              <c16:uniqueId val="{0000000A-46A0-4E29-85B6-FB91F17140E0}"/>
            </c:ext>
          </c:extLst>
        </c:ser>
        <c:dLbls>
          <c:showLegendKey val="0"/>
          <c:showVal val="0"/>
          <c:showCatName val="0"/>
          <c:showSerName val="0"/>
          <c:showPercent val="0"/>
          <c:showBubbleSize val="0"/>
        </c:dLbls>
        <c:gapWidth val="150"/>
        <c:overlap val="100"/>
        <c:axId val="1097164863"/>
        <c:axId val="1097163423"/>
      </c:barChart>
      <c:catAx>
        <c:axId val="109716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97163423"/>
        <c:crosses val="autoZero"/>
        <c:auto val="1"/>
        <c:lblAlgn val="ctr"/>
        <c:lblOffset val="100"/>
        <c:noMultiLvlLbl val="0"/>
      </c:catAx>
      <c:valAx>
        <c:axId val="1097163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kg CO2e per kg of</a:t>
                </a:r>
                <a:r>
                  <a:rPr lang="sv-SE" baseline="0"/>
                  <a:t> bonefree chicken meat and offal</a:t>
                </a:r>
                <a:endParaRPr lang="sv-S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97164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3871</xdr:rowOff>
    </xdr:from>
    <xdr:to>
      <xdr:col>9</xdr:col>
      <xdr:colOff>254154</xdr:colOff>
      <xdr:row>30</xdr:row>
      <xdr:rowOff>98267</xdr:rowOff>
    </xdr:to>
    <xdr:graphicFrame macro="">
      <xdr:nvGraphicFramePr>
        <xdr:cNvPr id="2" name="Chart 1">
          <a:extLst>
            <a:ext uri="{FF2B5EF4-FFF2-40B4-BE49-F238E27FC236}">
              <a16:creationId xmlns:a16="http://schemas.microsoft.com/office/drawing/2014/main" id="{5FBDB7BF-C0AF-4C6B-BFAD-3DB55E49F8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9</xdr:col>
      <xdr:colOff>251460</xdr:colOff>
      <xdr:row>4</xdr:row>
      <xdr:rowOff>22860</xdr:rowOff>
    </xdr:from>
    <xdr:ext cx="5417820" cy="7670305"/>
    <xdr:sp macro="" textlink="">
      <xdr:nvSpPr>
        <xdr:cNvPr id="4" name="TextBox 3">
          <a:extLst>
            <a:ext uri="{FF2B5EF4-FFF2-40B4-BE49-F238E27FC236}">
              <a16:creationId xmlns:a16="http://schemas.microsoft.com/office/drawing/2014/main" id="{19C64761-472A-D925-455D-C01E16B185E1}"/>
            </a:ext>
          </a:extLst>
        </xdr:cNvPr>
        <xdr:cNvSpPr txBox="1"/>
      </xdr:nvSpPr>
      <xdr:spPr>
        <a:xfrm>
          <a:off x="7338060" y="838200"/>
          <a:ext cx="5417820" cy="767030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sv-SE" sz="1100" b="1"/>
            <a:t>Comment on the results:</a:t>
          </a:r>
        </a:p>
        <a:p>
          <a:endParaRPr lang="sv-SE" sz="1100"/>
        </a:p>
        <a:p>
          <a:r>
            <a:rPr lang="sv-SE" sz="1100" b="1" i="1"/>
            <a:t>Differences</a:t>
          </a:r>
          <a:r>
            <a:rPr lang="sv-SE" sz="1100" b="1" i="1" baseline="0"/>
            <a:t> across countries:</a:t>
          </a:r>
          <a:endParaRPr lang="sv-SE" sz="1100" b="1" i="1"/>
        </a:p>
        <a:p>
          <a:r>
            <a:rPr lang="sv-SE" sz="1100"/>
            <a:t>The</a:t>
          </a:r>
          <a:r>
            <a:rPr lang="sv-SE" sz="1100" baseline="0"/>
            <a:t> same FCR is currently assumed for all countries so differences related to feed production (from production of mineral fertiliser up to feed transports) are totally explained by 1) the </a:t>
          </a:r>
          <a:r>
            <a:rPr lang="sv-SE" sz="1100" i="1" baseline="0"/>
            <a:t>types</a:t>
          </a:r>
          <a:r>
            <a:rPr lang="sv-SE" sz="1100" baseline="0"/>
            <a:t> of feed in the feed mix, and the 2) emissions from the production of the feed in the country. It is assumed that all feeds except soy and rapeseed meal are produced domestically. </a:t>
          </a:r>
        </a:p>
        <a:p>
          <a:endParaRPr lang="sv-SE">
            <a:effectLst/>
          </a:endParaRPr>
        </a:p>
        <a:p>
          <a:r>
            <a:rPr lang="sv-SE" sz="1100" baseline="0">
              <a:solidFill>
                <a:schemeClr val="tx1"/>
              </a:solidFill>
              <a:effectLst/>
              <a:latin typeface="+mn-lt"/>
              <a:ea typeface="+mn-ea"/>
              <a:cs typeface="+mn-cs"/>
            </a:rPr>
            <a:t>Sweden is the only country that has the actual feed data from Sweden, the rest is from CAPRI with large uncertainties. </a:t>
          </a:r>
          <a:endParaRPr lang="sv-SE">
            <a:effectLst/>
          </a:endParaRPr>
        </a:p>
        <a:p>
          <a:endParaRPr lang="sv-SE">
            <a:effectLst/>
          </a:endParaRPr>
        </a:p>
        <a:p>
          <a:r>
            <a:rPr lang="sv-SE" sz="1100" baseline="0">
              <a:solidFill>
                <a:schemeClr val="tx1"/>
              </a:solidFill>
              <a:effectLst/>
              <a:latin typeface="+mn-lt"/>
              <a:ea typeface="+mn-ea"/>
              <a:cs typeface="+mn-cs"/>
            </a:rPr>
            <a:t>Italy, Spain, Hungary and Greece have lower emissions from feed production primarly because they are located in 'dry regions' and therefore N2O emissions are half of whose in 'wet countries'. Italy and Hungary also use approximately 50% maize grain in diets which has somewhat lower emissions than other cereals. </a:t>
          </a:r>
          <a:endParaRPr lang="sv-SE">
            <a:effectLst/>
          </a:endParaRPr>
        </a:p>
        <a:p>
          <a:endParaRPr lang="sv-SE" sz="1100" baseline="0"/>
        </a:p>
        <a:p>
          <a:r>
            <a:rPr lang="sv-SE" sz="1100" baseline="0">
              <a:solidFill>
                <a:srgbClr val="FF0000"/>
              </a:solidFill>
            </a:rPr>
            <a:t>Diesel use in Greece and Spain - check...</a:t>
          </a:r>
        </a:p>
        <a:p>
          <a:endParaRPr lang="sv-SE" sz="1100" baseline="0"/>
        </a:p>
        <a:p>
          <a:r>
            <a:rPr lang="sv-SE" sz="1100" baseline="0"/>
            <a:t>Countries which use more soy (UK, the Netherlands, Sweden, Greece, Spain and Ireland) have higher emissions from land use change (soy is the only feed crop included here that is assumed to cause land use change). </a:t>
          </a:r>
        </a:p>
        <a:p>
          <a:endParaRPr lang="sv-SE" sz="1100" baseline="0"/>
        </a:p>
        <a:p>
          <a:r>
            <a:rPr lang="sv-SE" sz="1100" baseline="0"/>
            <a:t>Differences also slightly depend on the percentage of by-products in diets as these are assigned no environmental impact in this version. Germany, Sweden, UK, Spain and Poland have low or no use of by-products in diets.</a:t>
          </a:r>
        </a:p>
        <a:p>
          <a:endParaRPr lang="sv-SE" sz="1100" baseline="0"/>
        </a:p>
        <a:p>
          <a:r>
            <a:rPr lang="sv-SE" sz="1100" baseline="0"/>
            <a:t>Differences for emission energy use in stables and in slaughtering is explained entirely by different energy mixes in the different countries as energy use is assumed to be the same across countries. </a:t>
          </a:r>
        </a:p>
        <a:p>
          <a:endParaRPr lang="sv-SE" sz="1100" baseline="0"/>
        </a:p>
        <a:p>
          <a:r>
            <a:rPr lang="sv-SE" sz="1100" baseline="0">
              <a:solidFill>
                <a:srgbClr val="FF0000"/>
              </a:solidFill>
            </a:rPr>
            <a:t>Manure emissions - explain...</a:t>
          </a:r>
        </a:p>
        <a:p>
          <a:endParaRPr lang="sv-SE" sz="1100" baseline="0"/>
        </a:p>
        <a:p>
          <a:pPr marL="0" marR="0" lvl="0" indent="0" defTabSz="914400" eaLnBrk="1" fontAlgn="auto" latinLnBrk="0" hangingPunct="1">
            <a:lnSpc>
              <a:spcPct val="100000"/>
            </a:lnSpc>
            <a:spcBef>
              <a:spcPts val="0"/>
            </a:spcBef>
            <a:spcAft>
              <a:spcPts val="0"/>
            </a:spcAft>
            <a:buClrTx/>
            <a:buSzTx/>
            <a:buFontTx/>
            <a:buNone/>
            <a:tabLst/>
            <a:defRPr/>
          </a:pPr>
          <a:r>
            <a:rPr lang="sv-SE" sz="1100" b="1" i="1">
              <a:solidFill>
                <a:schemeClr val="tx1"/>
              </a:solidFill>
              <a:effectLst/>
              <a:latin typeface="+mn-lt"/>
              <a:ea typeface="+mn-ea"/>
              <a:cs typeface="+mn-cs"/>
            </a:rPr>
            <a:t>Differences</a:t>
          </a:r>
          <a:r>
            <a:rPr lang="sv-SE" sz="1100" b="1" i="1" baseline="0">
              <a:solidFill>
                <a:schemeClr val="tx1"/>
              </a:solidFill>
              <a:effectLst/>
              <a:latin typeface="+mn-lt"/>
              <a:ea typeface="+mn-ea"/>
              <a:cs typeface="+mn-cs"/>
            </a:rPr>
            <a:t> from previous Swedish estimates:</a:t>
          </a:r>
          <a:endParaRPr lang="sv-SE">
            <a:effectLst/>
          </a:endParaRPr>
        </a:p>
        <a:p>
          <a:r>
            <a:rPr lang="sv-SE" sz="1100" baseline="0"/>
            <a:t>The estimate is lower than previous estimates by e.g. Moberg et al. (2019) and updated versions of that, and the </a:t>
          </a:r>
          <a:r>
            <a:rPr lang="sv-SE" sz="1100" u="none" baseline="0"/>
            <a:t>LCA from RISE </a:t>
          </a:r>
          <a:r>
            <a:rPr lang="sv-SE" sz="1100" baseline="0"/>
            <a:t>for Svensk Fågel (https://svenskfagel.se/wp-content/uploads/2022/11/klimatavtryck-sv-kyckling-foder-information-november-2022-publik.pdf) due to the following reasons:</a:t>
          </a:r>
        </a:p>
        <a:p>
          <a:r>
            <a:rPr lang="sv-SE" sz="1100" baseline="0"/>
            <a:t> - Somewhat lower emissions from feed production in this study</a:t>
          </a:r>
        </a:p>
        <a:p>
          <a:r>
            <a:rPr lang="sv-SE" sz="1100" baseline="0"/>
            <a:t> - This study includes edible offal as an output and allocates the same emissions to offal as meat</a:t>
          </a:r>
        </a:p>
        <a:p>
          <a:r>
            <a:rPr lang="sv-SE" sz="1100" baseline="0"/>
            <a:t>  - Adjusting for N in manure, hence assuming that all manure is used in livestock production and none on crops for human consumption</a:t>
          </a:r>
        </a:p>
        <a:p>
          <a:r>
            <a:rPr lang="sv-SE" sz="1100" baseline="0">
              <a:solidFill>
                <a:schemeClr val="tx1"/>
              </a:solidFill>
              <a:effectLst/>
              <a:latin typeface="+mn-lt"/>
              <a:ea typeface="+mn-ea"/>
              <a:cs typeface="+mn-cs"/>
            </a:rPr>
            <a:t>  - Use of AR6 GWP factors instead of AR4-factors</a:t>
          </a:r>
          <a:endParaRPr lang="sv-SE" sz="1100" baseline="0"/>
        </a:p>
      </xdr:txBody>
    </xdr:sp>
    <xdr:clientData/>
  </xdr:oneCellAnchor>
  <xdr:twoCellAnchor editAs="oneCell">
    <xdr:from>
      <xdr:col>0</xdr:col>
      <xdr:colOff>99060</xdr:colOff>
      <xdr:row>42</xdr:row>
      <xdr:rowOff>30480</xdr:rowOff>
    </xdr:from>
    <xdr:to>
      <xdr:col>8</xdr:col>
      <xdr:colOff>280590</xdr:colOff>
      <xdr:row>67</xdr:row>
      <xdr:rowOff>44712</xdr:rowOff>
    </xdr:to>
    <xdr:pic>
      <xdr:nvPicPr>
        <xdr:cNvPr id="5" name="Picture 4">
          <a:extLst>
            <a:ext uri="{FF2B5EF4-FFF2-40B4-BE49-F238E27FC236}">
              <a16:creationId xmlns:a16="http://schemas.microsoft.com/office/drawing/2014/main" id="{3E7F03EF-0C91-EC61-DF30-FAFA72909733}"/>
            </a:ext>
          </a:extLst>
        </xdr:cNvPr>
        <xdr:cNvPicPr>
          <a:picLocks noChangeAspect="1"/>
        </xdr:cNvPicPr>
      </xdr:nvPicPr>
      <xdr:blipFill>
        <a:blip xmlns:r="http://schemas.openxmlformats.org/officeDocument/2006/relationships" r:embed="rId2"/>
        <a:stretch>
          <a:fillRect/>
        </a:stretch>
      </xdr:blipFill>
      <xdr:spPr>
        <a:xfrm>
          <a:off x="99060" y="6438900"/>
          <a:ext cx="6658530" cy="45862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106</xdr:row>
      <xdr:rowOff>27085</xdr:rowOff>
    </xdr:from>
    <xdr:to>
      <xdr:col>9</xdr:col>
      <xdr:colOff>840146</xdr:colOff>
      <xdr:row>133</xdr:row>
      <xdr:rowOff>112057</xdr:rowOff>
    </xdr:to>
    <xdr:pic>
      <xdr:nvPicPr>
        <xdr:cNvPr id="2" name="Picture 1">
          <a:extLst>
            <a:ext uri="{FF2B5EF4-FFF2-40B4-BE49-F238E27FC236}">
              <a16:creationId xmlns:a16="http://schemas.microsoft.com/office/drawing/2014/main" id="{ECA9B24E-9EAB-2EBF-ED6A-7D364A03634A}"/>
            </a:ext>
          </a:extLst>
        </xdr:cNvPr>
        <xdr:cNvPicPr>
          <a:picLocks noChangeAspect="1"/>
        </xdr:cNvPicPr>
      </xdr:nvPicPr>
      <xdr:blipFill>
        <a:blip xmlns:r="http://schemas.openxmlformats.org/officeDocument/2006/relationships" r:embed="rId1"/>
        <a:stretch>
          <a:fillRect/>
        </a:stretch>
      </xdr:blipFill>
      <xdr:spPr>
        <a:xfrm>
          <a:off x="0" y="20914850"/>
          <a:ext cx="9009234" cy="492591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12</xdr:col>
      <xdr:colOff>523873</xdr:colOff>
      <xdr:row>27</xdr:row>
      <xdr:rowOff>11905</xdr:rowOff>
    </xdr:from>
    <xdr:ext cx="3917157" cy="1202532"/>
    <xdr:sp macro="" textlink="">
      <xdr:nvSpPr>
        <xdr:cNvPr id="2" name="TextBox 1">
          <a:extLst>
            <a:ext uri="{FF2B5EF4-FFF2-40B4-BE49-F238E27FC236}">
              <a16:creationId xmlns:a16="http://schemas.microsoft.com/office/drawing/2014/main" id="{F37AF319-9F17-4026-B64C-4088E24F6C4E}"/>
            </a:ext>
          </a:extLst>
        </xdr:cNvPr>
        <xdr:cNvSpPr txBox="1"/>
      </xdr:nvSpPr>
      <xdr:spPr>
        <a:xfrm>
          <a:off x="17510758" y="848200"/>
          <a:ext cx="3917157" cy="1202532"/>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sv-SE" sz="1100"/>
            <a:t>Products “at plant”: the environmental impact of processed feed materials until processing gate. Environmental impact of processed products includes the impact of cultivation of raw materials, sourcing from different countries, energy and auxiliary material use at processing and waste.</a:t>
          </a:r>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svelantbruksuniversitet-my.sharepoint.com/personal/elin_roos_slu_se/Documents/Dokument/SLU/Projekt%2042%20-%20Plan'eat/WP3/Input%20files/Crops%20Brazil.xlsx" TargetMode="External"/><Relationship Id="rId1" Type="http://schemas.openxmlformats.org/officeDocument/2006/relationships/externalLinkPath" Target="/personal/elin_roos_slu_se/Documents/Dokument/SLU/Projekt%2042%20-%20Plan'eat/WP3/Input%20files/Crops%20Brazi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ME"/>
      <sheetName val="Footprints, results per kg"/>
      <sheetName val="Crops, input data per ha"/>
      <sheetName val="Crops CO2e"/>
      <sheetName val="Crops CO2"/>
      <sheetName val="Crops CH4, fossil"/>
      <sheetName val="Crops CH4, bio"/>
      <sheetName val="Crops N2O"/>
      <sheetName val="Energy"/>
      <sheetName val="Emission factors"/>
      <sheetName val="CF climate"/>
      <sheetName val="Reference list"/>
    </sheetNames>
    <sheetDataSet>
      <sheetData sheetId="0" refreshError="1"/>
      <sheetData sheetId="1" refreshError="1"/>
      <sheetData sheetId="2" refreshError="1">
        <row r="6">
          <cell r="A6" t="str">
            <v>01371</v>
          </cell>
          <cell r="B6" t="str">
            <v>Almonds, in shell</v>
          </cell>
          <cell r="C6" t="str">
            <v>Nuts</v>
          </cell>
          <cell r="D6" t="str">
            <v>No</v>
          </cell>
          <cell r="G6">
            <v>114</v>
          </cell>
          <cell r="I6">
            <v>0</v>
          </cell>
          <cell r="J6">
            <v>0</v>
          </cell>
          <cell r="K6">
            <v>450</v>
          </cell>
          <cell r="L6">
            <v>537.25699999999995</v>
          </cell>
          <cell r="M6">
            <v>0</v>
          </cell>
          <cell r="N6">
            <v>0.14299999999999999</v>
          </cell>
          <cell r="O6">
            <v>1.6E-2</v>
          </cell>
          <cell r="P6">
            <v>1</v>
          </cell>
          <cell r="Q6">
            <v>0.22</v>
          </cell>
          <cell r="R6">
            <v>8.9999999999999993E-3</v>
          </cell>
          <cell r="S6">
            <v>0.85</v>
          </cell>
          <cell r="T6">
            <v>1</v>
          </cell>
          <cell r="U6">
            <v>3.7738174209626004E-12</v>
          </cell>
          <cell r="V6">
            <v>2.5819413353737599E-12</v>
          </cell>
          <cell r="W6">
            <v>3.8726446962259297E-12</v>
          </cell>
          <cell r="X6">
            <v>7.3859179387853007E-12</v>
          </cell>
          <cell r="Y6">
            <v>6.7025422877374503E-10</v>
          </cell>
        </row>
        <row r="7">
          <cell r="A7" t="str">
            <v>01654</v>
          </cell>
          <cell r="B7" t="str">
            <v>Anise, badian, coriander, cumin, caraway, fennel and juniper berries, raw</v>
          </cell>
          <cell r="C7" t="str">
            <v>Vegetables</v>
          </cell>
          <cell r="D7" t="str">
            <v>No</v>
          </cell>
          <cell r="G7">
            <v>121</v>
          </cell>
          <cell r="I7">
            <v>0</v>
          </cell>
          <cell r="J7">
            <v>21</v>
          </cell>
          <cell r="K7">
            <v>140</v>
          </cell>
          <cell r="L7">
            <v>2081.5229999999997</v>
          </cell>
          <cell r="M7">
            <v>0</v>
          </cell>
          <cell r="N7">
            <v>0.14299999999999999</v>
          </cell>
          <cell r="O7">
            <v>8.0000000000000002E-3</v>
          </cell>
          <cell r="P7">
            <v>1</v>
          </cell>
          <cell r="Q7">
            <v>0.22</v>
          </cell>
          <cell r="R7">
            <v>8.9999999999999993E-3</v>
          </cell>
          <cell r="S7">
            <v>0.85</v>
          </cell>
          <cell r="T7">
            <v>1</v>
          </cell>
          <cell r="U7">
            <v>3.7738174209626004E-12</v>
          </cell>
          <cell r="V7">
            <v>2.5819413353737599E-12</v>
          </cell>
          <cell r="W7">
            <v>3.8726446962259297E-12</v>
          </cell>
          <cell r="X7">
            <v>7.3859179387853007E-12</v>
          </cell>
          <cell r="Y7">
            <v>6.7025422877374503E-10</v>
          </cell>
        </row>
        <row r="8">
          <cell r="A8" t="str">
            <v>01341</v>
          </cell>
          <cell r="B8" t="str">
            <v>Apples</v>
          </cell>
          <cell r="C8" t="str">
            <v>Fruits</v>
          </cell>
          <cell r="D8" t="str">
            <v>No</v>
          </cell>
          <cell r="G8">
            <v>0</v>
          </cell>
          <cell r="I8">
            <v>0</v>
          </cell>
          <cell r="J8">
            <v>0</v>
          </cell>
          <cell r="K8">
            <v>450</v>
          </cell>
          <cell r="L8">
            <v>3220.7402399999996</v>
          </cell>
          <cell r="M8">
            <v>0</v>
          </cell>
          <cell r="N8">
            <v>0.14299999999999999</v>
          </cell>
          <cell r="O8">
            <v>8.0000000000000002E-3</v>
          </cell>
          <cell r="P8">
            <v>1</v>
          </cell>
          <cell r="Q8">
            <v>0.22</v>
          </cell>
          <cell r="R8">
            <v>8.9999999999999993E-3</v>
          </cell>
          <cell r="S8">
            <v>0.85</v>
          </cell>
          <cell r="T8">
            <v>1</v>
          </cell>
          <cell r="U8">
            <v>3.7738174209626004E-12</v>
          </cell>
          <cell r="V8">
            <v>2.5819413353737599E-12</v>
          </cell>
          <cell r="W8">
            <v>3.8726446962259297E-12</v>
          </cell>
          <cell r="X8">
            <v>7.3859179387853007E-12</v>
          </cell>
          <cell r="Y8">
            <v>6.7025422877374503E-10</v>
          </cell>
        </row>
        <row r="9">
          <cell r="A9" t="str">
            <v>01343</v>
          </cell>
          <cell r="B9" t="str">
            <v>Apricots</v>
          </cell>
          <cell r="C9" t="str">
            <v>Fruits</v>
          </cell>
          <cell r="D9" t="str">
            <v>No</v>
          </cell>
          <cell r="G9">
            <v>0</v>
          </cell>
          <cell r="I9">
            <v>0</v>
          </cell>
          <cell r="J9">
            <v>0</v>
          </cell>
          <cell r="K9">
            <v>450</v>
          </cell>
          <cell r="L9">
            <v>2019.7212199999999</v>
          </cell>
          <cell r="M9">
            <v>0</v>
          </cell>
          <cell r="N9">
            <v>0.14299999999999999</v>
          </cell>
          <cell r="O9">
            <v>8.0000000000000002E-3</v>
          </cell>
          <cell r="P9">
            <v>1</v>
          </cell>
          <cell r="Q9">
            <v>0.22</v>
          </cell>
          <cell r="R9">
            <v>8.9999999999999993E-3</v>
          </cell>
          <cell r="S9">
            <v>0.85</v>
          </cell>
          <cell r="T9">
            <v>1</v>
          </cell>
          <cell r="U9">
            <v>3.7738174209626004E-12</v>
          </cell>
          <cell r="V9">
            <v>2.5819413353737599E-12</v>
          </cell>
          <cell r="W9">
            <v>3.8726446962259297E-12</v>
          </cell>
          <cell r="X9">
            <v>7.3859179387853007E-12</v>
          </cell>
          <cell r="Y9">
            <v>6.7025422877374503E-10</v>
          </cell>
        </row>
        <row r="10">
          <cell r="A10" t="str">
            <v>01216</v>
          </cell>
          <cell r="B10" t="str">
            <v>Artichokes</v>
          </cell>
          <cell r="C10" t="str">
            <v>Vegetables</v>
          </cell>
          <cell r="D10" t="str">
            <v>No</v>
          </cell>
          <cell r="G10">
            <v>0</v>
          </cell>
          <cell r="I10">
            <v>0</v>
          </cell>
          <cell r="J10">
            <v>0</v>
          </cell>
          <cell r="K10">
            <v>140</v>
          </cell>
          <cell r="L10">
            <v>1071.7583800000002</v>
          </cell>
          <cell r="M10">
            <v>0</v>
          </cell>
          <cell r="N10">
            <v>0.14299999999999999</v>
          </cell>
          <cell r="O10">
            <v>8.0000000000000002E-3</v>
          </cell>
          <cell r="P10">
            <v>1</v>
          </cell>
          <cell r="Q10">
            <v>0.22</v>
          </cell>
          <cell r="R10">
            <v>8.9999999999999993E-3</v>
          </cell>
          <cell r="S10">
            <v>0.85</v>
          </cell>
          <cell r="T10">
            <v>1</v>
          </cell>
          <cell r="U10">
            <v>3.7738174209626004E-12</v>
          </cell>
          <cell r="V10">
            <v>2.5819413353737599E-12</v>
          </cell>
          <cell r="W10">
            <v>3.8726446962259297E-12</v>
          </cell>
          <cell r="X10">
            <v>7.3859179387853007E-12</v>
          </cell>
          <cell r="Y10">
            <v>6.7025422877374503E-10</v>
          </cell>
        </row>
        <row r="11">
          <cell r="A11" t="str">
            <v>01211</v>
          </cell>
          <cell r="B11" t="str">
            <v>Asparagus</v>
          </cell>
          <cell r="C11" t="str">
            <v>Vegetables</v>
          </cell>
          <cell r="D11" t="str">
            <v>No</v>
          </cell>
          <cell r="G11">
            <v>0</v>
          </cell>
          <cell r="I11">
            <v>0</v>
          </cell>
          <cell r="J11">
            <v>0</v>
          </cell>
          <cell r="K11">
            <v>140</v>
          </cell>
          <cell r="L11">
            <v>351.54041999999998</v>
          </cell>
          <cell r="M11">
            <v>0</v>
          </cell>
          <cell r="N11">
            <v>0.14299999999999999</v>
          </cell>
          <cell r="O11">
            <v>8.0000000000000002E-3</v>
          </cell>
          <cell r="P11">
            <v>1</v>
          </cell>
          <cell r="Q11">
            <v>0.22</v>
          </cell>
          <cell r="R11">
            <v>8.9999999999999993E-3</v>
          </cell>
          <cell r="S11">
            <v>0.85</v>
          </cell>
          <cell r="T11">
            <v>1</v>
          </cell>
          <cell r="U11">
            <v>3.7738174209626004E-12</v>
          </cell>
          <cell r="V11">
            <v>2.5819413353737599E-12</v>
          </cell>
          <cell r="W11">
            <v>3.8726446962259297E-12</v>
          </cell>
          <cell r="X11">
            <v>7.3859179387853007E-12</v>
          </cell>
          <cell r="Y11">
            <v>6.7025422877374503E-10</v>
          </cell>
        </row>
        <row r="12">
          <cell r="A12" t="str">
            <v>01311</v>
          </cell>
          <cell r="B12" t="str">
            <v>Avocados</v>
          </cell>
          <cell r="C12" t="str">
            <v>Vegetables</v>
          </cell>
          <cell r="D12" t="str">
            <v>No</v>
          </cell>
          <cell r="G12">
            <v>136</v>
          </cell>
          <cell r="I12">
            <v>0</v>
          </cell>
          <cell r="J12">
            <v>77</v>
          </cell>
          <cell r="K12">
            <v>140</v>
          </cell>
          <cell r="L12">
            <v>537.19666000000007</v>
          </cell>
          <cell r="M12">
            <v>0</v>
          </cell>
          <cell r="N12">
            <v>0.14299999999999999</v>
          </cell>
          <cell r="O12">
            <v>8.0000000000000002E-3</v>
          </cell>
          <cell r="P12">
            <v>1</v>
          </cell>
          <cell r="Q12">
            <v>0.22</v>
          </cell>
          <cell r="R12">
            <v>8.9999999999999993E-3</v>
          </cell>
          <cell r="S12">
            <v>0.85</v>
          </cell>
          <cell r="T12">
            <v>1</v>
          </cell>
          <cell r="U12">
            <v>3.7738174209626004E-12</v>
          </cell>
          <cell r="V12">
            <v>2.5819413353737599E-12</v>
          </cell>
          <cell r="W12">
            <v>3.8726446962259297E-12</v>
          </cell>
          <cell r="X12">
            <v>7.3859179387853007E-12</v>
          </cell>
          <cell r="Y12">
            <v>6.7025422877374503E-10</v>
          </cell>
        </row>
        <row r="13">
          <cell r="A13" t="str">
            <v>01312</v>
          </cell>
          <cell r="B13" t="str">
            <v>Bananas</v>
          </cell>
          <cell r="C13" t="str">
            <v>Fruits</v>
          </cell>
          <cell r="D13" t="str">
            <v>No</v>
          </cell>
          <cell r="G13">
            <v>44</v>
          </cell>
          <cell r="I13">
            <v>0</v>
          </cell>
          <cell r="J13">
            <v>0</v>
          </cell>
          <cell r="K13">
            <v>450</v>
          </cell>
          <cell r="L13">
            <v>5018.6124800000007</v>
          </cell>
          <cell r="M13">
            <v>0</v>
          </cell>
          <cell r="N13">
            <v>0.14299999999999999</v>
          </cell>
          <cell r="O13">
            <v>8.0000000000000002E-3</v>
          </cell>
          <cell r="P13">
            <v>1</v>
          </cell>
          <cell r="Q13">
            <v>0.22</v>
          </cell>
          <cell r="R13">
            <v>8.9999999999999993E-3</v>
          </cell>
          <cell r="S13">
            <v>0.85</v>
          </cell>
          <cell r="T13">
            <v>1</v>
          </cell>
          <cell r="U13">
            <v>3.7738174209626004E-12</v>
          </cell>
          <cell r="V13">
            <v>2.5819413353737599E-12</v>
          </cell>
          <cell r="W13">
            <v>3.8726446962259297E-12</v>
          </cell>
          <cell r="X13">
            <v>7.3859179387853007E-12</v>
          </cell>
          <cell r="Y13">
            <v>6.7025422877374503E-10</v>
          </cell>
        </row>
        <row r="14">
          <cell r="A14" t="str">
            <v>0115</v>
          </cell>
          <cell r="B14" t="str">
            <v>Barley, average</v>
          </cell>
          <cell r="C14" t="str">
            <v>Cereals, incl feed</v>
          </cell>
          <cell r="D14" t="str">
            <v>No</v>
          </cell>
          <cell r="G14">
            <v>0</v>
          </cell>
          <cell r="I14">
            <v>58</v>
          </cell>
          <cell r="J14">
            <v>0</v>
          </cell>
          <cell r="K14">
            <v>70</v>
          </cell>
          <cell r="L14">
            <v>256.88123999999999</v>
          </cell>
          <cell r="M14">
            <v>0</v>
          </cell>
          <cell r="N14">
            <v>0.112</v>
          </cell>
          <cell r="O14">
            <v>7.0000000000000001E-3</v>
          </cell>
          <cell r="P14">
            <v>1.2</v>
          </cell>
          <cell r="Q14">
            <v>0.22</v>
          </cell>
          <cell r="R14">
            <v>1.4E-2</v>
          </cell>
          <cell r="S14">
            <v>0.89</v>
          </cell>
          <cell r="T14">
            <v>1</v>
          </cell>
          <cell r="U14">
            <v>3.7738174209626004E-12</v>
          </cell>
          <cell r="V14">
            <v>2.5819413353737599E-12</v>
          </cell>
          <cell r="W14">
            <v>3.8726446962259297E-12</v>
          </cell>
          <cell r="X14">
            <v>7.3859179387853007E-12</v>
          </cell>
          <cell r="Y14">
            <v>6.7025422877374503E-10</v>
          </cell>
        </row>
        <row r="15">
          <cell r="A15" t="str">
            <v>0115_s</v>
          </cell>
          <cell r="B15" t="str">
            <v>Barley, spring</v>
          </cell>
          <cell r="C15" t="str">
            <v>Cereals</v>
          </cell>
          <cell r="D15" t="str">
            <v>No</v>
          </cell>
        </row>
        <row r="16">
          <cell r="A16" t="str">
            <v>0115_w</v>
          </cell>
          <cell r="B16" t="str">
            <v>Barley, winter</v>
          </cell>
          <cell r="C16" t="str">
            <v>Cereals</v>
          </cell>
          <cell r="D16" t="str">
            <v>No</v>
          </cell>
        </row>
        <row r="17">
          <cell r="A17" t="str">
            <v>01701</v>
          </cell>
          <cell r="B17" t="str">
            <v>Beans, dry</v>
          </cell>
          <cell r="C17" t="str">
            <v>Pulses</v>
          </cell>
          <cell r="D17" t="str">
            <v>No</v>
          </cell>
          <cell r="G17">
            <v>0</v>
          </cell>
          <cell r="H17">
            <v>25</v>
          </cell>
          <cell r="I17">
            <v>0</v>
          </cell>
          <cell r="J17">
            <v>0</v>
          </cell>
          <cell r="K17">
            <v>65</v>
          </cell>
          <cell r="L17">
            <v>402.65129999999999</v>
          </cell>
          <cell r="M17">
            <v>0</v>
          </cell>
          <cell r="N17">
            <v>2.1999999999999999E-2</v>
          </cell>
          <cell r="O17">
            <v>8.0000000000000002E-3</v>
          </cell>
          <cell r="P17">
            <v>2.1</v>
          </cell>
          <cell r="Q17">
            <v>0.19</v>
          </cell>
          <cell r="R17">
            <v>8.0000000000000002E-3</v>
          </cell>
          <cell r="S17">
            <v>0.91</v>
          </cell>
          <cell r="T17">
            <v>1</v>
          </cell>
          <cell r="U17">
            <v>3.7738174209626004E-12</v>
          </cell>
          <cell r="V17">
            <v>2.5819413353737599E-12</v>
          </cell>
          <cell r="W17">
            <v>3.8726446962259297E-12</v>
          </cell>
          <cell r="X17">
            <v>7.3859179387853007E-12</v>
          </cell>
          <cell r="Y17">
            <v>6.7025422877374503E-10</v>
          </cell>
        </row>
        <row r="18">
          <cell r="A18" t="str">
            <v>01355.01</v>
          </cell>
          <cell r="B18" t="str">
            <v>Blueberries</v>
          </cell>
          <cell r="C18" t="str">
            <v>Berries</v>
          </cell>
          <cell r="D18" t="str">
            <v>No</v>
          </cell>
          <cell r="G18">
            <v>0</v>
          </cell>
          <cell r="I18">
            <v>0</v>
          </cell>
          <cell r="J18">
            <v>0</v>
          </cell>
          <cell r="K18">
            <v>300</v>
          </cell>
          <cell r="L18">
            <v>934.97712000000001</v>
          </cell>
          <cell r="M18">
            <v>0</v>
          </cell>
          <cell r="N18">
            <v>0.14299999999999999</v>
          </cell>
          <cell r="O18">
            <v>8.0000000000000002E-3</v>
          </cell>
          <cell r="P18">
            <v>1</v>
          </cell>
          <cell r="Q18">
            <v>0.22</v>
          </cell>
          <cell r="R18">
            <v>8.9999999999999993E-3</v>
          </cell>
          <cell r="S18">
            <v>0.85</v>
          </cell>
          <cell r="T18">
            <v>1</v>
          </cell>
          <cell r="U18">
            <v>3.7738174209626004E-12</v>
          </cell>
          <cell r="V18">
            <v>2.5819413353737599E-12</v>
          </cell>
          <cell r="W18">
            <v>3.8726446962259297E-12</v>
          </cell>
          <cell r="X18">
            <v>7.3859179387853007E-12</v>
          </cell>
          <cell r="Y18">
            <v>6.7025422877374503E-10</v>
          </cell>
        </row>
        <row r="19">
          <cell r="A19" t="str">
            <v>01377</v>
          </cell>
          <cell r="B19" t="str">
            <v>Brazil nuts, in shell</v>
          </cell>
          <cell r="C19" t="str">
            <v>Nuts</v>
          </cell>
          <cell r="D19" t="str">
            <v>No</v>
          </cell>
        </row>
        <row r="20">
          <cell r="A20" t="str">
            <v>01702</v>
          </cell>
          <cell r="B20" t="str">
            <v>Broad beans and horse beans, dry</v>
          </cell>
          <cell r="C20" t="str">
            <v>Pulses, incl feed</v>
          </cell>
          <cell r="D20" t="str">
            <v>No</v>
          </cell>
          <cell r="G20">
            <v>0</v>
          </cell>
          <cell r="H20">
            <v>24</v>
          </cell>
          <cell r="I20">
            <v>0</v>
          </cell>
          <cell r="J20">
            <v>0</v>
          </cell>
          <cell r="K20">
            <v>63.2</v>
          </cell>
          <cell r="L20">
            <v>272.98758000000004</v>
          </cell>
          <cell r="M20">
            <v>0</v>
          </cell>
          <cell r="N20">
            <v>2.1999999999999999E-2</v>
          </cell>
          <cell r="O20">
            <v>8.0000000000000002E-3</v>
          </cell>
          <cell r="P20">
            <v>2.1</v>
          </cell>
          <cell r="Q20">
            <v>0.19</v>
          </cell>
          <cell r="R20">
            <v>8.0000000000000002E-3</v>
          </cell>
          <cell r="S20">
            <v>0.91</v>
          </cell>
          <cell r="T20">
            <v>1</v>
          </cell>
          <cell r="U20">
            <v>3.7738174209626004E-12</v>
          </cell>
          <cell r="V20">
            <v>2.5819413353737599E-12</v>
          </cell>
          <cell r="W20">
            <v>3.8726446962259297E-12</v>
          </cell>
          <cell r="X20">
            <v>7.3859179387853007E-12</v>
          </cell>
          <cell r="Y20">
            <v>6.7025422877374503E-10</v>
          </cell>
        </row>
        <row r="21">
          <cell r="A21" t="str">
            <v>01243</v>
          </cell>
          <cell r="B21" t="str">
            <v>Broad beans and horse beans, green</v>
          </cell>
          <cell r="C21" t="str">
            <v>Vegetables</v>
          </cell>
          <cell r="D21" t="str">
            <v>No</v>
          </cell>
          <cell r="G21">
            <v>0</v>
          </cell>
          <cell r="H21">
            <v>24</v>
          </cell>
          <cell r="I21">
            <v>0</v>
          </cell>
          <cell r="J21">
            <v>0</v>
          </cell>
          <cell r="K21">
            <v>140</v>
          </cell>
          <cell r="L21">
            <v>1825.9602399999999</v>
          </cell>
          <cell r="M21">
            <v>0</v>
          </cell>
          <cell r="N21">
            <v>0.14299999999999999</v>
          </cell>
          <cell r="O21">
            <v>8.0000000000000002E-3</v>
          </cell>
          <cell r="P21">
            <v>1</v>
          </cell>
          <cell r="Q21">
            <v>0.22</v>
          </cell>
          <cell r="R21">
            <v>8.9999999999999993E-3</v>
          </cell>
          <cell r="S21">
            <v>0.85</v>
          </cell>
          <cell r="T21">
            <v>1</v>
          </cell>
          <cell r="U21">
            <v>3.7738174209626004E-12</v>
          </cell>
          <cell r="V21">
            <v>2.5819413353737599E-12</v>
          </cell>
          <cell r="W21">
            <v>3.8726446962259297E-12</v>
          </cell>
          <cell r="X21">
            <v>7.3859179387853007E-12</v>
          </cell>
          <cell r="Y21">
            <v>6.7025422877374503E-10</v>
          </cell>
        </row>
        <row r="22">
          <cell r="A22" t="str">
            <v>01213_b</v>
          </cell>
          <cell r="B22" t="str">
            <v>Broccoli</v>
          </cell>
          <cell r="C22" t="str">
            <v>Vegetables</v>
          </cell>
          <cell r="D22" t="str">
            <v>No</v>
          </cell>
        </row>
        <row r="23">
          <cell r="A23" t="str">
            <v>01192</v>
          </cell>
          <cell r="B23" t="str">
            <v>Buckwheat</v>
          </cell>
          <cell r="C23" t="str">
            <v>Seeds</v>
          </cell>
          <cell r="D23" t="str">
            <v>No</v>
          </cell>
        </row>
        <row r="24">
          <cell r="A24" t="str">
            <v>01212</v>
          </cell>
          <cell r="B24" t="str">
            <v>Cabbages</v>
          </cell>
          <cell r="C24" t="str">
            <v>Vegetables</v>
          </cell>
          <cell r="D24" t="str">
            <v>No</v>
          </cell>
          <cell r="G24">
            <v>0</v>
          </cell>
          <cell r="I24">
            <v>0</v>
          </cell>
          <cell r="J24">
            <v>0</v>
          </cell>
          <cell r="K24">
            <v>140</v>
          </cell>
          <cell r="L24">
            <v>2079.0554400000001</v>
          </cell>
          <cell r="M24">
            <v>0</v>
          </cell>
          <cell r="N24">
            <v>0.14299999999999999</v>
          </cell>
          <cell r="O24">
            <v>8.0000000000000002E-3</v>
          </cell>
          <cell r="P24">
            <v>1</v>
          </cell>
          <cell r="Q24">
            <v>0.22</v>
          </cell>
          <cell r="R24">
            <v>8.9999999999999993E-3</v>
          </cell>
          <cell r="S24">
            <v>0.85</v>
          </cell>
          <cell r="T24">
            <v>1</v>
          </cell>
          <cell r="U24">
            <v>3.7738174209626004E-12</v>
          </cell>
          <cell r="V24">
            <v>2.5819413353737599E-12</v>
          </cell>
          <cell r="W24">
            <v>3.8726446962259297E-12</v>
          </cell>
          <cell r="X24">
            <v>7.3859179387853007E-12</v>
          </cell>
          <cell r="Y24">
            <v>6.7025422877374503E-10</v>
          </cell>
        </row>
        <row r="25">
          <cell r="A25" t="str">
            <v>01229</v>
          </cell>
          <cell r="B25" t="str">
            <v>Cantaloupes and other melons</v>
          </cell>
          <cell r="C25" t="str">
            <v>Fruits</v>
          </cell>
          <cell r="D25" t="str">
            <v>Yes</v>
          </cell>
          <cell r="F25">
            <v>25162.959999999999</v>
          </cell>
          <cell r="G25">
            <v>135</v>
          </cell>
          <cell r="I25">
            <v>231.33818905599998</v>
          </cell>
          <cell r="J25">
            <v>49</v>
          </cell>
          <cell r="K25">
            <v>450</v>
          </cell>
          <cell r="L25">
            <v>830.37767999999994</v>
          </cell>
          <cell r="M25">
            <v>13.458138639894823</v>
          </cell>
          <cell r="N25">
            <v>0.14299999999999999</v>
          </cell>
          <cell r="O25">
            <v>8.0000000000000002E-3</v>
          </cell>
          <cell r="P25">
            <v>1</v>
          </cell>
          <cell r="Q25">
            <v>0.22</v>
          </cell>
          <cell r="R25">
            <v>8.9999999999999993E-3</v>
          </cell>
          <cell r="S25">
            <v>0.85</v>
          </cell>
          <cell r="T25">
            <v>1</v>
          </cell>
          <cell r="U25">
            <v>1.0040933916203999E-11</v>
          </cell>
          <cell r="V25">
            <v>1.5382109589240001E-11</v>
          </cell>
          <cell r="W25">
            <v>2.1977455618085499E-11</v>
          </cell>
          <cell r="X25">
            <v>1.14038353262019E-12</v>
          </cell>
          <cell r="Y25">
            <v>1.19148547693904E-10</v>
          </cell>
          <cell r="Z25">
            <v>1.869588449214089E-2</v>
          </cell>
        </row>
        <row r="26">
          <cell r="A26" t="str">
            <v>01251</v>
          </cell>
          <cell r="B26" t="str">
            <v>Carrots and turnips</v>
          </cell>
          <cell r="C26" t="str">
            <v>Vegetables</v>
          </cell>
          <cell r="D26" t="str">
            <v>No</v>
          </cell>
          <cell r="G26">
            <v>0</v>
          </cell>
          <cell r="I26">
            <v>0</v>
          </cell>
          <cell r="J26">
            <v>0</v>
          </cell>
          <cell r="K26">
            <v>140</v>
          </cell>
          <cell r="L26">
            <v>4499.1916200000005</v>
          </cell>
          <cell r="M26">
            <v>0</v>
          </cell>
          <cell r="N26">
            <v>0.01</v>
          </cell>
          <cell r="O26">
            <v>1.9E-2</v>
          </cell>
          <cell r="P26">
            <v>0.4</v>
          </cell>
          <cell r="Q26">
            <v>0.2</v>
          </cell>
          <cell r="R26">
            <v>1.4E-2</v>
          </cell>
          <cell r="S26">
            <v>0.22</v>
          </cell>
          <cell r="T26">
            <v>1</v>
          </cell>
          <cell r="U26">
            <v>3.7738174209626004E-12</v>
          </cell>
          <cell r="V26">
            <v>2.5819413353737599E-12</v>
          </cell>
          <cell r="W26">
            <v>3.8726446962259297E-12</v>
          </cell>
          <cell r="X26">
            <v>7.3859179387853007E-12</v>
          </cell>
          <cell r="Y26">
            <v>6.7025422877374503E-10</v>
          </cell>
        </row>
        <row r="27">
          <cell r="A27" t="str">
            <v>01372</v>
          </cell>
          <cell r="B27" t="str">
            <v>Cashew nuts, in shell</v>
          </cell>
          <cell r="C27" t="str">
            <v>Nuts</v>
          </cell>
          <cell r="D27" t="str">
            <v>No</v>
          </cell>
        </row>
        <row r="28">
          <cell r="A28" t="str">
            <v>01213_cf</v>
          </cell>
          <cell r="B28" t="str">
            <v>Cauliflowers</v>
          </cell>
          <cell r="C28" t="str">
            <v>Vegetables</v>
          </cell>
          <cell r="D28" t="str">
            <v>No</v>
          </cell>
        </row>
        <row r="29">
          <cell r="A29" t="str">
            <v>01213</v>
          </cell>
          <cell r="B29" t="str">
            <v>Cauliflowers and broccoli, average</v>
          </cell>
          <cell r="C29" t="str">
            <v>Vegetables</v>
          </cell>
          <cell r="D29" t="str">
            <v>No</v>
          </cell>
          <cell r="G29">
            <v>0</v>
          </cell>
          <cell r="I29">
            <v>0</v>
          </cell>
          <cell r="J29">
            <v>0</v>
          </cell>
          <cell r="K29">
            <v>140</v>
          </cell>
          <cell r="L29">
            <v>1373.29654</v>
          </cell>
          <cell r="M29">
            <v>0</v>
          </cell>
          <cell r="N29">
            <v>0.14299999999999999</v>
          </cell>
          <cell r="O29">
            <v>8.0000000000000002E-3</v>
          </cell>
          <cell r="P29">
            <v>1</v>
          </cell>
          <cell r="Q29">
            <v>0.22</v>
          </cell>
          <cell r="R29">
            <v>8.9999999999999993E-3</v>
          </cell>
          <cell r="S29">
            <v>0.85</v>
          </cell>
          <cell r="T29">
            <v>1</v>
          </cell>
          <cell r="U29">
            <v>3.7738174209626004E-12</v>
          </cell>
          <cell r="V29">
            <v>2.5819413353737599E-12</v>
          </cell>
          <cell r="W29">
            <v>3.8726446962259297E-12</v>
          </cell>
          <cell r="X29">
            <v>7.3859179387853007E-12</v>
          </cell>
          <cell r="Y29">
            <v>6.7025422877374503E-10</v>
          </cell>
        </row>
        <row r="30">
          <cell r="A30" t="str">
            <v>01199.90</v>
          </cell>
          <cell r="B30" t="str">
            <v>Cereals n.e.c.</v>
          </cell>
          <cell r="C30" t="str">
            <v>Cereals</v>
          </cell>
          <cell r="D30" t="str">
            <v>No</v>
          </cell>
          <cell r="G30">
            <v>88</v>
          </cell>
          <cell r="I30">
            <v>0</v>
          </cell>
          <cell r="J30">
            <v>30</v>
          </cell>
          <cell r="K30">
            <v>69</v>
          </cell>
          <cell r="L30">
            <v>2312.5902799999999</v>
          </cell>
          <cell r="M30">
            <v>0</v>
          </cell>
          <cell r="N30">
            <v>0.14299999999999999</v>
          </cell>
          <cell r="O30">
            <v>8.0000000000000002E-3</v>
          </cell>
          <cell r="P30">
            <v>1</v>
          </cell>
          <cell r="Q30">
            <v>0.22</v>
          </cell>
          <cell r="R30">
            <v>8.9999999999999993E-3</v>
          </cell>
          <cell r="S30">
            <v>0.85</v>
          </cell>
          <cell r="T30">
            <v>1</v>
          </cell>
          <cell r="U30">
            <v>3.7738174209626004E-12</v>
          </cell>
          <cell r="V30">
            <v>2.5819413353737599E-12</v>
          </cell>
          <cell r="W30">
            <v>3.8726446962259297E-12</v>
          </cell>
          <cell r="X30">
            <v>7.3859179387853007E-12</v>
          </cell>
          <cell r="Y30">
            <v>6.7025422877374503E-10</v>
          </cell>
        </row>
        <row r="31">
          <cell r="A31" t="str">
            <v>01344.02</v>
          </cell>
          <cell r="B31" t="str">
            <v>Cherries</v>
          </cell>
          <cell r="C31" t="str">
            <v>Berries</v>
          </cell>
          <cell r="D31" t="str">
            <v>No</v>
          </cell>
          <cell r="G31">
            <v>0</v>
          </cell>
          <cell r="I31">
            <v>0</v>
          </cell>
          <cell r="J31">
            <v>0</v>
          </cell>
          <cell r="K31">
            <v>300</v>
          </cell>
          <cell r="L31">
            <v>301.55202000000003</v>
          </cell>
          <cell r="M31">
            <v>0</v>
          </cell>
          <cell r="N31">
            <v>0.14299999999999999</v>
          </cell>
          <cell r="O31">
            <v>8.0000000000000002E-3</v>
          </cell>
          <cell r="P31">
            <v>1</v>
          </cell>
          <cell r="Q31">
            <v>0.22</v>
          </cell>
          <cell r="R31">
            <v>8.9999999999999993E-3</v>
          </cell>
          <cell r="S31">
            <v>0.85</v>
          </cell>
          <cell r="T31">
            <v>1</v>
          </cell>
          <cell r="U31">
            <v>3.7738174209626004E-12</v>
          </cell>
          <cell r="V31">
            <v>2.5819413353737599E-12</v>
          </cell>
          <cell r="W31">
            <v>3.8726446962259297E-12</v>
          </cell>
          <cell r="X31">
            <v>7.3859179387853007E-12</v>
          </cell>
          <cell r="Y31">
            <v>6.7025422877374503E-10</v>
          </cell>
        </row>
        <row r="32">
          <cell r="A32" t="str">
            <v>01373</v>
          </cell>
          <cell r="B32" t="str">
            <v>Chestnuts, in shell</v>
          </cell>
          <cell r="C32" t="str">
            <v>Nuts</v>
          </cell>
          <cell r="D32" t="str">
            <v>No</v>
          </cell>
          <cell r="G32">
            <v>0</v>
          </cell>
          <cell r="I32">
            <v>0</v>
          </cell>
          <cell r="J32">
            <v>0</v>
          </cell>
          <cell r="K32">
            <v>450</v>
          </cell>
          <cell r="L32">
            <v>4423.3006599999999</v>
          </cell>
          <cell r="M32">
            <v>0</v>
          </cell>
          <cell r="N32">
            <v>0.14299999999999999</v>
          </cell>
          <cell r="O32">
            <v>1.6E-2</v>
          </cell>
          <cell r="P32">
            <v>1</v>
          </cell>
          <cell r="Q32">
            <v>0.22</v>
          </cell>
          <cell r="R32">
            <v>8.9999999999999993E-3</v>
          </cell>
          <cell r="S32">
            <v>0.85</v>
          </cell>
          <cell r="T32">
            <v>1</v>
          </cell>
          <cell r="U32">
            <v>3.7738174209626004E-12</v>
          </cell>
          <cell r="V32">
            <v>2.5819413353737599E-12</v>
          </cell>
          <cell r="W32">
            <v>3.8726446962259297E-12</v>
          </cell>
          <cell r="X32">
            <v>7.3859179387853007E-12</v>
          </cell>
          <cell r="Y32">
            <v>6.7025422877374503E-10</v>
          </cell>
        </row>
        <row r="33">
          <cell r="A33" t="str">
            <v>01703</v>
          </cell>
          <cell r="B33" t="str">
            <v>Chick peas, dry</v>
          </cell>
          <cell r="C33" t="str">
            <v>Pulses</v>
          </cell>
          <cell r="D33" t="str">
            <v>No</v>
          </cell>
          <cell r="G33">
            <v>0</v>
          </cell>
          <cell r="H33">
            <v>63</v>
          </cell>
          <cell r="I33">
            <v>0</v>
          </cell>
          <cell r="J33">
            <v>0</v>
          </cell>
          <cell r="K33">
            <v>63.2</v>
          </cell>
          <cell r="L33">
            <v>155.79849999999999</v>
          </cell>
          <cell r="M33">
            <v>0</v>
          </cell>
          <cell r="N33">
            <v>2.1999999999999999E-2</v>
          </cell>
          <cell r="O33">
            <v>8.0000000000000002E-3</v>
          </cell>
          <cell r="P33">
            <v>2.1</v>
          </cell>
          <cell r="Q33">
            <v>0.19</v>
          </cell>
          <cell r="R33">
            <v>8.0000000000000002E-3</v>
          </cell>
          <cell r="S33">
            <v>0.91</v>
          </cell>
          <cell r="T33">
            <v>1</v>
          </cell>
          <cell r="U33">
            <v>3.7738174209626004E-12</v>
          </cell>
          <cell r="V33">
            <v>2.5819413353737599E-12</v>
          </cell>
          <cell r="W33">
            <v>3.8726446962259297E-12</v>
          </cell>
          <cell r="X33">
            <v>7.3859179387853007E-12</v>
          </cell>
          <cell r="Y33">
            <v>6.7025422877374503E-10</v>
          </cell>
        </row>
        <row r="34">
          <cell r="A34" t="str">
            <v>01231</v>
          </cell>
          <cell r="B34" t="str">
            <v>Chillies and peppers, green (Capsicum spp. and Pimenta spp.), raw</v>
          </cell>
          <cell r="C34" t="str">
            <v>Spices</v>
          </cell>
          <cell r="D34" t="str">
            <v>No</v>
          </cell>
          <cell r="G34">
            <v>260</v>
          </cell>
          <cell r="I34">
            <v>0</v>
          </cell>
          <cell r="J34">
            <v>0</v>
          </cell>
          <cell r="K34">
            <v>140</v>
          </cell>
          <cell r="L34">
            <v>5011.8037199999999</v>
          </cell>
          <cell r="M34">
            <v>0</v>
          </cell>
          <cell r="N34">
            <v>0.14299999999999999</v>
          </cell>
          <cell r="O34">
            <v>8.0000000000000002E-3</v>
          </cell>
          <cell r="P34">
            <v>1</v>
          </cell>
          <cell r="Q34">
            <v>0.22</v>
          </cell>
          <cell r="R34">
            <v>8.9999999999999993E-3</v>
          </cell>
          <cell r="S34">
            <v>0.85</v>
          </cell>
          <cell r="T34">
            <v>1</v>
          </cell>
          <cell r="U34">
            <v>3.7738174209626004E-12</v>
          </cell>
          <cell r="V34">
            <v>2.5819413353737599E-12</v>
          </cell>
          <cell r="W34">
            <v>3.8726446962259297E-12</v>
          </cell>
          <cell r="X34">
            <v>7.3859179387853007E-12</v>
          </cell>
          <cell r="Y34">
            <v>6.7025422877374503E-10</v>
          </cell>
        </row>
        <row r="35">
          <cell r="A35" t="str">
            <v>01640</v>
          </cell>
          <cell r="B35" t="str">
            <v>Cocoa beans</v>
          </cell>
          <cell r="C35" t="str">
            <v>Stimulants</v>
          </cell>
          <cell r="D35" t="str">
            <v>No</v>
          </cell>
        </row>
        <row r="36">
          <cell r="A36" t="str">
            <v>01460</v>
          </cell>
          <cell r="B36" t="str">
            <v>Coconut, in shell</v>
          </cell>
          <cell r="C36" t="str">
            <v>Nuts</v>
          </cell>
          <cell r="D36" t="str">
            <v>No</v>
          </cell>
        </row>
        <row r="37">
          <cell r="A37" t="str">
            <v>01610</v>
          </cell>
          <cell r="B37" t="str">
            <v>Coffee, green</v>
          </cell>
          <cell r="C37" t="str">
            <v>Stimulants</v>
          </cell>
          <cell r="D37" t="str">
            <v>Yes</v>
          </cell>
          <cell r="F37">
            <v>1724.92</v>
          </cell>
          <cell r="G37">
            <v>80</v>
          </cell>
          <cell r="I37">
            <v>15.858224512</v>
          </cell>
          <cell r="J37">
            <v>50</v>
          </cell>
          <cell r="K37">
            <v>140</v>
          </cell>
          <cell r="L37">
            <v>312.21052000000003</v>
          </cell>
          <cell r="M37">
            <v>5.94</v>
          </cell>
          <cell r="N37">
            <v>0.14299999999999999</v>
          </cell>
          <cell r="O37">
            <v>8.0000000000000002E-3</v>
          </cell>
          <cell r="P37">
            <v>1</v>
          </cell>
          <cell r="Q37">
            <v>0.22</v>
          </cell>
          <cell r="R37">
            <v>8.9999999999999993E-3</v>
          </cell>
          <cell r="S37">
            <v>0.85</v>
          </cell>
          <cell r="T37">
            <v>1</v>
          </cell>
          <cell r="U37">
            <v>1.0040933916203999E-11</v>
          </cell>
          <cell r="V37">
            <v>1.5382109589240001E-11</v>
          </cell>
          <cell r="W37">
            <v>2.1977455618085499E-11</v>
          </cell>
          <cell r="X37">
            <v>1.14038353262019E-12</v>
          </cell>
          <cell r="Y37">
            <v>1.19148547693904E-10</v>
          </cell>
          <cell r="Z37">
            <v>0.20384677277211433</v>
          </cell>
        </row>
        <row r="38">
          <cell r="A38" t="str">
            <v>01232</v>
          </cell>
          <cell r="B38" t="str">
            <v>Cucumbers and gherkins, averrage</v>
          </cell>
          <cell r="C38" t="str">
            <v>Vegetables</v>
          </cell>
          <cell r="D38" t="str">
            <v>No</v>
          </cell>
          <cell r="E38">
            <v>100</v>
          </cell>
          <cell r="G38">
            <v>0</v>
          </cell>
          <cell r="I38">
            <v>0</v>
          </cell>
          <cell r="J38">
            <v>0</v>
          </cell>
          <cell r="K38">
            <v>7</v>
          </cell>
          <cell r="L38">
            <v>7229.1511600000003</v>
          </cell>
          <cell r="M38">
            <v>0</v>
          </cell>
          <cell r="N38">
            <v>0.14299999999999999</v>
          </cell>
          <cell r="O38">
            <v>8.0000000000000002E-3</v>
          </cell>
          <cell r="P38">
            <v>1</v>
          </cell>
          <cell r="Q38">
            <v>0.22</v>
          </cell>
          <cell r="R38">
            <v>8.9999999999999993E-3</v>
          </cell>
          <cell r="S38">
            <v>0.85</v>
          </cell>
          <cell r="T38">
            <v>1</v>
          </cell>
          <cell r="U38">
            <v>4.3152628010601102E-12</v>
          </cell>
          <cell r="V38">
            <v>2.9820702145484398E-12</v>
          </cell>
          <cell r="W38">
            <v>3.9945103972923203E-12</v>
          </cell>
          <cell r="X38">
            <v>8.5069857698406102E-12</v>
          </cell>
          <cell r="Y38">
            <v>7.80206488939318E-10</v>
          </cell>
        </row>
        <row r="39">
          <cell r="A39" t="str">
            <v>01232_gh</v>
          </cell>
          <cell r="B39" t="str">
            <v>Cucumbers and gherkins, greenhouse</v>
          </cell>
          <cell r="C39" t="str">
            <v>Vegetables</v>
          </cell>
          <cell r="D39" t="str">
            <v>No</v>
          </cell>
        </row>
        <row r="40">
          <cell r="A40" t="str">
            <v>01232_of</v>
          </cell>
          <cell r="B40" t="str">
            <v>Cucumbers and gherkins, openfield</v>
          </cell>
          <cell r="C40" t="str">
            <v>Vegetables</v>
          </cell>
          <cell r="D40" t="str">
            <v>No</v>
          </cell>
        </row>
        <row r="41">
          <cell r="A41" t="str">
            <v>01351.01</v>
          </cell>
          <cell r="B41" t="str">
            <v>Currants</v>
          </cell>
          <cell r="C41" t="str">
            <v>Berries</v>
          </cell>
          <cell r="D41" t="str">
            <v>No</v>
          </cell>
          <cell r="G41">
            <v>0</v>
          </cell>
          <cell r="I41">
            <v>0</v>
          </cell>
          <cell r="J41">
            <v>0</v>
          </cell>
          <cell r="K41">
            <v>300</v>
          </cell>
          <cell r="L41">
            <v>298.375</v>
          </cell>
          <cell r="M41">
            <v>0</v>
          </cell>
          <cell r="N41">
            <v>0.14299999999999999</v>
          </cell>
          <cell r="O41">
            <v>8.0000000000000002E-3</v>
          </cell>
          <cell r="P41">
            <v>1</v>
          </cell>
          <cell r="Q41">
            <v>0.22</v>
          </cell>
          <cell r="R41">
            <v>8.9999999999999993E-3</v>
          </cell>
          <cell r="S41">
            <v>0.85</v>
          </cell>
          <cell r="T41">
            <v>1</v>
          </cell>
          <cell r="U41">
            <v>3.7738174209626004E-12</v>
          </cell>
          <cell r="V41">
            <v>2.5819413353737599E-12</v>
          </cell>
          <cell r="W41">
            <v>3.8726446962259297E-12</v>
          </cell>
          <cell r="X41">
            <v>7.3859179387853007E-12</v>
          </cell>
          <cell r="Y41">
            <v>6.7025422877374503E-10</v>
          </cell>
        </row>
        <row r="42">
          <cell r="A42" t="str">
            <v>01314</v>
          </cell>
          <cell r="B42" t="str">
            <v>Dates</v>
          </cell>
          <cell r="C42" t="str">
            <v>Fruits</v>
          </cell>
          <cell r="D42" t="str">
            <v>No</v>
          </cell>
          <cell r="G42">
            <v>0</v>
          </cell>
          <cell r="I42">
            <v>0</v>
          </cell>
          <cell r="J42">
            <v>257</v>
          </cell>
          <cell r="K42">
            <v>450</v>
          </cell>
          <cell r="L42">
            <v>4946.7837</v>
          </cell>
          <cell r="M42">
            <v>0</v>
          </cell>
          <cell r="N42">
            <v>0.14299999999999999</v>
          </cell>
          <cell r="O42">
            <v>8.0000000000000002E-3</v>
          </cell>
          <cell r="P42">
            <v>1</v>
          </cell>
          <cell r="Q42">
            <v>0.22</v>
          </cell>
          <cell r="R42">
            <v>8.9999999999999993E-3</v>
          </cell>
          <cell r="S42">
            <v>0.85</v>
          </cell>
          <cell r="T42">
            <v>1</v>
          </cell>
          <cell r="U42">
            <v>3.7738174209626004E-12</v>
          </cell>
          <cell r="V42">
            <v>2.5819413353737599E-12</v>
          </cell>
          <cell r="W42">
            <v>3.8726446962259297E-12</v>
          </cell>
          <cell r="X42">
            <v>7.3859179387853007E-12</v>
          </cell>
          <cell r="Y42">
            <v>6.7025422877374503E-10</v>
          </cell>
        </row>
        <row r="43">
          <cell r="A43" t="str">
            <v>01599.10</v>
          </cell>
          <cell r="B43" t="str">
            <v>Edible roots and tubers with high starch or inulin content, n.e.c., fresh</v>
          </cell>
          <cell r="C43" t="str">
            <v>Roots</v>
          </cell>
          <cell r="D43" t="str">
            <v>No</v>
          </cell>
          <cell r="G43">
            <v>0</v>
          </cell>
          <cell r="I43">
            <v>0</v>
          </cell>
          <cell r="J43">
            <v>0</v>
          </cell>
          <cell r="K43">
            <v>135.5</v>
          </cell>
          <cell r="L43">
            <v>939.57680000000005</v>
          </cell>
          <cell r="M43">
            <v>0</v>
          </cell>
          <cell r="N43">
            <v>1.2999999999999999E-2</v>
          </cell>
          <cell r="O43">
            <v>1.9E-2</v>
          </cell>
          <cell r="P43">
            <v>0.4</v>
          </cell>
          <cell r="Q43">
            <v>0.2</v>
          </cell>
          <cell r="R43">
            <v>1.4E-2</v>
          </cell>
          <cell r="S43">
            <v>0.22</v>
          </cell>
          <cell r="T43">
            <v>1</v>
          </cell>
          <cell r="U43">
            <v>3.7738174209626004E-12</v>
          </cell>
          <cell r="V43">
            <v>2.5819413353737599E-12</v>
          </cell>
          <cell r="W43">
            <v>3.8726446962259297E-12</v>
          </cell>
          <cell r="X43">
            <v>7.3859179387853007E-12</v>
          </cell>
          <cell r="Y43">
            <v>6.7025422877374503E-10</v>
          </cell>
        </row>
        <row r="44">
          <cell r="A44" t="str">
            <v>01233</v>
          </cell>
          <cell r="B44" t="str">
            <v>Eggplants (aubergines)</v>
          </cell>
          <cell r="C44" t="str">
            <v>Vegetables</v>
          </cell>
          <cell r="D44" t="str">
            <v>No</v>
          </cell>
          <cell r="G44">
            <v>0</v>
          </cell>
          <cell r="I44">
            <v>0</v>
          </cell>
          <cell r="J44">
            <v>0</v>
          </cell>
          <cell r="K44">
            <v>140</v>
          </cell>
          <cell r="L44">
            <v>5386.2501000000002</v>
          </cell>
          <cell r="M44">
            <v>0</v>
          </cell>
          <cell r="N44">
            <v>0.14299999999999999</v>
          </cell>
          <cell r="O44">
            <v>8.0000000000000002E-3</v>
          </cell>
          <cell r="P44">
            <v>1</v>
          </cell>
          <cell r="Q44">
            <v>0.22</v>
          </cell>
          <cell r="R44">
            <v>8.9999999999999993E-3</v>
          </cell>
          <cell r="S44">
            <v>0.85</v>
          </cell>
          <cell r="T44">
            <v>1</v>
          </cell>
          <cell r="U44">
            <v>3.7738174209626004E-12</v>
          </cell>
          <cell r="V44">
            <v>2.5819413353737599E-12</v>
          </cell>
          <cell r="W44">
            <v>3.8726446962259297E-12</v>
          </cell>
          <cell r="X44">
            <v>7.3859179387853007E-12</v>
          </cell>
          <cell r="Y44">
            <v>6.7025422877374503E-10</v>
          </cell>
        </row>
        <row r="45">
          <cell r="A45" t="str">
            <v>01315</v>
          </cell>
          <cell r="B45" t="str">
            <v>Figs</v>
          </cell>
          <cell r="C45" t="str">
            <v>Fruits</v>
          </cell>
          <cell r="D45" t="str">
            <v>No</v>
          </cell>
          <cell r="G45">
            <v>0</v>
          </cell>
          <cell r="I45">
            <v>0</v>
          </cell>
          <cell r="J45">
            <v>0</v>
          </cell>
          <cell r="K45">
            <v>450</v>
          </cell>
          <cell r="L45">
            <v>952.58438000000001</v>
          </cell>
          <cell r="M45">
            <v>0</v>
          </cell>
          <cell r="N45">
            <v>0.14299999999999999</v>
          </cell>
          <cell r="O45">
            <v>8.0000000000000002E-3</v>
          </cell>
          <cell r="P45">
            <v>1</v>
          </cell>
          <cell r="Q45">
            <v>0.22</v>
          </cell>
          <cell r="R45">
            <v>8.9999999999999993E-3</v>
          </cell>
          <cell r="S45">
            <v>0.85</v>
          </cell>
          <cell r="T45">
            <v>1</v>
          </cell>
          <cell r="U45">
            <v>3.7738174209626004E-12</v>
          </cell>
          <cell r="V45">
            <v>2.5819413353737599E-12</v>
          </cell>
          <cell r="W45">
            <v>3.8726446962259297E-12</v>
          </cell>
          <cell r="X45">
            <v>7.3859179387853007E-12</v>
          </cell>
          <cell r="Y45">
            <v>6.7025422877374503E-10</v>
          </cell>
        </row>
        <row r="46">
          <cell r="A46" t="str">
            <v>01351.02</v>
          </cell>
          <cell r="B46" t="str">
            <v>Gooseberries</v>
          </cell>
          <cell r="C46" t="str">
            <v>Berries</v>
          </cell>
          <cell r="D46" t="str">
            <v>No</v>
          </cell>
          <cell r="G46">
            <v>0</v>
          </cell>
          <cell r="I46">
            <v>0</v>
          </cell>
          <cell r="J46">
            <v>0</v>
          </cell>
          <cell r="K46">
            <v>300</v>
          </cell>
          <cell r="L46">
            <v>138.6</v>
          </cell>
          <cell r="M46">
            <v>0</v>
          </cell>
          <cell r="N46">
            <v>0.14299999999999999</v>
          </cell>
          <cell r="O46">
            <v>8.0000000000000002E-3</v>
          </cell>
          <cell r="P46">
            <v>1</v>
          </cell>
          <cell r="Q46">
            <v>0.22</v>
          </cell>
          <cell r="R46">
            <v>8.9999999999999993E-3</v>
          </cell>
          <cell r="S46">
            <v>0.85</v>
          </cell>
          <cell r="T46">
            <v>1</v>
          </cell>
          <cell r="U46">
            <v>3.7738174209626004E-12</v>
          </cell>
          <cell r="V46">
            <v>2.5819413353737599E-12</v>
          </cell>
          <cell r="W46">
            <v>3.8726446962259297E-12</v>
          </cell>
          <cell r="X46">
            <v>7.3859179387853007E-12</v>
          </cell>
          <cell r="Y46">
            <v>6.7025422877374503E-10</v>
          </cell>
        </row>
        <row r="47">
          <cell r="A47" t="str">
            <v>01330</v>
          </cell>
          <cell r="B47" t="str">
            <v>Grapes</v>
          </cell>
          <cell r="C47" t="str">
            <v>Fruits</v>
          </cell>
          <cell r="D47" t="str">
            <v>No</v>
          </cell>
          <cell r="G47">
            <v>13</v>
          </cell>
          <cell r="I47">
            <v>0</v>
          </cell>
          <cell r="J47">
            <v>9</v>
          </cell>
          <cell r="K47">
            <v>450</v>
          </cell>
          <cell r="L47">
            <v>882.44435999999996</v>
          </cell>
          <cell r="M47">
            <v>0</v>
          </cell>
          <cell r="N47">
            <v>0.14299999999999999</v>
          </cell>
          <cell r="O47">
            <v>8.0000000000000002E-3</v>
          </cell>
          <cell r="P47">
            <v>1</v>
          </cell>
          <cell r="Q47">
            <v>0.22</v>
          </cell>
          <cell r="R47">
            <v>8.9999999999999993E-3</v>
          </cell>
          <cell r="S47">
            <v>0.85</v>
          </cell>
          <cell r="T47">
            <v>1</v>
          </cell>
          <cell r="U47">
            <v>3.7738174209626004E-12</v>
          </cell>
          <cell r="V47">
            <v>2.5819413353737599E-12</v>
          </cell>
          <cell r="W47">
            <v>3.8726446962259297E-12</v>
          </cell>
          <cell r="X47">
            <v>7.3859179387853007E-12</v>
          </cell>
          <cell r="Y47">
            <v>6.7025422877374503E-10</v>
          </cell>
        </row>
        <row r="48">
          <cell r="A48" t="str">
            <v>01290.01</v>
          </cell>
          <cell r="B48" t="str">
            <v>Green corn (maize)</v>
          </cell>
          <cell r="C48" t="str">
            <v>Vegetables</v>
          </cell>
          <cell r="D48" t="str">
            <v>No</v>
          </cell>
        </row>
        <row r="49">
          <cell r="A49" t="str">
            <v>01252</v>
          </cell>
          <cell r="B49" t="str">
            <v>Green garlic</v>
          </cell>
          <cell r="C49" t="str">
            <v>Vegetables</v>
          </cell>
          <cell r="D49" t="str">
            <v>No</v>
          </cell>
          <cell r="G49">
            <v>0</v>
          </cell>
          <cell r="I49">
            <v>0</v>
          </cell>
          <cell r="J49">
            <v>0</v>
          </cell>
          <cell r="K49">
            <v>140</v>
          </cell>
          <cell r="L49">
            <v>771.10418000000004</v>
          </cell>
          <cell r="M49">
            <v>0</v>
          </cell>
          <cell r="N49">
            <v>0.01</v>
          </cell>
          <cell r="O49">
            <v>1.9E-2</v>
          </cell>
          <cell r="P49">
            <v>0.4</v>
          </cell>
          <cell r="Q49">
            <v>0.2</v>
          </cell>
          <cell r="R49">
            <v>1.4E-2</v>
          </cell>
          <cell r="S49">
            <v>0.22</v>
          </cell>
          <cell r="T49">
            <v>1</v>
          </cell>
          <cell r="U49">
            <v>3.7738174209626004E-12</v>
          </cell>
          <cell r="V49">
            <v>2.5819413353737599E-12</v>
          </cell>
          <cell r="W49">
            <v>3.8726446962259297E-12</v>
          </cell>
          <cell r="X49">
            <v>7.3859179387853007E-12</v>
          </cell>
          <cell r="Y49">
            <v>6.7025422877374503E-10</v>
          </cell>
        </row>
        <row r="50">
          <cell r="A50" t="str">
            <v>0142</v>
          </cell>
          <cell r="B50" t="str">
            <v>Groundnuts, excluding shelled</v>
          </cell>
          <cell r="C50" t="str">
            <v>Nuts</v>
          </cell>
          <cell r="D50" t="str">
            <v>No</v>
          </cell>
          <cell r="G50">
            <v>38</v>
          </cell>
          <cell r="I50">
            <v>0</v>
          </cell>
          <cell r="J50">
            <v>13</v>
          </cell>
          <cell r="K50">
            <v>450</v>
          </cell>
          <cell r="L50">
            <v>550.82899999999995</v>
          </cell>
          <cell r="M50">
            <v>0</v>
          </cell>
          <cell r="N50">
            <v>0.14299999999999999</v>
          </cell>
          <cell r="O50">
            <v>1.6E-2</v>
          </cell>
          <cell r="P50">
            <v>1</v>
          </cell>
          <cell r="Q50">
            <v>0.22</v>
          </cell>
          <cell r="R50">
            <v>8.9999999999999993E-3</v>
          </cell>
          <cell r="S50">
            <v>0.85</v>
          </cell>
          <cell r="T50">
            <v>1</v>
          </cell>
          <cell r="U50">
            <v>3.7738174209626004E-12</v>
          </cell>
          <cell r="V50">
            <v>2.5819413353737599E-12</v>
          </cell>
          <cell r="W50">
            <v>3.8726446962259297E-12</v>
          </cell>
          <cell r="X50">
            <v>7.3859179387853007E-12</v>
          </cell>
          <cell r="Y50">
            <v>6.7025422877374503E-10</v>
          </cell>
        </row>
        <row r="51">
          <cell r="A51" t="str">
            <v>01374</v>
          </cell>
          <cell r="B51" t="str">
            <v>Hazelnuts, in shell</v>
          </cell>
          <cell r="C51" t="str">
            <v>Nuts</v>
          </cell>
          <cell r="D51" t="str">
            <v>No</v>
          </cell>
          <cell r="G51">
            <v>0</v>
          </cell>
          <cell r="I51">
            <v>0</v>
          </cell>
          <cell r="J51">
            <v>0</v>
          </cell>
          <cell r="K51">
            <v>450</v>
          </cell>
          <cell r="L51">
            <v>729.41555999999991</v>
          </cell>
          <cell r="M51">
            <v>0</v>
          </cell>
          <cell r="N51">
            <v>0.14299999999999999</v>
          </cell>
          <cell r="O51">
            <v>1.6E-2</v>
          </cell>
          <cell r="P51">
            <v>1</v>
          </cell>
          <cell r="Q51">
            <v>0.22</v>
          </cell>
          <cell r="R51">
            <v>8.9999999999999993E-3</v>
          </cell>
          <cell r="S51">
            <v>0.85</v>
          </cell>
          <cell r="T51">
            <v>1</v>
          </cell>
          <cell r="U51">
            <v>3.7738174209626004E-12</v>
          </cell>
          <cell r="V51">
            <v>2.5819413353737599E-12</v>
          </cell>
          <cell r="W51">
            <v>3.8726446962259297E-12</v>
          </cell>
          <cell r="X51">
            <v>7.3859179387853007E-12</v>
          </cell>
          <cell r="Y51">
            <v>6.7025422877374503E-10</v>
          </cell>
        </row>
        <row r="52">
          <cell r="A52" t="str">
            <v>01352</v>
          </cell>
          <cell r="B52" t="str">
            <v>Kiwi fruit</v>
          </cell>
          <cell r="C52" t="str">
            <v>Fruits</v>
          </cell>
          <cell r="D52" t="str">
            <v>No</v>
          </cell>
          <cell r="G52">
            <v>80</v>
          </cell>
          <cell r="I52">
            <v>0</v>
          </cell>
          <cell r="J52">
            <v>133</v>
          </cell>
          <cell r="K52">
            <v>450</v>
          </cell>
          <cell r="L52">
            <v>4552.3348800000003</v>
          </cell>
          <cell r="M52">
            <v>0</v>
          </cell>
          <cell r="N52">
            <v>0.14299999999999999</v>
          </cell>
          <cell r="O52">
            <v>8.0000000000000002E-3</v>
          </cell>
          <cell r="P52">
            <v>1</v>
          </cell>
          <cell r="Q52">
            <v>0.22</v>
          </cell>
          <cell r="R52">
            <v>8.9999999999999993E-3</v>
          </cell>
          <cell r="S52">
            <v>0.85</v>
          </cell>
          <cell r="T52">
            <v>1</v>
          </cell>
          <cell r="U52">
            <v>3.7738174209626004E-12</v>
          </cell>
          <cell r="V52">
            <v>2.5819413353737599E-12</v>
          </cell>
          <cell r="W52">
            <v>3.8726446962259297E-12</v>
          </cell>
          <cell r="X52">
            <v>7.3859179387853007E-12</v>
          </cell>
          <cell r="Y52">
            <v>6.7025422877374503E-10</v>
          </cell>
        </row>
        <row r="53">
          <cell r="A53" t="str">
            <v>01254</v>
          </cell>
          <cell r="B53" t="str">
            <v>Leeks and other alliaceous vegetables</v>
          </cell>
          <cell r="C53" t="str">
            <v>Vegetables</v>
          </cell>
          <cell r="D53" t="str">
            <v>No</v>
          </cell>
          <cell r="G53">
            <v>0</v>
          </cell>
          <cell r="I53">
            <v>0</v>
          </cell>
          <cell r="J53">
            <v>0</v>
          </cell>
          <cell r="K53">
            <v>140</v>
          </cell>
          <cell r="L53">
            <v>2188.8743799999997</v>
          </cell>
          <cell r="M53">
            <v>0</v>
          </cell>
          <cell r="N53">
            <v>0.01</v>
          </cell>
          <cell r="O53">
            <v>1.9E-2</v>
          </cell>
          <cell r="P53">
            <v>0.4</v>
          </cell>
          <cell r="Q53">
            <v>0.2</v>
          </cell>
          <cell r="R53">
            <v>1.4E-2</v>
          </cell>
          <cell r="S53">
            <v>0.22</v>
          </cell>
          <cell r="T53">
            <v>1</v>
          </cell>
          <cell r="U53">
            <v>3.7738174209626004E-12</v>
          </cell>
          <cell r="V53">
            <v>2.5819413353737599E-12</v>
          </cell>
          <cell r="W53">
            <v>3.8726446962259297E-12</v>
          </cell>
          <cell r="X53">
            <v>7.3859179387853007E-12</v>
          </cell>
          <cell r="Y53">
            <v>6.7025422877374503E-10</v>
          </cell>
        </row>
        <row r="54">
          <cell r="A54" t="str">
            <v>01322</v>
          </cell>
          <cell r="B54" t="str">
            <v>Lemons and limes</v>
          </cell>
          <cell r="C54" t="str">
            <v>Fruits</v>
          </cell>
          <cell r="D54" t="str">
            <v>No</v>
          </cell>
          <cell r="G54">
            <v>260</v>
          </cell>
          <cell r="I54">
            <v>0</v>
          </cell>
          <cell r="J54">
            <v>75</v>
          </cell>
          <cell r="K54">
            <v>450</v>
          </cell>
          <cell r="L54">
            <v>3289.0673200000001</v>
          </cell>
          <cell r="M54">
            <v>0</v>
          </cell>
          <cell r="N54">
            <v>0.14299999999999999</v>
          </cell>
          <cell r="O54">
            <v>8.0000000000000002E-3</v>
          </cell>
          <cell r="P54">
            <v>1</v>
          </cell>
          <cell r="Q54">
            <v>0.22</v>
          </cell>
          <cell r="R54">
            <v>8.9999999999999993E-3</v>
          </cell>
          <cell r="S54">
            <v>0.85</v>
          </cell>
          <cell r="T54">
            <v>1</v>
          </cell>
          <cell r="U54">
            <v>3.7738174209626004E-12</v>
          </cell>
          <cell r="V54">
            <v>2.5819413353737599E-12</v>
          </cell>
          <cell r="W54">
            <v>3.8726446962259297E-12</v>
          </cell>
          <cell r="X54">
            <v>7.3859179387853007E-12</v>
          </cell>
          <cell r="Y54">
            <v>6.7025422877374503E-10</v>
          </cell>
        </row>
        <row r="55">
          <cell r="A55" t="str">
            <v>01704</v>
          </cell>
          <cell r="B55" t="str">
            <v>Lentils, dry</v>
          </cell>
          <cell r="C55" t="str">
            <v>Pulses</v>
          </cell>
          <cell r="D55" t="str">
            <v>No</v>
          </cell>
          <cell r="G55">
            <v>0</v>
          </cell>
          <cell r="I55">
            <v>0</v>
          </cell>
          <cell r="J55">
            <v>0</v>
          </cell>
          <cell r="K55">
            <v>79</v>
          </cell>
          <cell r="L55">
            <v>95.409600000000012</v>
          </cell>
          <cell r="M55">
            <v>0</v>
          </cell>
          <cell r="N55">
            <v>2.1999999999999999E-2</v>
          </cell>
          <cell r="O55">
            <v>8.0000000000000002E-3</v>
          </cell>
          <cell r="P55">
            <v>2.1</v>
          </cell>
          <cell r="Q55">
            <v>0.19</v>
          </cell>
          <cell r="R55">
            <v>8.0000000000000002E-3</v>
          </cell>
          <cell r="S55">
            <v>0.91</v>
          </cell>
          <cell r="T55">
            <v>1</v>
          </cell>
          <cell r="U55">
            <v>3.7738174209626004E-12</v>
          </cell>
          <cell r="V55">
            <v>2.5819413353737599E-12</v>
          </cell>
          <cell r="W55">
            <v>3.8726446962259297E-12</v>
          </cell>
          <cell r="X55">
            <v>7.3859179387853007E-12</v>
          </cell>
          <cell r="Y55">
            <v>6.7025422877374503E-10</v>
          </cell>
        </row>
        <row r="56">
          <cell r="A56" t="str">
            <v>01214</v>
          </cell>
          <cell r="B56" t="str">
            <v>Lettuce and chicory</v>
          </cell>
          <cell r="C56" t="str">
            <v>Vegetables</v>
          </cell>
          <cell r="D56" t="str">
            <v>No</v>
          </cell>
          <cell r="G56">
            <v>0</v>
          </cell>
          <cell r="I56">
            <v>0</v>
          </cell>
          <cell r="J56">
            <v>0</v>
          </cell>
          <cell r="K56">
            <v>140</v>
          </cell>
          <cell r="L56">
            <v>2216.1200600000002</v>
          </cell>
          <cell r="M56">
            <v>0</v>
          </cell>
          <cell r="N56">
            <v>0.14299999999999999</v>
          </cell>
          <cell r="O56">
            <v>8.0000000000000002E-3</v>
          </cell>
          <cell r="P56">
            <v>1</v>
          </cell>
          <cell r="Q56">
            <v>0.22</v>
          </cell>
          <cell r="R56">
            <v>8.9999999999999993E-3</v>
          </cell>
          <cell r="S56">
            <v>0.85</v>
          </cell>
          <cell r="T56">
            <v>1</v>
          </cell>
          <cell r="U56">
            <v>3.7738174209626004E-12</v>
          </cell>
          <cell r="V56">
            <v>2.5819413353737599E-12</v>
          </cell>
          <cell r="W56">
            <v>3.8726446962259297E-12</v>
          </cell>
          <cell r="X56">
            <v>7.3859179387853007E-12</v>
          </cell>
          <cell r="Y56">
            <v>6.7025422877374503E-10</v>
          </cell>
        </row>
        <row r="57">
          <cell r="A57" t="str">
            <v>01441</v>
          </cell>
          <cell r="B57" t="str">
            <v>Linseed</v>
          </cell>
          <cell r="C57" t="str">
            <v>Seeds</v>
          </cell>
          <cell r="D57" t="str">
            <v>No</v>
          </cell>
          <cell r="G57">
            <v>0</v>
          </cell>
          <cell r="I57">
            <v>0</v>
          </cell>
          <cell r="J57">
            <v>0</v>
          </cell>
          <cell r="K57">
            <v>65.400000000000006</v>
          </cell>
          <cell r="L57">
            <v>870.90479999999991</v>
          </cell>
          <cell r="M57">
            <v>0</v>
          </cell>
          <cell r="N57">
            <v>0.14299999999999999</v>
          </cell>
          <cell r="O57">
            <v>8.0000000000000002E-3</v>
          </cell>
          <cell r="P57">
            <v>1</v>
          </cell>
          <cell r="Q57">
            <v>0.22</v>
          </cell>
          <cell r="R57">
            <v>8.9999999999999993E-3</v>
          </cell>
          <cell r="S57">
            <v>0.85</v>
          </cell>
          <cell r="T57">
            <v>1</v>
          </cell>
          <cell r="U57">
            <v>3.7738174209626004E-12</v>
          </cell>
          <cell r="V57">
            <v>2.5819413353737599E-12</v>
          </cell>
          <cell r="W57">
            <v>3.8726446962259297E-12</v>
          </cell>
          <cell r="X57">
            <v>7.3859179387853007E-12</v>
          </cell>
          <cell r="Y57">
            <v>6.7025422877374503E-10</v>
          </cell>
        </row>
        <row r="58">
          <cell r="A58" t="str">
            <v>01709.02</v>
          </cell>
          <cell r="B58" t="str">
            <v>Lupins</v>
          </cell>
          <cell r="C58" t="str">
            <v>Pulses</v>
          </cell>
          <cell r="D58" t="str">
            <v>No</v>
          </cell>
          <cell r="G58">
            <v>0</v>
          </cell>
          <cell r="H58">
            <v>24</v>
          </cell>
          <cell r="I58">
            <v>0</v>
          </cell>
          <cell r="J58">
            <v>0</v>
          </cell>
          <cell r="K58">
            <v>63.2</v>
          </cell>
          <cell r="L58">
            <v>131.02232000000001</v>
          </cell>
          <cell r="M58">
            <v>0</v>
          </cell>
          <cell r="N58">
            <v>2.1999999999999999E-2</v>
          </cell>
          <cell r="O58">
            <v>8.0000000000000002E-3</v>
          </cell>
          <cell r="P58">
            <v>2.1</v>
          </cell>
          <cell r="Q58">
            <v>0.19</v>
          </cell>
          <cell r="R58">
            <v>8.0000000000000002E-3</v>
          </cell>
          <cell r="S58">
            <v>0.91</v>
          </cell>
          <cell r="T58">
            <v>1</v>
          </cell>
          <cell r="U58">
            <v>3.7738174209626004E-12</v>
          </cell>
          <cell r="V58">
            <v>2.5819413353737599E-12</v>
          </cell>
          <cell r="W58">
            <v>3.8726446962259297E-12</v>
          </cell>
          <cell r="X58">
            <v>7.3859179387853007E-12</v>
          </cell>
          <cell r="Y58">
            <v>6.7025422877374503E-10</v>
          </cell>
        </row>
        <row r="59">
          <cell r="A59" t="str">
            <v>0112</v>
          </cell>
          <cell r="B59" t="str">
            <v>Maize (corn)</v>
          </cell>
          <cell r="C59" t="str">
            <v>Cereals, incl feed</v>
          </cell>
          <cell r="D59" t="str">
            <v>No</v>
          </cell>
          <cell r="G59">
            <v>0</v>
          </cell>
          <cell r="I59">
            <v>0</v>
          </cell>
          <cell r="J59">
            <v>0</v>
          </cell>
          <cell r="K59">
            <v>69</v>
          </cell>
          <cell r="L59">
            <v>2822.5520999999999</v>
          </cell>
          <cell r="M59">
            <v>0</v>
          </cell>
          <cell r="N59">
            <v>0.14299999999999999</v>
          </cell>
          <cell r="O59">
            <v>6.0000000000000001E-3</v>
          </cell>
          <cell r="P59">
            <v>1</v>
          </cell>
          <cell r="Q59">
            <v>0.22</v>
          </cell>
          <cell r="R59">
            <v>7.0000000000000001E-3</v>
          </cell>
          <cell r="S59">
            <v>0.98</v>
          </cell>
          <cell r="T59">
            <v>1</v>
          </cell>
          <cell r="U59">
            <v>3.7738174209626004E-12</v>
          </cell>
          <cell r="V59">
            <v>2.5819413353737599E-12</v>
          </cell>
          <cell r="W59">
            <v>3.8726446962259297E-12</v>
          </cell>
          <cell r="X59">
            <v>7.3859179387853007E-12</v>
          </cell>
          <cell r="Y59">
            <v>6.7025422877374503E-10</v>
          </cell>
        </row>
        <row r="60">
          <cell r="A60" t="str">
            <v>01316</v>
          </cell>
          <cell r="B60" t="str">
            <v>Mangoes, guavas and mangosteens</v>
          </cell>
          <cell r="C60" t="str">
            <v>Fruits</v>
          </cell>
          <cell r="D60" t="str">
            <v>Yes</v>
          </cell>
          <cell r="F60">
            <v>21299.3</v>
          </cell>
          <cell r="G60">
            <v>227.27645079208733</v>
          </cell>
          <cell r="I60">
            <v>195.81724448</v>
          </cell>
          <cell r="J60">
            <v>65.560514651563651</v>
          </cell>
          <cell r="K60">
            <v>450</v>
          </cell>
          <cell r="L60">
            <v>702.87689999999998</v>
          </cell>
          <cell r="M60">
            <v>4.2521176457105412</v>
          </cell>
          <cell r="N60">
            <v>0.14299999999999999</v>
          </cell>
          <cell r="O60">
            <v>8.0000000000000002E-3</v>
          </cell>
          <cell r="P60">
            <v>1</v>
          </cell>
          <cell r="Q60">
            <v>0.22</v>
          </cell>
          <cell r="R60">
            <v>8.9999999999999993E-3</v>
          </cell>
          <cell r="S60">
            <v>0.85</v>
          </cell>
          <cell r="T60">
            <v>1</v>
          </cell>
          <cell r="U60">
            <v>1.0040933916203999E-11</v>
          </cell>
          <cell r="V60">
            <v>1.5382109589240001E-11</v>
          </cell>
          <cell r="W60">
            <v>2.1977455618085499E-11</v>
          </cell>
          <cell r="X60">
            <v>1.14038353262019E-12</v>
          </cell>
          <cell r="Y60">
            <v>1.19148547693904E-10</v>
          </cell>
          <cell r="Z60">
            <v>4.3739718577830485E-3</v>
          </cell>
        </row>
        <row r="61">
          <cell r="A61" t="str">
            <v>0118</v>
          </cell>
          <cell r="B61" t="str">
            <v>Millet</v>
          </cell>
          <cell r="C61" t="str">
            <v>Cereals</v>
          </cell>
          <cell r="D61" t="str">
            <v>No</v>
          </cell>
          <cell r="G61">
            <v>88</v>
          </cell>
          <cell r="I61">
            <v>0</v>
          </cell>
          <cell r="J61">
            <v>30</v>
          </cell>
          <cell r="K61">
            <v>69</v>
          </cell>
          <cell r="L61">
            <v>71.467400000000012</v>
          </cell>
          <cell r="M61">
            <v>0</v>
          </cell>
          <cell r="N61">
            <v>0.14299999999999999</v>
          </cell>
          <cell r="O61">
            <v>7.0000000000000001E-3</v>
          </cell>
          <cell r="P61">
            <v>1.4</v>
          </cell>
          <cell r="Q61">
            <v>0.22</v>
          </cell>
          <cell r="R61">
            <v>8.9999999999999993E-3</v>
          </cell>
          <cell r="S61">
            <v>0.9</v>
          </cell>
          <cell r="T61">
            <v>1</v>
          </cell>
          <cell r="U61">
            <v>3.7738174209626004E-12</v>
          </cell>
          <cell r="V61">
            <v>2.5819413353737599E-12</v>
          </cell>
          <cell r="W61">
            <v>3.8726446962259297E-12</v>
          </cell>
          <cell r="X61">
            <v>7.3859179387853007E-12</v>
          </cell>
          <cell r="Y61">
            <v>6.7025422877374503E-10</v>
          </cell>
        </row>
        <row r="62">
          <cell r="A62" t="str">
            <v>01199.02</v>
          </cell>
          <cell r="B62" t="str">
            <v>Mixed grain</v>
          </cell>
          <cell r="C62" t="str">
            <v>Cereals</v>
          </cell>
          <cell r="D62" t="str">
            <v>No</v>
          </cell>
          <cell r="G62">
            <v>88</v>
          </cell>
          <cell r="I62">
            <v>0</v>
          </cell>
          <cell r="J62">
            <v>30</v>
          </cell>
          <cell r="K62">
            <v>69</v>
          </cell>
          <cell r="L62">
            <v>1992.5254800000002</v>
          </cell>
          <cell r="M62">
            <v>0</v>
          </cell>
          <cell r="N62">
            <v>0.14299999999999999</v>
          </cell>
          <cell r="O62">
            <v>8.0000000000000002E-3</v>
          </cell>
          <cell r="P62">
            <v>1</v>
          </cell>
          <cell r="Q62">
            <v>0.22</v>
          </cell>
          <cell r="R62">
            <v>8.9999999999999993E-3</v>
          </cell>
          <cell r="S62">
            <v>0.85</v>
          </cell>
          <cell r="T62">
            <v>1</v>
          </cell>
          <cell r="U62">
            <v>3.7738174209626004E-12</v>
          </cell>
          <cell r="V62">
            <v>2.5819413353737599E-12</v>
          </cell>
          <cell r="W62">
            <v>3.8726446962259297E-12</v>
          </cell>
          <cell r="X62">
            <v>7.3859179387853007E-12</v>
          </cell>
          <cell r="Y62">
            <v>6.7025422877374503E-10</v>
          </cell>
        </row>
        <row r="63">
          <cell r="A63" t="str">
            <v>01270</v>
          </cell>
          <cell r="B63" t="str">
            <v>Mushrooms and truffles</v>
          </cell>
          <cell r="C63" t="str">
            <v>Mushrooms</v>
          </cell>
          <cell r="D63" t="str">
            <v>No</v>
          </cell>
        </row>
        <row r="64">
          <cell r="A64" t="str">
            <v>0117</v>
          </cell>
          <cell r="B64" t="str">
            <v>Oats</v>
          </cell>
          <cell r="C64" t="str">
            <v>Cereals, incl feed</v>
          </cell>
          <cell r="D64" t="str">
            <v>No</v>
          </cell>
          <cell r="G64">
            <v>0</v>
          </cell>
          <cell r="I64">
            <v>0</v>
          </cell>
          <cell r="J64">
            <v>0</v>
          </cell>
          <cell r="K64">
            <v>68.599999999999994</v>
          </cell>
          <cell r="L64">
            <v>2566.4851200000003</v>
          </cell>
          <cell r="M64">
            <v>0</v>
          </cell>
          <cell r="N64">
            <v>0.1</v>
          </cell>
          <cell r="O64">
            <v>7.0000000000000001E-3</v>
          </cell>
          <cell r="P64">
            <v>1.3</v>
          </cell>
          <cell r="Q64">
            <v>0.25</v>
          </cell>
          <cell r="R64">
            <v>8.0000000000000002E-3</v>
          </cell>
          <cell r="S64">
            <v>0.89</v>
          </cell>
          <cell r="T64">
            <v>1</v>
          </cell>
          <cell r="U64">
            <v>3.7738174209626004E-12</v>
          </cell>
          <cell r="V64">
            <v>2.5819413353737599E-12</v>
          </cell>
          <cell r="W64">
            <v>3.8726446962259297E-12</v>
          </cell>
          <cell r="X64">
            <v>7.3859179387853007E-12</v>
          </cell>
          <cell r="Y64">
            <v>6.7025422877374503E-10</v>
          </cell>
        </row>
        <row r="65">
          <cell r="A65" t="str">
            <v>01491.01</v>
          </cell>
          <cell r="B65" t="str">
            <v>Oil palm fruit</v>
          </cell>
          <cell r="C65" t="str">
            <v>Oil crops, tree</v>
          </cell>
          <cell r="D65" t="str">
            <v>No</v>
          </cell>
        </row>
        <row r="66">
          <cell r="A66" t="str">
            <v>01450</v>
          </cell>
          <cell r="B66" t="str">
            <v>Olives</v>
          </cell>
          <cell r="C66" t="str">
            <v>Oil crops, tree</v>
          </cell>
          <cell r="D66" t="str">
            <v>No</v>
          </cell>
          <cell r="G66">
            <v>32</v>
          </cell>
          <cell r="I66">
            <v>0</v>
          </cell>
          <cell r="J66">
            <v>32</v>
          </cell>
          <cell r="K66">
            <v>450</v>
          </cell>
          <cell r="L66">
            <v>1410.7414199999998</v>
          </cell>
          <cell r="M66">
            <v>0</v>
          </cell>
          <cell r="N66">
            <v>0.14299999999999999</v>
          </cell>
          <cell r="O66">
            <v>8.0000000000000002E-3</v>
          </cell>
          <cell r="P66">
            <v>1</v>
          </cell>
          <cell r="Q66">
            <v>0.22</v>
          </cell>
          <cell r="R66">
            <v>8.9999999999999993E-3</v>
          </cell>
          <cell r="S66">
            <v>0.85</v>
          </cell>
          <cell r="T66">
            <v>1</v>
          </cell>
          <cell r="U66">
            <v>3.7738174209626004E-12</v>
          </cell>
          <cell r="V66">
            <v>2.5819413353737599E-12</v>
          </cell>
          <cell r="W66">
            <v>3.8726446962259297E-12</v>
          </cell>
          <cell r="X66">
            <v>7.3859179387853007E-12</v>
          </cell>
          <cell r="Y66">
            <v>6.7025422877374503E-10</v>
          </cell>
        </row>
        <row r="67">
          <cell r="A67" t="str">
            <v>01253.02</v>
          </cell>
          <cell r="B67" t="str">
            <v>Onions and shallots, dry (excluding dehydrated)</v>
          </cell>
          <cell r="C67" t="str">
            <v>Vegetables</v>
          </cell>
          <cell r="D67" t="str">
            <v>No</v>
          </cell>
          <cell r="G67">
            <v>0</v>
          </cell>
          <cell r="I67">
            <v>0</v>
          </cell>
          <cell r="J67">
            <v>0</v>
          </cell>
          <cell r="K67">
            <v>140</v>
          </cell>
          <cell r="L67">
            <v>1816.4717599999999</v>
          </cell>
          <cell r="M67">
            <v>0</v>
          </cell>
          <cell r="N67">
            <v>0.01</v>
          </cell>
          <cell r="O67">
            <v>1.9E-2</v>
          </cell>
          <cell r="P67">
            <v>0.4</v>
          </cell>
          <cell r="Q67">
            <v>0.2</v>
          </cell>
          <cell r="R67">
            <v>1.4E-2</v>
          </cell>
          <cell r="S67">
            <v>0.22</v>
          </cell>
          <cell r="T67">
            <v>1</v>
          </cell>
          <cell r="U67">
            <v>3.7738174209626004E-12</v>
          </cell>
          <cell r="V67">
            <v>2.5819413353737599E-12</v>
          </cell>
          <cell r="W67">
            <v>3.8726446962259297E-12</v>
          </cell>
          <cell r="X67">
            <v>7.3859179387853007E-12</v>
          </cell>
          <cell r="Y67">
            <v>6.7025422877374503E-10</v>
          </cell>
        </row>
        <row r="68">
          <cell r="A68" t="str">
            <v>01323</v>
          </cell>
          <cell r="B68" t="str">
            <v>Oranges</v>
          </cell>
          <cell r="C68" t="str">
            <v>Fruits</v>
          </cell>
          <cell r="D68" t="str">
            <v>Yes</v>
          </cell>
          <cell r="F68">
            <v>28483.620000000003</v>
          </cell>
          <cell r="G68">
            <v>303.93750307805965</v>
          </cell>
          <cell r="I68">
            <v>261.86700883200001</v>
          </cell>
          <cell r="J68">
            <v>87.674279734055659</v>
          </cell>
          <cell r="K68">
            <v>450</v>
          </cell>
          <cell r="L68">
            <v>56.967240000000004</v>
          </cell>
          <cell r="M68">
            <v>5.6863701255775396</v>
          </cell>
          <cell r="N68">
            <v>0.14299999999999999</v>
          </cell>
          <cell r="O68">
            <v>8.0000000000000002E-3</v>
          </cell>
          <cell r="P68">
            <v>1</v>
          </cell>
          <cell r="Q68">
            <v>0.22</v>
          </cell>
          <cell r="R68">
            <v>8.9999999999999993E-3</v>
          </cell>
          <cell r="S68">
            <v>0.85</v>
          </cell>
          <cell r="T68">
            <v>1</v>
          </cell>
          <cell r="U68">
            <v>1.0040933916203999E-11</v>
          </cell>
          <cell r="V68">
            <v>1.5382109589240001E-11</v>
          </cell>
          <cell r="W68">
            <v>2.1977455618085499E-11</v>
          </cell>
          <cell r="X68">
            <v>1.14038353262019E-12</v>
          </cell>
          <cell r="Y68">
            <v>1.19148547693904E-10</v>
          </cell>
          <cell r="Z68">
            <v>7.2469878653181486E-3</v>
          </cell>
        </row>
        <row r="69">
          <cell r="A69" t="str">
            <v>01241.90</v>
          </cell>
          <cell r="B69" t="str">
            <v>Other beans, green</v>
          </cell>
          <cell r="C69" t="str">
            <v>Vegetables</v>
          </cell>
          <cell r="D69" t="str">
            <v>No</v>
          </cell>
          <cell r="G69">
            <v>0</v>
          </cell>
          <cell r="H69">
            <v>24</v>
          </cell>
          <cell r="I69">
            <v>0</v>
          </cell>
          <cell r="J69">
            <v>0</v>
          </cell>
          <cell r="K69">
            <v>61.1</v>
          </cell>
          <cell r="L69">
            <v>3960.3434000000002</v>
          </cell>
          <cell r="M69">
            <v>0</v>
          </cell>
          <cell r="N69">
            <v>2.1999999999999999E-2</v>
          </cell>
          <cell r="O69">
            <v>8.0000000000000002E-3</v>
          </cell>
          <cell r="P69">
            <v>2.1</v>
          </cell>
          <cell r="Q69">
            <v>0.19</v>
          </cell>
          <cell r="R69">
            <v>8.0000000000000002E-3</v>
          </cell>
          <cell r="S69">
            <v>0.91</v>
          </cell>
          <cell r="T69">
            <v>1</v>
          </cell>
          <cell r="U69">
            <v>3.7738174209626004E-12</v>
          </cell>
          <cell r="V69">
            <v>2.5819413353737599E-12</v>
          </cell>
          <cell r="W69">
            <v>3.8726446962259297E-12</v>
          </cell>
          <cell r="X69">
            <v>7.3859179387853007E-12</v>
          </cell>
          <cell r="Y69">
            <v>6.7025422877374503E-10</v>
          </cell>
        </row>
        <row r="70">
          <cell r="A70" t="str">
            <v>01359.90</v>
          </cell>
          <cell r="B70" t="str">
            <v>Other fruits, n.e.c.</v>
          </cell>
          <cell r="C70" t="str">
            <v>Fruits</v>
          </cell>
          <cell r="D70" t="str">
            <v>No</v>
          </cell>
          <cell r="G70">
            <v>99.65535430974461</v>
          </cell>
          <cell r="I70">
            <v>0</v>
          </cell>
          <cell r="J70">
            <v>50.461877603167295</v>
          </cell>
          <cell r="K70">
            <v>450</v>
          </cell>
          <cell r="L70">
            <v>2632.3237000000004</v>
          </cell>
          <cell r="M70">
            <v>0</v>
          </cell>
          <cell r="N70">
            <v>0.14299999999999999</v>
          </cell>
          <cell r="O70">
            <v>8.0000000000000002E-3</v>
          </cell>
          <cell r="P70">
            <v>1</v>
          </cell>
          <cell r="Q70">
            <v>0.22</v>
          </cell>
          <cell r="R70">
            <v>8.9999999999999993E-3</v>
          </cell>
          <cell r="S70">
            <v>0.85</v>
          </cell>
          <cell r="T70">
            <v>1</v>
          </cell>
          <cell r="U70">
            <v>3.7738174209626004E-12</v>
          </cell>
          <cell r="V70">
            <v>2.5819413353737599E-12</v>
          </cell>
          <cell r="W70">
            <v>3.8726446962259297E-12</v>
          </cell>
          <cell r="X70">
            <v>7.3859179387853007E-12</v>
          </cell>
          <cell r="Y70">
            <v>6.7025422877374503E-10</v>
          </cell>
        </row>
        <row r="71">
          <cell r="A71" t="str">
            <v>01449.90</v>
          </cell>
          <cell r="B71" t="str">
            <v>Other oil seeds, n.e.c.</v>
          </cell>
          <cell r="C71" t="str">
            <v>Oil crops</v>
          </cell>
          <cell r="D71" t="str">
            <v>No</v>
          </cell>
          <cell r="G71">
            <v>0</v>
          </cell>
          <cell r="I71">
            <v>0</v>
          </cell>
          <cell r="J71">
            <v>0</v>
          </cell>
          <cell r="K71">
            <v>60</v>
          </cell>
          <cell r="L71">
            <v>1385.4084</v>
          </cell>
          <cell r="M71">
            <v>0</v>
          </cell>
          <cell r="N71">
            <v>0.14299999999999999</v>
          </cell>
          <cell r="O71">
            <v>8.0000000000000002E-3</v>
          </cell>
          <cell r="P71">
            <v>1</v>
          </cell>
          <cell r="Q71">
            <v>0.22</v>
          </cell>
          <cell r="R71">
            <v>8.9999999999999993E-3</v>
          </cell>
          <cell r="S71">
            <v>0.85</v>
          </cell>
          <cell r="T71">
            <v>1</v>
          </cell>
          <cell r="U71">
            <v>3.7738174209626004E-12</v>
          </cell>
          <cell r="V71">
            <v>2.5819413353737599E-12</v>
          </cell>
          <cell r="W71">
            <v>3.8726446962259297E-12</v>
          </cell>
          <cell r="X71">
            <v>7.3859179387853007E-12</v>
          </cell>
          <cell r="Y71">
            <v>6.7025422877374503E-10</v>
          </cell>
        </row>
        <row r="72">
          <cell r="A72" t="str">
            <v>01709.90</v>
          </cell>
          <cell r="B72" t="str">
            <v>Other pulses n.e.c.</v>
          </cell>
          <cell r="C72" t="str">
            <v>Pulses</v>
          </cell>
          <cell r="D72" t="str">
            <v>No</v>
          </cell>
          <cell r="G72">
            <v>0</v>
          </cell>
          <cell r="H72">
            <v>24</v>
          </cell>
          <cell r="I72">
            <v>0</v>
          </cell>
          <cell r="J72">
            <v>0</v>
          </cell>
          <cell r="K72">
            <v>63.2</v>
          </cell>
          <cell r="L72">
            <v>154.39424000000002</v>
          </cell>
          <cell r="M72">
            <v>0</v>
          </cell>
          <cell r="N72">
            <v>2.1999999999999999E-2</v>
          </cell>
          <cell r="O72">
            <v>8.0000000000000002E-3</v>
          </cell>
          <cell r="P72">
            <v>2.1</v>
          </cell>
          <cell r="Q72">
            <v>0.19</v>
          </cell>
          <cell r="R72">
            <v>8.0000000000000002E-3</v>
          </cell>
          <cell r="S72">
            <v>0.91</v>
          </cell>
          <cell r="T72">
            <v>1</v>
          </cell>
          <cell r="U72">
            <v>3.7738174209626004E-12</v>
          </cell>
          <cell r="V72">
            <v>2.5819413353737599E-12</v>
          </cell>
          <cell r="W72">
            <v>3.8726446962259297E-12</v>
          </cell>
          <cell r="X72">
            <v>7.3859179387853007E-12</v>
          </cell>
          <cell r="Y72">
            <v>6.7025422877374503E-10</v>
          </cell>
        </row>
        <row r="73">
          <cell r="A73" t="str">
            <v>01699</v>
          </cell>
          <cell r="B73" t="str">
            <v>Other stimulant, spice and aromatic crops, n.e.c.</v>
          </cell>
          <cell r="C73" t="str">
            <v>Stimulants</v>
          </cell>
          <cell r="D73" t="str">
            <v>No</v>
          </cell>
          <cell r="G73">
            <v>0</v>
          </cell>
          <cell r="I73">
            <v>0</v>
          </cell>
          <cell r="J73">
            <v>0</v>
          </cell>
          <cell r="K73">
            <v>140</v>
          </cell>
          <cell r="L73">
            <v>2920.7669999999998</v>
          </cell>
          <cell r="M73">
            <v>0</v>
          </cell>
          <cell r="N73">
            <v>0.14299999999999999</v>
          </cell>
          <cell r="O73">
            <v>8.0000000000000002E-3</v>
          </cell>
          <cell r="P73">
            <v>1</v>
          </cell>
          <cell r="Q73">
            <v>0.22</v>
          </cell>
          <cell r="R73">
            <v>8.9999999999999993E-3</v>
          </cell>
          <cell r="S73">
            <v>0.85</v>
          </cell>
          <cell r="T73">
            <v>1</v>
          </cell>
          <cell r="U73">
            <v>3.7738174209626004E-12</v>
          </cell>
          <cell r="V73">
            <v>2.5819413353737599E-12</v>
          </cell>
          <cell r="W73">
            <v>3.8726446962259297E-12</v>
          </cell>
          <cell r="X73">
            <v>7.3859179387853007E-12</v>
          </cell>
          <cell r="Y73">
            <v>6.7025422877374503E-10</v>
          </cell>
        </row>
        <row r="74">
          <cell r="A74" t="str">
            <v>01290.90</v>
          </cell>
          <cell r="B74" t="str">
            <v>Other vegetables, fresh n.e.c.</v>
          </cell>
          <cell r="C74" t="str">
            <v>Vegetables</v>
          </cell>
          <cell r="D74" t="str">
            <v>No</v>
          </cell>
          <cell r="G74">
            <v>0</v>
          </cell>
          <cell r="I74">
            <v>0</v>
          </cell>
          <cell r="J74">
            <v>0</v>
          </cell>
          <cell r="K74">
            <v>140</v>
          </cell>
          <cell r="L74">
            <v>1503.8346399999998</v>
          </cell>
          <cell r="M74">
            <v>0</v>
          </cell>
          <cell r="N74">
            <v>0.14599999999999999</v>
          </cell>
          <cell r="O74">
            <v>8.0000000000000002E-3</v>
          </cell>
          <cell r="P74">
            <v>1</v>
          </cell>
          <cell r="Q74">
            <v>0.22</v>
          </cell>
          <cell r="R74">
            <v>8.9999999999999993E-3</v>
          </cell>
          <cell r="S74">
            <v>0.85</v>
          </cell>
          <cell r="T74">
            <v>1</v>
          </cell>
          <cell r="U74">
            <v>3.7738174209626004E-12</v>
          </cell>
          <cell r="V74">
            <v>2.5819413353737599E-12</v>
          </cell>
          <cell r="W74">
            <v>3.8726446962259297E-12</v>
          </cell>
          <cell r="X74">
            <v>7.3859179387853007E-12</v>
          </cell>
          <cell r="Y74">
            <v>6.7025422877374503E-10</v>
          </cell>
        </row>
        <row r="75">
          <cell r="A75" t="str">
            <v>01317</v>
          </cell>
          <cell r="B75" t="str">
            <v>Papayas</v>
          </cell>
          <cell r="C75" t="str">
            <v>Fruits</v>
          </cell>
          <cell r="D75" t="str">
            <v>Yes</v>
          </cell>
          <cell r="F75">
            <v>41562.020000000004</v>
          </cell>
          <cell r="G75">
            <v>443.49196421242721</v>
          </cell>
          <cell r="I75">
            <v>382.10458707200007</v>
          </cell>
          <cell r="J75">
            <v>127.93037429204631</v>
          </cell>
          <cell r="K75">
            <v>450</v>
          </cell>
          <cell r="L75">
            <v>1371.5466600000002</v>
          </cell>
          <cell r="M75">
            <v>8.2972960911097751</v>
          </cell>
          <cell r="N75">
            <v>0.14299999999999999</v>
          </cell>
          <cell r="O75">
            <v>8.0000000000000002E-3</v>
          </cell>
          <cell r="P75">
            <v>1</v>
          </cell>
          <cell r="Q75">
            <v>0.22</v>
          </cell>
          <cell r="R75">
            <v>8.9999999999999993E-3</v>
          </cell>
          <cell r="S75">
            <v>0.85</v>
          </cell>
          <cell r="T75">
            <v>1</v>
          </cell>
          <cell r="U75">
            <v>1.0040933916203999E-11</v>
          </cell>
          <cell r="V75">
            <v>1.5382109589240001E-11</v>
          </cell>
          <cell r="W75">
            <v>2.1977455618085499E-11</v>
          </cell>
          <cell r="X75">
            <v>1.14038353262019E-12</v>
          </cell>
          <cell r="Y75">
            <v>1.19148547693904E-10</v>
          </cell>
          <cell r="Z75">
            <v>1.0160319957557904E-2</v>
          </cell>
        </row>
        <row r="76">
          <cell r="A76" t="str">
            <v>01345</v>
          </cell>
          <cell r="B76" t="str">
            <v>Peaches and nectarines</v>
          </cell>
          <cell r="C76" t="str">
            <v>Fruits</v>
          </cell>
          <cell r="D76" t="str">
            <v>No</v>
          </cell>
          <cell r="G76">
            <v>9</v>
          </cell>
          <cell r="I76">
            <v>0</v>
          </cell>
          <cell r="J76">
            <v>34</v>
          </cell>
          <cell r="K76">
            <v>450</v>
          </cell>
          <cell r="L76">
            <v>5285.8741399999999</v>
          </cell>
          <cell r="M76">
            <v>0</v>
          </cell>
          <cell r="N76">
            <v>0.14299999999999999</v>
          </cell>
          <cell r="O76">
            <v>8.0000000000000002E-3</v>
          </cell>
          <cell r="P76">
            <v>1</v>
          </cell>
          <cell r="Q76">
            <v>0.22</v>
          </cell>
          <cell r="R76">
            <v>8.9999999999999993E-3</v>
          </cell>
          <cell r="S76">
            <v>0.85</v>
          </cell>
          <cell r="T76">
            <v>1</v>
          </cell>
          <cell r="U76">
            <v>3.7738174209626004E-12</v>
          </cell>
          <cell r="V76">
            <v>2.5819413353737599E-12</v>
          </cell>
          <cell r="W76">
            <v>3.8726446962259297E-12</v>
          </cell>
          <cell r="X76">
            <v>7.3859179387853007E-12</v>
          </cell>
          <cell r="Y76">
            <v>6.7025422877374503E-10</v>
          </cell>
        </row>
        <row r="77">
          <cell r="A77" t="str">
            <v>01342.01</v>
          </cell>
          <cell r="B77" t="str">
            <v>Pears</v>
          </cell>
          <cell r="C77" t="str">
            <v>Fruits</v>
          </cell>
          <cell r="D77" t="str">
            <v>No</v>
          </cell>
          <cell r="G77">
            <v>0</v>
          </cell>
          <cell r="I77">
            <v>0</v>
          </cell>
          <cell r="J77">
            <v>0</v>
          </cell>
          <cell r="K77">
            <v>450</v>
          </cell>
          <cell r="L77">
            <v>4491.2511000000004</v>
          </cell>
          <cell r="M77">
            <v>0</v>
          </cell>
          <cell r="N77">
            <v>0.14299999999999999</v>
          </cell>
          <cell r="O77">
            <v>8.0000000000000002E-3</v>
          </cell>
          <cell r="P77">
            <v>1</v>
          </cell>
          <cell r="Q77">
            <v>0.22</v>
          </cell>
          <cell r="R77">
            <v>8.9999999999999993E-3</v>
          </cell>
          <cell r="S77">
            <v>0.85</v>
          </cell>
          <cell r="T77">
            <v>1</v>
          </cell>
          <cell r="U77">
            <v>3.7738174209626004E-12</v>
          </cell>
          <cell r="V77">
            <v>2.5819413353737599E-12</v>
          </cell>
          <cell r="W77">
            <v>3.8726446962259297E-12</v>
          </cell>
          <cell r="X77">
            <v>7.3859179387853007E-12</v>
          </cell>
          <cell r="Y77">
            <v>6.7025422877374503E-10</v>
          </cell>
        </row>
        <row r="78">
          <cell r="A78" t="str">
            <v>01705</v>
          </cell>
          <cell r="B78" t="str">
            <v>Peas, dry</v>
          </cell>
          <cell r="C78" t="str">
            <v>Pulses, incl feed</v>
          </cell>
          <cell r="D78" t="str">
            <v>No</v>
          </cell>
          <cell r="G78">
            <v>0</v>
          </cell>
          <cell r="H78">
            <v>63</v>
          </cell>
          <cell r="I78">
            <v>0</v>
          </cell>
          <cell r="J78">
            <v>0</v>
          </cell>
          <cell r="K78">
            <v>63.2</v>
          </cell>
          <cell r="L78">
            <v>26.961119999999998</v>
          </cell>
          <cell r="M78">
            <v>0</v>
          </cell>
          <cell r="N78">
            <v>0</v>
          </cell>
          <cell r="O78">
            <v>8.0000000000000002E-3</v>
          </cell>
          <cell r="P78">
            <v>2.1</v>
          </cell>
          <cell r="Q78">
            <v>0.19</v>
          </cell>
          <cell r="R78">
            <v>8.0000000000000002E-3</v>
          </cell>
          <cell r="S78">
            <v>0.91</v>
          </cell>
          <cell r="T78">
            <v>1</v>
          </cell>
          <cell r="U78">
            <v>3.7738174209626004E-12</v>
          </cell>
          <cell r="V78">
            <v>2.5819413353737599E-12</v>
          </cell>
          <cell r="W78">
            <v>3.8726446962259297E-12</v>
          </cell>
          <cell r="X78">
            <v>7.3859179387853007E-12</v>
          </cell>
          <cell r="Y78">
            <v>6.7025422877374503E-10</v>
          </cell>
        </row>
        <row r="79">
          <cell r="A79" t="str">
            <v>01242</v>
          </cell>
          <cell r="B79" t="str">
            <v>Peas, green</v>
          </cell>
          <cell r="C79" t="str">
            <v>Vegetables</v>
          </cell>
          <cell r="D79" t="str">
            <v>No</v>
          </cell>
          <cell r="G79">
            <v>0</v>
          </cell>
          <cell r="H79">
            <v>63</v>
          </cell>
          <cell r="I79">
            <v>0</v>
          </cell>
          <cell r="J79">
            <v>0</v>
          </cell>
          <cell r="K79">
            <v>63.2</v>
          </cell>
          <cell r="L79">
            <v>135.39095999999998</v>
          </cell>
          <cell r="M79">
            <v>0</v>
          </cell>
          <cell r="N79">
            <v>0</v>
          </cell>
          <cell r="O79">
            <v>8.0000000000000002E-3</v>
          </cell>
          <cell r="P79">
            <v>2.1</v>
          </cell>
          <cell r="Q79">
            <v>0.19</v>
          </cell>
          <cell r="R79">
            <v>8.0000000000000002E-3</v>
          </cell>
          <cell r="S79">
            <v>0.91</v>
          </cell>
          <cell r="T79">
            <v>1</v>
          </cell>
          <cell r="U79">
            <v>3.7738174209626004E-12</v>
          </cell>
          <cell r="V79">
            <v>2.5819413353737599E-12</v>
          </cell>
          <cell r="W79">
            <v>3.8726446962259297E-12</v>
          </cell>
          <cell r="X79">
            <v>7.3859179387853007E-12</v>
          </cell>
          <cell r="Y79">
            <v>6.7025422877374503E-10</v>
          </cell>
        </row>
        <row r="80">
          <cell r="A80" t="str">
            <v>01651</v>
          </cell>
          <cell r="B80" t="str">
            <v>Pepper (Piper spp.), raw</v>
          </cell>
          <cell r="C80" t="str">
            <v>Vegetables</v>
          </cell>
          <cell r="D80" t="str">
            <v>Yes</v>
          </cell>
          <cell r="F80">
            <v>3000.6400000000003</v>
          </cell>
          <cell r="G80">
            <v>11.986266054329837</v>
          </cell>
          <cell r="I80">
            <v>27.586683904000004</v>
          </cell>
          <cell r="J80">
            <v>0</v>
          </cell>
          <cell r="K80">
            <v>450</v>
          </cell>
          <cell r="L80">
            <v>297.06336000000005</v>
          </cell>
          <cell r="M80">
            <v>1.6988227080848253</v>
          </cell>
          <cell r="N80">
            <v>0.14299999999999999</v>
          </cell>
          <cell r="O80">
            <v>8.0000000000000002E-3</v>
          </cell>
          <cell r="P80">
            <v>1</v>
          </cell>
          <cell r="Q80">
            <v>0.22</v>
          </cell>
          <cell r="R80">
            <v>8.9999999999999993E-3</v>
          </cell>
          <cell r="S80">
            <v>0.85</v>
          </cell>
          <cell r="T80">
            <v>1</v>
          </cell>
          <cell r="U80">
            <v>1.0040933916203999E-11</v>
          </cell>
          <cell r="V80">
            <v>1.5382109589240001E-11</v>
          </cell>
          <cell r="W80">
            <v>2.1977455618085499E-11</v>
          </cell>
          <cell r="X80">
            <v>1.14038353262019E-12</v>
          </cell>
          <cell r="Y80">
            <v>1.19148547693904E-10</v>
          </cell>
          <cell r="Z80">
            <v>1.5982467327121055</v>
          </cell>
        </row>
        <row r="81">
          <cell r="A81" t="str">
            <v>01318</v>
          </cell>
          <cell r="B81" t="str">
            <v>Pineapples</v>
          </cell>
          <cell r="C81" t="str">
            <v>Fruits</v>
          </cell>
          <cell r="D81" t="str">
            <v>No</v>
          </cell>
        </row>
        <row r="82">
          <cell r="A82" t="str">
            <v>01313</v>
          </cell>
          <cell r="B82" t="str">
            <v>Plantains and cooking bananas</v>
          </cell>
          <cell r="C82" t="str">
            <v>Fruits</v>
          </cell>
          <cell r="D82" t="str">
            <v>No</v>
          </cell>
        </row>
        <row r="83">
          <cell r="A83" t="str">
            <v>01346</v>
          </cell>
          <cell r="B83" t="str">
            <v>Plums and sloes</v>
          </cell>
          <cell r="C83" t="str">
            <v>Fruits</v>
          </cell>
          <cell r="D83" t="str">
            <v>No</v>
          </cell>
          <cell r="G83">
            <v>0</v>
          </cell>
          <cell r="I83">
            <v>0</v>
          </cell>
          <cell r="J83">
            <v>0</v>
          </cell>
          <cell r="K83">
            <v>450</v>
          </cell>
          <cell r="L83">
            <v>3240.2109999999998</v>
          </cell>
          <cell r="M83">
            <v>0</v>
          </cell>
          <cell r="N83">
            <v>0.14299999999999999</v>
          </cell>
          <cell r="O83">
            <v>8.0000000000000002E-3</v>
          </cell>
          <cell r="P83">
            <v>1</v>
          </cell>
          <cell r="Q83">
            <v>0.22</v>
          </cell>
          <cell r="R83">
            <v>8.9999999999999993E-3</v>
          </cell>
          <cell r="S83">
            <v>0.85</v>
          </cell>
          <cell r="T83">
            <v>1</v>
          </cell>
          <cell r="U83">
            <v>3.7738174209626004E-12</v>
          </cell>
          <cell r="V83">
            <v>2.5819413353737599E-12</v>
          </cell>
          <cell r="W83">
            <v>3.8726446962259297E-12</v>
          </cell>
          <cell r="X83">
            <v>7.3859179387853007E-12</v>
          </cell>
          <cell r="Y83">
            <v>6.7025422877374503E-10</v>
          </cell>
        </row>
        <row r="84">
          <cell r="A84" t="str">
            <v>01321</v>
          </cell>
          <cell r="B84" t="str">
            <v>Pomelos and grapefruits</v>
          </cell>
          <cell r="C84" t="str">
            <v>Fruits</v>
          </cell>
          <cell r="D84" t="str">
            <v>No</v>
          </cell>
          <cell r="G84">
            <v>140</v>
          </cell>
          <cell r="I84">
            <v>0</v>
          </cell>
          <cell r="J84">
            <v>32</v>
          </cell>
          <cell r="K84">
            <v>450</v>
          </cell>
          <cell r="L84">
            <v>3459.3085999999998</v>
          </cell>
          <cell r="M84">
            <v>0</v>
          </cell>
          <cell r="N84">
            <v>0.14299999999999999</v>
          </cell>
          <cell r="O84">
            <v>8.0000000000000002E-3</v>
          </cell>
          <cell r="P84">
            <v>1</v>
          </cell>
          <cell r="Q84">
            <v>0.22</v>
          </cell>
          <cell r="R84">
            <v>8.9999999999999993E-3</v>
          </cell>
          <cell r="S84">
            <v>0.85</v>
          </cell>
          <cell r="T84">
            <v>1</v>
          </cell>
          <cell r="U84">
            <v>3.7738174209626004E-12</v>
          </cell>
          <cell r="V84">
            <v>2.5819413353737599E-12</v>
          </cell>
          <cell r="W84">
            <v>3.8726446962259297E-12</v>
          </cell>
          <cell r="X84">
            <v>7.3859179387853007E-12</v>
          </cell>
          <cell r="Y84">
            <v>6.7025422877374503E-10</v>
          </cell>
        </row>
        <row r="85">
          <cell r="A85" t="str">
            <v>01448</v>
          </cell>
          <cell r="B85" t="str">
            <v>Poppy seed</v>
          </cell>
          <cell r="C85" t="str">
            <v>Seeds</v>
          </cell>
          <cell r="D85" t="str">
            <v>No</v>
          </cell>
          <cell r="G85">
            <v>0</v>
          </cell>
          <cell r="I85">
            <v>0</v>
          </cell>
          <cell r="J85">
            <v>0</v>
          </cell>
          <cell r="K85">
            <v>65.400000000000006</v>
          </cell>
          <cell r="L85">
            <v>1116.4175999999998</v>
          </cell>
          <cell r="M85">
            <v>0</v>
          </cell>
          <cell r="N85">
            <v>0.14299999999999999</v>
          </cell>
          <cell r="O85">
            <v>8.0000000000000002E-3</v>
          </cell>
          <cell r="P85">
            <v>1</v>
          </cell>
          <cell r="Q85">
            <v>0.22</v>
          </cell>
          <cell r="R85">
            <v>8.9999999999999993E-3</v>
          </cell>
          <cell r="S85">
            <v>0.85</v>
          </cell>
          <cell r="T85">
            <v>1</v>
          </cell>
          <cell r="U85">
            <v>3.7738174209626004E-12</v>
          </cell>
          <cell r="V85">
            <v>2.5819413353737599E-12</v>
          </cell>
          <cell r="W85">
            <v>3.8726446962259297E-12</v>
          </cell>
          <cell r="X85">
            <v>7.3859179387853007E-12</v>
          </cell>
          <cell r="Y85">
            <v>6.7025422877374503E-10</v>
          </cell>
        </row>
        <row r="86">
          <cell r="A86" t="str">
            <v>01510</v>
          </cell>
          <cell r="B86" t="str">
            <v>Potatoes</v>
          </cell>
          <cell r="C86" t="str">
            <v>Roots</v>
          </cell>
          <cell r="D86" t="str">
            <v>No</v>
          </cell>
          <cell r="G86">
            <v>0</v>
          </cell>
          <cell r="I86">
            <v>0</v>
          </cell>
          <cell r="J86">
            <v>0</v>
          </cell>
          <cell r="K86">
            <v>135.5</v>
          </cell>
          <cell r="L86">
            <v>1978.43488</v>
          </cell>
          <cell r="M86">
            <v>0</v>
          </cell>
          <cell r="N86">
            <v>1.2999999999999999E-2</v>
          </cell>
          <cell r="O86">
            <v>1.9E-2</v>
          </cell>
          <cell r="P86">
            <v>0.4</v>
          </cell>
          <cell r="Q86">
            <v>0.2</v>
          </cell>
          <cell r="R86">
            <v>1.4E-2</v>
          </cell>
          <cell r="S86">
            <v>0.22</v>
          </cell>
          <cell r="T86">
            <v>1</v>
          </cell>
          <cell r="U86">
            <v>3.7738174209626004E-12</v>
          </cell>
          <cell r="V86">
            <v>2.5819413353737599E-12</v>
          </cell>
          <cell r="W86">
            <v>3.8726446962259297E-12</v>
          </cell>
          <cell r="X86">
            <v>7.3859179387853007E-12</v>
          </cell>
          <cell r="Y86">
            <v>6.7025422877374503E-10</v>
          </cell>
        </row>
        <row r="87">
          <cell r="A87" t="str">
            <v>01235</v>
          </cell>
          <cell r="B87" t="str">
            <v>Pumpkins, squash and gourds</v>
          </cell>
          <cell r="C87" t="str">
            <v>Vegetables</v>
          </cell>
          <cell r="D87" t="str">
            <v>No</v>
          </cell>
          <cell r="G87">
            <v>0</v>
          </cell>
          <cell r="I87">
            <v>0</v>
          </cell>
          <cell r="K87">
            <v>140</v>
          </cell>
          <cell r="L87">
            <v>3709.5843399999999</v>
          </cell>
          <cell r="M87">
            <v>0</v>
          </cell>
          <cell r="N87">
            <v>0.14299999999999999</v>
          </cell>
          <cell r="O87">
            <v>8.0000000000000002E-3</v>
          </cell>
          <cell r="P87">
            <v>1</v>
          </cell>
          <cell r="Q87">
            <v>0.22</v>
          </cell>
          <cell r="R87">
            <v>8.9999999999999993E-3</v>
          </cell>
          <cell r="S87">
            <v>0.85</v>
          </cell>
          <cell r="T87">
            <v>1</v>
          </cell>
          <cell r="U87">
            <v>3.7738174209626004E-12</v>
          </cell>
          <cell r="V87">
            <v>2.5819413353737599E-12</v>
          </cell>
          <cell r="W87">
            <v>3.8726446962259297E-12</v>
          </cell>
          <cell r="X87">
            <v>7.3859179387853007E-12</v>
          </cell>
          <cell r="Y87">
            <v>6.7025422877374503E-10</v>
          </cell>
        </row>
        <row r="88">
          <cell r="A88" t="str">
            <v>01342.02</v>
          </cell>
          <cell r="B88" t="str">
            <v>Quinces</v>
          </cell>
          <cell r="C88" t="str">
            <v>Other</v>
          </cell>
          <cell r="D88" t="str">
            <v>No</v>
          </cell>
          <cell r="G88">
            <v>0</v>
          </cell>
          <cell r="I88">
            <v>0</v>
          </cell>
          <cell r="J88">
            <v>0</v>
          </cell>
          <cell r="K88">
            <v>450</v>
          </cell>
          <cell r="L88">
            <v>1663.239</v>
          </cell>
          <cell r="M88">
            <v>0</v>
          </cell>
          <cell r="N88">
            <v>0.14299999999999999</v>
          </cell>
          <cell r="O88">
            <v>8.0000000000000002E-3</v>
          </cell>
          <cell r="P88">
            <v>1</v>
          </cell>
          <cell r="Q88">
            <v>0.22</v>
          </cell>
          <cell r="R88">
            <v>8.9999999999999993E-3</v>
          </cell>
          <cell r="S88">
            <v>0.85</v>
          </cell>
          <cell r="T88">
            <v>1</v>
          </cell>
          <cell r="U88">
            <v>3.7738174209626004E-12</v>
          </cell>
          <cell r="V88">
            <v>2.5819413353737599E-12</v>
          </cell>
          <cell r="W88">
            <v>3.8726446962259297E-12</v>
          </cell>
          <cell r="X88">
            <v>7.3859179387853007E-12</v>
          </cell>
          <cell r="Y88">
            <v>6.7025422877374503E-10</v>
          </cell>
        </row>
        <row r="89">
          <cell r="A89" t="str">
            <v>01194</v>
          </cell>
          <cell r="B89" t="str">
            <v>Quinoa</v>
          </cell>
          <cell r="C89" t="str">
            <v>Seeds</v>
          </cell>
          <cell r="D89" t="str">
            <v>No</v>
          </cell>
        </row>
        <row r="90">
          <cell r="A90" t="str">
            <v>01443</v>
          </cell>
          <cell r="B90" t="str">
            <v>Rape or colza seed, average</v>
          </cell>
          <cell r="C90" t="str">
            <v>Oil crops</v>
          </cell>
          <cell r="D90" t="str">
            <v>No</v>
          </cell>
          <cell r="G90">
            <v>0</v>
          </cell>
          <cell r="I90">
            <v>0</v>
          </cell>
          <cell r="J90">
            <v>0</v>
          </cell>
          <cell r="K90">
            <v>60</v>
          </cell>
          <cell r="L90">
            <v>580.16721999999993</v>
          </cell>
          <cell r="M90">
            <v>0</v>
          </cell>
          <cell r="N90">
            <v>0.14299999999999999</v>
          </cell>
          <cell r="O90">
            <v>8.0000000000000002E-3</v>
          </cell>
          <cell r="P90">
            <v>1</v>
          </cell>
          <cell r="Q90">
            <v>0.22</v>
          </cell>
          <cell r="R90">
            <v>8.9999999999999993E-3</v>
          </cell>
          <cell r="S90">
            <v>0.85</v>
          </cell>
          <cell r="T90">
            <v>1</v>
          </cell>
          <cell r="U90">
            <v>3.7738174209626004E-12</v>
          </cell>
          <cell r="V90">
            <v>2.5819413353737599E-12</v>
          </cell>
          <cell r="W90">
            <v>3.8726446962259297E-12</v>
          </cell>
          <cell r="X90">
            <v>7.3859179387853007E-12</v>
          </cell>
          <cell r="Y90">
            <v>6.7025422877374503E-10</v>
          </cell>
        </row>
        <row r="91">
          <cell r="A91" t="str">
            <v>01443_s</v>
          </cell>
          <cell r="B91" t="str">
            <v>Rape or colza seed, spring</v>
          </cell>
          <cell r="C91" t="str">
            <v>Oil crops</v>
          </cell>
          <cell r="D91" t="str">
            <v>No</v>
          </cell>
        </row>
        <row r="92">
          <cell r="A92" t="str">
            <v>01443_w</v>
          </cell>
          <cell r="B92" t="str">
            <v>Rape or colza seed, winter</v>
          </cell>
          <cell r="C92" t="str">
            <v>Oil crops</v>
          </cell>
          <cell r="D92" t="str">
            <v>No</v>
          </cell>
        </row>
        <row r="93">
          <cell r="A93" t="str">
            <v>01353.01</v>
          </cell>
          <cell r="B93" t="str">
            <v>Raspberries</v>
          </cell>
          <cell r="C93" t="str">
            <v>Berries</v>
          </cell>
          <cell r="D93" t="str">
            <v>No</v>
          </cell>
          <cell r="G93">
            <v>0</v>
          </cell>
          <cell r="I93">
            <v>0</v>
          </cell>
          <cell r="J93">
            <v>0</v>
          </cell>
          <cell r="K93">
            <v>300</v>
          </cell>
          <cell r="L93">
            <v>1500.0770400000001</v>
          </cell>
          <cell r="M93">
            <v>0</v>
          </cell>
          <cell r="N93">
            <v>0.14299999999999999</v>
          </cell>
          <cell r="O93">
            <v>8.0000000000000002E-3</v>
          </cell>
          <cell r="P93">
            <v>1</v>
          </cell>
          <cell r="Q93">
            <v>0.22</v>
          </cell>
          <cell r="R93">
            <v>8.9999999999999993E-3</v>
          </cell>
          <cell r="S93">
            <v>0.85</v>
          </cell>
          <cell r="T93">
            <v>1</v>
          </cell>
          <cell r="U93">
            <v>3.7738174209626004E-12</v>
          </cell>
          <cell r="V93">
            <v>2.5819413353737599E-12</v>
          </cell>
          <cell r="W93">
            <v>3.8726446962259297E-12</v>
          </cell>
          <cell r="X93">
            <v>7.3859179387853007E-12</v>
          </cell>
          <cell r="Y93">
            <v>6.7025422877374503E-10</v>
          </cell>
        </row>
        <row r="94">
          <cell r="A94" t="str">
            <v>0113</v>
          </cell>
          <cell r="B94" t="str">
            <v>Rice</v>
          </cell>
          <cell r="C94" t="str">
            <v>Cereals</v>
          </cell>
          <cell r="D94" t="str">
            <v>No</v>
          </cell>
          <cell r="G94">
            <v>95</v>
          </cell>
          <cell r="I94">
            <v>0</v>
          </cell>
          <cell r="J94">
            <v>95</v>
          </cell>
          <cell r="K94">
            <v>69</v>
          </cell>
          <cell r="L94">
            <v>13132.09276</v>
          </cell>
          <cell r="M94">
            <v>0</v>
          </cell>
          <cell r="N94">
            <v>0.14299999999999999</v>
          </cell>
          <cell r="O94">
            <v>7.0000000000000001E-3</v>
          </cell>
          <cell r="P94">
            <v>1.4</v>
          </cell>
          <cell r="Q94">
            <v>0.16</v>
          </cell>
          <cell r="R94">
            <v>8.9999999999999993E-3</v>
          </cell>
          <cell r="S94">
            <v>0.89</v>
          </cell>
          <cell r="T94">
            <v>1</v>
          </cell>
          <cell r="U94">
            <v>3.7738174209626004E-12</v>
          </cell>
          <cell r="V94">
            <v>2.5819413353737599E-12</v>
          </cell>
          <cell r="W94">
            <v>3.8726446962259297E-12</v>
          </cell>
          <cell r="X94">
            <v>7.3859179387853007E-12</v>
          </cell>
          <cell r="Y94">
            <v>6.7025422877374503E-10</v>
          </cell>
        </row>
        <row r="95">
          <cell r="A95" t="str">
            <v>0116</v>
          </cell>
          <cell r="B95" t="str">
            <v>Rye</v>
          </cell>
          <cell r="C95" t="str">
            <v>Cereals, incl feed</v>
          </cell>
          <cell r="D95" t="str">
            <v>No</v>
          </cell>
          <cell r="G95">
            <v>0</v>
          </cell>
          <cell r="I95">
            <v>0</v>
          </cell>
          <cell r="J95">
            <v>0</v>
          </cell>
          <cell r="K95">
            <v>68.7</v>
          </cell>
          <cell r="L95">
            <v>7.0697399999999995</v>
          </cell>
          <cell r="M95">
            <v>0</v>
          </cell>
          <cell r="N95">
            <v>0.22</v>
          </cell>
          <cell r="O95">
            <v>5.0000000000000001E-3</v>
          </cell>
          <cell r="P95">
            <v>1.6</v>
          </cell>
          <cell r="Q95">
            <v>0.22</v>
          </cell>
          <cell r="R95">
            <v>1.0999999999999999E-2</v>
          </cell>
          <cell r="S95">
            <v>0.88</v>
          </cell>
          <cell r="T95">
            <v>1</v>
          </cell>
          <cell r="U95">
            <v>3.7738174209626004E-12</v>
          </cell>
          <cell r="V95">
            <v>2.5819413353737599E-12</v>
          </cell>
          <cell r="W95">
            <v>3.8726446962259297E-12</v>
          </cell>
          <cell r="X95">
            <v>7.3859179387853007E-12</v>
          </cell>
          <cell r="Y95">
            <v>6.7025422877374503E-10</v>
          </cell>
        </row>
        <row r="96">
          <cell r="A96" t="str">
            <v>0114</v>
          </cell>
          <cell r="B96" t="str">
            <v>Sorghum</v>
          </cell>
          <cell r="C96" t="str">
            <v>Cereals</v>
          </cell>
          <cell r="D96" t="str">
            <v>No</v>
          </cell>
          <cell r="G96">
            <v>88</v>
          </cell>
          <cell r="I96">
            <v>0</v>
          </cell>
          <cell r="J96">
            <v>30</v>
          </cell>
          <cell r="K96">
            <v>69</v>
          </cell>
          <cell r="L96">
            <v>168.54280000000003</v>
          </cell>
          <cell r="M96">
            <v>0</v>
          </cell>
          <cell r="N96">
            <v>0.14299999999999999</v>
          </cell>
          <cell r="O96">
            <v>7.0000000000000001E-3</v>
          </cell>
          <cell r="P96">
            <v>1.4</v>
          </cell>
          <cell r="Q96">
            <v>0.22</v>
          </cell>
          <cell r="R96">
            <v>6.0000000000000001E-3</v>
          </cell>
          <cell r="S96">
            <v>0.9</v>
          </cell>
          <cell r="T96">
            <v>1</v>
          </cell>
          <cell r="U96">
            <v>3.7738174209626004E-12</v>
          </cell>
          <cell r="V96">
            <v>2.5819413353737599E-12</v>
          </cell>
          <cell r="W96">
            <v>3.8726446962259297E-12</v>
          </cell>
          <cell r="X96">
            <v>7.3859179387853007E-12</v>
          </cell>
          <cell r="Y96">
            <v>6.7025422877374503E-10</v>
          </cell>
        </row>
        <row r="97">
          <cell r="A97" t="str">
            <v>01344.01</v>
          </cell>
          <cell r="B97" t="str">
            <v>Sour cherries</v>
          </cell>
          <cell r="C97" t="str">
            <v>Fruits</v>
          </cell>
          <cell r="D97" t="str">
            <v>No</v>
          </cell>
          <cell r="G97">
            <v>0</v>
          </cell>
          <cell r="I97">
            <v>0</v>
          </cell>
          <cell r="J97">
            <v>0</v>
          </cell>
          <cell r="K97">
            <v>450</v>
          </cell>
          <cell r="L97">
            <v>965.70707999999991</v>
          </cell>
          <cell r="M97">
            <v>0</v>
          </cell>
          <cell r="N97">
            <v>0.14299999999999999</v>
          </cell>
          <cell r="O97">
            <v>8.0000000000000002E-3</v>
          </cell>
          <cell r="P97">
            <v>1</v>
          </cell>
          <cell r="Q97">
            <v>0.22</v>
          </cell>
          <cell r="R97">
            <v>8.9999999999999993E-3</v>
          </cell>
          <cell r="S97">
            <v>0.85</v>
          </cell>
          <cell r="T97">
            <v>1</v>
          </cell>
          <cell r="U97">
            <v>3.7738174209626004E-12</v>
          </cell>
          <cell r="V97">
            <v>2.5819413353737599E-12</v>
          </cell>
          <cell r="W97">
            <v>3.8726446962259297E-12</v>
          </cell>
          <cell r="X97">
            <v>7.3859179387853007E-12</v>
          </cell>
          <cell r="Y97">
            <v>6.7025422877374503E-10</v>
          </cell>
        </row>
        <row r="98">
          <cell r="A98" t="str">
            <v>0141</v>
          </cell>
          <cell r="B98" t="str">
            <v>Soya beans</v>
          </cell>
          <cell r="C98" t="str">
            <v>Pulses</v>
          </cell>
          <cell r="D98" t="str">
            <v>Yes</v>
          </cell>
          <cell r="F98">
            <v>3334.7599999999998</v>
          </cell>
          <cell r="G98">
            <v>3</v>
          </cell>
          <cell r="H98">
            <v>249</v>
          </cell>
          <cell r="I98">
            <v>64.159395139840001</v>
          </cell>
          <cell r="J98">
            <v>22</v>
          </cell>
          <cell r="K98">
            <v>63.2</v>
          </cell>
          <cell r="L98">
            <v>3.3347599999999997</v>
          </cell>
          <cell r="M98">
            <v>1.1263426282303064</v>
          </cell>
          <cell r="N98">
            <v>2.1999999999999999E-2</v>
          </cell>
          <cell r="O98">
            <v>8.0000000000000002E-3</v>
          </cell>
          <cell r="P98">
            <v>2.1</v>
          </cell>
          <cell r="Q98">
            <v>0.19</v>
          </cell>
          <cell r="R98">
            <v>8.0000000000000002E-3</v>
          </cell>
          <cell r="S98">
            <v>0.91</v>
          </cell>
          <cell r="T98">
            <v>1</v>
          </cell>
          <cell r="U98">
            <v>1.0040933916203999E-11</v>
          </cell>
          <cell r="V98">
            <v>1.5382109589240001E-11</v>
          </cell>
          <cell r="W98">
            <v>2.1977455618085499E-11</v>
          </cell>
          <cell r="X98">
            <v>1.14038353262019E-12</v>
          </cell>
          <cell r="Y98">
            <v>1.19148547693904E-10</v>
          </cell>
          <cell r="Z98">
            <v>0.80081929551722919</v>
          </cell>
        </row>
        <row r="99">
          <cell r="A99" t="str">
            <v>01215</v>
          </cell>
          <cell r="B99" t="str">
            <v>Spinach</v>
          </cell>
          <cell r="C99" t="str">
            <v>Vegetables</v>
          </cell>
          <cell r="D99" t="str">
            <v>No</v>
          </cell>
          <cell r="G99">
            <v>0</v>
          </cell>
          <cell r="I99">
            <v>0</v>
          </cell>
          <cell r="J99">
            <v>0</v>
          </cell>
          <cell r="K99">
            <v>140</v>
          </cell>
          <cell r="L99">
            <v>1389.6898399999998</v>
          </cell>
          <cell r="M99">
            <v>0</v>
          </cell>
          <cell r="N99">
            <v>0.14299999999999999</v>
          </cell>
          <cell r="O99">
            <v>8.0000000000000002E-3</v>
          </cell>
          <cell r="P99">
            <v>1</v>
          </cell>
          <cell r="Q99">
            <v>0.22</v>
          </cell>
          <cell r="R99">
            <v>8.9999999999999993E-3</v>
          </cell>
          <cell r="S99">
            <v>0.85</v>
          </cell>
          <cell r="T99">
            <v>1</v>
          </cell>
          <cell r="U99">
            <v>3.7738174209626004E-12</v>
          </cell>
          <cell r="V99">
            <v>2.5819413353737599E-12</v>
          </cell>
          <cell r="W99">
            <v>3.8726446962259297E-12</v>
          </cell>
          <cell r="X99">
            <v>7.3859179387853007E-12</v>
          </cell>
          <cell r="Y99">
            <v>6.7025422877374503E-10</v>
          </cell>
        </row>
        <row r="100">
          <cell r="A100" t="str">
            <v>01354</v>
          </cell>
          <cell r="B100" t="str">
            <v>Strawberries</v>
          </cell>
          <cell r="C100" t="str">
            <v>Fruits</v>
          </cell>
          <cell r="D100" t="str">
            <v>No</v>
          </cell>
          <cell r="G100">
            <v>0</v>
          </cell>
          <cell r="I100">
            <v>0</v>
          </cell>
          <cell r="J100">
            <v>0</v>
          </cell>
          <cell r="K100">
            <v>300</v>
          </cell>
          <cell r="L100">
            <v>13341.087579999999</v>
          </cell>
          <cell r="M100">
            <v>0</v>
          </cell>
          <cell r="N100">
            <v>0.14299999999999999</v>
          </cell>
          <cell r="O100">
            <v>8.0000000000000002E-3</v>
          </cell>
          <cell r="P100">
            <v>1</v>
          </cell>
          <cell r="Q100">
            <v>0.22</v>
          </cell>
          <cell r="R100">
            <v>8.9999999999999993E-3</v>
          </cell>
          <cell r="S100">
            <v>0.85</v>
          </cell>
          <cell r="T100">
            <v>1</v>
          </cell>
          <cell r="U100">
            <v>3.7738174209626004E-12</v>
          </cell>
          <cell r="V100">
            <v>2.5819413353737599E-12</v>
          </cell>
          <cell r="W100">
            <v>3.8726446962259297E-12</v>
          </cell>
          <cell r="X100">
            <v>7.3859179387853007E-12</v>
          </cell>
          <cell r="Y100">
            <v>6.7025422877374503E-10</v>
          </cell>
        </row>
        <row r="101">
          <cell r="A101" t="str">
            <v>01801</v>
          </cell>
          <cell r="B101" t="str">
            <v>Sugar beet</v>
          </cell>
          <cell r="C101" t="str">
            <v>Sugar crops</v>
          </cell>
          <cell r="D101" t="str">
            <v>No</v>
          </cell>
          <cell r="G101">
            <v>0</v>
          </cell>
          <cell r="I101">
            <v>0</v>
          </cell>
          <cell r="J101">
            <v>0</v>
          </cell>
          <cell r="K101">
            <v>130</v>
          </cell>
          <cell r="L101">
            <v>4876.1641600000003</v>
          </cell>
          <cell r="M101">
            <v>0</v>
          </cell>
          <cell r="N101">
            <v>7.0000000000000001E-3</v>
          </cell>
          <cell r="O101">
            <v>1.9E-2</v>
          </cell>
          <cell r="P101">
            <v>0.4</v>
          </cell>
          <cell r="Q101">
            <v>0.2</v>
          </cell>
          <cell r="R101">
            <v>1.4E-2</v>
          </cell>
          <cell r="S101">
            <v>0.22</v>
          </cell>
          <cell r="T101">
            <v>1</v>
          </cell>
          <cell r="U101">
            <v>3.7738174209626004E-12</v>
          </cell>
          <cell r="V101">
            <v>2.5819413353737599E-12</v>
          </cell>
          <cell r="W101">
            <v>3.8726446962259297E-12</v>
          </cell>
          <cell r="X101">
            <v>7.3859179387853007E-12</v>
          </cell>
          <cell r="Y101">
            <v>6.7025422877374503E-10</v>
          </cell>
        </row>
        <row r="102">
          <cell r="A102" t="str">
            <v>01802</v>
          </cell>
          <cell r="B102" t="str">
            <v>Sugar cane</v>
          </cell>
          <cell r="C102" t="str">
            <v>Sugar crops</v>
          </cell>
          <cell r="D102" t="str">
            <v>No</v>
          </cell>
          <cell r="G102">
            <v>0</v>
          </cell>
          <cell r="I102">
            <v>0</v>
          </cell>
          <cell r="J102">
            <v>0</v>
          </cell>
          <cell r="K102">
            <v>130</v>
          </cell>
          <cell r="L102">
            <v>6831.5745999999999</v>
          </cell>
          <cell r="M102">
            <v>0</v>
          </cell>
          <cell r="N102">
            <v>0.14299999999999999</v>
          </cell>
          <cell r="O102">
            <v>8.0000000000000002E-3</v>
          </cell>
          <cell r="P102">
            <v>1</v>
          </cell>
          <cell r="Q102">
            <v>0.22</v>
          </cell>
          <cell r="R102">
            <v>8.9999999999999993E-3</v>
          </cell>
          <cell r="S102">
            <v>0.85</v>
          </cell>
          <cell r="T102">
            <v>1</v>
          </cell>
          <cell r="U102">
            <v>3.7738174209626004E-12</v>
          </cell>
          <cell r="V102">
            <v>2.5819413353737599E-12</v>
          </cell>
          <cell r="W102">
            <v>3.8726446962259297E-12</v>
          </cell>
          <cell r="X102">
            <v>7.3859179387853007E-12</v>
          </cell>
          <cell r="Y102">
            <v>6.7025422877374503E-10</v>
          </cell>
        </row>
        <row r="103">
          <cell r="A103" t="str">
            <v>01445</v>
          </cell>
          <cell r="B103" t="str">
            <v>Sunflower seed</v>
          </cell>
          <cell r="C103" t="str">
            <v>Oil crops</v>
          </cell>
          <cell r="D103" t="str">
            <v>No</v>
          </cell>
          <cell r="G103">
            <v>130</v>
          </cell>
          <cell r="I103">
            <v>0</v>
          </cell>
          <cell r="J103">
            <v>80</v>
          </cell>
          <cell r="K103">
            <v>65.400000000000006</v>
          </cell>
          <cell r="L103">
            <v>718.30360000000007</v>
          </cell>
          <cell r="M103">
            <v>5.5436975513993201E-4</v>
          </cell>
          <cell r="N103">
            <v>0.14299999999999999</v>
          </cell>
          <cell r="O103">
            <v>8.0000000000000002E-3</v>
          </cell>
          <cell r="P103">
            <v>1</v>
          </cell>
          <cell r="Q103">
            <v>0.22</v>
          </cell>
          <cell r="R103">
            <v>8.9999999999999993E-3</v>
          </cell>
          <cell r="S103">
            <v>0.85</v>
          </cell>
          <cell r="T103">
            <v>1</v>
          </cell>
          <cell r="U103">
            <v>3.7738174209626004E-12</v>
          </cell>
          <cell r="V103">
            <v>2.5819413353737599E-12</v>
          </cell>
          <cell r="W103">
            <v>3.8726446962259297E-12</v>
          </cell>
          <cell r="X103">
            <v>7.3859179387853007E-12</v>
          </cell>
          <cell r="Y103">
            <v>6.7025422877374503E-10</v>
          </cell>
        </row>
        <row r="104">
          <cell r="A104" t="str">
            <v>01530</v>
          </cell>
          <cell r="B104" t="str">
            <v>Sweet potatoes</v>
          </cell>
          <cell r="C104" t="str">
            <v>Roots</v>
          </cell>
          <cell r="D104" t="str">
            <v>No</v>
          </cell>
          <cell r="G104">
            <v>125</v>
          </cell>
          <cell r="I104">
            <v>0</v>
          </cell>
          <cell r="J104">
            <v>50</v>
          </cell>
          <cell r="K104">
            <v>135.5</v>
          </cell>
          <cell r="L104">
            <v>3950.1472000000003</v>
          </cell>
          <cell r="M104">
            <v>1978.43488</v>
          </cell>
          <cell r="N104">
            <v>1.2999999999999999E-2</v>
          </cell>
          <cell r="O104">
            <v>1.9E-2</v>
          </cell>
          <cell r="P104">
            <v>0.4</v>
          </cell>
          <cell r="Q104">
            <v>0.2</v>
          </cell>
          <cell r="R104">
            <v>1.4E-2</v>
          </cell>
          <cell r="S104">
            <v>0.22</v>
          </cell>
          <cell r="T104">
            <v>1</v>
          </cell>
          <cell r="U104">
            <v>3.7738174209626004E-12</v>
          </cell>
          <cell r="V104">
            <v>2.5819413353737599E-12</v>
          </cell>
          <cell r="W104">
            <v>3.8726446962259297E-12</v>
          </cell>
          <cell r="X104">
            <v>7.3859179387853007E-12</v>
          </cell>
          <cell r="Y104">
            <v>6.7025422877374503E-10</v>
          </cell>
        </row>
        <row r="105">
          <cell r="A105" t="str">
            <v>01324</v>
          </cell>
          <cell r="B105" t="str">
            <v>Tangerines, mandarins, clementines</v>
          </cell>
          <cell r="C105" t="str">
            <v>Fruits</v>
          </cell>
          <cell r="D105" t="str">
            <v>No</v>
          </cell>
          <cell r="G105">
            <v>0</v>
          </cell>
          <cell r="I105">
            <v>0</v>
          </cell>
          <cell r="J105">
            <v>0</v>
          </cell>
          <cell r="K105">
            <v>450</v>
          </cell>
          <cell r="L105">
            <v>3109.3788000000004</v>
          </cell>
          <cell r="M105">
            <v>0</v>
          </cell>
          <cell r="N105">
            <v>0.14299999999999999</v>
          </cell>
          <cell r="O105">
            <v>8.0000000000000002E-3</v>
          </cell>
          <cell r="P105">
            <v>1</v>
          </cell>
          <cell r="Q105">
            <v>0.22</v>
          </cell>
          <cell r="R105">
            <v>8.9999999999999993E-3</v>
          </cell>
          <cell r="S105">
            <v>0.85</v>
          </cell>
          <cell r="T105">
            <v>1</v>
          </cell>
          <cell r="U105">
            <v>3.7738174209626004E-12</v>
          </cell>
          <cell r="V105">
            <v>2.5819413353737599E-12</v>
          </cell>
          <cell r="W105">
            <v>3.8726446962259297E-12</v>
          </cell>
          <cell r="X105">
            <v>7.3859179387853007E-12</v>
          </cell>
          <cell r="Y105">
            <v>6.7025422877374503E-10</v>
          </cell>
        </row>
        <row r="106">
          <cell r="A106" t="str">
            <v>01234</v>
          </cell>
          <cell r="B106" t="str">
            <v>Tomatoes, average</v>
          </cell>
          <cell r="C106" t="str">
            <v>Vegetables</v>
          </cell>
          <cell r="D106" t="str">
            <v>No</v>
          </cell>
          <cell r="E106">
            <v>100</v>
          </cell>
          <cell r="G106">
            <v>0</v>
          </cell>
          <cell r="I106">
            <v>0</v>
          </cell>
          <cell r="J106">
            <v>0</v>
          </cell>
          <cell r="K106">
            <v>0</v>
          </cell>
          <cell r="L106">
            <v>1932.5335999999998</v>
          </cell>
          <cell r="M106">
            <v>0</v>
          </cell>
          <cell r="N106">
            <v>0.14299999999999999</v>
          </cell>
          <cell r="O106">
            <v>8.0000000000000002E-3</v>
          </cell>
          <cell r="P106">
            <v>1</v>
          </cell>
          <cell r="Q106">
            <v>0.22</v>
          </cell>
          <cell r="R106">
            <v>8.9999999999999993E-3</v>
          </cell>
          <cell r="S106">
            <v>0.85</v>
          </cell>
          <cell r="T106">
            <v>1</v>
          </cell>
          <cell r="U106">
            <v>4.3152628010601102E-12</v>
          </cell>
          <cell r="V106">
            <v>2.9820702145484398E-12</v>
          </cell>
          <cell r="W106">
            <v>3.9945103972923203E-12</v>
          </cell>
          <cell r="X106">
            <v>8.5069857698406102E-12</v>
          </cell>
          <cell r="Y106">
            <v>7.80206488939318E-10</v>
          </cell>
        </row>
        <row r="107">
          <cell r="A107" t="str">
            <v>01234_gh</v>
          </cell>
          <cell r="B107" t="str">
            <v>Tomatoes, greenhouse</v>
          </cell>
          <cell r="C107" t="str">
            <v>Vegetables</v>
          </cell>
          <cell r="D107" t="str">
            <v>No</v>
          </cell>
        </row>
        <row r="108">
          <cell r="A108" t="str">
            <v>01234_of</v>
          </cell>
          <cell r="B108" t="str">
            <v>Tomatoes, openfield</v>
          </cell>
          <cell r="C108" t="str">
            <v>Vegetables</v>
          </cell>
          <cell r="D108" t="str">
            <v>No</v>
          </cell>
        </row>
        <row r="109">
          <cell r="A109" t="str">
            <v>01191</v>
          </cell>
          <cell r="B109" t="str">
            <v>Triticale</v>
          </cell>
          <cell r="C109" t="str">
            <v>Cereals</v>
          </cell>
          <cell r="D109" t="str">
            <v>No</v>
          </cell>
          <cell r="G109">
            <v>0</v>
          </cell>
          <cell r="I109">
            <v>0</v>
          </cell>
          <cell r="J109">
            <v>0</v>
          </cell>
          <cell r="K109">
            <v>66.7</v>
          </cell>
          <cell r="L109">
            <v>2178.9803200000001</v>
          </cell>
          <cell r="M109">
            <v>0</v>
          </cell>
          <cell r="N109">
            <v>0.14299999999999999</v>
          </cell>
          <cell r="O109">
            <v>8.0000000000000002E-3</v>
          </cell>
          <cell r="P109">
            <v>1</v>
          </cell>
          <cell r="Q109">
            <v>0.22</v>
          </cell>
          <cell r="R109">
            <v>8.9999999999999993E-3</v>
          </cell>
          <cell r="S109">
            <v>0.85</v>
          </cell>
          <cell r="T109">
            <v>1</v>
          </cell>
          <cell r="U109">
            <v>3.7738174209626004E-12</v>
          </cell>
          <cell r="V109">
            <v>2.5819413353737599E-12</v>
          </cell>
          <cell r="W109">
            <v>3.8726446962259297E-12</v>
          </cell>
          <cell r="X109">
            <v>7.3859179387853007E-12</v>
          </cell>
          <cell r="Y109">
            <v>6.7025422877374503E-10</v>
          </cell>
        </row>
        <row r="110">
          <cell r="A110" t="str">
            <v>01929.02</v>
          </cell>
          <cell r="B110" t="str">
            <v>True hemp, raw or retted</v>
          </cell>
          <cell r="C110" t="str">
            <v>Other</v>
          </cell>
          <cell r="D110" t="str">
            <v>No</v>
          </cell>
          <cell r="G110">
            <v>88</v>
          </cell>
          <cell r="I110">
            <v>0</v>
          </cell>
          <cell r="J110">
            <v>30</v>
          </cell>
          <cell r="K110">
            <v>69</v>
          </cell>
          <cell r="L110">
            <v>2930.3023200000002</v>
          </cell>
          <cell r="M110">
            <v>0</v>
          </cell>
          <cell r="N110">
            <v>0.14299999999999999</v>
          </cell>
          <cell r="O110">
            <v>8.0000000000000002E-3</v>
          </cell>
          <cell r="P110">
            <v>1</v>
          </cell>
          <cell r="Q110">
            <v>0.22</v>
          </cell>
          <cell r="R110">
            <v>8.9999999999999993E-3</v>
          </cell>
          <cell r="S110">
            <v>0.85</v>
          </cell>
          <cell r="T110">
            <v>1</v>
          </cell>
          <cell r="U110">
            <v>3.7738174209626004E-12</v>
          </cell>
          <cell r="V110">
            <v>2.5819413353737599E-12</v>
          </cell>
          <cell r="W110">
            <v>3.8726446962259297E-12</v>
          </cell>
          <cell r="X110">
            <v>7.3859179387853007E-12</v>
          </cell>
          <cell r="Y110">
            <v>6.7025422877374503E-10</v>
          </cell>
        </row>
        <row r="111">
          <cell r="A111" t="str">
            <v>01709.01</v>
          </cell>
          <cell r="B111" t="str">
            <v>Vetches</v>
          </cell>
          <cell r="C111" t="str">
            <v>Other</v>
          </cell>
          <cell r="D111" t="str">
            <v>No</v>
          </cell>
          <cell r="G111">
            <v>0</v>
          </cell>
          <cell r="I111">
            <v>0</v>
          </cell>
          <cell r="J111">
            <v>0</v>
          </cell>
          <cell r="K111">
            <v>63.2</v>
          </cell>
          <cell r="L111">
            <v>81.324100000000001</v>
          </cell>
          <cell r="M111">
            <v>0</v>
          </cell>
          <cell r="N111">
            <v>2.1999999999999999E-2</v>
          </cell>
          <cell r="O111">
            <v>8.0000000000000002E-3</v>
          </cell>
          <cell r="P111">
            <v>2.1</v>
          </cell>
          <cell r="Q111">
            <v>0.19</v>
          </cell>
          <cell r="R111">
            <v>8.0000000000000002E-3</v>
          </cell>
          <cell r="S111">
            <v>0.91</v>
          </cell>
          <cell r="T111">
            <v>1</v>
          </cell>
          <cell r="U111">
            <v>3.7738174209626004E-12</v>
          </cell>
          <cell r="V111">
            <v>2.5819413353737599E-12</v>
          </cell>
          <cell r="W111">
            <v>3.8726446962259297E-12</v>
          </cell>
          <cell r="X111">
            <v>7.3859179387853007E-12</v>
          </cell>
          <cell r="Y111">
            <v>6.7025422877374503E-10</v>
          </cell>
        </row>
        <row r="112">
          <cell r="A112" t="str">
            <v>01376</v>
          </cell>
          <cell r="B112" t="str">
            <v>Walnuts, in shell</v>
          </cell>
          <cell r="C112" t="str">
            <v>Nuts</v>
          </cell>
          <cell r="D112" t="str">
            <v>No</v>
          </cell>
          <cell r="G112">
            <v>0</v>
          </cell>
          <cell r="I112">
            <v>0</v>
          </cell>
          <cell r="J112">
            <v>0</v>
          </cell>
          <cell r="K112">
            <v>450</v>
          </cell>
          <cell r="L112">
            <v>1578.56268</v>
          </cell>
          <cell r="M112">
            <v>0</v>
          </cell>
          <cell r="N112">
            <v>0.14299999999999999</v>
          </cell>
          <cell r="O112">
            <v>1.6E-2</v>
          </cell>
          <cell r="P112">
            <v>1</v>
          </cell>
          <cell r="Q112">
            <v>0.22</v>
          </cell>
          <cell r="R112">
            <v>8.9999999999999993E-3</v>
          </cell>
          <cell r="S112">
            <v>0.85</v>
          </cell>
          <cell r="T112">
            <v>1</v>
          </cell>
          <cell r="U112">
            <v>3.7738174209626004E-12</v>
          </cell>
          <cell r="V112">
            <v>2.5819413353737599E-12</v>
          </cell>
          <cell r="W112">
            <v>3.8726446962259297E-12</v>
          </cell>
          <cell r="X112">
            <v>7.3859179387853007E-12</v>
          </cell>
          <cell r="Y112">
            <v>6.7025422877374503E-10</v>
          </cell>
        </row>
        <row r="113">
          <cell r="A113" t="str">
            <v>01221</v>
          </cell>
          <cell r="B113" t="str">
            <v>Watermelons</v>
          </cell>
          <cell r="C113" t="str">
            <v>Fruits</v>
          </cell>
          <cell r="D113" t="str">
            <v>Yes</v>
          </cell>
          <cell r="F113">
            <v>22626.44</v>
          </cell>
          <cell r="G113">
            <v>91.268357834349217</v>
          </cell>
          <cell r="I113">
            <v>208.01843878399995</v>
          </cell>
          <cell r="J113">
            <v>33.127033584319349</v>
          </cell>
          <cell r="K113">
            <v>450</v>
          </cell>
          <cell r="L113">
            <v>746.67251999999985</v>
          </cell>
          <cell r="M113">
            <v>7.2359214327861601</v>
          </cell>
          <cell r="N113">
            <v>0.14299999999999999</v>
          </cell>
          <cell r="O113">
            <v>8.0000000000000002E-3</v>
          </cell>
          <cell r="P113">
            <v>1</v>
          </cell>
          <cell r="Q113">
            <v>0.22</v>
          </cell>
          <cell r="R113">
            <v>8.9999999999999993E-3</v>
          </cell>
          <cell r="S113">
            <v>0.85</v>
          </cell>
          <cell r="T113">
            <v>1</v>
          </cell>
          <cell r="U113">
            <v>9.9999999999999994E-12</v>
          </cell>
          <cell r="V113">
            <v>1.56E-11</v>
          </cell>
          <cell r="W113">
            <v>2.2200000000000002E-11</v>
          </cell>
          <cell r="X113">
            <v>1.33E-12</v>
          </cell>
          <cell r="Y113">
            <v>1.4399999999999999E-10</v>
          </cell>
          <cell r="Z113">
            <v>0.16039547871764137</v>
          </cell>
        </row>
        <row r="114">
          <cell r="A114" t="str">
            <v>01221_gh</v>
          </cell>
          <cell r="B114" t="str">
            <v>Watermelons, greenhouse</v>
          </cell>
          <cell r="C114" t="str">
            <v>Fruits</v>
          </cell>
          <cell r="D114" t="str">
            <v>No</v>
          </cell>
        </row>
        <row r="115">
          <cell r="A115" t="str">
            <v>01221_of</v>
          </cell>
          <cell r="B115" t="str">
            <v>Watermelons, openfield</v>
          </cell>
          <cell r="C115" t="str">
            <v>Fruits</v>
          </cell>
          <cell r="D115" t="str">
            <v>No</v>
          </cell>
        </row>
        <row r="116">
          <cell r="A116" t="str">
            <v>0111</v>
          </cell>
          <cell r="B116" t="str">
            <v>Wheat, average</v>
          </cell>
          <cell r="C116" t="str">
            <v>Cereals, incl feed</v>
          </cell>
          <cell r="D116" t="str">
            <v>No</v>
          </cell>
          <cell r="G116">
            <v>0</v>
          </cell>
          <cell r="I116">
            <v>0</v>
          </cell>
          <cell r="J116">
            <v>0</v>
          </cell>
          <cell r="K116">
            <v>71</v>
          </cell>
          <cell r="L116">
            <v>128.03327999999999</v>
          </cell>
          <cell r="M116">
            <v>0</v>
          </cell>
          <cell r="N116">
            <v>0.11799999999999999</v>
          </cell>
          <cell r="O116">
            <v>6.0000000000000001E-3</v>
          </cell>
          <cell r="P116">
            <v>1.3</v>
          </cell>
          <cell r="Q116">
            <v>0.24</v>
          </cell>
          <cell r="R116">
            <v>8.9999999999999993E-3</v>
          </cell>
          <cell r="S116">
            <v>0.89</v>
          </cell>
          <cell r="T116">
            <v>1</v>
          </cell>
          <cell r="U116">
            <v>3.7738174209626004E-12</v>
          </cell>
          <cell r="V116">
            <v>2.5819413353737599E-12</v>
          </cell>
          <cell r="W116">
            <v>3.8726446962259297E-12</v>
          </cell>
          <cell r="X116">
            <v>7.3859179387853007E-12</v>
          </cell>
          <cell r="Y116">
            <v>6.7025422877374503E-10</v>
          </cell>
        </row>
        <row r="117">
          <cell r="A117" t="str">
            <v>0111_s</v>
          </cell>
          <cell r="B117" t="str">
            <v>Wheat, spring</v>
          </cell>
          <cell r="C117" t="str">
            <v>Cereals</v>
          </cell>
          <cell r="D117" t="str">
            <v>No</v>
          </cell>
        </row>
        <row r="118">
          <cell r="A118" t="str">
            <v>0111_w</v>
          </cell>
          <cell r="B118" t="str">
            <v>Wheat, winter</v>
          </cell>
          <cell r="C118" t="str">
            <v>Cereals</v>
          </cell>
          <cell r="D118" t="str">
            <v>No</v>
          </cell>
        </row>
      </sheetData>
      <sheetData sheetId="3" refreshError="1"/>
      <sheetData sheetId="4" refreshError="1">
        <row r="6">
          <cell r="A6" t="str">
            <v>01371</v>
          </cell>
          <cell r="E6"/>
          <cell r="F6"/>
          <cell r="G6"/>
          <cell r="H6"/>
          <cell r="J6"/>
          <cell r="L6"/>
          <cell r="M6"/>
          <cell r="N6"/>
        </row>
        <row r="7">
          <cell r="A7" t="str">
            <v>01654</v>
          </cell>
          <cell r="E7"/>
          <cell r="F7"/>
          <cell r="G7"/>
          <cell r="H7"/>
          <cell r="J7"/>
          <cell r="L7"/>
          <cell r="M7"/>
          <cell r="N7"/>
        </row>
        <row r="8">
          <cell r="A8" t="str">
            <v>01341</v>
          </cell>
          <cell r="E8"/>
          <cell r="F8"/>
          <cell r="G8"/>
          <cell r="H8"/>
          <cell r="J8"/>
          <cell r="L8"/>
          <cell r="M8"/>
          <cell r="N8"/>
        </row>
        <row r="9">
          <cell r="A9" t="str">
            <v>01343</v>
          </cell>
          <cell r="E9"/>
          <cell r="F9"/>
          <cell r="G9"/>
          <cell r="H9"/>
          <cell r="J9"/>
          <cell r="L9"/>
          <cell r="M9"/>
          <cell r="N9"/>
        </row>
        <row r="10">
          <cell r="A10" t="str">
            <v>01216</v>
          </cell>
          <cell r="E10"/>
          <cell r="F10"/>
          <cell r="G10"/>
          <cell r="H10"/>
          <cell r="J10"/>
          <cell r="L10"/>
          <cell r="M10"/>
          <cell r="N10"/>
        </row>
        <row r="11">
          <cell r="A11" t="str">
            <v>01211</v>
          </cell>
          <cell r="E11"/>
          <cell r="F11"/>
          <cell r="G11"/>
          <cell r="H11"/>
          <cell r="J11"/>
          <cell r="L11"/>
          <cell r="M11"/>
          <cell r="N11"/>
        </row>
        <row r="12">
          <cell r="A12" t="str">
            <v>01311</v>
          </cell>
          <cell r="E12"/>
          <cell r="F12"/>
          <cell r="G12"/>
          <cell r="H12"/>
          <cell r="J12"/>
          <cell r="L12"/>
          <cell r="M12"/>
          <cell r="N12"/>
        </row>
        <row r="13">
          <cell r="A13" t="str">
            <v>01312</v>
          </cell>
          <cell r="E13"/>
          <cell r="F13"/>
          <cell r="G13"/>
          <cell r="H13"/>
          <cell r="J13"/>
          <cell r="L13"/>
          <cell r="M13"/>
          <cell r="N13"/>
        </row>
        <row r="14">
          <cell r="A14" t="str">
            <v>0115</v>
          </cell>
          <cell r="E14"/>
          <cell r="F14"/>
          <cell r="G14"/>
          <cell r="H14"/>
          <cell r="J14"/>
          <cell r="L14"/>
          <cell r="M14"/>
          <cell r="N14"/>
        </row>
        <row r="15">
          <cell r="A15" t="str">
            <v>0115_s</v>
          </cell>
          <cell r="E15"/>
          <cell r="F15"/>
          <cell r="G15"/>
          <cell r="H15"/>
          <cell r="J15"/>
          <cell r="L15"/>
          <cell r="M15"/>
          <cell r="N15"/>
        </row>
        <row r="16">
          <cell r="A16" t="str">
            <v>0115_w</v>
          </cell>
          <cell r="E16"/>
          <cell r="F16"/>
          <cell r="G16"/>
          <cell r="H16"/>
          <cell r="J16"/>
          <cell r="L16"/>
          <cell r="M16"/>
          <cell r="N16"/>
        </row>
        <row r="17">
          <cell r="A17" t="str">
            <v>01701</v>
          </cell>
          <cell r="E17"/>
          <cell r="F17"/>
          <cell r="G17"/>
          <cell r="H17"/>
          <cell r="J17"/>
          <cell r="L17"/>
          <cell r="M17"/>
          <cell r="N17"/>
        </row>
        <row r="18">
          <cell r="A18" t="str">
            <v>01355.01</v>
          </cell>
          <cell r="E18"/>
          <cell r="F18"/>
          <cell r="G18"/>
          <cell r="H18"/>
          <cell r="J18"/>
          <cell r="L18"/>
          <cell r="M18"/>
          <cell r="N18"/>
        </row>
        <row r="19">
          <cell r="A19" t="str">
            <v>01377</v>
          </cell>
          <cell r="E19"/>
          <cell r="F19"/>
          <cell r="G19"/>
          <cell r="H19"/>
          <cell r="J19"/>
          <cell r="L19"/>
          <cell r="M19"/>
          <cell r="N19"/>
        </row>
        <row r="20">
          <cell r="A20" t="str">
            <v>01702</v>
          </cell>
          <cell r="E20"/>
          <cell r="F20"/>
          <cell r="G20"/>
          <cell r="H20"/>
          <cell r="J20"/>
          <cell r="L20"/>
          <cell r="M20"/>
          <cell r="N20"/>
        </row>
        <row r="21">
          <cell r="A21" t="str">
            <v>01243</v>
          </cell>
          <cell r="E21"/>
          <cell r="F21"/>
          <cell r="G21"/>
          <cell r="H21"/>
          <cell r="J21"/>
          <cell r="L21"/>
          <cell r="M21"/>
          <cell r="N21"/>
        </row>
        <row r="22">
          <cell r="A22" t="str">
            <v>01213_b</v>
          </cell>
          <cell r="E22"/>
          <cell r="F22"/>
          <cell r="G22"/>
          <cell r="H22"/>
          <cell r="J22"/>
          <cell r="L22"/>
          <cell r="M22"/>
          <cell r="N22"/>
        </row>
        <row r="23">
          <cell r="A23" t="str">
            <v>01192</v>
          </cell>
          <cell r="E23"/>
          <cell r="F23"/>
          <cell r="G23"/>
          <cell r="H23"/>
          <cell r="J23"/>
          <cell r="L23"/>
          <cell r="M23"/>
          <cell r="N23"/>
        </row>
        <row r="24">
          <cell r="A24" t="str">
            <v>01212</v>
          </cell>
          <cell r="E24"/>
          <cell r="F24"/>
          <cell r="G24"/>
          <cell r="H24"/>
          <cell r="J24"/>
          <cell r="L24"/>
          <cell r="M24"/>
          <cell r="N24"/>
        </row>
        <row r="25">
          <cell r="A25" t="str">
            <v>01229</v>
          </cell>
          <cell r="E25">
            <v>0.13508846060406662</v>
          </cell>
          <cell r="F25">
            <v>2.2669368498924671E-2</v>
          </cell>
          <cell r="G25">
            <v>2.7E-2</v>
          </cell>
          <cell r="H25">
            <v>0</v>
          </cell>
          <cell r="J25">
            <v>4.779138861246849E-2</v>
          </cell>
          <cell r="L25">
            <v>2.4759290005325705E-3</v>
          </cell>
          <cell r="M25">
            <v>1.6455890000000001E-2</v>
          </cell>
          <cell r="N25">
            <v>1.869588449214089E-2</v>
          </cell>
        </row>
        <row r="26">
          <cell r="A26" t="str">
            <v>01251</v>
          </cell>
          <cell r="E26"/>
          <cell r="F26"/>
          <cell r="G26"/>
          <cell r="H26"/>
          <cell r="J26"/>
          <cell r="L26"/>
          <cell r="M26"/>
          <cell r="N26"/>
        </row>
        <row r="27">
          <cell r="A27" t="str">
            <v>01372</v>
          </cell>
          <cell r="E27"/>
          <cell r="F27"/>
          <cell r="G27"/>
          <cell r="H27"/>
          <cell r="J27"/>
          <cell r="L27"/>
          <cell r="M27"/>
          <cell r="N27"/>
        </row>
        <row r="28">
          <cell r="A28" t="str">
            <v>01213_cf</v>
          </cell>
          <cell r="E28"/>
          <cell r="F28"/>
          <cell r="G28"/>
          <cell r="H28"/>
          <cell r="J28"/>
          <cell r="L28"/>
          <cell r="M28"/>
          <cell r="N28"/>
        </row>
        <row r="29">
          <cell r="A29" t="str">
            <v>01213</v>
          </cell>
          <cell r="E29"/>
          <cell r="F29"/>
          <cell r="G29"/>
          <cell r="H29"/>
          <cell r="J29"/>
          <cell r="L29"/>
          <cell r="M29"/>
          <cell r="N29"/>
        </row>
        <row r="30">
          <cell r="A30" t="str">
            <v>01199.90</v>
          </cell>
          <cell r="E30"/>
          <cell r="F30"/>
          <cell r="G30"/>
          <cell r="H30"/>
          <cell r="J30"/>
          <cell r="L30"/>
          <cell r="M30"/>
          <cell r="N30"/>
        </row>
        <row r="31">
          <cell r="A31" t="str">
            <v>01344.02</v>
          </cell>
          <cell r="E31"/>
          <cell r="F31"/>
          <cell r="G31"/>
          <cell r="H31"/>
          <cell r="J31"/>
          <cell r="L31"/>
          <cell r="M31"/>
          <cell r="N31"/>
        </row>
        <row r="32">
          <cell r="A32" t="str">
            <v>01373</v>
          </cell>
          <cell r="E32"/>
          <cell r="F32"/>
          <cell r="G32"/>
          <cell r="H32"/>
          <cell r="J32"/>
          <cell r="L32"/>
          <cell r="M32"/>
          <cell r="N32"/>
        </row>
        <row r="33">
          <cell r="A33" t="str">
            <v>01703</v>
          </cell>
          <cell r="E33"/>
          <cell r="F33"/>
          <cell r="G33"/>
          <cell r="H33"/>
          <cell r="J33"/>
          <cell r="L33"/>
          <cell r="M33"/>
          <cell r="N33"/>
        </row>
        <row r="34">
          <cell r="A34" t="str">
            <v>01231</v>
          </cell>
          <cell r="E34"/>
          <cell r="F34"/>
          <cell r="G34"/>
          <cell r="H34"/>
          <cell r="J34"/>
          <cell r="L34"/>
          <cell r="M34"/>
          <cell r="N34"/>
        </row>
        <row r="35">
          <cell r="A35" t="str">
            <v>01640</v>
          </cell>
          <cell r="E35"/>
          <cell r="F35"/>
          <cell r="G35"/>
          <cell r="H35"/>
          <cell r="J35"/>
          <cell r="L35"/>
          <cell r="M35"/>
          <cell r="N35"/>
        </row>
        <row r="36">
          <cell r="A36" t="str">
            <v>01460</v>
          </cell>
          <cell r="E36"/>
          <cell r="F36"/>
          <cell r="G36"/>
          <cell r="H36"/>
          <cell r="J36"/>
          <cell r="L36"/>
          <cell r="M36"/>
          <cell r="N36"/>
        </row>
        <row r="37">
          <cell r="A37" t="str">
            <v>01610</v>
          </cell>
          <cell r="E37">
            <v>0.65729552993902196</v>
          </cell>
          <cell r="F37">
            <v>0.19596946641474355</v>
          </cell>
          <cell r="G37">
            <v>2.7E-2</v>
          </cell>
          <cell r="H37">
            <v>0</v>
          </cell>
          <cell r="J37">
            <v>0.21689919532500057</v>
          </cell>
          <cell r="L37">
            <v>1.3580095427163494E-2</v>
          </cell>
          <cell r="M37">
            <v>0</v>
          </cell>
          <cell r="N37">
            <v>0.20384677277211433</v>
          </cell>
        </row>
        <row r="38">
          <cell r="A38" t="str">
            <v>01232</v>
          </cell>
          <cell r="E38"/>
          <cell r="F38"/>
          <cell r="G38"/>
          <cell r="H38"/>
          <cell r="J38"/>
          <cell r="K38" t="e">
            <v>#DIV/0!</v>
          </cell>
          <cell r="L38"/>
          <cell r="M38"/>
          <cell r="N38"/>
        </row>
        <row r="39">
          <cell r="A39" t="str">
            <v>01232_gh</v>
          </cell>
          <cell r="E39"/>
          <cell r="F39"/>
          <cell r="G39"/>
          <cell r="H39"/>
          <cell r="K39" t="e">
            <v>#DIV/0!</v>
          </cell>
          <cell r="L39"/>
          <cell r="M39"/>
          <cell r="N39"/>
        </row>
        <row r="40">
          <cell r="A40" t="str">
            <v>01232_of</v>
          </cell>
          <cell r="E40"/>
          <cell r="F40"/>
          <cell r="G40"/>
          <cell r="H40"/>
          <cell r="J40"/>
          <cell r="L40"/>
          <cell r="M40"/>
          <cell r="N40"/>
        </row>
        <row r="41">
          <cell r="A41" t="str">
            <v>01351.01</v>
          </cell>
          <cell r="E41"/>
          <cell r="F41"/>
          <cell r="G41"/>
          <cell r="H41"/>
          <cell r="J41"/>
          <cell r="L41"/>
          <cell r="M41"/>
          <cell r="N41"/>
        </row>
        <row r="42">
          <cell r="A42" t="str">
            <v>01314</v>
          </cell>
          <cell r="E42"/>
          <cell r="F42"/>
          <cell r="G42"/>
          <cell r="H42"/>
          <cell r="J42"/>
          <cell r="L42"/>
          <cell r="M42"/>
          <cell r="N42"/>
        </row>
        <row r="43">
          <cell r="A43" t="str">
            <v>01599.10</v>
          </cell>
          <cell r="E43"/>
          <cell r="F43"/>
          <cell r="G43"/>
          <cell r="H43"/>
          <cell r="J43"/>
          <cell r="L43"/>
          <cell r="M43"/>
          <cell r="N43"/>
        </row>
        <row r="44">
          <cell r="A44" t="str">
            <v>01233</v>
          </cell>
          <cell r="E44"/>
          <cell r="F44"/>
          <cell r="G44"/>
          <cell r="H44"/>
          <cell r="J44"/>
          <cell r="L44"/>
          <cell r="M44"/>
          <cell r="N44"/>
        </row>
        <row r="45">
          <cell r="A45" t="str">
            <v>01315</v>
          </cell>
          <cell r="E45"/>
          <cell r="F45"/>
          <cell r="G45"/>
          <cell r="H45"/>
          <cell r="J45"/>
          <cell r="L45"/>
          <cell r="M45"/>
          <cell r="N45"/>
        </row>
        <row r="46">
          <cell r="A46" t="str">
            <v>01351.02</v>
          </cell>
          <cell r="E46"/>
          <cell r="F46"/>
          <cell r="G46"/>
          <cell r="H46"/>
          <cell r="J46"/>
          <cell r="L46"/>
          <cell r="M46"/>
          <cell r="N46"/>
        </row>
        <row r="47">
          <cell r="A47" t="str">
            <v>01330</v>
          </cell>
          <cell r="E47"/>
          <cell r="F47"/>
          <cell r="G47"/>
          <cell r="H47"/>
          <cell r="J47"/>
          <cell r="L47"/>
          <cell r="M47"/>
          <cell r="N47"/>
        </row>
        <row r="48">
          <cell r="A48" t="str">
            <v>01290.01</v>
          </cell>
          <cell r="E48"/>
          <cell r="F48"/>
          <cell r="G48"/>
          <cell r="H48"/>
          <cell r="J48"/>
          <cell r="L48"/>
          <cell r="M48"/>
          <cell r="N48"/>
        </row>
        <row r="49">
          <cell r="A49" t="str">
            <v>01252</v>
          </cell>
          <cell r="E49"/>
          <cell r="F49"/>
          <cell r="G49"/>
          <cell r="H49"/>
          <cell r="J49"/>
          <cell r="L49"/>
          <cell r="M49"/>
          <cell r="N49"/>
        </row>
        <row r="50">
          <cell r="A50" t="str">
            <v>0142</v>
          </cell>
          <cell r="E50"/>
          <cell r="F50"/>
          <cell r="G50"/>
          <cell r="H50"/>
          <cell r="J50"/>
          <cell r="L50"/>
          <cell r="M50"/>
          <cell r="N50"/>
        </row>
        <row r="51">
          <cell r="A51" t="str">
            <v>01374</v>
          </cell>
          <cell r="E51"/>
          <cell r="F51"/>
          <cell r="G51"/>
          <cell r="H51"/>
          <cell r="J51"/>
          <cell r="L51"/>
          <cell r="M51"/>
          <cell r="N51"/>
        </row>
        <row r="52">
          <cell r="A52" t="str">
            <v>01352</v>
          </cell>
          <cell r="E52"/>
          <cell r="F52"/>
          <cell r="G52"/>
          <cell r="H52"/>
          <cell r="J52"/>
          <cell r="L52"/>
          <cell r="M52"/>
          <cell r="N52"/>
        </row>
        <row r="53">
          <cell r="A53" t="str">
            <v>01254</v>
          </cell>
          <cell r="E53"/>
          <cell r="F53"/>
          <cell r="G53"/>
          <cell r="H53"/>
          <cell r="J53"/>
          <cell r="L53"/>
          <cell r="M53"/>
          <cell r="N53"/>
        </row>
        <row r="54">
          <cell r="A54" t="str">
            <v>01322</v>
          </cell>
          <cell r="E54"/>
          <cell r="F54"/>
          <cell r="G54"/>
          <cell r="H54"/>
          <cell r="J54"/>
          <cell r="L54"/>
          <cell r="M54"/>
          <cell r="N54"/>
        </row>
        <row r="55">
          <cell r="A55" t="str">
            <v>01704</v>
          </cell>
          <cell r="E55"/>
          <cell r="F55"/>
          <cell r="G55"/>
          <cell r="H55"/>
          <cell r="J55"/>
          <cell r="L55"/>
          <cell r="M55"/>
          <cell r="N55"/>
        </row>
        <row r="56">
          <cell r="A56" t="str">
            <v>01214</v>
          </cell>
          <cell r="E56"/>
          <cell r="F56"/>
          <cell r="G56"/>
          <cell r="H56"/>
          <cell r="J56"/>
          <cell r="L56"/>
          <cell r="M56"/>
          <cell r="N56"/>
        </row>
        <row r="57">
          <cell r="A57" t="str">
            <v>01441</v>
          </cell>
          <cell r="E57"/>
          <cell r="F57"/>
          <cell r="G57"/>
          <cell r="H57"/>
          <cell r="J57"/>
          <cell r="L57"/>
          <cell r="M57"/>
          <cell r="N57"/>
        </row>
        <row r="58">
          <cell r="A58" t="str">
            <v>01709.02</v>
          </cell>
          <cell r="E58"/>
          <cell r="F58"/>
          <cell r="G58"/>
          <cell r="H58"/>
          <cell r="J58"/>
          <cell r="L58"/>
          <cell r="M58"/>
          <cell r="N58"/>
        </row>
        <row r="59">
          <cell r="A59" t="str">
            <v>0112</v>
          </cell>
          <cell r="E59"/>
          <cell r="F59"/>
          <cell r="G59"/>
          <cell r="H59"/>
          <cell r="J59"/>
          <cell r="L59"/>
          <cell r="M59"/>
          <cell r="N59"/>
        </row>
        <row r="60">
          <cell r="A60" t="str">
            <v>01316</v>
          </cell>
          <cell r="E60">
            <v>0.1518539979142936</v>
          </cell>
          <cell r="F60">
            <v>4.50875346395136E-2</v>
          </cell>
          <cell r="G60">
            <v>2.7E-2</v>
          </cell>
          <cell r="H60">
            <v>0</v>
          </cell>
          <cell r="J60">
            <v>5.6460672416464401E-2</v>
          </cell>
          <cell r="L60">
            <v>2.4759290005325705E-3</v>
          </cell>
          <cell r="M60">
            <v>1.6455890000000001E-2</v>
          </cell>
          <cell r="N60">
            <v>4.3739718577830485E-3</v>
          </cell>
        </row>
        <row r="61">
          <cell r="A61" t="str">
            <v>0118</v>
          </cell>
          <cell r="E61"/>
          <cell r="F61"/>
          <cell r="G61"/>
          <cell r="H61"/>
          <cell r="J61"/>
          <cell r="L61"/>
          <cell r="M61"/>
          <cell r="N61"/>
        </row>
        <row r="62">
          <cell r="A62" t="str">
            <v>01199.02</v>
          </cell>
          <cell r="E62"/>
          <cell r="F62"/>
          <cell r="G62"/>
          <cell r="H62"/>
          <cell r="J62"/>
          <cell r="L62"/>
          <cell r="M62"/>
          <cell r="N62"/>
        </row>
        <row r="63">
          <cell r="A63" t="str">
            <v>01270</v>
          </cell>
          <cell r="E63"/>
          <cell r="F63"/>
          <cell r="G63"/>
          <cell r="H63"/>
          <cell r="J63"/>
          <cell r="L63"/>
          <cell r="M63"/>
          <cell r="N63"/>
        </row>
        <row r="64">
          <cell r="A64" t="str">
            <v>0117</v>
          </cell>
          <cell r="E64"/>
          <cell r="F64"/>
          <cell r="G64"/>
          <cell r="H64"/>
          <cell r="J64"/>
          <cell r="L64"/>
          <cell r="M64"/>
          <cell r="N64"/>
        </row>
        <row r="65">
          <cell r="A65" t="str">
            <v>01491.01</v>
          </cell>
          <cell r="E65"/>
          <cell r="F65"/>
          <cell r="G65"/>
          <cell r="H65"/>
          <cell r="J65"/>
          <cell r="L65"/>
          <cell r="M65"/>
          <cell r="N65"/>
        </row>
        <row r="66">
          <cell r="A66" t="str">
            <v>01450</v>
          </cell>
          <cell r="E66"/>
          <cell r="F66"/>
          <cell r="G66"/>
          <cell r="H66"/>
          <cell r="J66"/>
          <cell r="L66"/>
          <cell r="M66"/>
          <cell r="N66"/>
        </row>
        <row r="67">
          <cell r="A67" t="str">
            <v>01253.02</v>
          </cell>
          <cell r="E67"/>
          <cell r="F67"/>
          <cell r="G67"/>
          <cell r="H67"/>
          <cell r="J67"/>
          <cell r="L67"/>
          <cell r="M67"/>
          <cell r="N67"/>
        </row>
        <row r="68">
          <cell r="A68" t="str">
            <v>01323</v>
          </cell>
          <cell r="E68">
            <v>0.13816027092574315</v>
          </cell>
          <cell r="F68">
            <v>4.50875346395136E-2</v>
          </cell>
          <cell r="G68">
            <v>2.7E-2</v>
          </cell>
          <cell r="H68">
            <v>0</v>
          </cell>
          <cell r="J68">
            <v>4.2219802117848787E-2</v>
          </cell>
          <cell r="L68">
            <v>1.5005630306258002E-4</v>
          </cell>
          <cell r="M68">
            <v>1.6455890000000001E-2</v>
          </cell>
          <cell r="N68">
            <v>7.2469878653181486E-3</v>
          </cell>
        </row>
        <row r="69">
          <cell r="A69" t="str">
            <v>01241.90</v>
          </cell>
          <cell r="E69"/>
          <cell r="F69"/>
          <cell r="G69"/>
          <cell r="H69"/>
          <cell r="J69"/>
          <cell r="L69"/>
          <cell r="M69"/>
          <cell r="N69"/>
        </row>
        <row r="70">
          <cell r="A70" t="str">
            <v>01359.90</v>
          </cell>
          <cell r="E70"/>
          <cell r="F70"/>
          <cell r="G70"/>
          <cell r="H70"/>
          <cell r="J70"/>
          <cell r="L70"/>
          <cell r="M70"/>
          <cell r="N70"/>
        </row>
        <row r="71">
          <cell r="A71" t="str">
            <v>01449.90</v>
          </cell>
          <cell r="E71"/>
          <cell r="F71"/>
          <cell r="G71"/>
          <cell r="H71"/>
          <cell r="J71"/>
          <cell r="L71"/>
          <cell r="M71"/>
          <cell r="N71"/>
        </row>
        <row r="72">
          <cell r="A72" t="str">
            <v>01709.90</v>
          </cell>
          <cell r="E72"/>
          <cell r="F72"/>
          <cell r="G72"/>
          <cell r="H72"/>
          <cell r="J72"/>
          <cell r="L72"/>
          <cell r="M72"/>
          <cell r="N72"/>
        </row>
        <row r="73">
          <cell r="A73" t="str">
            <v>01699</v>
          </cell>
          <cell r="E73"/>
          <cell r="F73"/>
          <cell r="G73"/>
          <cell r="H73"/>
          <cell r="J73"/>
          <cell r="L73"/>
          <cell r="M73"/>
          <cell r="N73"/>
        </row>
        <row r="74">
          <cell r="A74" t="str">
            <v>01290.90</v>
          </cell>
          <cell r="E74"/>
          <cell r="F74"/>
          <cell r="G74"/>
          <cell r="H74"/>
          <cell r="J74"/>
          <cell r="L74"/>
          <cell r="M74"/>
          <cell r="N74"/>
        </row>
        <row r="75">
          <cell r="A75" t="str">
            <v>01317</v>
          </cell>
          <cell r="E75">
            <v>0.13011409016349765</v>
          </cell>
          <cell r="F75">
            <v>4.5087534639513593E-2</v>
          </cell>
          <cell r="G75">
            <v>2.7E-2</v>
          </cell>
          <cell r="H75">
            <v>0</v>
          </cell>
          <cell r="J75">
            <v>2.8934416565893573E-2</v>
          </cell>
          <cell r="L75">
            <v>2.4759290005325705E-3</v>
          </cell>
          <cell r="M75">
            <v>1.6455890000000001E-2</v>
          </cell>
          <cell r="N75">
            <v>1.0160319957557904E-2</v>
          </cell>
        </row>
        <row r="76">
          <cell r="A76" t="str">
            <v>01345</v>
          </cell>
          <cell r="E76"/>
          <cell r="F76"/>
          <cell r="G76"/>
          <cell r="H76"/>
          <cell r="J76"/>
          <cell r="L76"/>
          <cell r="M76"/>
          <cell r="N76"/>
        </row>
        <row r="77">
          <cell r="A77" t="str">
            <v>01342.01</v>
          </cell>
          <cell r="E77"/>
          <cell r="F77"/>
          <cell r="G77"/>
          <cell r="H77"/>
          <cell r="J77"/>
          <cell r="L77"/>
          <cell r="M77"/>
          <cell r="N77"/>
        </row>
        <row r="78">
          <cell r="A78" t="str">
            <v>01705</v>
          </cell>
          <cell r="E78"/>
          <cell r="F78"/>
          <cell r="G78"/>
          <cell r="H78"/>
          <cell r="J78"/>
          <cell r="L78"/>
          <cell r="M78"/>
          <cell r="N78"/>
        </row>
        <row r="79">
          <cell r="A79" t="str">
            <v>01242</v>
          </cell>
          <cell r="E79"/>
          <cell r="F79"/>
          <cell r="G79"/>
          <cell r="H79"/>
          <cell r="J79"/>
          <cell r="L79"/>
          <cell r="M79"/>
          <cell r="N79"/>
        </row>
        <row r="80">
          <cell r="A80" t="str">
            <v>01651</v>
          </cell>
          <cell r="E80">
            <v>2.0667811497048132</v>
          </cell>
          <cell r="F80">
            <v>1.6878638039526394E-2</v>
          </cell>
          <cell r="G80">
            <v>2.7E-2</v>
          </cell>
          <cell r="H80">
            <v>0</v>
          </cell>
          <cell r="J80">
            <v>0.40077210195158369</v>
          </cell>
          <cell r="L80">
            <v>7.4277870015977123E-3</v>
          </cell>
          <cell r="M80">
            <v>1.6455890000000001E-2</v>
          </cell>
          <cell r="N80">
            <v>1.5982467327121055</v>
          </cell>
        </row>
        <row r="81">
          <cell r="A81" t="str">
            <v>01318</v>
          </cell>
          <cell r="E81"/>
          <cell r="F81"/>
          <cell r="G81"/>
          <cell r="H81"/>
          <cell r="J81"/>
          <cell r="L81"/>
          <cell r="M81"/>
          <cell r="N81"/>
        </row>
        <row r="82">
          <cell r="A82" t="str">
            <v>01313</v>
          </cell>
          <cell r="E82"/>
          <cell r="F82"/>
          <cell r="G82"/>
          <cell r="H82"/>
          <cell r="J82"/>
          <cell r="L82"/>
          <cell r="M82"/>
          <cell r="N82"/>
        </row>
        <row r="83">
          <cell r="A83" t="str">
            <v>01346</v>
          </cell>
          <cell r="E83"/>
          <cell r="F83"/>
          <cell r="G83"/>
          <cell r="H83"/>
          <cell r="J83"/>
          <cell r="L83"/>
          <cell r="M83"/>
          <cell r="N83"/>
        </row>
        <row r="84">
          <cell r="A84" t="str">
            <v>01321</v>
          </cell>
          <cell r="E84"/>
          <cell r="F84"/>
          <cell r="G84"/>
          <cell r="H84"/>
          <cell r="J84"/>
          <cell r="L84"/>
          <cell r="M84"/>
          <cell r="N84"/>
        </row>
        <row r="85">
          <cell r="A85" t="str">
            <v>01448</v>
          </cell>
          <cell r="E85"/>
          <cell r="F85"/>
          <cell r="G85"/>
          <cell r="H85"/>
          <cell r="J85"/>
          <cell r="L85"/>
          <cell r="M85"/>
          <cell r="N85"/>
        </row>
        <row r="86">
          <cell r="A86" t="str">
            <v>01510</v>
          </cell>
          <cell r="E86"/>
          <cell r="F86"/>
          <cell r="G86"/>
          <cell r="H86"/>
          <cell r="J86"/>
          <cell r="L86"/>
          <cell r="M86"/>
          <cell r="N86"/>
        </row>
        <row r="87">
          <cell r="A87" t="str">
            <v>01235</v>
          </cell>
          <cell r="E87"/>
          <cell r="F87"/>
          <cell r="G87"/>
          <cell r="H87"/>
          <cell r="J87"/>
          <cell r="L87"/>
          <cell r="M87"/>
          <cell r="N87"/>
        </row>
        <row r="88">
          <cell r="A88" t="str">
            <v>01342.02</v>
          </cell>
          <cell r="E88"/>
          <cell r="F88"/>
          <cell r="G88"/>
          <cell r="H88"/>
          <cell r="J88"/>
          <cell r="L88"/>
          <cell r="M88"/>
          <cell r="N88"/>
        </row>
        <row r="89">
          <cell r="A89" t="str">
            <v>01194</v>
          </cell>
          <cell r="E89"/>
          <cell r="F89"/>
          <cell r="G89"/>
          <cell r="H89"/>
          <cell r="J89"/>
          <cell r="L89"/>
          <cell r="M89"/>
          <cell r="N89"/>
        </row>
        <row r="90">
          <cell r="A90" t="str">
            <v>01443</v>
          </cell>
          <cell r="E90"/>
          <cell r="F90"/>
          <cell r="G90"/>
          <cell r="H90"/>
          <cell r="J90"/>
          <cell r="L90"/>
          <cell r="M90"/>
          <cell r="N90"/>
        </row>
        <row r="91">
          <cell r="A91" t="str">
            <v>01443_s</v>
          </cell>
          <cell r="E91"/>
          <cell r="F91"/>
          <cell r="G91"/>
          <cell r="H91"/>
          <cell r="J91"/>
          <cell r="L91"/>
          <cell r="M91"/>
          <cell r="N91"/>
        </row>
        <row r="92">
          <cell r="A92" t="str">
            <v>01443_w</v>
          </cell>
          <cell r="E92"/>
          <cell r="F92"/>
          <cell r="G92"/>
          <cell r="H92"/>
          <cell r="J92"/>
          <cell r="L92"/>
          <cell r="M92"/>
          <cell r="N92"/>
        </row>
        <row r="93">
          <cell r="A93" t="str">
            <v>01353.01</v>
          </cell>
          <cell r="E93"/>
          <cell r="F93"/>
          <cell r="G93"/>
          <cell r="H93"/>
          <cell r="J93"/>
          <cell r="L93"/>
          <cell r="M93"/>
          <cell r="N93"/>
        </row>
        <row r="94">
          <cell r="A94" t="str">
            <v>0113</v>
          </cell>
          <cell r="E94"/>
          <cell r="F94"/>
          <cell r="G94"/>
          <cell r="H94"/>
          <cell r="J94"/>
          <cell r="L94"/>
          <cell r="M94"/>
          <cell r="N94"/>
        </row>
        <row r="95">
          <cell r="A95" t="str">
            <v>0116</v>
          </cell>
          <cell r="E95"/>
          <cell r="F95"/>
          <cell r="G95"/>
          <cell r="H95"/>
          <cell r="J95"/>
          <cell r="L95"/>
          <cell r="M95"/>
          <cell r="N95"/>
        </row>
        <row r="96">
          <cell r="A96" t="str">
            <v>0114</v>
          </cell>
          <cell r="E96"/>
          <cell r="F96"/>
          <cell r="G96"/>
          <cell r="H96"/>
          <cell r="J96"/>
          <cell r="L96"/>
          <cell r="M96"/>
          <cell r="N96"/>
        </row>
        <row r="97">
          <cell r="A97" t="str">
            <v>01344.01</v>
          </cell>
          <cell r="E97"/>
          <cell r="F97"/>
          <cell r="G97"/>
          <cell r="H97"/>
          <cell r="J97"/>
          <cell r="L97"/>
          <cell r="M97"/>
          <cell r="N97"/>
        </row>
        <row r="98">
          <cell r="A98" t="str">
            <v>0141</v>
          </cell>
          <cell r="E98">
            <v>0.92075744066996734</v>
          </cell>
          <cell r="F98">
            <v>3.8012291590112874E-3</v>
          </cell>
          <cell r="G98">
            <v>2.7E-2</v>
          </cell>
          <cell r="H98">
            <v>0</v>
          </cell>
          <cell r="J98">
            <v>5.0646723842195554E-2</v>
          </cell>
          <cell r="L98">
            <v>7.5028151531290012E-5</v>
          </cell>
          <cell r="M98">
            <v>3.8415164000000009E-2</v>
          </cell>
          <cell r="N98">
            <v>0.80081929551722919</v>
          </cell>
        </row>
        <row r="99">
          <cell r="A99" t="str">
            <v>01215</v>
          </cell>
          <cell r="E99"/>
          <cell r="F99"/>
          <cell r="G99"/>
          <cell r="H99"/>
          <cell r="J99"/>
          <cell r="L99"/>
          <cell r="M99"/>
          <cell r="N99"/>
        </row>
        <row r="100">
          <cell r="A100" t="str">
            <v>01354</v>
          </cell>
          <cell r="E100"/>
          <cell r="F100"/>
          <cell r="G100"/>
          <cell r="H100"/>
          <cell r="J100"/>
          <cell r="L100"/>
          <cell r="M100"/>
          <cell r="N100"/>
        </row>
        <row r="101">
          <cell r="A101" t="str">
            <v>01801</v>
          </cell>
          <cell r="E101"/>
          <cell r="F101"/>
          <cell r="G101"/>
          <cell r="H101"/>
          <cell r="J101"/>
          <cell r="L101"/>
          <cell r="M101"/>
          <cell r="N101"/>
        </row>
        <row r="102">
          <cell r="A102" t="str">
            <v>01802</v>
          </cell>
          <cell r="E102"/>
          <cell r="F102"/>
          <cell r="G102"/>
          <cell r="H102"/>
          <cell r="J102"/>
          <cell r="L102"/>
          <cell r="M102"/>
          <cell r="N102"/>
        </row>
        <row r="103">
          <cell r="A103" t="str">
            <v>01445</v>
          </cell>
          <cell r="E103"/>
          <cell r="F103"/>
          <cell r="G103"/>
          <cell r="H103"/>
          <cell r="J103"/>
          <cell r="L103"/>
          <cell r="M103"/>
          <cell r="N103"/>
        </row>
        <row r="104">
          <cell r="A104" t="str">
            <v>01530</v>
          </cell>
          <cell r="E104"/>
          <cell r="F104"/>
          <cell r="G104"/>
          <cell r="H104"/>
          <cell r="J104"/>
          <cell r="L104"/>
          <cell r="M104"/>
          <cell r="N104"/>
        </row>
        <row r="105">
          <cell r="A105" t="str">
            <v>01324</v>
          </cell>
          <cell r="E105"/>
          <cell r="F105"/>
          <cell r="G105"/>
          <cell r="H105"/>
          <cell r="J105"/>
          <cell r="L105"/>
          <cell r="M105"/>
          <cell r="N105"/>
        </row>
        <row r="106">
          <cell r="A106" t="str">
            <v>01234</v>
          </cell>
          <cell r="E106"/>
          <cell r="F106"/>
          <cell r="G106"/>
          <cell r="J106"/>
          <cell r="K106" t="e">
            <v>#DIV/0!</v>
          </cell>
          <cell r="M106"/>
          <cell r="N106"/>
        </row>
        <row r="107">
          <cell r="A107" t="str">
            <v>01234_gh</v>
          </cell>
          <cell r="E107"/>
          <cell r="F107"/>
          <cell r="G107"/>
          <cell r="J107"/>
          <cell r="M107"/>
          <cell r="N107"/>
        </row>
        <row r="108">
          <cell r="A108" t="str">
            <v>01234_of</v>
          </cell>
          <cell r="E108"/>
          <cell r="F108"/>
          <cell r="G108"/>
          <cell r="H108"/>
          <cell r="J108"/>
          <cell r="L108"/>
          <cell r="M108"/>
          <cell r="N108"/>
        </row>
        <row r="109">
          <cell r="A109" t="str">
            <v>01191</v>
          </cell>
          <cell r="E109"/>
          <cell r="F109"/>
          <cell r="G109"/>
          <cell r="H109"/>
          <cell r="J109"/>
          <cell r="L109"/>
          <cell r="M109"/>
          <cell r="N109"/>
        </row>
        <row r="110">
          <cell r="A110" t="str">
            <v>01929.02</v>
          </cell>
          <cell r="E110"/>
          <cell r="F110"/>
          <cell r="G110"/>
          <cell r="H110"/>
          <cell r="J110"/>
          <cell r="L110"/>
          <cell r="M110"/>
          <cell r="N110"/>
        </row>
        <row r="111">
          <cell r="A111" t="str">
            <v>01709.01</v>
          </cell>
          <cell r="E111"/>
          <cell r="F111"/>
          <cell r="G111"/>
          <cell r="H111"/>
          <cell r="J111"/>
          <cell r="L111"/>
          <cell r="M111"/>
          <cell r="N111"/>
        </row>
        <row r="112">
          <cell r="A112" t="str">
            <v>01376</v>
          </cell>
          <cell r="E112"/>
          <cell r="F112"/>
          <cell r="G112"/>
          <cell r="H112"/>
          <cell r="J112"/>
          <cell r="L112"/>
          <cell r="M112"/>
          <cell r="N112"/>
        </row>
        <row r="113">
          <cell r="A113" t="str">
            <v>01221</v>
          </cell>
          <cell r="E113">
            <v>0.27652029856961879</v>
          </cell>
          <cell r="F113">
            <v>1.7043994644547075E-2</v>
          </cell>
          <cell r="G113">
            <v>2.7E-2</v>
          </cell>
          <cell r="H113">
            <v>0</v>
          </cell>
          <cell r="J113">
            <v>5.3149006206897782E-2</v>
          </cell>
          <cell r="L113">
            <v>2.4759290005325701E-3</v>
          </cell>
          <cell r="M113">
            <v>1.6455890000000001E-2</v>
          </cell>
          <cell r="N113">
            <v>0.16039547871764137</v>
          </cell>
        </row>
        <row r="114">
          <cell r="A114" t="str">
            <v>01221_gh</v>
          </cell>
          <cell r="E114"/>
          <cell r="F114"/>
          <cell r="G114"/>
          <cell r="H114"/>
          <cell r="J114"/>
          <cell r="L114"/>
          <cell r="M114"/>
          <cell r="N114"/>
        </row>
        <row r="115">
          <cell r="A115" t="str">
            <v>01221_of</v>
          </cell>
          <cell r="E115"/>
          <cell r="F115"/>
          <cell r="G115"/>
          <cell r="H115"/>
          <cell r="J115"/>
          <cell r="L115"/>
          <cell r="M115"/>
          <cell r="N115"/>
        </row>
        <row r="116">
          <cell r="A116" t="str">
            <v>0111</v>
          </cell>
          <cell r="E116"/>
          <cell r="F116"/>
          <cell r="G116"/>
          <cell r="H116"/>
          <cell r="J116"/>
          <cell r="L116"/>
          <cell r="M116"/>
          <cell r="N116"/>
        </row>
        <row r="117">
          <cell r="A117" t="str">
            <v>0111_s</v>
          </cell>
          <cell r="E117"/>
          <cell r="F117"/>
          <cell r="G117"/>
          <cell r="H117"/>
          <cell r="J117"/>
          <cell r="L117"/>
          <cell r="M117"/>
          <cell r="N117"/>
        </row>
        <row r="118">
          <cell r="A118" t="str">
            <v>0111_w</v>
          </cell>
          <cell r="E118"/>
          <cell r="F118"/>
          <cell r="G118"/>
          <cell r="H118"/>
          <cell r="J118"/>
          <cell r="L118"/>
          <cell r="M118"/>
          <cell r="N118"/>
        </row>
      </sheetData>
      <sheetData sheetId="5" refreshError="1">
        <row r="6">
          <cell r="A6" t="str">
            <v>01371</v>
          </cell>
          <cell r="E6"/>
          <cell r="F6"/>
          <cell r="G6"/>
          <cell r="J6"/>
          <cell r="L6"/>
        </row>
        <row r="7">
          <cell r="A7" t="str">
            <v>01654</v>
          </cell>
          <cell r="E7"/>
          <cell r="F7"/>
          <cell r="G7"/>
          <cell r="J7"/>
          <cell r="L7"/>
        </row>
        <row r="8">
          <cell r="A8" t="str">
            <v>01341</v>
          </cell>
          <cell r="E8"/>
          <cell r="F8"/>
          <cell r="G8"/>
          <cell r="J8"/>
          <cell r="L8"/>
          <cell r="M8"/>
        </row>
        <row r="9">
          <cell r="A9" t="str">
            <v>01343</v>
          </cell>
          <cell r="E9"/>
          <cell r="F9"/>
          <cell r="G9"/>
          <cell r="J9"/>
          <cell r="L9"/>
          <cell r="M9"/>
        </row>
        <row r="10">
          <cell r="A10" t="str">
            <v>01216</v>
          </cell>
          <cell r="E10"/>
          <cell r="F10"/>
          <cell r="G10"/>
          <cell r="J10"/>
          <cell r="L10"/>
          <cell r="M10"/>
        </row>
        <row r="11">
          <cell r="A11" t="str">
            <v>01211</v>
          </cell>
          <cell r="E11"/>
          <cell r="F11"/>
          <cell r="G11"/>
          <cell r="J11"/>
          <cell r="L11"/>
          <cell r="M11"/>
        </row>
        <row r="12">
          <cell r="A12" t="str">
            <v>01311</v>
          </cell>
          <cell r="E12"/>
          <cell r="F12"/>
          <cell r="G12"/>
          <cell r="J12"/>
          <cell r="L12"/>
          <cell r="M12"/>
        </row>
        <row r="13">
          <cell r="A13" t="str">
            <v>01312</v>
          </cell>
          <cell r="E13"/>
          <cell r="F13"/>
          <cell r="G13"/>
          <cell r="J13"/>
          <cell r="L13"/>
          <cell r="M13"/>
        </row>
        <row r="14">
          <cell r="A14" t="str">
            <v>0115</v>
          </cell>
          <cell r="E14"/>
          <cell r="F14"/>
          <cell r="G14"/>
          <cell r="J14"/>
          <cell r="L14"/>
          <cell r="M14"/>
        </row>
        <row r="15">
          <cell r="A15" t="str">
            <v>0115_s</v>
          </cell>
          <cell r="E15"/>
          <cell r="F15"/>
          <cell r="G15"/>
          <cell r="J15"/>
          <cell r="L15"/>
          <cell r="M15"/>
        </row>
        <row r="16">
          <cell r="A16" t="str">
            <v>0115_w</v>
          </cell>
          <cell r="E16"/>
          <cell r="F16"/>
          <cell r="G16"/>
          <cell r="J16"/>
          <cell r="L16"/>
          <cell r="M16"/>
        </row>
        <row r="17">
          <cell r="A17" t="str">
            <v>01701</v>
          </cell>
          <cell r="E17"/>
          <cell r="F17"/>
          <cell r="G17"/>
          <cell r="J17"/>
          <cell r="L17"/>
          <cell r="M17"/>
        </row>
        <row r="18">
          <cell r="A18" t="str">
            <v>01355.01</v>
          </cell>
          <cell r="E18"/>
          <cell r="F18"/>
          <cell r="G18"/>
          <cell r="J18"/>
          <cell r="L18"/>
          <cell r="M18"/>
        </row>
        <row r="19">
          <cell r="A19" t="str">
            <v>01377</v>
          </cell>
          <cell r="E19"/>
          <cell r="F19"/>
          <cell r="G19"/>
          <cell r="J19"/>
          <cell r="L19"/>
          <cell r="M19"/>
        </row>
        <row r="20">
          <cell r="A20" t="str">
            <v>01702</v>
          </cell>
          <cell r="E20"/>
          <cell r="F20"/>
          <cell r="G20"/>
          <cell r="J20"/>
          <cell r="L20"/>
          <cell r="M20"/>
        </row>
        <row r="21">
          <cell r="A21" t="str">
            <v>01243</v>
          </cell>
          <cell r="E21"/>
          <cell r="F21"/>
          <cell r="G21"/>
          <cell r="J21"/>
          <cell r="L21"/>
          <cell r="M21"/>
        </row>
        <row r="22">
          <cell r="A22" t="str">
            <v>01213_b</v>
          </cell>
          <cell r="E22"/>
          <cell r="F22"/>
          <cell r="G22"/>
          <cell r="J22"/>
          <cell r="L22"/>
          <cell r="M22"/>
        </row>
        <row r="23">
          <cell r="A23" t="str">
            <v>01192</v>
          </cell>
          <cell r="E23"/>
          <cell r="F23"/>
          <cell r="G23"/>
          <cell r="J23"/>
          <cell r="L23"/>
          <cell r="M23"/>
        </row>
        <row r="24">
          <cell r="A24" t="str">
            <v>01212</v>
          </cell>
          <cell r="E24"/>
          <cell r="F24"/>
          <cell r="G24"/>
          <cell r="J24"/>
          <cell r="L24"/>
          <cell r="M24"/>
        </row>
        <row r="25">
          <cell r="A25" t="str">
            <v>01229</v>
          </cell>
          <cell r="E25">
            <v>2.3307872820487615E-4</v>
          </cell>
          <cell r="F25">
            <v>4.8700103501075899E-5</v>
          </cell>
          <cell r="G25">
            <v>9.5000000000000005E-5</v>
          </cell>
          <cell r="J25">
            <v>2.1169973643800255E-5</v>
          </cell>
          <cell r="L25">
            <v>8.2806510600000001E-6</v>
          </cell>
          <cell r="M25">
            <v>5.9927999999999999E-5</v>
          </cell>
        </row>
        <row r="26">
          <cell r="A26" t="str">
            <v>01251</v>
          </cell>
          <cell r="E26"/>
          <cell r="F26"/>
          <cell r="G26"/>
          <cell r="J26"/>
          <cell r="L26"/>
          <cell r="M26"/>
        </row>
        <row r="27">
          <cell r="A27" t="str">
            <v>01372</v>
          </cell>
          <cell r="E27"/>
          <cell r="F27"/>
          <cell r="G27"/>
          <cell r="J27"/>
          <cell r="L27"/>
          <cell r="M27"/>
        </row>
        <row r="28">
          <cell r="A28" t="str">
            <v>01213_cf</v>
          </cell>
          <cell r="E28"/>
          <cell r="F28"/>
          <cell r="G28"/>
          <cell r="J28"/>
          <cell r="L28"/>
          <cell r="M28"/>
        </row>
        <row r="29">
          <cell r="A29" t="str">
            <v>01213</v>
          </cell>
          <cell r="E29"/>
          <cell r="F29"/>
          <cell r="G29"/>
          <cell r="J29"/>
          <cell r="L29"/>
          <cell r="M29"/>
        </row>
        <row r="30">
          <cell r="A30" t="str">
            <v>01199.90</v>
          </cell>
          <cell r="E30"/>
          <cell r="F30"/>
          <cell r="G30"/>
          <cell r="J30"/>
          <cell r="L30"/>
          <cell r="M30"/>
        </row>
        <row r="31">
          <cell r="A31" t="str">
            <v>01344.02</v>
          </cell>
          <cell r="E31"/>
          <cell r="F31"/>
          <cell r="G31"/>
          <cell r="J31"/>
          <cell r="L31"/>
          <cell r="M31"/>
        </row>
        <row r="32">
          <cell r="A32" t="str">
            <v>01373</v>
          </cell>
          <cell r="E32"/>
          <cell r="F32"/>
          <cell r="G32"/>
          <cell r="J32"/>
          <cell r="L32"/>
          <cell r="M32"/>
        </row>
        <row r="33">
          <cell r="A33" t="str">
            <v>01703</v>
          </cell>
          <cell r="E33"/>
          <cell r="F33"/>
          <cell r="G33"/>
          <cell r="J33"/>
          <cell r="L33"/>
          <cell r="M33"/>
        </row>
        <row r="34">
          <cell r="A34" t="str">
            <v>01231</v>
          </cell>
          <cell r="E34"/>
          <cell r="F34"/>
          <cell r="G34"/>
          <cell r="L34"/>
          <cell r="M34"/>
        </row>
        <row r="35">
          <cell r="A35" t="str">
            <v>01640</v>
          </cell>
          <cell r="E35"/>
          <cell r="F35"/>
          <cell r="G35"/>
          <cell r="J35"/>
          <cell r="L35"/>
          <cell r="M35"/>
        </row>
        <row r="36">
          <cell r="A36" t="str">
            <v>01460</v>
          </cell>
          <cell r="E36"/>
          <cell r="F36"/>
          <cell r="G36"/>
          <cell r="J36"/>
          <cell r="L36"/>
          <cell r="M36"/>
        </row>
        <row r="37">
          <cell r="A37" t="str">
            <v>01610</v>
          </cell>
          <cell r="E37">
            <v>6.5749402122406439E-4</v>
          </cell>
          <cell r="F37">
            <v>4.2099687505195996E-4</v>
          </cell>
          <cell r="G37">
            <v>9.5000000000000005E-5</v>
          </cell>
          <cell r="J37">
            <v>9.6079029752104453E-5</v>
          </cell>
          <cell r="L37">
            <v>4.5418116420000008E-5</v>
          </cell>
          <cell r="M37">
            <v>0</v>
          </cell>
        </row>
        <row r="38">
          <cell r="A38" t="str">
            <v>01232</v>
          </cell>
          <cell r="E38"/>
          <cell r="F38"/>
          <cell r="G38"/>
          <cell r="J38"/>
          <cell r="K38" t="e">
            <v>#DIV/0!</v>
          </cell>
          <cell r="L38"/>
          <cell r="M38"/>
        </row>
        <row r="39">
          <cell r="A39" t="str">
            <v>01232_gh</v>
          </cell>
          <cell r="E39"/>
          <cell r="F39"/>
          <cell r="G39"/>
          <cell r="J39"/>
          <cell r="K39" t="e">
            <v>#DIV/0!</v>
          </cell>
          <cell r="M39"/>
        </row>
        <row r="40">
          <cell r="A40" t="str">
            <v>01232_of</v>
          </cell>
          <cell r="E40"/>
          <cell r="F40"/>
          <cell r="G40"/>
          <cell r="J40"/>
          <cell r="L40"/>
          <cell r="M40"/>
        </row>
        <row r="41">
          <cell r="A41" t="str">
            <v>01351.01</v>
          </cell>
          <cell r="E41"/>
          <cell r="F41"/>
          <cell r="G41"/>
          <cell r="J41"/>
          <cell r="L41"/>
          <cell r="M41"/>
        </row>
        <row r="42">
          <cell r="A42" t="str">
            <v>01314</v>
          </cell>
          <cell r="E42"/>
          <cell r="F42"/>
          <cell r="G42"/>
          <cell r="J42"/>
          <cell r="L42"/>
          <cell r="M42"/>
        </row>
        <row r="43">
          <cell r="A43" t="str">
            <v>01599.10</v>
          </cell>
          <cell r="E43"/>
          <cell r="F43"/>
          <cell r="G43"/>
          <cell r="J43"/>
          <cell r="L43"/>
          <cell r="M43"/>
        </row>
        <row r="44">
          <cell r="A44" t="str">
            <v>01233</v>
          </cell>
          <cell r="E44"/>
          <cell r="F44"/>
          <cell r="G44"/>
          <cell r="J44"/>
          <cell r="L44"/>
          <cell r="M44"/>
        </row>
        <row r="45">
          <cell r="A45" t="str">
            <v>01315</v>
          </cell>
          <cell r="E45"/>
          <cell r="F45"/>
          <cell r="G45"/>
          <cell r="J45"/>
          <cell r="L45"/>
          <cell r="M45"/>
        </row>
        <row r="46">
          <cell r="A46" t="str">
            <v>01351.02</v>
          </cell>
          <cell r="E46"/>
          <cell r="F46"/>
          <cell r="G46"/>
          <cell r="J46"/>
          <cell r="L46"/>
          <cell r="M46"/>
        </row>
        <row r="47">
          <cell r="A47" t="str">
            <v>01330</v>
          </cell>
          <cell r="E47"/>
          <cell r="F47"/>
          <cell r="G47"/>
          <cell r="J47"/>
          <cell r="L47"/>
          <cell r="M47"/>
        </row>
        <row r="48">
          <cell r="A48" t="str">
            <v>01290.01</v>
          </cell>
          <cell r="E48"/>
          <cell r="F48"/>
          <cell r="G48"/>
          <cell r="J48"/>
          <cell r="L48"/>
          <cell r="M48"/>
        </row>
        <row r="49">
          <cell r="A49" t="str">
            <v>01252</v>
          </cell>
          <cell r="E49"/>
          <cell r="F49"/>
          <cell r="G49"/>
          <cell r="J49"/>
          <cell r="L49"/>
          <cell r="M49"/>
        </row>
        <row r="50">
          <cell r="A50" t="str">
            <v>0142</v>
          </cell>
          <cell r="E50"/>
          <cell r="F50"/>
          <cell r="G50"/>
          <cell r="J50"/>
          <cell r="L50"/>
          <cell r="M50"/>
        </row>
        <row r="51">
          <cell r="A51" t="str">
            <v>01374</v>
          </cell>
          <cell r="E51"/>
          <cell r="F51"/>
          <cell r="G51"/>
          <cell r="J51"/>
          <cell r="L51"/>
          <cell r="M51"/>
        </row>
        <row r="52">
          <cell r="A52" t="str">
            <v>01352</v>
          </cell>
          <cell r="E52"/>
          <cell r="F52"/>
          <cell r="G52"/>
          <cell r="J52"/>
          <cell r="L52"/>
          <cell r="M52"/>
        </row>
        <row r="53">
          <cell r="A53" t="str">
            <v>01254</v>
          </cell>
          <cell r="E53"/>
          <cell r="F53"/>
          <cell r="G53"/>
          <cell r="J53"/>
          <cell r="L53"/>
          <cell r="M53"/>
        </row>
        <row r="54">
          <cell r="A54" t="str">
            <v>01322</v>
          </cell>
          <cell r="E54"/>
          <cell r="F54"/>
          <cell r="G54"/>
          <cell r="J54"/>
          <cell r="L54"/>
          <cell r="M54"/>
        </row>
        <row r="55">
          <cell r="A55" t="str">
            <v>01704</v>
          </cell>
          <cell r="E55"/>
          <cell r="F55"/>
          <cell r="G55"/>
          <cell r="J55"/>
          <cell r="L55"/>
          <cell r="M55"/>
        </row>
        <row r="56">
          <cell r="A56" t="str">
            <v>01214</v>
          </cell>
          <cell r="E56"/>
          <cell r="F56"/>
          <cell r="G56"/>
          <cell r="J56"/>
          <cell r="L56"/>
          <cell r="M56"/>
        </row>
        <row r="57">
          <cell r="A57" t="str">
            <v>01441</v>
          </cell>
          <cell r="E57"/>
          <cell r="F57"/>
          <cell r="G57"/>
          <cell r="J57"/>
          <cell r="L57"/>
          <cell r="M57"/>
        </row>
        <row r="58">
          <cell r="A58" t="str">
            <v>01709.02</v>
          </cell>
          <cell r="E58"/>
          <cell r="F58"/>
          <cell r="G58"/>
          <cell r="J58"/>
          <cell r="L58"/>
          <cell r="M58"/>
        </row>
        <row r="59">
          <cell r="A59" t="str">
            <v>0112</v>
          </cell>
          <cell r="E59"/>
          <cell r="F59"/>
          <cell r="G59"/>
          <cell r="J59"/>
          <cell r="L59"/>
          <cell r="M59"/>
        </row>
        <row r="60">
          <cell r="A60" t="str">
            <v>01316</v>
          </cell>
          <cell r="E60">
            <v>2.8507937962895093E-4</v>
          </cell>
          <cell r="F60">
            <v>9.686055452567255E-5</v>
          </cell>
          <cell r="G60">
            <v>9.5000000000000005E-5</v>
          </cell>
          <cell r="J60">
            <v>2.5010174043278419E-5</v>
          </cell>
          <cell r="L60">
            <v>8.2806510600000001E-6</v>
          </cell>
          <cell r="M60">
            <v>5.9927999999999999E-5</v>
          </cell>
        </row>
        <row r="61">
          <cell r="A61" t="str">
            <v>0118</v>
          </cell>
          <cell r="E61"/>
          <cell r="F61"/>
          <cell r="G61"/>
          <cell r="J61"/>
          <cell r="L61"/>
          <cell r="M61"/>
        </row>
        <row r="62">
          <cell r="A62" t="str">
            <v>01199.02</v>
          </cell>
          <cell r="E62"/>
          <cell r="F62"/>
          <cell r="G62"/>
          <cell r="J62"/>
          <cell r="L62"/>
          <cell r="M62"/>
        </row>
        <row r="63">
          <cell r="A63" t="str">
            <v>01270</v>
          </cell>
          <cell r="E63"/>
          <cell r="F63"/>
          <cell r="G63"/>
          <cell r="J63"/>
          <cell r="L63"/>
          <cell r="M63"/>
        </row>
        <row r="64">
          <cell r="A64" t="str">
            <v>0117</v>
          </cell>
          <cell r="E64"/>
          <cell r="F64"/>
          <cell r="G64"/>
          <cell r="J64"/>
          <cell r="L64"/>
          <cell r="M64"/>
        </row>
        <row r="65">
          <cell r="A65" t="str">
            <v>01491.01</v>
          </cell>
          <cell r="E65"/>
          <cell r="F65"/>
          <cell r="G65"/>
          <cell r="J65"/>
          <cell r="L65"/>
          <cell r="M65"/>
        </row>
        <row r="66">
          <cell r="A66" t="str">
            <v>01450</v>
          </cell>
          <cell r="E66"/>
          <cell r="F66"/>
          <cell r="G66"/>
          <cell r="J66"/>
          <cell r="L66"/>
          <cell r="M66"/>
        </row>
        <row r="67">
          <cell r="A67" t="str">
            <v>01253.02</v>
          </cell>
          <cell r="E67"/>
          <cell r="F67"/>
          <cell r="G67"/>
          <cell r="J67"/>
          <cell r="L67"/>
          <cell r="M67"/>
        </row>
        <row r="68">
          <cell r="A68" t="str">
            <v>01323</v>
          </cell>
          <cell r="E68">
            <v>2.7099236086460904E-4</v>
          </cell>
          <cell r="F68">
            <v>9.6860554525672563E-5</v>
          </cell>
          <cell r="G68">
            <v>9.5000000000000005E-5</v>
          </cell>
          <cell r="J68">
            <v>1.8701948698936442E-5</v>
          </cell>
          <cell r="L68">
            <v>5.0185763999999998E-7</v>
          </cell>
          <cell r="M68">
            <v>5.9927999999999999E-5</v>
          </cell>
        </row>
        <row r="69">
          <cell r="A69" t="str">
            <v>01241.90</v>
          </cell>
          <cell r="E69"/>
          <cell r="F69"/>
          <cell r="G69"/>
          <cell r="J69"/>
          <cell r="L69"/>
          <cell r="M69"/>
        </row>
        <row r="70">
          <cell r="A70" t="str">
            <v>01359.90</v>
          </cell>
          <cell r="E70"/>
          <cell r="F70"/>
          <cell r="G70"/>
          <cell r="J70"/>
          <cell r="L70"/>
          <cell r="M70"/>
        </row>
        <row r="71">
          <cell r="A71" t="str">
            <v>01449.90</v>
          </cell>
          <cell r="E71"/>
          <cell r="F71"/>
          <cell r="G71"/>
          <cell r="J71"/>
          <cell r="L71"/>
          <cell r="M71"/>
        </row>
        <row r="72">
          <cell r="A72" t="str">
            <v>01709.90</v>
          </cell>
          <cell r="E72"/>
          <cell r="F72"/>
          <cell r="G72"/>
          <cell r="J72"/>
          <cell r="L72"/>
          <cell r="M72"/>
        </row>
        <row r="73">
          <cell r="A73" t="str">
            <v>01699</v>
          </cell>
          <cell r="E73"/>
          <cell r="F73"/>
          <cell r="G73"/>
          <cell r="J73"/>
          <cell r="L73"/>
          <cell r="M73"/>
        </row>
        <row r="74">
          <cell r="A74" t="str">
            <v>01290.90</v>
          </cell>
          <cell r="E74"/>
          <cell r="F74"/>
          <cell r="G74"/>
          <cell r="J74"/>
          <cell r="L74"/>
          <cell r="M74"/>
        </row>
        <row r="75">
          <cell r="A75" t="str">
            <v>01317</v>
          </cell>
          <cell r="E75">
            <v>2.7288617646437378E-4</v>
          </cell>
          <cell r="F75">
            <v>9.6860554525672536E-5</v>
          </cell>
          <cell r="G75">
            <v>9.5000000000000005E-5</v>
          </cell>
          <cell r="J75">
            <v>1.2816970878701275E-5</v>
          </cell>
          <cell r="L75">
            <v>8.2806510600000001E-6</v>
          </cell>
          <cell r="M75">
            <v>5.9927999999999999E-5</v>
          </cell>
        </row>
        <row r="76">
          <cell r="A76" t="str">
            <v>01345</v>
          </cell>
          <cell r="E76"/>
          <cell r="F76"/>
          <cell r="G76"/>
          <cell r="J76"/>
          <cell r="L76"/>
          <cell r="M76"/>
        </row>
        <row r="77">
          <cell r="A77" t="str">
            <v>01342.01</v>
          </cell>
          <cell r="E77"/>
          <cell r="F77"/>
          <cell r="G77"/>
          <cell r="J77"/>
          <cell r="L77"/>
          <cell r="M77"/>
        </row>
        <row r="78">
          <cell r="A78" t="str">
            <v>01705</v>
          </cell>
          <cell r="E78"/>
          <cell r="F78"/>
          <cell r="G78"/>
          <cell r="J78"/>
          <cell r="L78"/>
          <cell r="M78"/>
        </row>
        <row r="79">
          <cell r="A79" t="str">
            <v>01242</v>
          </cell>
          <cell r="E79"/>
          <cell r="F79"/>
          <cell r="G79"/>
          <cell r="J79"/>
          <cell r="L79"/>
          <cell r="M79"/>
        </row>
        <row r="80">
          <cell r="A80" t="str">
            <v>01651</v>
          </cell>
          <cell r="E80">
            <v>3.9355848562003937E-4</v>
          </cell>
          <cell r="F80">
            <v>3.6260005192518861E-5</v>
          </cell>
          <cell r="G80">
            <v>9.5000000000000005E-5</v>
          </cell>
          <cell r="J80">
            <v>1.7752852724752053E-4</v>
          </cell>
          <cell r="L80">
            <v>2.4841953180000002E-5</v>
          </cell>
          <cell r="M80">
            <v>5.9927999999999999E-5</v>
          </cell>
        </row>
        <row r="81">
          <cell r="A81" t="str">
            <v>01318</v>
          </cell>
          <cell r="E81"/>
          <cell r="F81"/>
          <cell r="G81"/>
          <cell r="J81"/>
          <cell r="L81"/>
          <cell r="M81"/>
        </row>
        <row r="82">
          <cell r="A82" t="str">
            <v>01313</v>
          </cell>
          <cell r="E82"/>
          <cell r="F82"/>
          <cell r="G82"/>
          <cell r="J82"/>
          <cell r="L82"/>
          <cell r="M82"/>
        </row>
        <row r="83">
          <cell r="A83" t="str">
            <v>01346</v>
          </cell>
          <cell r="E83"/>
          <cell r="F83"/>
          <cell r="G83"/>
          <cell r="J83"/>
          <cell r="L83"/>
          <cell r="M83"/>
        </row>
        <row r="84">
          <cell r="A84" t="str">
            <v>01321</v>
          </cell>
          <cell r="E84"/>
          <cell r="F84"/>
          <cell r="G84"/>
          <cell r="J84"/>
          <cell r="L84"/>
          <cell r="M84"/>
        </row>
        <row r="85">
          <cell r="A85" t="str">
            <v>01448</v>
          </cell>
          <cell r="E85"/>
          <cell r="F85"/>
          <cell r="G85"/>
          <cell r="J85"/>
          <cell r="L85"/>
          <cell r="M85"/>
        </row>
        <row r="86">
          <cell r="A86" t="str">
            <v>01510</v>
          </cell>
          <cell r="E86"/>
          <cell r="F86"/>
          <cell r="G86"/>
          <cell r="J86"/>
          <cell r="L86"/>
          <cell r="M86"/>
        </row>
        <row r="87">
          <cell r="A87" t="str">
            <v>01235</v>
          </cell>
          <cell r="E87"/>
          <cell r="F87"/>
          <cell r="G87"/>
          <cell r="J87"/>
          <cell r="L87"/>
          <cell r="M87"/>
        </row>
        <row r="88">
          <cell r="A88" t="str">
            <v>01342.02</v>
          </cell>
          <cell r="E88"/>
          <cell r="F88"/>
          <cell r="G88"/>
          <cell r="J88"/>
          <cell r="L88"/>
          <cell r="M88"/>
        </row>
        <row r="89">
          <cell r="A89" t="str">
            <v>01194</v>
          </cell>
          <cell r="E89"/>
          <cell r="F89"/>
          <cell r="G89"/>
          <cell r="J89"/>
          <cell r="L89"/>
          <cell r="M89"/>
        </row>
        <row r="90">
          <cell r="A90" t="str">
            <v>01443</v>
          </cell>
          <cell r="E90"/>
          <cell r="F90"/>
          <cell r="G90"/>
          <cell r="J90"/>
          <cell r="L90"/>
          <cell r="M90"/>
        </row>
        <row r="91">
          <cell r="A91" t="str">
            <v>01443_s</v>
          </cell>
          <cell r="E91"/>
          <cell r="F91"/>
          <cell r="G91"/>
          <cell r="J91"/>
          <cell r="L91"/>
          <cell r="M91"/>
        </row>
        <row r="92">
          <cell r="A92" t="str">
            <v>01443_w</v>
          </cell>
          <cell r="E92"/>
          <cell r="F92"/>
          <cell r="G92"/>
          <cell r="J92"/>
          <cell r="L92"/>
          <cell r="M92"/>
        </row>
        <row r="93">
          <cell r="A93" t="str">
            <v>01353.01</v>
          </cell>
          <cell r="E93"/>
          <cell r="F93"/>
          <cell r="G93"/>
          <cell r="J93"/>
          <cell r="L93"/>
          <cell r="M93"/>
        </row>
        <row r="94">
          <cell r="A94" t="str">
            <v>0113</v>
          </cell>
          <cell r="E94"/>
          <cell r="F94"/>
          <cell r="G94"/>
          <cell r="J94"/>
          <cell r="L94"/>
          <cell r="M94"/>
        </row>
        <row r="95">
          <cell r="A95" t="str">
            <v>0116</v>
          </cell>
          <cell r="E95"/>
          <cell r="F95"/>
          <cell r="G95"/>
          <cell r="J95"/>
          <cell r="L95"/>
          <cell r="M95"/>
        </row>
        <row r="96">
          <cell r="A96" t="str">
            <v>0114</v>
          </cell>
          <cell r="E96"/>
          <cell r="F96"/>
          <cell r="G96"/>
          <cell r="J96"/>
          <cell r="L96"/>
          <cell r="M96"/>
        </row>
        <row r="97">
          <cell r="A97" t="str">
            <v>01344.01</v>
          </cell>
          <cell r="E97"/>
          <cell r="F97"/>
          <cell r="G97"/>
          <cell r="J97"/>
          <cell r="L97"/>
          <cell r="M97"/>
        </row>
        <row r="98">
          <cell r="A98" t="str">
            <v>0141</v>
          </cell>
          <cell r="E98">
            <v>1.5801061630944411E-4</v>
          </cell>
          <cell r="F98">
            <v>8.1660966199362198E-6</v>
          </cell>
          <cell r="G98">
            <v>9.5000000000000005E-5</v>
          </cell>
          <cell r="J98">
            <v>2.2434790869507859E-5</v>
          </cell>
          <cell r="L98">
            <v>2.5092881999999999E-7</v>
          </cell>
          <cell r="M98">
            <v>3.2158800000000008E-5</v>
          </cell>
        </row>
        <row r="99">
          <cell r="A99" t="str">
            <v>01215</v>
          </cell>
          <cell r="E99"/>
          <cell r="F99"/>
          <cell r="G99"/>
          <cell r="J99"/>
          <cell r="L99"/>
          <cell r="M99"/>
        </row>
        <row r="100">
          <cell r="A100" t="str">
            <v>01354</v>
          </cell>
          <cell r="E100"/>
          <cell r="F100"/>
          <cell r="G100"/>
          <cell r="J100"/>
          <cell r="L100"/>
          <cell r="M100"/>
        </row>
        <row r="101">
          <cell r="A101" t="str">
            <v>01801</v>
          </cell>
          <cell r="E101"/>
          <cell r="F101"/>
          <cell r="G101"/>
          <cell r="J101"/>
          <cell r="L101"/>
          <cell r="M101"/>
        </row>
        <row r="102">
          <cell r="A102" t="str">
            <v>01802</v>
          </cell>
          <cell r="E102"/>
          <cell r="F102"/>
          <cell r="G102"/>
          <cell r="J102"/>
          <cell r="L102"/>
          <cell r="M102"/>
        </row>
        <row r="103">
          <cell r="A103" t="str">
            <v>01445</v>
          </cell>
          <cell r="E103"/>
          <cell r="F103"/>
          <cell r="G103"/>
          <cell r="J103"/>
          <cell r="L103"/>
          <cell r="M103"/>
        </row>
        <row r="104">
          <cell r="A104" t="str">
            <v>01530</v>
          </cell>
          <cell r="E104"/>
          <cell r="F104"/>
          <cell r="G104"/>
          <cell r="J104"/>
          <cell r="L104"/>
          <cell r="M104"/>
        </row>
        <row r="105">
          <cell r="A105" t="str">
            <v>01324</v>
          </cell>
          <cell r="E105"/>
          <cell r="F105"/>
          <cell r="G105"/>
          <cell r="J105"/>
          <cell r="L105"/>
          <cell r="M105"/>
        </row>
        <row r="106">
          <cell r="A106" t="str">
            <v>01234</v>
          </cell>
          <cell r="E106"/>
          <cell r="F106"/>
          <cell r="G106"/>
          <cell r="J106"/>
          <cell r="K106" t="e">
            <v>#DIV/0!</v>
          </cell>
          <cell r="M106"/>
        </row>
        <row r="107">
          <cell r="A107" t="str">
            <v>01234_gh</v>
          </cell>
          <cell r="E107"/>
          <cell r="F107"/>
          <cell r="G107"/>
          <cell r="J107"/>
          <cell r="M107"/>
        </row>
        <row r="108">
          <cell r="A108" t="str">
            <v>01234_of</v>
          </cell>
          <cell r="E108"/>
          <cell r="F108"/>
          <cell r="G108"/>
          <cell r="J108"/>
          <cell r="L108"/>
          <cell r="M108"/>
        </row>
        <row r="109">
          <cell r="A109" t="str">
            <v>01191</v>
          </cell>
          <cell r="E109"/>
          <cell r="F109"/>
          <cell r="G109"/>
          <cell r="J109"/>
          <cell r="L109"/>
          <cell r="M109"/>
        </row>
        <row r="110">
          <cell r="A110" t="str">
            <v>01929.02</v>
          </cell>
          <cell r="E110"/>
          <cell r="F110"/>
          <cell r="G110"/>
          <cell r="J110"/>
          <cell r="L110"/>
          <cell r="M110"/>
        </row>
        <row r="111">
          <cell r="A111" t="str">
            <v>01709.01</v>
          </cell>
          <cell r="E111"/>
          <cell r="F111"/>
          <cell r="G111"/>
          <cell r="J111"/>
          <cell r="L111"/>
          <cell r="M111"/>
        </row>
        <row r="112">
          <cell r="A112" t="str">
            <v>01376</v>
          </cell>
          <cell r="E112"/>
          <cell r="F112"/>
          <cell r="G112"/>
          <cell r="J112"/>
          <cell r="L112"/>
          <cell r="M112"/>
        </row>
        <row r="113">
          <cell r="A113" t="str">
            <v>01221</v>
          </cell>
          <cell r="E113">
            <v>2.2336710577463041E-4</v>
          </cell>
          <cell r="F113">
            <v>3.6615237133782501E-5</v>
          </cell>
          <cell r="G113">
            <v>9.5000000000000005E-5</v>
          </cell>
          <cell r="J113">
            <v>2.3543217580847895E-5</v>
          </cell>
          <cell r="L113">
            <v>8.2806510599999984E-6</v>
          </cell>
          <cell r="M113">
            <v>5.9927999999999999E-5</v>
          </cell>
        </row>
        <row r="114">
          <cell r="A114" t="str">
            <v>01221_gh</v>
          </cell>
          <cell r="E114"/>
          <cell r="F114"/>
          <cell r="G114"/>
          <cell r="J114"/>
          <cell r="L114"/>
          <cell r="M114"/>
        </row>
        <row r="115">
          <cell r="A115" t="str">
            <v>01221_of</v>
          </cell>
          <cell r="E115"/>
          <cell r="F115"/>
          <cell r="G115"/>
          <cell r="J115"/>
          <cell r="L115"/>
          <cell r="M115"/>
        </row>
        <row r="116">
          <cell r="A116" t="str">
            <v>0111</v>
          </cell>
          <cell r="E116"/>
          <cell r="F116"/>
          <cell r="G116"/>
          <cell r="J116"/>
          <cell r="L116"/>
          <cell r="M116"/>
        </row>
        <row r="117">
          <cell r="A117" t="str">
            <v>0111_s</v>
          </cell>
          <cell r="E117"/>
          <cell r="F117"/>
          <cell r="G117"/>
          <cell r="J117"/>
          <cell r="L117"/>
          <cell r="M117"/>
        </row>
        <row r="118">
          <cell r="A118" t="str">
            <v>0111_w</v>
          </cell>
          <cell r="E118"/>
          <cell r="F118"/>
          <cell r="G118"/>
          <cell r="J118"/>
          <cell r="L118"/>
          <cell r="M118"/>
        </row>
      </sheetData>
      <sheetData sheetId="6" refreshError="1">
        <row r="6">
          <cell r="A6" t="str">
            <v>01371</v>
          </cell>
        </row>
        <row r="7">
          <cell r="A7" t="str">
            <v>01654</v>
          </cell>
        </row>
        <row r="8">
          <cell r="A8" t="str">
            <v>01341</v>
          </cell>
        </row>
        <row r="9">
          <cell r="A9" t="str">
            <v>01343</v>
          </cell>
        </row>
        <row r="10">
          <cell r="A10" t="str">
            <v>01216</v>
          </cell>
        </row>
        <row r="11">
          <cell r="A11" t="str">
            <v>01211</v>
          </cell>
        </row>
        <row r="12">
          <cell r="A12" t="str">
            <v>01311</v>
          </cell>
        </row>
        <row r="13">
          <cell r="A13" t="str">
            <v>01312</v>
          </cell>
        </row>
        <row r="14">
          <cell r="A14" t="str">
            <v>0115</v>
          </cell>
        </row>
        <row r="15">
          <cell r="A15" t="str">
            <v>0115_s</v>
          </cell>
        </row>
        <row r="16">
          <cell r="A16" t="str">
            <v>0115_w</v>
          </cell>
        </row>
        <row r="17">
          <cell r="A17" t="str">
            <v>01701</v>
          </cell>
        </row>
        <row r="18">
          <cell r="A18" t="str">
            <v>01355.01</v>
          </cell>
        </row>
        <row r="19">
          <cell r="A19" t="str">
            <v>01377</v>
          </cell>
        </row>
        <row r="20">
          <cell r="A20" t="str">
            <v>01702</v>
          </cell>
        </row>
        <row r="21">
          <cell r="A21" t="str">
            <v>01243</v>
          </cell>
        </row>
        <row r="22">
          <cell r="A22" t="str">
            <v>01213_b</v>
          </cell>
        </row>
        <row r="23">
          <cell r="A23" t="str">
            <v>01192</v>
          </cell>
        </row>
        <row r="24">
          <cell r="A24" t="str">
            <v>01212</v>
          </cell>
        </row>
        <row r="25">
          <cell r="A25" t="str">
            <v>01229</v>
          </cell>
        </row>
        <row r="26">
          <cell r="A26" t="str">
            <v>01251</v>
          </cell>
        </row>
        <row r="27">
          <cell r="A27" t="str">
            <v>01372</v>
          </cell>
        </row>
        <row r="28">
          <cell r="A28" t="str">
            <v>01213_cf</v>
          </cell>
        </row>
        <row r="29">
          <cell r="A29" t="str">
            <v>01213</v>
          </cell>
        </row>
        <row r="30">
          <cell r="A30" t="str">
            <v>01199.90</v>
          </cell>
        </row>
        <row r="31">
          <cell r="A31" t="str">
            <v>01344.02</v>
          </cell>
        </row>
        <row r="32">
          <cell r="A32" t="str">
            <v>01373</v>
          </cell>
        </row>
        <row r="33">
          <cell r="A33" t="str">
            <v>01703</v>
          </cell>
        </row>
        <row r="34">
          <cell r="A34" t="str">
            <v>01231</v>
          </cell>
        </row>
        <row r="35">
          <cell r="A35" t="str">
            <v>01640</v>
          </cell>
        </row>
        <row r="36">
          <cell r="A36" t="str">
            <v>01460</v>
          </cell>
        </row>
        <row r="37">
          <cell r="A37" t="str">
            <v>01610</v>
          </cell>
        </row>
        <row r="38">
          <cell r="A38" t="str">
            <v>01232</v>
          </cell>
        </row>
        <row r="39">
          <cell r="A39" t="str">
            <v>01232_gh</v>
          </cell>
        </row>
        <row r="40">
          <cell r="A40" t="str">
            <v>01232_of</v>
          </cell>
        </row>
        <row r="41">
          <cell r="A41" t="str">
            <v>01351.01</v>
          </cell>
        </row>
        <row r="42">
          <cell r="A42" t="str">
            <v>01314</v>
          </cell>
        </row>
        <row r="43">
          <cell r="A43" t="str">
            <v>01599.10</v>
          </cell>
        </row>
        <row r="44">
          <cell r="A44" t="str">
            <v>01233</v>
          </cell>
        </row>
        <row r="45">
          <cell r="A45" t="str">
            <v>01315</v>
          </cell>
        </row>
        <row r="46">
          <cell r="A46" t="str">
            <v>01351.02</v>
          </cell>
        </row>
        <row r="47">
          <cell r="A47" t="str">
            <v>01330</v>
          </cell>
        </row>
        <row r="48">
          <cell r="A48" t="str">
            <v>01290.01</v>
          </cell>
        </row>
        <row r="49">
          <cell r="A49" t="str">
            <v>01252</v>
          </cell>
        </row>
        <row r="50">
          <cell r="A50" t="str">
            <v>0142</v>
          </cell>
        </row>
        <row r="51">
          <cell r="A51" t="str">
            <v>01374</v>
          </cell>
        </row>
        <row r="52">
          <cell r="A52" t="str">
            <v>01352</v>
          </cell>
        </row>
        <row r="53">
          <cell r="A53" t="str">
            <v>01254</v>
          </cell>
        </row>
        <row r="54">
          <cell r="A54" t="str">
            <v>01322</v>
          </cell>
        </row>
        <row r="55">
          <cell r="A55" t="str">
            <v>01704</v>
          </cell>
        </row>
        <row r="56">
          <cell r="A56" t="str">
            <v>01214</v>
          </cell>
        </row>
        <row r="57">
          <cell r="A57" t="str">
            <v>01441</v>
          </cell>
        </row>
        <row r="58">
          <cell r="A58" t="str">
            <v>01709.02</v>
          </cell>
        </row>
        <row r="59">
          <cell r="A59" t="str">
            <v>0112</v>
          </cell>
        </row>
        <row r="60">
          <cell r="A60" t="str">
            <v>01316</v>
          </cell>
        </row>
        <row r="61">
          <cell r="A61" t="str">
            <v>0118</v>
          </cell>
        </row>
        <row r="62">
          <cell r="A62" t="str">
            <v>01199.02</v>
          </cell>
        </row>
        <row r="63">
          <cell r="A63" t="str">
            <v>01270</v>
          </cell>
        </row>
        <row r="64">
          <cell r="A64" t="str">
            <v>0117</v>
          </cell>
        </row>
        <row r="65">
          <cell r="A65" t="str">
            <v>01491.01</v>
          </cell>
        </row>
        <row r="66">
          <cell r="A66" t="str">
            <v>01450</v>
          </cell>
        </row>
        <row r="67">
          <cell r="A67" t="str">
            <v>01253.02</v>
          </cell>
        </row>
        <row r="68">
          <cell r="A68" t="str">
            <v>01323</v>
          </cell>
        </row>
        <row r="69">
          <cell r="A69" t="str">
            <v>01241.90</v>
          </cell>
        </row>
        <row r="70">
          <cell r="A70" t="str">
            <v>01359.90</v>
          </cell>
        </row>
        <row r="71">
          <cell r="A71" t="str">
            <v>01449.90</v>
          </cell>
        </row>
        <row r="72">
          <cell r="A72" t="str">
            <v>01709.90</v>
          </cell>
        </row>
        <row r="73">
          <cell r="A73" t="str">
            <v>01699</v>
          </cell>
        </row>
        <row r="74">
          <cell r="A74" t="str">
            <v>01290.90</v>
          </cell>
        </row>
        <row r="75">
          <cell r="A75" t="str">
            <v>01317</v>
          </cell>
        </row>
        <row r="76">
          <cell r="A76" t="str">
            <v>01345</v>
          </cell>
        </row>
        <row r="77">
          <cell r="A77" t="str">
            <v>01342.01</v>
          </cell>
        </row>
        <row r="78">
          <cell r="A78" t="str">
            <v>01705</v>
          </cell>
        </row>
        <row r="79">
          <cell r="A79" t="str">
            <v>01242</v>
          </cell>
        </row>
        <row r="80">
          <cell r="A80" t="str">
            <v>01651</v>
          </cell>
        </row>
        <row r="81">
          <cell r="A81" t="str">
            <v>01318</v>
          </cell>
        </row>
        <row r="82">
          <cell r="A82" t="str">
            <v>01313</v>
          </cell>
        </row>
        <row r="83">
          <cell r="A83" t="str">
            <v>01346</v>
          </cell>
        </row>
        <row r="84">
          <cell r="A84" t="str">
            <v>01321</v>
          </cell>
        </row>
        <row r="85">
          <cell r="A85" t="str">
            <v>01448</v>
          </cell>
        </row>
        <row r="86">
          <cell r="A86" t="str">
            <v>01510</v>
          </cell>
        </row>
        <row r="87">
          <cell r="A87" t="str">
            <v>01235</v>
          </cell>
        </row>
        <row r="88">
          <cell r="A88" t="str">
            <v>01342.02</v>
          </cell>
        </row>
        <row r="89">
          <cell r="A89" t="str">
            <v>01194</v>
          </cell>
        </row>
        <row r="90">
          <cell r="A90" t="str">
            <v>01443</v>
          </cell>
        </row>
        <row r="91">
          <cell r="A91" t="str">
            <v>01443_s</v>
          </cell>
        </row>
        <row r="92">
          <cell r="A92" t="str">
            <v>01443_w</v>
          </cell>
        </row>
        <row r="93">
          <cell r="A93" t="str">
            <v>01353.01</v>
          </cell>
        </row>
        <row r="94">
          <cell r="A94" t="str">
            <v>0113</v>
          </cell>
        </row>
        <row r="95">
          <cell r="A95" t="str">
            <v>0116</v>
          </cell>
        </row>
        <row r="96">
          <cell r="A96" t="str">
            <v>0114</v>
          </cell>
        </row>
        <row r="97">
          <cell r="A97" t="str">
            <v>01344.01</v>
          </cell>
        </row>
        <row r="98">
          <cell r="A98" t="str">
            <v>0141</v>
          </cell>
        </row>
        <row r="99">
          <cell r="A99" t="str">
            <v>01215</v>
          </cell>
        </row>
        <row r="100">
          <cell r="A100" t="str">
            <v>01354</v>
          </cell>
        </row>
        <row r="101">
          <cell r="A101" t="str">
            <v>01801</v>
          </cell>
        </row>
        <row r="102">
          <cell r="A102" t="str">
            <v>01802</v>
          </cell>
        </row>
        <row r="103">
          <cell r="A103" t="str">
            <v>01445</v>
          </cell>
        </row>
        <row r="104">
          <cell r="A104" t="str">
            <v>01530</v>
          </cell>
        </row>
        <row r="105">
          <cell r="A105" t="str">
            <v>01324</v>
          </cell>
        </row>
        <row r="106">
          <cell r="A106" t="str">
            <v>01234</v>
          </cell>
        </row>
        <row r="107">
          <cell r="A107" t="str">
            <v>01234_gh</v>
          </cell>
        </row>
        <row r="108">
          <cell r="A108" t="str">
            <v>01234_of</v>
          </cell>
        </row>
        <row r="109">
          <cell r="A109" t="str">
            <v>01191</v>
          </cell>
        </row>
        <row r="110">
          <cell r="A110" t="str">
            <v>01929.02</v>
          </cell>
        </row>
        <row r="111">
          <cell r="A111" t="str">
            <v>01709.01</v>
          </cell>
        </row>
        <row r="112">
          <cell r="A112" t="str">
            <v>01376</v>
          </cell>
        </row>
        <row r="113">
          <cell r="A113" t="str">
            <v>01221</v>
          </cell>
        </row>
        <row r="114">
          <cell r="A114" t="str">
            <v>01221_gh</v>
          </cell>
        </row>
        <row r="115">
          <cell r="A115" t="str">
            <v>01221_of</v>
          </cell>
        </row>
        <row r="116">
          <cell r="A116" t="str">
            <v>0111</v>
          </cell>
        </row>
        <row r="117">
          <cell r="A117" t="str">
            <v>0111_s</v>
          </cell>
        </row>
        <row r="118">
          <cell r="A118" t="str">
            <v>0111_w</v>
          </cell>
        </row>
      </sheetData>
      <sheetData sheetId="7" refreshError="1">
        <row r="6">
          <cell r="A6" t="str">
            <v>01371</v>
          </cell>
          <cell r="E6"/>
          <cell r="F6"/>
          <cell r="G6"/>
          <cell r="H6"/>
          <cell r="I6"/>
          <cell r="J6"/>
          <cell r="L6"/>
        </row>
        <row r="7">
          <cell r="A7" t="str">
            <v>01654</v>
          </cell>
          <cell r="E7"/>
          <cell r="F7"/>
          <cell r="G7"/>
          <cell r="H7"/>
          <cell r="I7"/>
          <cell r="J7"/>
          <cell r="L7"/>
        </row>
        <row r="8">
          <cell r="A8" t="str">
            <v>01341</v>
          </cell>
          <cell r="E8"/>
          <cell r="F8"/>
          <cell r="G8"/>
          <cell r="H8"/>
          <cell r="I8"/>
          <cell r="J8"/>
          <cell r="L8"/>
          <cell r="M8"/>
        </row>
        <row r="9">
          <cell r="A9" t="str">
            <v>01343</v>
          </cell>
          <cell r="E9"/>
          <cell r="F9"/>
          <cell r="G9"/>
          <cell r="H9"/>
          <cell r="I9"/>
          <cell r="J9"/>
          <cell r="L9"/>
          <cell r="M9"/>
        </row>
        <row r="10">
          <cell r="A10" t="str">
            <v>01216</v>
          </cell>
          <cell r="E10"/>
          <cell r="F10"/>
          <cell r="G10"/>
          <cell r="H10"/>
          <cell r="I10"/>
          <cell r="J10"/>
          <cell r="L10"/>
          <cell r="M10"/>
        </row>
        <row r="11">
          <cell r="A11" t="str">
            <v>01211</v>
          </cell>
          <cell r="E11"/>
          <cell r="F11"/>
          <cell r="G11"/>
          <cell r="H11"/>
          <cell r="I11"/>
          <cell r="J11"/>
          <cell r="L11"/>
          <cell r="M11"/>
        </row>
        <row r="12">
          <cell r="A12" t="str">
            <v>01311</v>
          </cell>
          <cell r="E12"/>
          <cell r="F12"/>
          <cell r="G12"/>
          <cell r="H12"/>
          <cell r="I12"/>
          <cell r="J12"/>
          <cell r="L12"/>
          <cell r="M12"/>
        </row>
        <row r="13">
          <cell r="A13" t="str">
            <v>01312</v>
          </cell>
          <cell r="E13"/>
          <cell r="F13"/>
          <cell r="G13"/>
          <cell r="H13"/>
          <cell r="I13"/>
          <cell r="J13"/>
          <cell r="L13"/>
          <cell r="M13"/>
        </row>
        <row r="14">
          <cell r="A14" t="str">
            <v>0115</v>
          </cell>
          <cell r="E14"/>
          <cell r="F14"/>
          <cell r="G14"/>
          <cell r="H14"/>
          <cell r="I14"/>
          <cell r="J14"/>
          <cell r="L14"/>
          <cell r="M14"/>
        </row>
        <row r="15">
          <cell r="A15" t="str">
            <v>0115_s</v>
          </cell>
          <cell r="E15"/>
          <cell r="F15"/>
          <cell r="G15"/>
          <cell r="H15"/>
          <cell r="I15"/>
          <cell r="J15"/>
          <cell r="L15"/>
          <cell r="M15"/>
        </row>
        <row r="16">
          <cell r="A16" t="str">
            <v>0115_w</v>
          </cell>
          <cell r="E16"/>
          <cell r="F16"/>
          <cell r="G16"/>
          <cell r="H16"/>
          <cell r="I16"/>
          <cell r="J16"/>
          <cell r="L16"/>
          <cell r="M16"/>
        </row>
        <row r="17">
          <cell r="A17" t="str">
            <v>01701</v>
          </cell>
          <cell r="E17"/>
          <cell r="F17"/>
          <cell r="G17"/>
          <cell r="H17"/>
          <cell r="I17"/>
          <cell r="J17"/>
          <cell r="L17"/>
          <cell r="M17"/>
        </row>
        <row r="18">
          <cell r="A18" t="str">
            <v>01355.01</v>
          </cell>
          <cell r="E18"/>
          <cell r="F18"/>
          <cell r="G18"/>
          <cell r="H18"/>
          <cell r="I18"/>
          <cell r="J18"/>
          <cell r="L18"/>
          <cell r="M18"/>
        </row>
        <row r="19">
          <cell r="A19" t="str">
            <v>01377</v>
          </cell>
          <cell r="E19"/>
          <cell r="F19"/>
          <cell r="G19"/>
          <cell r="H19"/>
          <cell r="I19"/>
          <cell r="J19"/>
          <cell r="L19"/>
          <cell r="M19"/>
        </row>
        <row r="20">
          <cell r="A20" t="str">
            <v>01702</v>
          </cell>
          <cell r="E20"/>
          <cell r="F20"/>
          <cell r="G20"/>
          <cell r="H20"/>
          <cell r="I20"/>
          <cell r="J20"/>
          <cell r="L20"/>
          <cell r="M20"/>
        </row>
        <row r="21">
          <cell r="A21" t="str">
            <v>01243</v>
          </cell>
          <cell r="E21"/>
          <cell r="F21"/>
          <cell r="G21"/>
          <cell r="H21"/>
          <cell r="I21"/>
          <cell r="J21"/>
          <cell r="L21"/>
          <cell r="M21"/>
        </row>
        <row r="22">
          <cell r="A22" t="str">
            <v>01213_b</v>
          </cell>
          <cell r="E22"/>
          <cell r="F22"/>
          <cell r="G22"/>
          <cell r="H22"/>
          <cell r="I22"/>
          <cell r="J22"/>
          <cell r="L22"/>
          <cell r="M22"/>
        </row>
        <row r="23">
          <cell r="A23" t="str">
            <v>01192</v>
          </cell>
          <cell r="E23"/>
          <cell r="F23"/>
          <cell r="G23"/>
          <cell r="H23"/>
          <cell r="I23"/>
          <cell r="J23"/>
          <cell r="L23"/>
          <cell r="M23"/>
        </row>
        <row r="24">
          <cell r="A24" t="str">
            <v>01212</v>
          </cell>
          <cell r="E24"/>
          <cell r="F24"/>
          <cell r="G24"/>
          <cell r="H24"/>
          <cell r="I24"/>
          <cell r="J24"/>
          <cell r="L24"/>
          <cell r="M24"/>
        </row>
        <row r="25">
          <cell r="A25" t="str">
            <v>01229</v>
          </cell>
          <cell r="E25">
            <v>3.0725049178961203E-4</v>
          </cell>
          <cell r="F25">
            <v>5.0974115163884109E-5</v>
          </cell>
          <cell r="G25">
            <v>1.1000000000000001E-6</v>
          </cell>
          <cell r="H25">
            <v>2.2877844939069172E-4</v>
          </cell>
          <cell r="I25">
            <v>2.2877844939069172E-5</v>
          </cell>
          <cell r="J25">
            <v>1.2841732451190163E-6</v>
          </cell>
          <cell r="L25">
            <v>1.0190905084799998E-7</v>
          </cell>
          <cell r="M25">
            <v>2.1340000000000002E-6</v>
          </cell>
        </row>
        <row r="26">
          <cell r="A26" t="str">
            <v>01251</v>
          </cell>
          <cell r="E26"/>
          <cell r="F26"/>
          <cell r="G26"/>
          <cell r="H26"/>
          <cell r="I26"/>
          <cell r="J26"/>
          <cell r="L26"/>
          <cell r="M26"/>
        </row>
        <row r="27">
          <cell r="A27" t="str">
            <v>01372</v>
          </cell>
          <cell r="E27"/>
          <cell r="F27"/>
          <cell r="G27"/>
          <cell r="H27"/>
          <cell r="I27"/>
          <cell r="J27"/>
          <cell r="L27"/>
          <cell r="M27"/>
        </row>
        <row r="28">
          <cell r="A28" t="str">
            <v>01213_cf</v>
          </cell>
          <cell r="E28"/>
          <cell r="F28"/>
          <cell r="G28"/>
          <cell r="H28"/>
          <cell r="I28"/>
          <cell r="J28"/>
          <cell r="L28"/>
          <cell r="M28"/>
        </row>
        <row r="29">
          <cell r="A29" t="str">
            <v>01213</v>
          </cell>
          <cell r="E29"/>
          <cell r="F29"/>
          <cell r="G29"/>
          <cell r="H29"/>
          <cell r="I29"/>
          <cell r="J29"/>
          <cell r="L29"/>
          <cell r="M29"/>
        </row>
        <row r="30">
          <cell r="A30" t="str">
            <v>01199.90</v>
          </cell>
          <cell r="E30"/>
          <cell r="F30"/>
          <cell r="G30"/>
          <cell r="H30"/>
          <cell r="I30"/>
          <cell r="J30"/>
          <cell r="L30"/>
          <cell r="M30"/>
        </row>
        <row r="31">
          <cell r="A31" t="str">
            <v>01344.02</v>
          </cell>
          <cell r="E31"/>
          <cell r="F31"/>
          <cell r="G31"/>
          <cell r="H31"/>
          <cell r="I31"/>
          <cell r="J31"/>
          <cell r="L31"/>
          <cell r="M31"/>
        </row>
        <row r="32">
          <cell r="A32" t="str">
            <v>01373</v>
          </cell>
          <cell r="E32"/>
          <cell r="F32"/>
          <cell r="G32"/>
          <cell r="H32"/>
          <cell r="I32"/>
          <cell r="J32"/>
          <cell r="L32"/>
          <cell r="M32"/>
        </row>
        <row r="33">
          <cell r="A33" t="str">
            <v>01703</v>
          </cell>
          <cell r="E33"/>
          <cell r="F33"/>
          <cell r="G33"/>
          <cell r="H33"/>
          <cell r="I33"/>
          <cell r="J33"/>
          <cell r="L33"/>
          <cell r="M33"/>
        </row>
        <row r="34">
          <cell r="A34" t="str">
            <v>01231</v>
          </cell>
          <cell r="E34"/>
          <cell r="F34"/>
          <cell r="G34"/>
          <cell r="H34"/>
          <cell r="I34"/>
          <cell r="L34"/>
          <cell r="M34"/>
        </row>
        <row r="35">
          <cell r="A35" t="str">
            <v>01640</v>
          </cell>
          <cell r="E35"/>
          <cell r="F35"/>
          <cell r="G35"/>
          <cell r="H35"/>
          <cell r="I35"/>
          <cell r="J35"/>
          <cell r="L35"/>
          <cell r="M35"/>
        </row>
        <row r="36">
          <cell r="A36" t="str">
            <v>01460</v>
          </cell>
          <cell r="E36"/>
          <cell r="F36"/>
          <cell r="G36"/>
          <cell r="H36"/>
          <cell r="I36"/>
          <cell r="J36"/>
          <cell r="L36"/>
          <cell r="M36"/>
        </row>
        <row r="37">
          <cell r="A37" t="str">
            <v>01610</v>
          </cell>
          <cell r="E37">
            <v>1.408753540388654E-3</v>
          </cell>
          <cell r="F37">
            <v>4.4065498119649446E-4</v>
          </cell>
          <cell r="G37">
            <v>1.1000000000000001E-6</v>
          </cell>
          <cell r="H37">
            <v>8.7328312504099577E-4</v>
          </cell>
          <cell r="I37">
            <v>8.7328312504099585E-5</v>
          </cell>
          <cell r="J37">
            <v>5.8281659439278341E-6</v>
          </cell>
          <cell r="L37">
            <v>5.5895570313599993E-7</v>
          </cell>
          <cell r="M37">
            <v>0</v>
          </cell>
        </row>
        <row r="38">
          <cell r="A38" t="str">
            <v>01232</v>
          </cell>
          <cell r="E38"/>
          <cell r="F38"/>
          <cell r="G38"/>
          <cell r="H38"/>
          <cell r="I38"/>
          <cell r="J38"/>
          <cell r="K38" t="e">
            <v>#DIV/0!</v>
          </cell>
          <cell r="L38"/>
          <cell r="M38"/>
        </row>
        <row r="39">
          <cell r="A39" t="str">
            <v>01232_gh</v>
          </cell>
          <cell r="E39"/>
          <cell r="F39"/>
          <cell r="G39"/>
          <cell r="H39"/>
          <cell r="I39"/>
          <cell r="J39"/>
          <cell r="K39" t="e">
            <v>#DIV/0!</v>
          </cell>
          <cell r="M39"/>
        </row>
        <row r="40">
          <cell r="A40" t="str">
            <v>01232_of</v>
          </cell>
          <cell r="E40"/>
          <cell r="F40"/>
          <cell r="G40"/>
          <cell r="H40"/>
          <cell r="I40"/>
          <cell r="J40"/>
          <cell r="L40"/>
          <cell r="M40"/>
        </row>
        <row r="41">
          <cell r="A41" t="str">
            <v>01351.01</v>
          </cell>
          <cell r="E41"/>
          <cell r="F41"/>
          <cell r="G41"/>
          <cell r="H41"/>
          <cell r="I41"/>
          <cell r="J41"/>
          <cell r="L41"/>
          <cell r="M41"/>
        </row>
        <row r="42">
          <cell r="A42" t="str">
            <v>01314</v>
          </cell>
          <cell r="E42"/>
          <cell r="F42"/>
          <cell r="G42"/>
          <cell r="H42"/>
          <cell r="I42"/>
          <cell r="J42"/>
          <cell r="L42"/>
          <cell r="M42"/>
        </row>
        <row r="43">
          <cell r="A43" t="str">
            <v>01599.10</v>
          </cell>
          <cell r="E43"/>
          <cell r="F43"/>
          <cell r="G43"/>
          <cell r="H43"/>
          <cell r="I43"/>
          <cell r="J43"/>
          <cell r="L43"/>
          <cell r="M43"/>
        </row>
        <row r="44">
          <cell r="A44" t="str">
            <v>01233</v>
          </cell>
          <cell r="E44"/>
          <cell r="F44"/>
          <cell r="G44"/>
          <cell r="H44"/>
          <cell r="I44"/>
          <cell r="J44"/>
          <cell r="L44"/>
          <cell r="M44"/>
        </row>
        <row r="45">
          <cell r="A45" t="str">
            <v>01315</v>
          </cell>
          <cell r="E45"/>
          <cell r="F45"/>
          <cell r="G45"/>
          <cell r="H45"/>
          <cell r="I45"/>
          <cell r="J45"/>
          <cell r="L45"/>
          <cell r="M45"/>
        </row>
        <row r="46">
          <cell r="A46" t="str">
            <v>01351.02</v>
          </cell>
          <cell r="E46"/>
          <cell r="F46"/>
          <cell r="G46"/>
          <cell r="H46"/>
          <cell r="I46"/>
          <cell r="J46"/>
          <cell r="L46"/>
          <cell r="M46"/>
        </row>
        <row r="47">
          <cell r="A47" t="str">
            <v>01330</v>
          </cell>
          <cell r="E47"/>
          <cell r="F47"/>
          <cell r="G47"/>
          <cell r="H47"/>
          <cell r="I47"/>
          <cell r="J47"/>
          <cell r="L47"/>
          <cell r="M47"/>
        </row>
        <row r="48">
          <cell r="A48" t="str">
            <v>01290.01</v>
          </cell>
          <cell r="E48"/>
          <cell r="F48"/>
          <cell r="G48"/>
          <cell r="H48"/>
          <cell r="I48"/>
          <cell r="J48"/>
          <cell r="L48"/>
          <cell r="M48"/>
        </row>
        <row r="49">
          <cell r="A49" t="str">
            <v>01252</v>
          </cell>
          <cell r="E49"/>
          <cell r="F49"/>
          <cell r="G49"/>
          <cell r="H49"/>
          <cell r="I49"/>
          <cell r="J49"/>
          <cell r="L49"/>
          <cell r="M49"/>
        </row>
        <row r="50">
          <cell r="A50" t="str">
            <v>0142</v>
          </cell>
          <cell r="E50"/>
          <cell r="F50"/>
          <cell r="G50"/>
          <cell r="H50"/>
          <cell r="I50"/>
          <cell r="J50"/>
          <cell r="L50"/>
          <cell r="M50"/>
        </row>
        <row r="51">
          <cell r="A51" t="str">
            <v>01374</v>
          </cell>
          <cell r="E51"/>
          <cell r="F51"/>
          <cell r="G51"/>
          <cell r="H51"/>
          <cell r="I51"/>
          <cell r="J51"/>
          <cell r="L51"/>
          <cell r="M51"/>
        </row>
        <row r="52">
          <cell r="A52" t="str">
            <v>01352</v>
          </cell>
          <cell r="E52"/>
          <cell r="F52"/>
          <cell r="G52"/>
          <cell r="H52"/>
          <cell r="I52"/>
          <cell r="J52"/>
          <cell r="L52"/>
          <cell r="M52"/>
        </row>
        <row r="53">
          <cell r="A53" t="str">
            <v>01254</v>
          </cell>
          <cell r="E53"/>
          <cell r="F53"/>
          <cell r="G53"/>
          <cell r="H53"/>
          <cell r="I53"/>
          <cell r="J53"/>
          <cell r="L53"/>
          <cell r="M53"/>
        </row>
        <row r="54">
          <cell r="A54" t="str">
            <v>01322</v>
          </cell>
          <cell r="E54"/>
          <cell r="F54"/>
          <cell r="G54"/>
          <cell r="H54"/>
          <cell r="I54"/>
          <cell r="J54"/>
          <cell r="L54"/>
          <cell r="M54"/>
        </row>
        <row r="55">
          <cell r="A55" t="str">
            <v>01704</v>
          </cell>
          <cell r="E55"/>
          <cell r="F55"/>
          <cell r="G55"/>
          <cell r="H55"/>
          <cell r="I55"/>
          <cell r="J55"/>
          <cell r="L55"/>
          <cell r="M55"/>
        </row>
        <row r="56">
          <cell r="A56" t="str">
            <v>01214</v>
          </cell>
          <cell r="E56"/>
          <cell r="F56"/>
          <cell r="G56"/>
          <cell r="H56"/>
          <cell r="I56"/>
          <cell r="J56"/>
          <cell r="L56"/>
          <cell r="M56"/>
        </row>
        <row r="57">
          <cell r="A57" t="str">
            <v>01441</v>
          </cell>
          <cell r="E57"/>
          <cell r="F57"/>
          <cell r="G57"/>
          <cell r="H57"/>
          <cell r="I57"/>
          <cell r="J57"/>
          <cell r="L57"/>
          <cell r="M57"/>
        </row>
        <row r="58">
          <cell r="A58" t="str">
            <v>01709.02</v>
          </cell>
          <cell r="E58"/>
          <cell r="F58"/>
          <cell r="G58"/>
          <cell r="H58"/>
          <cell r="I58"/>
          <cell r="J58"/>
          <cell r="L58"/>
          <cell r="M58"/>
        </row>
        <row r="59">
          <cell r="A59" t="str">
            <v>0112</v>
          </cell>
          <cell r="E59"/>
          <cell r="F59"/>
          <cell r="G59"/>
          <cell r="H59"/>
          <cell r="I59"/>
          <cell r="J59"/>
          <cell r="L59"/>
          <cell r="M59"/>
        </row>
        <row r="60">
          <cell r="A60" t="str">
            <v>01316</v>
          </cell>
          <cell r="E60">
            <v>4.4960340805545192E-4</v>
          </cell>
          <cell r="F60">
            <v>1.0138337921849036E-4</v>
          </cell>
          <cell r="G60">
            <v>1.1000000000000001E-6</v>
          </cell>
          <cell r="H60">
            <v>3.121518177319685E-4</v>
          </cell>
          <cell r="I60">
            <v>3.1215181773196848E-5</v>
          </cell>
          <cell r="J60">
            <v>1.5171202809482004E-6</v>
          </cell>
          <cell r="L60">
            <v>1.0190905084799999E-7</v>
          </cell>
          <cell r="M60">
            <v>2.1340000000000002E-6</v>
          </cell>
        </row>
        <row r="61">
          <cell r="A61" t="str">
            <v>0118</v>
          </cell>
          <cell r="E61"/>
          <cell r="F61"/>
          <cell r="G61"/>
          <cell r="H61"/>
          <cell r="I61"/>
          <cell r="J61"/>
          <cell r="L61"/>
          <cell r="M61"/>
        </row>
        <row r="62">
          <cell r="A62" t="str">
            <v>01199.02</v>
          </cell>
          <cell r="E62"/>
          <cell r="F62"/>
          <cell r="G62"/>
          <cell r="H62"/>
          <cell r="I62"/>
          <cell r="J62"/>
          <cell r="L62"/>
          <cell r="M62"/>
        </row>
        <row r="63">
          <cell r="A63" t="str">
            <v>01270</v>
          </cell>
          <cell r="E63"/>
          <cell r="F63"/>
          <cell r="G63"/>
          <cell r="H63"/>
          <cell r="I63"/>
          <cell r="J63"/>
          <cell r="L63"/>
          <cell r="M63"/>
        </row>
        <row r="64">
          <cell r="A64" t="str">
            <v>0117</v>
          </cell>
          <cell r="E64"/>
          <cell r="F64"/>
          <cell r="G64"/>
          <cell r="H64"/>
          <cell r="I64"/>
          <cell r="J64"/>
          <cell r="L64"/>
          <cell r="M64"/>
        </row>
        <row r="65">
          <cell r="A65" t="str">
            <v>01491.01</v>
          </cell>
          <cell r="E65"/>
          <cell r="F65"/>
          <cell r="G65"/>
          <cell r="H65"/>
          <cell r="I65"/>
          <cell r="J65"/>
          <cell r="L65"/>
          <cell r="M65"/>
        </row>
        <row r="66">
          <cell r="A66" t="str">
            <v>01450</v>
          </cell>
          <cell r="E66"/>
          <cell r="F66"/>
          <cell r="G66"/>
          <cell r="H66"/>
          <cell r="I66"/>
          <cell r="J66"/>
          <cell r="L66"/>
          <cell r="M66"/>
        </row>
        <row r="67">
          <cell r="A67" t="str">
            <v>01253.02</v>
          </cell>
          <cell r="E67"/>
          <cell r="F67"/>
          <cell r="G67"/>
          <cell r="H67"/>
          <cell r="I67"/>
          <cell r="J67"/>
          <cell r="L67"/>
          <cell r="M67"/>
        </row>
        <row r="68">
          <cell r="A68" t="str">
            <v>01323</v>
          </cell>
          <cell r="E68">
            <v>4.4912501757350329E-4</v>
          </cell>
          <cell r="F68">
            <v>1.0138337921849036E-4</v>
          </cell>
          <cell r="G68">
            <v>1.1000000000000001E-6</v>
          </cell>
          <cell r="H68">
            <v>3.1215181773196844E-4</v>
          </cell>
          <cell r="I68">
            <v>3.1215181773196848E-5</v>
          </cell>
          <cell r="J68">
            <v>1.1344625437356628E-6</v>
          </cell>
          <cell r="L68">
            <v>6.1763061119999986E-9</v>
          </cell>
          <cell r="M68">
            <v>2.1340000000000002E-6</v>
          </cell>
        </row>
        <row r="69">
          <cell r="A69" t="str">
            <v>01241.90</v>
          </cell>
          <cell r="E69"/>
          <cell r="F69"/>
          <cell r="G69"/>
          <cell r="H69"/>
          <cell r="I69"/>
          <cell r="J69"/>
          <cell r="L69"/>
          <cell r="M69"/>
        </row>
        <row r="70">
          <cell r="A70" t="str">
            <v>01359.90</v>
          </cell>
          <cell r="E70"/>
          <cell r="F70"/>
          <cell r="G70"/>
          <cell r="H70"/>
          <cell r="I70"/>
          <cell r="J70"/>
          <cell r="L70"/>
          <cell r="M70"/>
        </row>
        <row r="71">
          <cell r="A71" t="str">
            <v>01449.90</v>
          </cell>
          <cell r="E71"/>
          <cell r="F71"/>
          <cell r="G71"/>
          <cell r="H71"/>
          <cell r="I71"/>
          <cell r="J71"/>
          <cell r="L71"/>
          <cell r="M71"/>
        </row>
        <row r="72">
          <cell r="A72" t="str">
            <v>01709.90</v>
          </cell>
          <cell r="E72"/>
          <cell r="F72"/>
          <cell r="G72"/>
          <cell r="H72"/>
          <cell r="I72"/>
          <cell r="J72"/>
          <cell r="L72"/>
          <cell r="M72"/>
        </row>
        <row r="73">
          <cell r="A73" t="str">
            <v>01699</v>
          </cell>
          <cell r="E73"/>
          <cell r="F73"/>
          <cell r="G73"/>
          <cell r="H73"/>
          <cell r="I73"/>
          <cell r="J73"/>
          <cell r="L73"/>
          <cell r="M73"/>
        </row>
        <row r="74">
          <cell r="A74" t="str">
            <v>01290.90</v>
          </cell>
          <cell r="E74"/>
          <cell r="F74"/>
          <cell r="G74"/>
          <cell r="H74"/>
          <cell r="I74"/>
          <cell r="J74"/>
          <cell r="L74"/>
          <cell r="M74"/>
        </row>
        <row r="75">
          <cell r="A75" t="str">
            <v>01317</v>
          </cell>
          <cell r="E75">
            <v>4.488637668286979E-4</v>
          </cell>
          <cell r="F75">
            <v>1.0138337921849036E-4</v>
          </cell>
          <cell r="G75">
            <v>1.1000000000000001E-6</v>
          </cell>
          <cell r="H75">
            <v>3.121518177319685E-4</v>
          </cell>
          <cell r="I75">
            <v>3.1215181773196848E-5</v>
          </cell>
          <cell r="J75">
            <v>7.7747905419418983E-7</v>
          </cell>
          <cell r="L75">
            <v>1.0190905084799998E-7</v>
          </cell>
          <cell r="M75">
            <v>2.1340000000000002E-6</v>
          </cell>
        </row>
        <row r="76">
          <cell r="A76" t="str">
            <v>01345</v>
          </cell>
          <cell r="E76"/>
          <cell r="F76"/>
          <cell r="G76"/>
          <cell r="H76"/>
          <cell r="I76"/>
          <cell r="J76"/>
          <cell r="L76"/>
          <cell r="M76"/>
        </row>
        <row r="77">
          <cell r="A77" t="str">
            <v>01342.01</v>
          </cell>
          <cell r="E77"/>
          <cell r="F77"/>
          <cell r="G77"/>
          <cell r="H77"/>
          <cell r="I77"/>
          <cell r="J77"/>
          <cell r="L77"/>
          <cell r="M77"/>
        </row>
        <row r="78">
          <cell r="A78" t="str">
            <v>01705</v>
          </cell>
          <cell r="E78"/>
          <cell r="F78"/>
          <cell r="G78"/>
          <cell r="H78"/>
          <cell r="I78"/>
          <cell r="J78"/>
          <cell r="L78"/>
          <cell r="M78"/>
        </row>
        <row r="79">
          <cell r="A79" t="str">
            <v>01242</v>
          </cell>
          <cell r="E79"/>
          <cell r="F79"/>
          <cell r="G79"/>
          <cell r="H79"/>
          <cell r="I79"/>
          <cell r="J79"/>
          <cell r="L79"/>
          <cell r="M79"/>
        </row>
        <row r="80">
          <cell r="A80" t="str">
            <v>01651</v>
          </cell>
          <cell r="E80">
            <v>2.8022870224612674E-4</v>
          </cell>
          <cell r="F80">
            <v>3.7953136598275572E-5</v>
          </cell>
          <cell r="G80">
            <v>1.1000000000000001E-6</v>
          </cell>
          <cell r="H80">
            <v>2.0724266896472951E-4</v>
          </cell>
          <cell r="I80">
            <v>2.0724266896472954E-5</v>
          </cell>
          <cell r="J80">
            <v>1.0768902634104724E-5</v>
          </cell>
          <cell r="L80">
            <v>3.0572715254399994E-7</v>
          </cell>
          <cell r="M80">
            <v>2.1340000000000002E-6</v>
          </cell>
        </row>
        <row r="81">
          <cell r="A81" t="str">
            <v>01318</v>
          </cell>
          <cell r="E81"/>
          <cell r="F81"/>
          <cell r="G81"/>
          <cell r="H81"/>
          <cell r="I81"/>
          <cell r="J81"/>
          <cell r="L81"/>
          <cell r="M81"/>
        </row>
        <row r="82">
          <cell r="A82" t="str">
            <v>01313</v>
          </cell>
          <cell r="E82"/>
          <cell r="F82"/>
          <cell r="G82"/>
          <cell r="H82"/>
          <cell r="I82"/>
          <cell r="J82"/>
          <cell r="L82"/>
          <cell r="M82"/>
        </row>
        <row r="83">
          <cell r="A83" t="str">
            <v>01346</v>
          </cell>
          <cell r="E83"/>
          <cell r="F83"/>
          <cell r="G83"/>
          <cell r="H83"/>
          <cell r="I83"/>
          <cell r="J83"/>
          <cell r="L83"/>
          <cell r="M83"/>
        </row>
        <row r="84">
          <cell r="A84" t="str">
            <v>01321</v>
          </cell>
          <cell r="E84"/>
          <cell r="F84"/>
          <cell r="G84"/>
          <cell r="H84"/>
          <cell r="I84"/>
          <cell r="J84"/>
          <cell r="L84"/>
          <cell r="M84"/>
        </row>
        <row r="85">
          <cell r="A85" t="str">
            <v>01448</v>
          </cell>
          <cell r="E85"/>
          <cell r="F85"/>
          <cell r="G85"/>
          <cell r="H85"/>
          <cell r="I85"/>
          <cell r="J85"/>
          <cell r="L85"/>
          <cell r="M85"/>
        </row>
        <row r="86">
          <cell r="A86" t="str">
            <v>01510</v>
          </cell>
          <cell r="E86"/>
          <cell r="F86"/>
          <cell r="G86"/>
          <cell r="H86"/>
          <cell r="I86"/>
          <cell r="J86"/>
          <cell r="L86"/>
          <cell r="M86"/>
        </row>
        <row r="87">
          <cell r="A87" t="str">
            <v>01235</v>
          </cell>
          <cell r="E87"/>
          <cell r="F87"/>
          <cell r="G87"/>
          <cell r="H87"/>
          <cell r="I87"/>
          <cell r="J87"/>
          <cell r="L87"/>
          <cell r="M87"/>
        </row>
        <row r="88">
          <cell r="A88" t="str">
            <v>01342.02</v>
          </cell>
          <cell r="E88"/>
          <cell r="F88"/>
          <cell r="G88"/>
          <cell r="H88"/>
          <cell r="I88"/>
          <cell r="J88"/>
          <cell r="L88"/>
          <cell r="M88"/>
        </row>
        <row r="89">
          <cell r="A89" t="str">
            <v>01194</v>
          </cell>
          <cell r="E89"/>
          <cell r="F89"/>
          <cell r="G89"/>
          <cell r="H89"/>
          <cell r="I89"/>
          <cell r="J89"/>
          <cell r="L89"/>
          <cell r="M89"/>
        </row>
        <row r="90">
          <cell r="A90" t="str">
            <v>01443</v>
          </cell>
          <cell r="E90"/>
          <cell r="F90"/>
          <cell r="G90"/>
          <cell r="H90"/>
          <cell r="I90"/>
          <cell r="J90"/>
          <cell r="L90"/>
          <cell r="M90"/>
        </row>
        <row r="91">
          <cell r="A91" t="str">
            <v>01443_s</v>
          </cell>
          <cell r="E91"/>
          <cell r="F91"/>
          <cell r="G91"/>
          <cell r="H91"/>
          <cell r="I91"/>
          <cell r="J91"/>
          <cell r="L91"/>
          <cell r="M91"/>
        </row>
        <row r="92">
          <cell r="A92" t="str">
            <v>01443_w</v>
          </cell>
          <cell r="E92"/>
          <cell r="F92"/>
          <cell r="G92"/>
          <cell r="H92"/>
          <cell r="I92"/>
          <cell r="J92"/>
          <cell r="L92"/>
          <cell r="M92"/>
        </row>
        <row r="93">
          <cell r="A93" t="str">
            <v>01353.01</v>
          </cell>
          <cell r="E93"/>
          <cell r="F93"/>
          <cell r="G93"/>
          <cell r="H93"/>
          <cell r="I93"/>
          <cell r="J93"/>
          <cell r="L93"/>
          <cell r="M93"/>
        </row>
        <row r="94">
          <cell r="A94" t="str">
            <v>0113</v>
          </cell>
          <cell r="E94"/>
          <cell r="F94"/>
          <cell r="G94"/>
          <cell r="H94"/>
          <cell r="I94"/>
          <cell r="J94"/>
          <cell r="L94"/>
          <cell r="M94"/>
        </row>
        <row r="95">
          <cell r="A95" t="str">
            <v>0116</v>
          </cell>
          <cell r="E95"/>
          <cell r="F95"/>
          <cell r="G95"/>
          <cell r="H95"/>
          <cell r="I95"/>
          <cell r="J95"/>
          <cell r="L95"/>
          <cell r="M95"/>
        </row>
        <row r="96">
          <cell r="A96" t="str">
            <v>0114</v>
          </cell>
          <cell r="E96"/>
          <cell r="F96"/>
          <cell r="G96"/>
          <cell r="H96"/>
          <cell r="I96"/>
          <cell r="J96"/>
          <cell r="L96"/>
          <cell r="M96"/>
        </row>
        <row r="97">
          <cell r="A97" t="str">
            <v>01344.01</v>
          </cell>
          <cell r="E97"/>
          <cell r="F97"/>
          <cell r="G97"/>
          <cell r="H97"/>
          <cell r="I97"/>
          <cell r="J97"/>
          <cell r="L97"/>
          <cell r="M97"/>
        </row>
        <row r="98">
          <cell r="A98" t="str">
            <v>0141</v>
          </cell>
          <cell r="E98">
            <v>3.6099979646730582E-4</v>
          </cell>
          <cell r="F98">
            <v>8.5474058496577423E-6</v>
          </cell>
          <cell r="G98">
            <v>1.1000000000000001E-6</v>
          </cell>
          <cell r="H98">
            <v>3.1647312658963683E-4</v>
          </cell>
          <cell r="I98">
            <v>3.1647312658963685E-5</v>
          </cell>
          <cell r="J98">
            <v>1.360897215991556E-6</v>
          </cell>
          <cell r="L98">
            <v>3.0881530559999997E-9</v>
          </cell>
          <cell r="M98">
            <v>1.8679660000000001E-6</v>
          </cell>
        </row>
        <row r="99">
          <cell r="A99" t="str">
            <v>01215</v>
          </cell>
          <cell r="E99"/>
          <cell r="F99"/>
          <cell r="G99"/>
          <cell r="H99"/>
          <cell r="I99"/>
          <cell r="J99"/>
          <cell r="L99"/>
          <cell r="M99"/>
        </row>
        <row r="100">
          <cell r="A100" t="str">
            <v>01354</v>
          </cell>
          <cell r="E100"/>
          <cell r="F100"/>
          <cell r="G100"/>
          <cell r="H100"/>
          <cell r="I100"/>
          <cell r="J100"/>
          <cell r="L100"/>
          <cell r="M100"/>
        </row>
        <row r="101">
          <cell r="A101" t="str">
            <v>01801</v>
          </cell>
          <cell r="E101"/>
          <cell r="F101"/>
          <cell r="G101"/>
          <cell r="H101"/>
          <cell r="I101"/>
          <cell r="J101"/>
          <cell r="L101"/>
          <cell r="M101"/>
        </row>
        <row r="102">
          <cell r="A102" t="str">
            <v>01802</v>
          </cell>
          <cell r="E102"/>
          <cell r="F102"/>
          <cell r="G102"/>
          <cell r="H102"/>
          <cell r="I102"/>
          <cell r="J102"/>
          <cell r="L102"/>
          <cell r="M102"/>
        </row>
        <row r="103">
          <cell r="A103" t="str">
            <v>01445</v>
          </cell>
          <cell r="E103"/>
          <cell r="F103"/>
          <cell r="G103"/>
          <cell r="H103"/>
          <cell r="I103"/>
          <cell r="J103"/>
          <cell r="L103"/>
          <cell r="M103"/>
        </row>
        <row r="104">
          <cell r="A104" t="str">
            <v>01530</v>
          </cell>
          <cell r="E104"/>
          <cell r="F104"/>
          <cell r="G104"/>
          <cell r="H104"/>
          <cell r="I104"/>
          <cell r="J104"/>
          <cell r="L104"/>
          <cell r="M104"/>
        </row>
        <row r="105">
          <cell r="A105" t="str">
            <v>01324</v>
          </cell>
          <cell r="E105"/>
          <cell r="F105"/>
          <cell r="G105"/>
          <cell r="H105"/>
          <cell r="I105"/>
          <cell r="J105"/>
          <cell r="L105"/>
          <cell r="M105"/>
        </row>
        <row r="106">
          <cell r="A106" t="str">
            <v>01234</v>
          </cell>
          <cell r="E106"/>
          <cell r="F106"/>
          <cell r="G106"/>
          <cell r="H106"/>
          <cell r="I106"/>
          <cell r="J106"/>
          <cell r="K106" t="e">
            <v>#DIV/0!</v>
          </cell>
          <cell r="M106"/>
        </row>
        <row r="107">
          <cell r="A107" t="str">
            <v>01234_gh</v>
          </cell>
          <cell r="E107"/>
          <cell r="F107"/>
          <cell r="G107"/>
          <cell r="H107"/>
          <cell r="I107"/>
          <cell r="J107"/>
          <cell r="K107" t="e">
            <v>#DIV/0!</v>
          </cell>
          <cell r="M107"/>
        </row>
        <row r="108">
          <cell r="A108" t="str">
            <v>01234_of</v>
          </cell>
          <cell r="E108"/>
          <cell r="F108"/>
          <cell r="G108"/>
          <cell r="H108"/>
          <cell r="I108"/>
          <cell r="J108"/>
          <cell r="L108"/>
          <cell r="M108"/>
        </row>
        <row r="109">
          <cell r="A109" t="str">
            <v>01191</v>
          </cell>
          <cell r="E109"/>
          <cell r="F109"/>
          <cell r="G109"/>
          <cell r="H109"/>
          <cell r="I109"/>
          <cell r="J109"/>
          <cell r="L109"/>
          <cell r="M109"/>
        </row>
        <row r="110">
          <cell r="A110" t="str">
            <v>01929.02</v>
          </cell>
          <cell r="E110"/>
          <cell r="F110"/>
          <cell r="G110"/>
          <cell r="H110"/>
          <cell r="I110"/>
          <cell r="J110"/>
          <cell r="L110"/>
          <cell r="M110"/>
        </row>
        <row r="111">
          <cell r="A111" t="str">
            <v>01709.01</v>
          </cell>
          <cell r="E111"/>
          <cell r="F111"/>
          <cell r="G111"/>
          <cell r="H111"/>
          <cell r="I111"/>
          <cell r="J111"/>
          <cell r="L111"/>
          <cell r="M111"/>
        </row>
        <row r="112">
          <cell r="A112" t="str">
            <v>01376</v>
          </cell>
          <cell r="E112"/>
          <cell r="F112"/>
          <cell r="G112"/>
          <cell r="H112"/>
          <cell r="I112"/>
          <cell r="J112"/>
          <cell r="L112"/>
          <cell r="M112"/>
        </row>
        <row r="113">
          <cell r="A113" t="str">
            <v>01221</v>
          </cell>
          <cell r="E113">
            <v>2.717323942633313E-4</v>
          </cell>
          <cell r="F113">
            <v>3.832495580567136E-5</v>
          </cell>
          <cell r="G113">
            <v>1.1000000000000001E-6</v>
          </cell>
          <cell r="H113">
            <v>2.0785763171643699E-4</v>
          </cell>
          <cell r="I113">
            <v>2.0785763171643701E-5</v>
          </cell>
          <cell r="J113">
            <v>1.4281345187311838E-6</v>
          </cell>
          <cell r="L113">
            <v>1.0190905084799997E-7</v>
          </cell>
          <cell r="M113">
            <v>2.1340000000000002E-6</v>
          </cell>
        </row>
        <row r="114">
          <cell r="A114" t="str">
            <v>01221_gh</v>
          </cell>
          <cell r="E114"/>
          <cell r="F114"/>
          <cell r="G114"/>
          <cell r="H114"/>
          <cell r="I114"/>
          <cell r="J114"/>
          <cell r="L114"/>
          <cell r="M114"/>
        </row>
        <row r="115">
          <cell r="A115" t="str">
            <v>01221_of</v>
          </cell>
          <cell r="E115"/>
          <cell r="F115"/>
          <cell r="G115"/>
          <cell r="H115"/>
          <cell r="I115"/>
          <cell r="J115"/>
          <cell r="L115"/>
          <cell r="M115"/>
        </row>
        <row r="116">
          <cell r="A116" t="str">
            <v>0111</v>
          </cell>
          <cell r="E116"/>
          <cell r="F116"/>
          <cell r="G116"/>
          <cell r="H116"/>
          <cell r="I116"/>
          <cell r="J116"/>
          <cell r="L116"/>
          <cell r="M116"/>
        </row>
        <row r="117">
          <cell r="A117" t="str">
            <v>0111_s</v>
          </cell>
          <cell r="E117"/>
          <cell r="F117"/>
          <cell r="G117"/>
          <cell r="H117"/>
          <cell r="I117"/>
          <cell r="J117"/>
          <cell r="L117"/>
          <cell r="M117"/>
        </row>
        <row r="118">
          <cell r="A118" t="str">
            <v>0111_w</v>
          </cell>
          <cell r="E118"/>
          <cell r="F118"/>
          <cell r="G118"/>
          <cell r="H118"/>
          <cell r="I118"/>
          <cell r="J118"/>
          <cell r="L118"/>
          <cell r="M118"/>
        </row>
      </sheetData>
      <sheetData sheetId="8" refreshError="1">
        <row r="28">
          <cell r="A28" t="str">
            <v>Berries</v>
          </cell>
        </row>
        <row r="29">
          <cell r="A29" t="str">
            <v>Cereals</v>
          </cell>
          <cell r="B29">
            <v>0.41000000000000003</v>
          </cell>
          <cell r="C29">
            <v>7.2000000000000008E-2</v>
          </cell>
        </row>
        <row r="30">
          <cell r="A30" t="str">
            <v>Cereals, incl feed</v>
          </cell>
          <cell r="B30">
            <v>0.41000000000000003</v>
          </cell>
          <cell r="C30">
            <v>7.2000000000000008E-2</v>
          </cell>
        </row>
        <row r="31">
          <cell r="A31" t="str">
            <v>Fruits</v>
          </cell>
          <cell r="C31">
            <v>0.22</v>
          </cell>
        </row>
        <row r="32">
          <cell r="A32" t="str">
            <v>Mushrooms</v>
          </cell>
        </row>
        <row r="33">
          <cell r="A33" t="str">
            <v>Nuts</v>
          </cell>
          <cell r="B33">
            <v>0.82000000000000006</v>
          </cell>
          <cell r="C33">
            <v>7.2000000000000008E-2</v>
          </cell>
        </row>
        <row r="34">
          <cell r="A34" t="str">
            <v>Oil crops</v>
          </cell>
          <cell r="B34">
            <v>0.82000000000000006</v>
          </cell>
          <cell r="C34">
            <v>7.2000000000000008E-2</v>
          </cell>
        </row>
        <row r="35">
          <cell r="A35" t="str">
            <v>Oil crops, tree</v>
          </cell>
          <cell r="B35">
            <v>0.82000000000000006</v>
          </cell>
          <cell r="C35">
            <v>7.2000000000000008E-2</v>
          </cell>
        </row>
        <row r="36">
          <cell r="A36" t="str">
            <v>Other</v>
          </cell>
        </row>
        <row r="37">
          <cell r="A37" t="str">
            <v>Pulses</v>
          </cell>
          <cell r="B37">
            <v>0.41000000000000003</v>
          </cell>
          <cell r="C37">
            <v>7.2000000000000008E-2</v>
          </cell>
        </row>
        <row r="38">
          <cell r="A38" t="str">
            <v>Pulses, incl feed</v>
          </cell>
          <cell r="B38">
            <v>0.41000000000000003</v>
          </cell>
          <cell r="C38">
            <v>7.2000000000000008E-2</v>
          </cell>
        </row>
        <row r="39">
          <cell r="A39" t="str">
            <v>Roots</v>
          </cell>
          <cell r="C39">
            <v>0.22</v>
          </cell>
        </row>
        <row r="40">
          <cell r="A40" t="str">
            <v>Seeds</v>
          </cell>
          <cell r="B40">
            <v>0.41000000000000003</v>
          </cell>
          <cell r="C40">
            <v>7.2000000000000008E-2</v>
          </cell>
        </row>
        <row r="41">
          <cell r="A41" t="str">
            <v>Spices</v>
          </cell>
          <cell r="B41">
            <v>0.41000000000000003</v>
          </cell>
          <cell r="C41">
            <v>7.2000000000000008E-2</v>
          </cell>
        </row>
        <row r="42">
          <cell r="A42" t="str">
            <v>Stimulants</v>
          </cell>
        </row>
        <row r="43">
          <cell r="A43" t="str">
            <v>Sugar crops</v>
          </cell>
          <cell r="C43">
            <v>0.22</v>
          </cell>
        </row>
        <row r="44">
          <cell r="A44" t="str">
            <v>Vegetables</v>
          </cell>
          <cell r="C44">
            <v>0.22</v>
          </cell>
        </row>
      </sheetData>
      <sheetData sheetId="9" refreshError="1">
        <row r="6">
          <cell r="B6">
            <v>7.4799500000000005E-2</v>
          </cell>
        </row>
        <row r="7">
          <cell r="B7">
            <v>8.0560000000000007E-2</v>
          </cell>
        </row>
        <row r="10">
          <cell r="B10">
            <v>1.6999999999999999E-3</v>
          </cell>
        </row>
        <row r="13">
          <cell r="B13">
            <v>7.5920000000000001E-2</v>
          </cell>
          <cell r="E13">
            <v>35.200000000000003</v>
          </cell>
        </row>
        <row r="20">
          <cell r="E20">
            <v>0.08</v>
          </cell>
        </row>
        <row r="21">
          <cell r="E21">
            <v>0.92</v>
          </cell>
        </row>
        <row r="28">
          <cell r="B28">
            <v>7.5028151531290013E-2</v>
          </cell>
        </row>
        <row r="35">
          <cell r="B35">
            <v>2.7E-2</v>
          </cell>
        </row>
        <row r="41">
          <cell r="A41" t="str">
            <v>Berries</v>
          </cell>
        </row>
        <row r="42">
          <cell r="A42" t="str">
            <v>Cereals</v>
          </cell>
        </row>
        <row r="43">
          <cell r="A43" t="str">
            <v>Cereals, incl feed</v>
          </cell>
        </row>
        <row r="44">
          <cell r="A44" t="str">
            <v>Fruits</v>
          </cell>
        </row>
        <row r="45">
          <cell r="A45" t="str">
            <v>Mushrooms</v>
          </cell>
        </row>
        <row r="46">
          <cell r="A46" t="str">
            <v>Nuts</v>
          </cell>
        </row>
        <row r="47">
          <cell r="A47" t="str">
            <v>Oil crops</v>
          </cell>
        </row>
        <row r="48">
          <cell r="A48" t="str">
            <v>Oil crops, tree</v>
          </cell>
        </row>
        <row r="49">
          <cell r="A49" t="str">
            <v>Other</v>
          </cell>
        </row>
        <row r="50">
          <cell r="A50" t="str">
            <v>Pulses</v>
          </cell>
        </row>
        <row r="51">
          <cell r="A51" t="str">
            <v>Pulses, incl feed</v>
          </cell>
        </row>
        <row r="52">
          <cell r="A52" t="str">
            <v>Roots</v>
          </cell>
        </row>
        <row r="53">
          <cell r="A53" t="str">
            <v>Seeds</v>
          </cell>
        </row>
        <row r="54">
          <cell r="A54" t="str">
            <v>Spices</v>
          </cell>
        </row>
        <row r="55">
          <cell r="A55" t="str">
            <v>Stimulants</v>
          </cell>
        </row>
        <row r="56">
          <cell r="A56" t="str">
            <v>Sugar crops</v>
          </cell>
        </row>
        <row r="57">
          <cell r="A57" t="str">
            <v>Vegetables</v>
          </cell>
        </row>
        <row r="69">
          <cell r="B69">
            <v>352323</v>
          </cell>
        </row>
        <row r="73">
          <cell r="B73">
            <v>0.05</v>
          </cell>
        </row>
        <row r="74">
          <cell r="B74">
            <v>1.2158920539730134</v>
          </cell>
        </row>
      </sheetData>
      <sheetData sheetId="10" refreshError="1">
        <row r="5">
          <cell r="C5">
            <v>27</v>
          </cell>
          <cell r="D5">
            <v>29.8</v>
          </cell>
          <cell r="E5">
            <v>273</v>
          </cell>
        </row>
      </sheetData>
      <sheetData sheetId="1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2:B26"/>
  <sheetViews>
    <sheetView zoomScale="80" zoomScaleNormal="80" workbookViewId="0">
      <selection activeCell="D19" sqref="D19"/>
    </sheetView>
  </sheetViews>
  <sheetFormatPr defaultColWidth="8.88671875" defaultRowHeight="14.4" x14ac:dyDescent="0.3"/>
  <cols>
    <col min="1" max="1" width="8.88671875" style="31"/>
    <col min="2" max="2" width="18.33203125" customWidth="1"/>
    <col min="3" max="3" width="31.44140625" customWidth="1"/>
    <col min="4" max="4" width="24.6640625" customWidth="1"/>
  </cols>
  <sheetData>
    <row r="2" spans="1:2" ht="21" x14ac:dyDescent="0.4">
      <c r="A2" s="65" t="s">
        <v>0</v>
      </c>
    </row>
    <row r="4" spans="1:2" x14ac:dyDescent="0.3">
      <c r="A4" s="31" t="s">
        <v>1</v>
      </c>
    </row>
    <row r="7" spans="1:2" x14ac:dyDescent="0.3">
      <c r="A7" s="31" t="s">
        <v>2</v>
      </c>
    </row>
    <row r="8" spans="1:2" x14ac:dyDescent="0.3">
      <c r="A8" s="31" t="s">
        <v>3</v>
      </c>
    </row>
    <row r="9" spans="1:2" x14ac:dyDescent="0.3">
      <c r="A9" s="31" t="s">
        <v>4</v>
      </c>
    </row>
    <row r="13" spans="1:2" x14ac:dyDescent="0.3">
      <c r="A13" s="31" t="s">
        <v>5</v>
      </c>
    </row>
    <row r="15" spans="1:2" x14ac:dyDescent="0.3">
      <c r="A15" s="85"/>
      <c r="B15" t="s">
        <v>6</v>
      </c>
    </row>
    <row r="16" spans="1:2" x14ac:dyDescent="0.3">
      <c r="A16" s="111"/>
      <c r="B16" t="s">
        <v>7</v>
      </c>
    </row>
    <row r="17" spans="1:2" x14ac:dyDescent="0.3">
      <c r="A17" s="112"/>
      <c r="B17" t="s">
        <v>8</v>
      </c>
    </row>
    <row r="18" spans="1:2" x14ac:dyDescent="0.3">
      <c r="A18" s="320"/>
      <c r="B18" t="s">
        <v>13</v>
      </c>
    </row>
    <row r="20" spans="1:2" x14ac:dyDescent="0.3">
      <c r="A20" s="114" t="s">
        <v>9</v>
      </c>
    </row>
    <row r="23" spans="1:2" x14ac:dyDescent="0.3">
      <c r="A23" s="31" t="s">
        <v>10</v>
      </c>
    </row>
    <row r="24" spans="1:2" x14ac:dyDescent="0.3">
      <c r="A24" s="31" t="s">
        <v>447</v>
      </c>
    </row>
    <row r="25" spans="1:2" x14ac:dyDescent="0.3">
      <c r="A25" s="31" t="s">
        <v>11</v>
      </c>
    </row>
    <row r="26" spans="1:2" x14ac:dyDescent="0.3">
      <c r="A26" s="31" t="s">
        <v>12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9FFA1-1932-4638-AD84-8A9CFF415E51}">
  <sheetPr>
    <tabColor theme="1" tint="0.499984740745262"/>
  </sheetPr>
  <dimension ref="A2:M83"/>
  <sheetViews>
    <sheetView topLeftCell="A11" workbookViewId="0">
      <selection activeCell="J47" sqref="J47"/>
    </sheetView>
  </sheetViews>
  <sheetFormatPr defaultColWidth="8.88671875" defaultRowHeight="14.4" x14ac:dyDescent="0.3"/>
  <cols>
    <col min="1" max="1" width="13.88671875" customWidth="1"/>
    <col min="2" max="2" width="12.6640625" bestFit="1" customWidth="1"/>
    <col min="3" max="3" width="11" bestFit="1" customWidth="1"/>
    <col min="4" max="7" width="12" bestFit="1" customWidth="1"/>
    <col min="13" max="13" width="11" bestFit="1" customWidth="1"/>
  </cols>
  <sheetData>
    <row r="2" spans="1:13" ht="21" x14ac:dyDescent="0.4">
      <c r="A2" s="2" t="s">
        <v>13</v>
      </c>
      <c r="B2" s="314"/>
      <c r="C2" s="314"/>
      <c r="D2" s="314"/>
      <c r="E2" s="314"/>
      <c r="F2" s="314"/>
      <c r="G2" s="314"/>
      <c r="H2" s="314"/>
      <c r="I2" s="314"/>
      <c r="J2" s="314"/>
      <c r="K2" s="314"/>
      <c r="L2" s="314"/>
      <c r="M2" s="314"/>
    </row>
    <row r="4" spans="1:13" x14ac:dyDescent="0.3">
      <c r="A4" t="s">
        <v>443</v>
      </c>
    </row>
    <row r="7" spans="1:13" ht="15" customHeight="1" x14ac:dyDescent="0.3"/>
    <row r="8" spans="1:13" ht="15" customHeight="1" x14ac:dyDescent="0.3"/>
    <row r="9" spans="1:13" ht="15" customHeight="1" x14ac:dyDescent="0.3"/>
    <row r="10" spans="1:13" ht="15" customHeight="1" x14ac:dyDescent="0.3"/>
    <row r="11" spans="1:13" ht="15" customHeight="1" x14ac:dyDescent="0.3"/>
    <row r="12" spans="1:13" ht="15" customHeight="1" x14ac:dyDescent="0.3"/>
    <row r="13" spans="1:13" ht="15" customHeight="1" x14ac:dyDescent="0.3"/>
    <row r="14" spans="1:13" ht="15" customHeight="1" x14ac:dyDescent="0.3"/>
    <row r="15" spans="1:13" ht="15" customHeight="1" x14ac:dyDescent="0.3"/>
    <row r="16" spans="1:13" ht="15" customHeight="1" x14ac:dyDescent="0.3"/>
    <row r="17" spans="1:1" ht="15" customHeight="1" x14ac:dyDescent="0.3"/>
    <row r="18" spans="1:1" ht="15" customHeight="1" x14ac:dyDescent="0.3"/>
    <row r="19" spans="1:1" ht="15" customHeight="1" x14ac:dyDescent="0.3">
      <c r="A19" s="312"/>
    </row>
    <row r="20" spans="1:1" ht="15" customHeight="1" x14ac:dyDescent="0.3">
      <c r="A20" s="312"/>
    </row>
    <row r="42" spans="1:12" x14ac:dyDescent="0.3">
      <c r="A42" t="s">
        <v>444</v>
      </c>
    </row>
    <row r="45" spans="1:12" x14ac:dyDescent="0.3">
      <c r="J45" t="s">
        <v>445</v>
      </c>
      <c r="L45" t="s">
        <v>446</v>
      </c>
    </row>
    <row r="47" spans="1:12" x14ac:dyDescent="0.3">
      <c r="J47" t="s">
        <v>28</v>
      </c>
      <c r="L47" t="s">
        <v>30</v>
      </c>
    </row>
    <row r="48" spans="1:12" x14ac:dyDescent="0.3">
      <c r="J48" s="313" t="s">
        <v>26</v>
      </c>
      <c r="L48" t="s">
        <v>32</v>
      </c>
    </row>
    <row r="49" spans="10:12" x14ac:dyDescent="0.3">
      <c r="J49" t="s">
        <v>30</v>
      </c>
      <c r="L49" t="s">
        <v>28</v>
      </c>
    </row>
    <row r="50" spans="10:12" x14ac:dyDescent="0.3">
      <c r="J50" t="s">
        <v>31</v>
      </c>
      <c r="L50" t="s">
        <v>29</v>
      </c>
    </row>
    <row r="51" spans="10:12" x14ac:dyDescent="0.3">
      <c r="J51" s="17" t="s">
        <v>34</v>
      </c>
      <c r="L51" t="s">
        <v>129</v>
      </c>
    </row>
    <row r="52" spans="10:12" x14ac:dyDescent="0.3">
      <c r="J52" t="s">
        <v>32</v>
      </c>
      <c r="L52" t="s">
        <v>27</v>
      </c>
    </row>
    <row r="53" spans="10:12" x14ac:dyDescent="0.3">
      <c r="J53" t="s">
        <v>29</v>
      </c>
      <c r="L53" t="s">
        <v>26</v>
      </c>
    </row>
    <row r="54" spans="10:12" x14ac:dyDescent="0.3">
      <c r="J54" t="s">
        <v>37</v>
      </c>
      <c r="L54" t="s">
        <v>128</v>
      </c>
    </row>
    <row r="55" spans="10:12" x14ac:dyDescent="0.3">
      <c r="J55" t="s">
        <v>27</v>
      </c>
      <c r="L55" t="s">
        <v>33</v>
      </c>
    </row>
    <row r="56" spans="10:12" x14ac:dyDescent="0.3">
      <c r="J56" t="s">
        <v>35</v>
      </c>
      <c r="L56" t="s">
        <v>35</v>
      </c>
    </row>
    <row r="57" spans="10:12" x14ac:dyDescent="0.3">
      <c r="J57" t="s">
        <v>33</v>
      </c>
      <c r="L57" t="s">
        <v>37</v>
      </c>
    </row>
    <row r="58" spans="10:12" x14ac:dyDescent="0.3">
      <c r="J58" t="s">
        <v>36</v>
      </c>
      <c r="L58" t="s">
        <v>34</v>
      </c>
    </row>
    <row r="71" spans="1:13" ht="43.2" x14ac:dyDescent="0.3">
      <c r="B71" s="312" t="s">
        <v>14</v>
      </c>
      <c r="C71" s="312" t="s">
        <v>15</v>
      </c>
      <c r="D71" s="312" t="s">
        <v>16</v>
      </c>
      <c r="E71" s="312" t="s">
        <v>17</v>
      </c>
      <c r="F71" s="312" t="s">
        <v>18</v>
      </c>
      <c r="G71" s="312" t="s">
        <v>19</v>
      </c>
      <c r="H71" s="312" t="s">
        <v>20</v>
      </c>
      <c r="I71" s="313" t="s">
        <v>21</v>
      </c>
      <c r="J71" s="313" t="s">
        <v>22</v>
      </c>
      <c r="K71" s="312" t="s">
        <v>23</v>
      </c>
      <c r="L71" s="312" t="s">
        <v>24</v>
      </c>
      <c r="M71" s="312" t="s">
        <v>25</v>
      </c>
    </row>
    <row r="72" spans="1:13" x14ac:dyDescent="0.3">
      <c r="A72" t="s">
        <v>28</v>
      </c>
      <c r="B72">
        <f>'GHG detailed, results per kg'!H51</f>
        <v>0.23803530641059373</v>
      </c>
      <c r="C72">
        <f>'GHG detailed, results per kg'!I51</f>
        <v>9.0380114167463596E-2</v>
      </c>
      <c r="D72">
        <f>'GHG detailed, results per kg'!J51+'GHG detailed, results per kg'!K51</f>
        <v>0.35702712435151035</v>
      </c>
      <c r="E72">
        <f>'GHG detailed, results per kg'!L51+'GHG detailed, results per kg'!N51</f>
        <v>0.13266083723617669</v>
      </c>
      <c r="F72">
        <f>'GHG detailed, results per kg'!O51</f>
        <v>0.15985879297689648</v>
      </c>
      <c r="G72">
        <f>'GHG detailed, results per kg'!P51</f>
        <v>0.10943919104259656</v>
      </c>
      <c r="H72">
        <f>'GHG detailed, results per kg'!R51</f>
        <v>9.6323149723153562E-2</v>
      </c>
      <c r="I72">
        <f>'GHG detailed, results per kg'!S51</f>
        <v>0</v>
      </c>
      <c r="J72">
        <f>'GHG detailed, results per kg'!T51</f>
        <v>0.13869379537724535</v>
      </c>
      <c r="K72">
        <f>'GHG detailed, results per kg'!W51</f>
        <v>0.1507493227417642</v>
      </c>
      <c r="L72">
        <f>'GHG detailed, results per kg'!X51</f>
        <v>0.54600896351345796</v>
      </c>
      <c r="M72">
        <f t="shared" ref="M72:M83" si="0">SUM(B72:L72)</f>
        <v>2.0191765975408584</v>
      </c>
    </row>
    <row r="73" spans="1:13" x14ac:dyDescent="0.3">
      <c r="A73" s="313" t="s">
        <v>26</v>
      </c>
      <c r="B73">
        <f>'GHG detailed, results per kg'!H66</f>
        <v>0.28892788817470272</v>
      </c>
      <c r="C73">
        <f>'GHG detailed, results per kg'!I66</f>
        <v>9.0151259590037003E-2</v>
      </c>
      <c r="D73">
        <f>'GHG detailed, results per kg'!J66+'GHG detailed, results per kg'!K66</f>
        <v>0.46015496007395412</v>
      </c>
      <c r="E73">
        <f>'GHG detailed, results per kg'!L66+'GHG detailed, results per kg'!N66</f>
        <v>0.10133221963820224</v>
      </c>
      <c r="F73">
        <f>'GHG detailed, results per kg'!O66</f>
        <v>0.12778528894848146</v>
      </c>
      <c r="G73">
        <f>'GHG detailed, results per kg'!P66</f>
        <v>0.19408948992808309</v>
      </c>
      <c r="H73">
        <f>'GHG detailed, results per kg'!R66</f>
        <v>0.17830095846016009</v>
      </c>
      <c r="I73">
        <f>'GHG detailed, results per kg'!S66</f>
        <v>0</v>
      </c>
      <c r="J73">
        <f>'GHG detailed, results per kg'!T66</f>
        <v>9.3263728567251403E-2</v>
      </c>
      <c r="K73">
        <f>'GHG detailed, results per kg'!W66</f>
        <v>9.4238726789122609E-2</v>
      </c>
      <c r="L73">
        <f>'GHG detailed, results per kg'!X66</f>
        <v>0.2230912723555058</v>
      </c>
      <c r="M73">
        <f t="shared" si="0"/>
        <v>1.8513357925255007</v>
      </c>
    </row>
    <row r="74" spans="1:13" x14ac:dyDescent="0.3">
      <c r="A74" t="s">
        <v>30</v>
      </c>
      <c r="B74">
        <f>'GHG detailed, results per kg'!H46</f>
        <v>0.18889797903668962</v>
      </c>
      <c r="C74">
        <f>'GHG detailed, results per kg'!I46</f>
        <v>8.8547667634318053E-2</v>
      </c>
      <c r="D74">
        <f>'GHG detailed, results per kg'!J46+'GHG detailed, results per kg'!K46</f>
        <v>0.38352742302063969</v>
      </c>
      <c r="E74">
        <f>'GHG detailed, results per kg'!L46+'GHG detailed, results per kg'!N46</f>
        <v>9.827251317024023E-2</v>
      </c>
      <c r="F74">
        <f>'GHG detailed, results per kg'!O46</f>
        <v>0.13182430709561582</v>
      </c>
      <c r="G74">
        <f>'GHG detailed, results per kg'!P46</f>
        <v>0.16580919227488314</v>
      </c>
      <c r="H74">
        <f>'GHG detailed, results per kg'!R46</f>
        <v>0.16108315438700654</v>
      </c>
      <c r="I74">
        <f>'GHG detailed, results per kg'!S46</f>
        <v>0</v>
      </c>
      <c r="J74">
        <f>'GHG detailed, results per kg'!T46</f>
        <v>0.15104449580553436</v>
      </c>
      <c r="K74">
        <f>'GHG detailed, results per kg'!W46</f>
        <v>0.10486036971128213</v>
      </c>
      <c r="L74">
        <f>'GHG detailed, results per kg'!X46</f>
        <v>0.28378637476784591</v>
      </c>
      <c r="M74">
        <f t="shared" si="0"/>
        <v>1.7576534769040557</v>
      </c>
    </row>
    <row r="75" spans="1:13" x14ac:dyDescent="0.3">
      <c r="A75" t="s">
        <v>31</v>
      </c>
      <c r="B75">
        <f>'GHG detailed, results per kg'!H11</f>
        <v>0.24971371223845368</v>
      </c>
      <c r="C75">
        <f>'GHG detailed, results per kg'!I11</f>
        <v>9.0853562585327785E-2</v>
      </c>
      <c r="D75">
        <f>'GHG detailed, results per kg'!J11+'GHG detailed, results per kg'!K11</f>
        <v>0.48955718902602935</v>
      </c>
      <c r="E75">
        <f>'GHG detailed, results per kg'!L11+'GHG detailed, results per kg'!N11</f>
        <v>9.9457168638487581E-2</v>
      </c>
      <c r="F75">
        <f>'GHG detailed, results per kg'!O11</f>
        <v>0.12602943738808636</v>
      </c>
      <c r="G75">
        <f>'GHG detailed, results per kg'!P11</f>
        <v>0.11199553670653163</v>
      </c>
      <c r="H75">
        <f>'GHG detailed, results per kg'!R11</f>
        <v>0.10108348867710014</v>
      </c>
      <c r="I75">
        <f>'GHG detailed, results per kg'!S11</f>
        <v>0</v>
      </c>
      <c r="J75">
        <f>'GHG detailed, results per kg'!T11</f>
        <v>9.3263728567251403E-2</v>
      </c>
      <c r="K75">
        <f>'GHG detailed, results per kg'!W11</f>
        <v>9.2086076701015276E-2</v>
      </c>
      <c r="L75">
        <f>'GHG detailed, results per kg'!X11</f>
        <v>0.21079041470917817</v>
      </c>
      <c r="M75">
        <f t="shared" si="0"/>
        <v>1.6648303152374613</v>
      </c>
    </row>
    <row r="76" spans="1:13" x14ac:dyDescent="0.3">
      <c r="A76" s="17" t="s">
        <v>34</v>
      </c>
      <c r="B76">
        <f>'GHG detailed, results per kg'!H61</f>
        <v>0.25129263891056819</v>
      </c>
      <c r="C76">
        <f>'GHG detailed, results per kg'!I61</f>
        <v>9.2035734889641035E-2</v>
      </c>
      <c r="D76" t="e">
        <f>'GHG detailed, results per kg'!J61+'GHG detailed, results per kg'!#REF!</f>
        <v>#REF!</v>
      </c>
      <c r="E76">
        <f>'GHG detailed, results per kg'!L61+'GHG detailed, results per kg'!N61</f>
        <v>0.11182226975411456</v>
      </c>
      <c r="F76">
        <f>'GHG detailed, results per kg'!O61</f>
        <v>0.1147290387670723</v>
      </c>
      <c r="G76">
        <f>'GHG detailed, results per kg'!P61</f>
        <v>0.1936675271752315</v>
      </c>
      <c r="H76">
        <f>'GHG detailed, results per kg'!R61</f>
        <v>0.17244619098414077</v>
      </c>
      <c r="I76">
        <f>'GHG detailed, results per kg'!S61</f>
        <v>0</v>
      </c>
      <c r="J76">
        <f>'GHG detailed, results per kg'!T61</f>
        <v>9.3263728567251403E-2</v>
      </c>
      <c r="K76">
        <f>'GHG detailed, results per kg'!W61</f>
        <v>6.5053683314751559E-2</v>
      </c>
      <c r="L76">
        <f>'GHG detailed, results per kg'!X61</f>
        <v>5.6319595359099743E-2</v>
      </c>
      <c r="M76" t="e">
        <f t="shared" si="0"/>
        <v>#REF!</v>
      </c>
    </row>
    <row r="77" spans="1:13" x14ac:dyDescent="0.3">
      <c r="A77" t="s">
        <v>32</v>
      </c>
      <c r="B77">
        <f>'GHG detailed, results per kg'!H26</f>
        <v>0.12850413006433067</v>
      </c>
      <c r="C77">
        <f>'GHG detailed, results per kg'!I26</f>
        <v>8.1097112490599629E-2</v>
      </c>
      <c r="D77">
        <f>'GHG detailed, results per kg'!J26+'GHG detailed, results per kg'!K26</f>
        <v>0.11730113152558365</v>
      </c>
      <c r="E77">
        <f>'GHG detailed, results per kg'!L26+'GHG detailed, results per kg'!N26</f>
        <v>0.15210488045828771</v>
      </c>
      <c r="F77">
        <f>'GHG detailed, results per kg'!O26</f>
        <v>0.12393546866124183</v>
      </c>
      <c r="G77">
        <f>'GHG detailed, results per kg'!P26</f>
        <v>0.21074568629094556</v>
      </c>
      <c r="H77">
        <f>'GHG detailed, results per kg'!R26</f>
        <v>0.17453023247926583</v>
      </c>
      <c r="I77">
        <f>'GHG detailed, results per kg'!S26</f>
        <v>0</v>
      </c>
      <c r="J77">
        <f>'GHG detailed, results per kg'!T26</f>
        <v>0.14380683590262272</v>
      </c>
      <c r="K77">
        <f>'GHG detailed, results per kg'!W26</f>
        <v>0.11871036444910726</v>
      </c>
      <c r="L77">
        <f>'GHG detailed, results per kg'!X26</f>
        <v>0.36292920184113242</v>
      </c>
      <c r="M77">
        <f t="shared" si="0"/>
        <v>1.6136650441631173</v>
      </c>
    </row>
    <row r="78" spans="1:13" x14ac:dyDescent="0.3">
      <c r="A78" t="s">
        <v>29</v>
      </c>
      <c r="B78">
        <f>'GHG detailed, results per kg'!H21</f>
        <v>0.22779947666878139</v>
      </c>
      <c r="C78">
        <f>'GHG detailed, results per kg'!I21</f>
        <v>9.0347173687458884E-2</v>
      </c>
      <c r="D78">
        <f>'GHG detailed, results per kg'!J21+'GHG detailed, results per kg'!K21</f>
        <v>0.34558455350263384</v>
      </c>
      <c r="E78">
        <f>'GHG detailed, results per kg'!L21+'GHG detailed, results per kg'!N21</f>
        <v>9.0175519062989679E-2</v>
      </c>
      <c r="F78">
        <f>'GHG detailed, results per kg'!O21</f>
        <v>0.1339672441805671</v>
      </c>
      <c r="G78">
        <f>'GHG detailed, results per kg'!P21</f>
        <v>9.4471241184542698E-2</v>
      </c>
      <c r="H78">
        <f>'GHG detailed, results per kg'!R21</f>
        <v>9.7794323173801503E-2</v>
      </c>
      <c r="I78">
        <f>'GHG detailed, results per kg'!S1</f>
        <v>0</v>
      </c>
      <c r="J78">
        <f>'GHG detailed, results per kg'!T21</f>
        <v>0.16129505897840996</v>
      </c>
      <c r="K78">
        <f>'GHG detailed, results per kg'!W21</f>
        <v>0.10159751091576574</v>
      </c>
      <c r="L78">
        <f>'GHG detailed, results per kg'!X21</f>
        <v>0.26514146736489513</v>
      </c>
      <c r="M78">
        <f t="shared" si="0"/>
        <v>1.6081735687198457</v>
      </c>
    </row>
    <row r="79" spans="1:13" x14ac:dyDescent="0.3">
      <c r="A79" t="s">
        <v>37</v>
      </c>
      <c r="B79">
        <f>'GHG detailed, results per kg'!H56</f>
        <v>0.16629825740550352</v>
      </c>
      <c r="C79">
        <f>'GHG detailed, results per kg'!I56</f>
        <v>9.199003271465872E-2</v>
      </c>
      <c r="D79">
        <f>'GHG detailed, results per kg'!J56+'GHG detailed, results per kg'!K56</f>
        <v>0.22550367499002022</v>
      </c>
      <c r="E79">
        <f>'GHG detailed, results per kg'!L56+'GHG detailed, results per kg'!N56</f>
        <v>0.17747388672212985</v>
      </c>
      <c r="F79">
        <f>'GHG detailed, results per kg'!O56</f>
        <v>0.12052009355126349</v>
      </c>
      <c r="G79">
        <f>'GHG detailed, results per kg'!P56</f>
        <v>0.17947456253376395</v>
      </c>
      <c r="H79">
        <f>'GHG detailed, results per kg'!R56</f>
        <v>0.15094580882326702</v>
      </c>
      <c r="I79">
        <f>'GHG detailed, results per kg'!S56</f>
        <v>0</v>
      </c>
      <c r="J79">
        <f>'GHG detailed, results per kg'!T56</f>
        <v>0.15066079905510055</v>
      </c>
      <c r="K79">
        <f>'GHG detailed, results per kg'!W56</f>
        <v>8.3464270801641899E-2</v>
      </c>
      <c r="L79">
        <f>'GHG detailed, results per kg'!X56</f>
        <v>0.16152295242704456</v>
      </c>
      <c r="M79">
        <f t="shared" si="0"/>
        <v>1.5078543390243937</v>
      </c>
    </row>
    <row r="80" spans="1:13" x14ac:dyDescent="0.3">
      <c r="A80" t="s">
        <v>27</v>
      </c>
      <c r="B80">
        <f>'GHG detailed, results per kg'!H36</f>
        <v>0.12006494472129353</v>
      </c>
      <c r="C80">
        <f>'GHG detailed, results per kg'!I36</f>
        <v>6.9390557624715576E-2</v>
      </c>
      <c r="D80">
        <f>'GHG detailed, results per kg'!J36+'GHG detailed, results per kg'!K36</f>
        <v>0.29117874693707196</v>
      </c>
      <c r="E80">
        <f>'GHG detailed, results per kg'!L36+'GHG detailed, results per kg'!N36</f>
        <v>7.5023333099158707E-2</v>
      </c>
      <c r="F80">
        <f>'GHG detailed, results per kg'!O36</f>
        <v>0.10049495688677507</v>
      </c>
      <c r="G80">
        <f>'GHG detailed, results per kg'!P36</f>
        <v>0.14537905545271551</v>
      </c>
      <c r="H80">
        <f>'GHG detailed, results per kg'!R36</f>
        <v>0.13484734119175021</v>
      </c>
      <c r="I80">
        <f>'GHG detailed, results per kg'!S36</f>
        <v>0</v>
      </c>
      <c r="J80">
        <f>'GHG detailed, results per kg'!T36</f>
        <v>0.12361807791880663</v>
      </c>
      <c r="K80">
        <f>'GHG detailed, results per kg'!W36</f>
        <v>9.366977233729705E-2</v>
      </c>
      <c r="L80">
        <f>'GHG detailed, results per kg'!X36</f>
        <v>0.21984010405935969</v>
      </c>
      <c r="M80">
        <f t="shared" si="0"/>
        <v>1.3735068902289438</v>
      </c>
    </row>
    <row r="81" spans="1:13" x14ac:dyDescent="0.3">
      <c r="A81" t="s">
        <v>35</v>
      </c>
      <c r="B81">
        <f>'GHG detailed, results per kg'!H16</f>
        <v>0.25670204712471223</v>
      </c>
      <c r="C81">
        <f>'GHG detailed, results per kg'!I16</f>
        <v>8.452825609174093E-2</v>
      </c>
      <c r="D81">
        <f>'GHG detailed, results per kg'!J16+'GHG detailed, results per kg'!K16</f>
        <v>0.34183842865958947</v>
      </c>
      <c r="E81">
        <f>'GHG detailed, results per kg'!L16+'GHG detailed, results per kg'!N16</f>
        <v>9.3381307750231013E-2</v>
      </c>
      <c r="F81">
        <f>'GHG detailed, results per kg'!O16</f>
        <v>0.1083022565483913</v>
      </c>
      <c r="G81">
        <f>'GHG detailed, results per kg'!P16</f>
        <v>9.1730991286372396E-2</v>
      </c>
      <c r="H81">
        <f>'GHG detailed, results per kg'!R16</f>
        <v>9.6283525688234423E-2</v>
      </c>
      <c r="I81">
        <f>'GHG detailed, results per kg'!S16</f>
        <v>0</v>
      </c>
      <c r="J81">
        <f>'GHG detailed, results per kg'!T16</f>
        <v>0.11017855987224708</v>
      </c>
      <c r="K81">
        <f>'GHG detailed, results per kg'!W16</f>
        <v>6.5397296060153529E-2</v>
      </c>
      <c r="L81">
        <f>'GHG detailed, results per kg'!X16</f>
        <v>5.8283096761396737E-2</v>
      </c>
      <c r="M81">
        <f t="shared" si="0"/>
        <v>1.3066257658430691</v>
      </c>
    </row>
    <row r="82" spans="1:13" x14ac:dyDescent="0.3">
      <c r="A82" t="s">
        <v>33</v>
      </c>
      <c r="B82">
        <f>'GHG detailed, results per kg'!H41</f>
        <v>0.20126111374932382</v>
      </c>
      <c r="C82">
        <f>'GHG detailed, results per kg'!I41</f>
        <v>8.3040165648594427E-2</v>
      </c>
      <c r="D82">
        <f>'GHG detailed, results per kg'!J41+'GHG detailed, results per kg'!K41</f>
        <v>0.1364632801706574</v>
      </c>
      <c r="E82">
        <f>'GHG detailed, results per kg'!L41+'GHG detailed, results per kg'!N41</f>
        <v>0.11065476555282697</v>
      </c>
      <c r="F82">
        <f>'GHG detailed, results per kg'!O41</f>
        <v>0.11751803695468491</v>
      </c>
      <c r="G82">
        <f>'GHG detailed, results per kg'!P41</f>
        <v>0.12172101088019294</v>
      </c>
      <c r="H82">
        <f>'GHG detailed, results per kg'!R41</f>
        <v>0.10263629067269443</v>
      </c>
      <c r="I82">
        <f>'GHG detailed, results per kg'!S41</f>
        <v>0</v>
      </c>
      <c r="J82">
        <f>'GHG detailed, results per kg'!T41</f>
        <v>0.1008461520215579</v>
      </c>
      <c r="K82">
        <f>'GHG detailed, results per kg'!W41</f>
        <v>9.5764816402928402E-2</v>
      </c>
      <c r="L82">
        <f>'GHG detailed, results per kg'!X41</f>
        <v>0.2318117844343961</v>
      </c>
      <c r="M82">
        <f t="shared" si="0"/>
        <v>1.3017174164878573</v>
      </c>
    </row>
    <row r="83" spans="1:13" x14ac:dyDescent="0.3">
      <c r="A83" t="s">
        <v>36</v>
      </c>
      <c r="B83">
        <f>'GHG detailed, results per kg'!H31</f>
        <v>0.19919809092462742</v>
      </c>
      <c r="C83">
        <f>'GHG detailed, results per kg'!I31</f>
        <v>8.8757377370740048E-2</v>
      </c>
      <c r="D83">
        <f>'GHG detailed, results per kg'!J31+'GHG detailed, results per kg'!K31</f>
        <v>0.12819491367328623</v>
      </c>
      <c r="E83">
        <f>'GHG detailed, results per kg'!L31+'GHG detailed, results per kg'!N31</f>
        <v>0.10101657494852012</v>
      </c>
      <c r="F83">
        <f>'GHG detailed, results per kg'!O31</f>
        <v>0.12688012533715867</v>
      </c>
      <c r="G83">
        <f>'GHG detailed, results per kg'!P31</f>
        <v>0.10270073851020657</v>
      </c>
      <c r="H83">
        <f>'GHG detailed, results per kg'!R31</f>
        <v>8.4100046730292963E-2</v>
      </c>
      <c r="I83">
        <f>'GHG detailed, results per kg'!S31</f>
        <v>0</v>
      </c>
      <c r="J83">
        <f>'GHG detailed, results per kg'!T31</f>
        <v>0.11443726599848156</v>
      </c>
      <c r="K83">
        <f>'GHG detailed, results per kg'!W31</f>
        <v>9.9655029410123525E-2</v>
      </c>
      <c r="L83">
        <f>'GHG detailed, results per kg'!X31</f>
        <v>0.25404157304693958</v>
      </c>
      <c r="M83">
        <f t="shared" si="0"/>
        <v>1.2989817359503766</v>
      </c>
    </row>
  </sheetData>
  <autoFilter ref="A71:M71" xr:uid="{4F69FFA1-1932-4638-AD84-8A9CFF415E51}">
    <sortState xmlns:xlrd2="http://schemas.microsoft.com/office/spreadsheetml/2017/richdata2" ref="A72:M83">
      <sortCondition descending="1" ref="M71"/>
    </sortState>
  </autoFilter>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tabColor theme="9" tint="0.59999389629810485"/>
  </sheetPr>
  <dimension ref="A2:U19"/>
  <sheetViews>
    <sheetView tabSelected="1" topLeftCell="L1" zoomScale="90" zoomScaleNormal="90" workbookViewId="0">
      <selection activeCell="T7" sqref="T7:T17"/>
    </sheetView>
  </sheetViews>
  <sheetFormatPr defaultColWidth="8.88671875" defaultRowHeight="14.4" x14ac:dyDescent="0.3"/>
  <cols>
    <col min="1" max="1" width="8.88671875" style="31"/>
    <col min="2" max="2" width="22.88671875" customWidth="1"/>
    <col min="3" max="3" width="25.44140625" customWidth="1"/>
    <col min="4" max="4" width="16.44140625" customWidth="1"/>
    <col min="5" max="11" width="10.44140625" customWidth="1"/>
    <col min="12" max="13" width="14.6640625" customWidth="1"/>
    <col min="14" max="14" width="14.6640625" style="13" customWidth="1"/>
    <col min="15" max="20" width="14.6640625" customWidth="1"/>
    <col min="21" max="21" width="15.88671875" customWidth="1"/>
  </cols>
  <sheetData>
    <row r="2" spans="1:21" ht="21" x14ac:dyDescent="0.4">
      <c r="A2" s="65" t="s">
        <v>38</v>
      </c>
      <c r="M2" s="224" t="s">
        <v>39</v>
      </c>
    </row>
    <row r="3" spans="1:21" x14ac:dyDescent="0.3">
      <c r="P3" s="8"/>
      <c r="R3" s="8"/>
      <c r="S3" s="9"/>
      <c r="T3" s="9"/>
      <c r="U3" s="9"/>
    </row>
    <row r="4" spans="1:21" x14ac:dyDescent="0.3">
      <c r="A4" s="86"/>
      <c r="B4" s="87"/>
      <c r="C4" s="87"/>
      <c r="D4" s="87"/>
      <c r="E4" s="87"/>
      <c r="F4" s="87"/>
      <c r="G4" s="87"/>
      <c r="H4" s="87"/>
      <c r="I4" s="87"/>
      <c r="J4" s="87"/>
      <c r="K4" s="87"/>
      <c r="L4" s="87"/>
      <c r="M4" s="87"/>
      <c r="N4" s="88"/>
      <c r="O4" s="87"/>
      <c r="P4" s="89"/>
      <c r="Q4" s="87"/>
      <c r="R4" s="89"/>
      <c r="S4" s="90"/>
      <c r="T4" s="90"/>
      <c r="U4" s="90"/>
    </row>
    <row r="5" spans="1:21" x14ac:dyDescent="0.3">
      <c r="A5" s="67" t="s">
        <v>40</v>
      </c>
      <c r="B5" s="47"/>
      <c r="C5" s="47"/>
      <c r="D5" s="54"/>
      <c r="E5" s="54"/>
      <c r="F5" s="247" t="s">
        <v>41</v>
      </c>
      <c r="G5" s="54"/>
      <c r="H5" s="54"/>
      <c r="I5" s="54"/>
      <c r="J5" s="54"/>
      <c r="K5" s="54"/>
      <c r="L5" s="40" t="s">
        <v>42</v>
      </c>
      <c r="M5" s="40" t="s">
        <v>43</v>
      </c>
      <c r="N5" s="40" t="s">
        <v>44</v>
      </c>
      <c r="O5" s="40" t="s">
        <v>45</v>
      </c>
      <c r="P5" s="41" t="s">
        <v>46</v>
      </c>
      <c r="Q5" s="41" t="s">
        <v>47</v>
      </c>
      <c r="R5" s="41" t="s">
        <v>48</v>
      </c>
      <c r="S5" s="41" t="s">
        <v>49</v>
      </c>
      <c r="T5" s="59" t="s">
        <v>50</v>
      </c>
      <c r="U5" s="59" t="s">
        <v>51</v>
      </c>
    </row>
    <row r="6" spans="1:21" s="10" customFormat="1" ht="43.2" x14ac:dyDescent="0.3">
      <c r="A6" s="69" t="s">
        <v>52</v>
      </c>
      <c r="B6" s="68" t="s">
        <v>53</v>
      </c>
      <c r="C6" s="68" t="s">
        <v>54</v>
      </c>
      <c r="D6" s="70" t="s">
        <v>55</v>
      </c>
      <c r="E6" s="71" t="s">
        <v>56</v>
      </c>
      <c r="F6" s="246" t="s">
        <v>57</v>
      </c>
      <c r="G6" s="245" t="s">
        <v>58</v>
      </c>
      <c r="H6" s="246" t="s">
        <v>59</v>
      </c>
      <c r="I6" s="246" t="s">
        <v>60</v>
      </c>
      <c r="J6" s="246" t="s">
        <v>61</v>
      </c>
      <c r="K6" s="245" t="s">
        <v>62</v>
      </c>
      <c r="L6" s="75" t="s">
        <v>63</v>
      </c>
      <c r="M6" s="75" t="s">
        <v>64</v>
      </c>
      <c r="N6" s="75" t="s">
        <v>65</v>
      </c>
      <c r="O6" s="76" t="s">
        <v>66</v>
      </c>
      <c r="P6" s="77" t="s">
        <v>67</v>
      </c>
      <c r="Q6" s="78" t="s">
        <v>68</v>
      </c>
      <c r="R6" s="78" t="s">
        <v>69</v>
      </c>
      <c r="S6" s="78" t="s">
        <v>70</v>
      </c>
      <c r="T6" s="74" t="s">
        <v>71</v>
      </c>
      <c r="U6" s="74"/>
    </row>
    <row r="7" spans="1:21" x14ac:dyDescent="0.3">
      <c r="A7" s="13">
        <v>21121</v>
      </c>
      <c r="B7" s="13" t="s">
        <v>72</v>
      </c>
      <c r="C7" s="17" t="s">
        <v>73</v>
      </c>
      <c r="D7" t="s">
        <v>31</v>
      </c>
      <c r="E7" t="s">
        <v>75</v>
      </c>
      <c r="F7" s="12">
        <f>'GHG detailed, results per kg'!G11</f>
        <v>1.683250085903762</v>
      </c>
      <c r="G7" s="12">
        <f>'GHG detailed, results per kg'!G7</f>
        <v>0.96979987723667149</v>
      </c>
      <c r="H7" s="48">
        <f>'GHG detailed, results per kg'!G8</f>
        <v>1.1031150597600678E-3</v>
      </c>
      <c r="I7" s="48">
        <f>'GHG detailed, results per kg'!G9</f>
        <v>2.2013861429824129E-3</v>
      </c>
      <c r="J7" s="48">
        <f>'GHG detailed, results per kg'!G10</f>
        <v>2.2752379268341223E-3</v>
      </c>
      <c r="L7" s="19">
        <f>'EFP per kg feed'!F17*FCR_bonefree_incl_parents_DK</f>
        <v>5.5056841515964186</v>
      </c>
      <c r="M7" s="20">
        <f>'EFP per kg feed'!G17*FCR_bonefree_incl_parents_DK-Manure_repl_factor_DK*Excreted_N_after_losses_DK</f>
        <v>6.8024950043581028E-2</v>
      </c>
      <c r="N7" s="20">
        <f>'EFP per kg feed'!H17*FCR_bonefree_incl_parents_DK</f>
        <v>9.368176957283569E-3</v>
      </c>
      <c r="O7" s="33">
        <f>'EFP per kg feed'!I17*FCR_bonefree_incl_parents_DK+Water_stables_DK/Bonefree_outof_CW_DK</f>
        <v>2.1950283298467356E-2</v>
      </c>
      <c r="P7" s="33">
        <f>'EFP per kg feed'!J17*FCR_bonefree_incl_parents_DK</f>
        <v>0.74850461547851443</v>
      </c>
      <c r="Q7" s="33">
        <f>'EFP per kg feed'!K17*FCR_bonefree_incl_parents_DK</f>
        <v>4.6901395541385206E-10</v>
      </c>
      <c r="R7" s="33">
        <f>'EFP per kg feed'!L17*FCR_bonefree_incl_parents_DK+Excreted_N_after_losses_DK</f>
        <v>3.2019300787486736E-2</v>
      </c>
      <c r="S7" s="11">
        <f>Production!B52*Labour_per_animal_DK</f>
        <v>6.2164334395168587E-2</v>
      </c>
      <c r="T7" s="5">
        <v>70.378120212897656</v>
      </c>
      <c r="U7">
        <v>19.399999999999999</v>
      </c>
    </row>
    <row r="8" spans="1:21" x14ac:dyDescent="0.3">
      <c r="A8" s="13">
        <v>21121</v>
      </c>
      <c r="B8" s="13" t="s">
        <v>72</v>
      </c>
      <c r="C8" s="17" t="s">
        <v>73</v>
      </c>
      <c r="D8" t="s">
        <v>35</v>
      </c>
      <c r="E8" t="s">
        <v>76</v>
      </c>
      <c r="F8" s="12">
        <f>'GHG detailed, results per kg'!G16</f>
        <v>1.326514314291348</v>
      </c>
      <c r="G8" s="12">
        <f>'GHG detailed, results per kg'!G12</f>
        <v>0.74603329812799513</v>
      </c>
      <c r="H8" s="48">
        <f>'GHG detailed, results per kg'!G13</f>
        <v>1.0169099467455076E-3</v>
      </c>
      <c r="I8" s="48">
        <f>'GHG detailed, results per kg'!G14</f>
        <v>2.2548527409656507E-3</v>
      </c>
      <c r="J8" s="48">
        <f>'GHG detailed, results per kg'!G15</f>
        <v>1.7922933177445578E-3</v>
      </c>
      <c r="L8" s="19">
        <f>'EFP per kg feed'!F29*FCR_bonefree_incl_parents_FR</f>
        <v>4.7229560834841617</v>
      </c>
      <c r="M8" s="20">
        <f>'EFP per kg feed'!G29*FCR_bonefree_incl_parents_FR-Manure_repl_factor_FR*Excreted_N_after_losses_FR</f>
        <v>5.8493448935379083E-2</v>
      </c>
      <c r="N8" s="20">
        <f>'EFP per kg feed'!H29*FCR_bonefree_incl_parents_FR</f>
        <v>1.0741996792452196E-2</v>
      </c>
      <c r="O8" s="33">
        <f>'EFP per kg feed'!I29*FCR_bonefree_incl_parents_FR+Water_stables_FR/Bonefree_outof_CW_FR</f>
        <v>8.9587278661005312E-2</v>
      </c>
      <c r="P8" s="33">
        <f>'EFP per kg feed'!J29*FCR_bonefree_incl_parents_FR</f>
        <v>0.70109480356314402</v>
      </c>
      <c r="Q8" s="33">
        <f>'EFP per kg feed'!K29*FCR_bonefree_incl_parents_FR</f>
        <v>1.3831994113259023E-9</v>
      </c>
      <c r="R8" s="33">
        <f>'EFP per kg feed'!L29*FCR_bonefree_incl_parents_FR+Excreted_N_after_losses_FR</f>
        <v>4.5473607797830724E-2</v>
      </c>
      <c r="S8" s="11">
        <f>Production!C52*Labour_per_animal_FR</f>
        <v>9.4548197933773892E-2</v>
      </c>
      <c r="T8" s="5">
        <v>76.868549579077296</v>
      </c>
      <c r="U8">
        <v>38.1</v>
      </c>
    </row>
    <row r="9" spans="1:21" x14ac:dyDescent="0.3">
      <c r="A9" s="13">
        <v>21121</v>
      </c>
      <c r="B9" s="13" t="s">
        <v>72</v>
      </c>
      <c r="C9" s="17" t="s">
        <v>73</v>
      </c>
      <c r="D9" t="s">
        <v>29</v>
      </c>
      <c r="E9" t="s">
        <v>77</v>
      </c>
      <c r="F9" s="12">
        <f>'GHG detailed, results per kg'!G21</f>
        <v>1.6281702255221076</v>
      </c>
      <c r="G9" s="12">
        <f>'GHG detailed, results per kg'!G17</f>
        <v>0.98916343458231615</v>
      </c>
      <c r="H9" s="48">
        <f>'GHG detailed, results per kg'!G18</f>
        <v>1.4032804898214482E-3</v>
      </c>
      <c r="I9" s="48">
        <f>'GHG detailed, results per kg'!G19</f>
        <v>3.3020792144736189E-3</v>
      </c>
      <c r="J9" s="48">
        <f>'GHG detailed, results per kg'!G20</f>
        <v>1.8609263500085154E-3</v>
      </c>
      <c r="K9" s="48"/>
      <c r="L9" s="19">
        <f>'EFP per kg feed'!F41*FCR_bonefree_incl_parents_DE</f>
        <v>4.7692642755306673</v>
      </c>
      <c r="M9" s="20">
        <f>'EFP per kg feed'!G41*FCR_bonefree_incl_parents_DE-Manure_repl_factor_DE*Excreted_N_after_losses_DE</f>
        <v>5.2998510196146265E-2</v>
      </c>
      <c r="N9" s="20">
        <f>'EFP per kg feed'!H41*FCR_bonefree_incl_parents_DE</f>
        <v>1.0613089155077067E-2</v>
      </c>
      <c r="O9" s="33">
        <f>'EFP per kg feed'!I41*FCR_bonefree_incl_parents_DE+Water_stables_DE/Bonefree_outof_CW_DE</f>
        <v>1.5870448829415185E-2</v>
      </c>
      <c r="P9" s="33">
        <f>'EFP per kg feed'!J41*FCR_bonefree_incl_parents_DE</f>
        <v>1.2965167462828615</v>
      </c>
      <c r="Q9" s="33">
        <f>'EFP per kg feed'!K41*FCR_bonefree_incl_parents_DE</f>
        <v>3.6072016890845634E-10</v>
      </c>
      <c r="R9" s="33">
        <f>'EFP per kg feed'!L41*FCR_bonefree_incl_parents_DE+Excreted_N_after_losses_DE</f>
        <v>6.5457899236309583E-2</v>
      </c>
      <c r="S9" s="11">
        <f>Production!D52*Labour_per_animal_DE</f>
        <v>0.10613422945516589</v>
      </c>
      <c r="T9" s="5">
        <v>67.939375147030404</v>
      </c>
      <c r="U9">
        <v>50.4</v>
      </c>
    </row>
    <row r="10" spans="1:21" x14ac:dyDescent="0.3">
      <c r="A10" s="13">
        <v>21121</v>
      </c>
      <c r="B10" s="13" t="s">
        <v>72</v>
      </c>
      <c r="C10" s="17" t="s">
        <v>73</v>
      </c>
      <c r="D10" t="s">
        <v>32</v>
      </c>
      <c r="E10" t="s">
        <v>78</v>
      </c>
      <c r="F10" s="12">
        <f>'GHG detailed, results per kg'!G26</f>
        <v>1.6420556431989173</v>
      </c>
      <c r="G10" s="12">
        <f>'GHG detailed, results per kg'!G22</f>
        <v>1.2701078226641762</v>
      </c>
      <c r="H10" s="48">
        <f>'GHG detailed, results per kg'!G23</f>
        <v>1.7458147098191618E-3</v>
      </c>
      <c r="I10" s="48">
        <f>'GHG detailed, results per kg'!G24</f>
        <v>3.3020792144736189E-3</v>
      </c>
      <c r="J10" s="48">
        <f>'GHG detailed, results per kg'!G25</f>
        <v>8.4529818092066828E-4</v>
      </c>
      <c r="L10" s="19">
        <f>'EFP per kg feed'!F42*FCR_bonefree_incl_parents_GR</f>
        <v>11.530703537152011</v>
      </c>
      <c r="M10" s="20">
        <f>'EFP per kg feed'!G42*FCR_bonefree_incl_parents_GR-Manure_repl_factor_GR*Excreted_N_after_losses_GR</f>
        <v>4.5724947221165102E-2</v>
      </c>
      <c r="N10" s="20">
        <f>'EFP per kg feed'!H42*FCR_bonefree_incl_parents_GR</f>
        <v>1.0154880956014556E-2</v>
      </c>
      <c r="O10" s="33">
        <f>'EFP per kg feed'!I42*FCR_bonefree_incl_parents_GR+Water_stables_GR/Bonefree_outof_CW_GR</f>
        <v>1.2987012987012986E-2</v>
      </c>
      <c r="P10" s="33">
        <f>'EFP per kg feed'!J42*FCR_bonefree_incl_parents_GR</f>
        <v>0.52412288805236418</v>
      </c>
      <c r="Q10" s="33">
        <f>'EFP per kg feed'!K42*FCR_bonefree_incl_parents_GR</f>
        <v>1.9032212372401476E-8</v>
      </c>
      <c r="R10" s="33">
        <f>'EFP per kg feed'!L42*FCR_bonefree_incl_parents_GR+Excreted_N_after_losses_GR</f>
        <v>5.0227073734324508E-2</v>
      </c>
      <c r="S10" s="11">
        <f>Production!E52*Labour_per_animal_GR</f>
        <v>6.9745350784823287E-2</v>
      </c>
      <c r="T10" s="5">
        <v>76.426602115042613</v>
      </c>
      <c r="U10">
        <v>111.7</v>
      </c>
    </row>
    <row r="11" spans="1:21" x14ac:dyDescent="0.3">
      <c r="A11" s="13">
        <v>21121</v>
      </c>
      <c r="B11" s="13" t="s">
        <v>72</v>
      </c>
      <c r="C11" s="17" t="s">
        <v>73</v>
      </c>
      <c r="D11" t="s">
        <v>36</v>
      </c>
      <c r="E11" t="s">
        <v>79</v>
      </c>
      <c r="F11" s="12">
        <f>'GHG detailed, results per kg'!G31</f>
        <v>1.3128137736693268</v>
      </c>
      <c r="G11" s="12">
        <f>'GHG detailed, results per kg'!G27</f>
        <v>0.94482381171406504</v>
      </c>
      <c r="H11" s="48">
        <f>'GHG detailed, results per kg'!G28</f>
        <v>1.4900730847458676E-3</v>
      </c>
      <c r="I11" s="48">
        <f>'GHG detailed, results per kg'!G29</f>
        <v>2.2013861429824129E-3</v>
      </c>
      <c r="J11" s="48">
        <f>'GHG detailed, results per kg'!G30</f>
        <v>9.6757640355058579E-4</v>
      </c>
      <c r="L11" s="19">
        <f>'EFP per kg feed'!F65*FCR_bonefree_incl_parents_HU</f>
        <v>5.4437520912070489</v>
      </c>
      <c r="M11" s="20">
        <f>'EFP per kg feed'!G65*FCR_bonefree_incl_parents_HU-Manure_repl_factor_HU*Excreted_N_after_losses_HU</f>
        <v>4.6445614937644063E-2</v>
      </c>
      <c r="N11" s="20">
        <f>'EFP per kg feed'!H65*FCR_bonefree_incl_parents_HU</f>
        <v>1.3406362292078131E-2</v>
      </c>
      <c r="O11" s="33">
        <f>'EFP per kg feed'!I65*FCR_bonefree_incl_parents_HU+Water_stables_HU/Bonefree_outof_CW_HU</f>
        <v>2.4492772498181679E-2</v>
      </c>
      <c r="P11" s="33">
        <f>'EFP per kg feed'!J65*FCR_bonefree_incl_parents_HU</f>
        <v>0.48488616366908199</v>
      </c>
      <c r="Q11" s="33">
        <f>'EFP per kg feed'!K65*FCR_bonefree_incl_parents_HU</f>
        <v>3.8941155585687361E-10</v>
      </c>
      <c r="R11" s="33">
        <f>'EFP per kg feed'!L65*FCR_bonefree_incl_parents_HU+Excreted_N_after_losses_HU</f>
        <v>4.9707416463464861E-2</v>
      </c>
      <c r="S11" s="11">
        <f>Production!F52*Labour_per_animal_HU</f>
        <v>0.30475685886411918</v>
      </c>
      <c r="T11" s="5">
        <v>76.41384051491049</v>
      </c>
      <c r="U11">
        <v>102.5</v>
      </c>
    </row>
    <row r="12" spans="1:21" x14ac:dyDescent="0.3">
      <c r="A12" s="13">
        <v>21121</v>
      </c>
      <c r="B12" s="13" t="s">
        <v>72</v>
      </c>
      <c r="C12" s="17" t="s">
        <v>73</v>
      </c>
      <c r="D12" t="s">
        <v>27</v>
      </c>
      <c r="E12" t="s">
        <v>80</v>
      </c>
      <c r="F12" s="12">
        <f>'GHG detailed, results per kg'!G36</f>
        <v>1.3987103274657782</v>
      </c>
      <c r="G12" s="12">
        <f>'GHG detailed, results per kg'!G32</f>
        <v>0.90510556042248769</v>
      </c>
      <c r="H12" s="48">
        <f>'GHG detailed, results per kg'!G33</f>
        <v>9.238180389124262E-4</v>
      </c>
      <c r="I12" s="48">
        <f>'GHG detailed, results per kg'!G34</f>
        <v>2.3114554501315336E-3</v>
      </c>
      <c r="J12" s="48">
        <f>'GHG detailed, results per kg'!G35</f>
        <v>1.4786289096342456E-3</v>
      </c>
      <c r="L12" s="19">
        <f>'EFP per kg feed'!F77*FCR_bonefree_incl_parents_IE</f>
        <v>4.0873593892691229</v>
      </c>
      <c r="M12" s="20">
        <f>'EFP per kg feed'!G77*FCR_bonefree_incl_parents_IE-Manure_repl_factor_IE*Excreted_N_after_losses_IE</f>
        <v>4.4099760053628131E-2</v>
      </c>
      <c r="N12" s="20">
        <f>'EFP per kg feed'!H77*FCR_bonefree_incl_parents_IE</f>
        <v>7.8240708298358327E-3</v>
      </c>
      <c r="O12" s="33">
        <f>'EFP per kg feed'!I77*FCR_bonefree_incl_parents_IE+Water_stables_IE/Bonefree_outof_CW_IE</f>
        <v>1.4883423855141496E-2</v>
      </c>
      <c r="P12" s="33">
        <f>'EFP per kg feed'!J77*FCR_bonefree_incl_parents_IE</f>
        <v>0.99114393711345983</v>
      </c>
      <c r="Q12" s="33">
        <f>'EFP per kg feed'!K77*FCR_bonefree_incl_parents_IE</f>
        <v>4.4076574151776756E-10</v>
      </c>
      <c r="R12" s="33">
        <f>'EFP per kg feed'!L77*FCR_bonefree_incl_parents_IE+Excreted_N_after_losses_IE</f>
        <v>5.469516496056482E-2</v>
      </c>
      <c r="S12" s="11">
        <f>Production!G52*Labour_per_animal_IE</f>
        <v>0.20317123924274613</v>
      </c>
      <c r="T12" s="5">
        <v>76.426602115042613</v>
      </c>
      <c r="U12">
        <v>40.6</v>
      </c>
    </row>
    <row r="13" spans="1:21" x14ac:dyDescent="0.3">
      <c r="A13" s="13">
        <v>21121</v>
      </c>
      <c r="B13" s="13" t="s">
        <v>72</v>
      </c>
      <c r="C13" s="17" t="s">
        <v>73</v>
      </c>
      <c r="D13" t="s">
        <v>33</v>
      </c>
      <c r="E13" t="s">
        <v>81</v>
      </c>
      <c r="F13" s="12">
        <f>'GHG detailed, results per kg'!G41</f>
        <v>1.3184302503331922</v>
      </c>
      <c r="G13" s="12">
        <f>'GHG detailed, results per kg'!G37</f>
        <v>0.94113878961121478</v>
      </c>
      <c r="H13" s="48">
        <f>'GHG detailed, results per kg'!G38</f>
        <v>1.9482908510904931E-3</v>
      </c>
      <c r="I13" s="48">
        <f>'GHG detailed, results per kg'!G39</f>
        <v>2.2013861429824129E-3</v>
      </c>
      <c r="J13" s="48">
        <f>'GHG detailed, results per kg'!G40</f>
        <v>9.5162991757859194E-4</v>
      </c>
      <c r="L13" s="19">
        <f>'EFP per kg feed'!F89*FCR_bonefree_incl_parents_IT</f>
        <v>5.1818383147469289</v>
      </c>
      <c r="M13" s="20">
        <f>'EFP per kg feed'!G89*FCR_bonefree_incl_parents_IT-Manure_repl_factor_IT*Excreted_N_after_losses_IT</f>
        <v>5.1948917337710634E-2</v>
      </c>
      <c r="N13" s="20">
        <f>'EFP per kg feed'!H89*FCR_bonefree_incl_parents_IT</f>
        <v>1.2513636711859061E-2</v>
      </c>
      <c r="O13" s="33">
        <f>'EFP per kg feed'!I89*FCR_bonefree_incl_parents_IT+Water_stables_IT/Bonefree_outof_CW_IT</f>
        <v>0.19261166266100527</v>
      </c>
      <c r="P13" s="33">
        <f>'EFP per kg feed'!J89*FCR_bonefree_incl_parents_IT</f>
        <v>0.59106668307558075</v>
      </c>
      <c r="Q13" s="33">
        <f>'EFP per kg feed'!K89*FCR_bonefree_incl_parents_IT</f>
        <v>4.9457643165630463E-9</v>
      </c>
      <c r="R13" s="33">
        <f>'EFP per kg feed'!L89*FCR_bonefree_incl_parents_IT+Excreted_N_after_losses_IT</f>
        <v>3.7695122040076717E-2</v>
      </c>
      <c r="S13" s="11">
        <f>Production!H52*Labour_per_animal_IT</f>
        <v>9.855321306551118E-2</v>
      </c>
      <c r="T13" s="5">
        <v>76.426602115042613</v>
      </c>
      <c r="U13">
        <v>129.1</v>
      </c>
    </row>
    <row r="14" spans="1:21" x14ac:dyDescent="0.3">
      <c r="A14" s="13">
        <v>21121</v>
      </c>
      <c r="B14" s="13" t="s">
        <v>72</v>
      </c>
      <c r="C14" s="17" t="s">
        <v>73</v>
      </c>
      <c r="D14" t="s">
        <v>30</v>
      </c>
      <c r="E14" t="s">
        <v>82</v>
      </c>
      <c r="F14" s="12">
        <f>'GHG detailed, results per kg'!G46</f>
        <v>1.7895471803834464</v>
      </c>
      <c r="G14" s="12">
        <f>'GHG detailed, results per kg'!G42</f>
        <v>1.131967192468728</v>
      </c>
      <c r="H14" s="48">
        <f>'GHG detailed, results per kg'!G43</f>
        <v>1.5856928529503691E-3</v>
      </c>
      <c r="I14" s="48">
        <f>'GHG detailed, results per kg'!G44</f>
        <v>3.1693197592288259E-3</v>
      </c>
      <c r="J14" s="48">
        <f>'GHG detailed, results per kg'!G45</f>
        <v>1.9221784153758937E-3</v>
      </c>
      <c r="L14" s="19">
        <f>'EFP per kg feed'!F101*FCR_bonefree_incl_parents_NL</f>
        <v>5.125260640462252</v>
      </c>
      <c r="M14" s="20">
        <f>'EFP per kg feed'!G101*FCR_bonefree_incl_parents_NL-Manure_repl_factor_NL*Excreted_N_after_losses_NL</f>
        <v>6.1582344251947099E-2</v>
      </c>
      <c r="N14" s="20">
        <f>'EFP per kg feed'!H101*FCR_bonefree_incl_parents_NL</f>
        <v>1.151563680070015E-2</v>
      </c>
      <c r="O14" s="33">
        <f>'EFP per kg feed'!I101*FCR_bonefree_incl_parents_NL+Water_stables_NL/Bonefree_outof_CW_NL</f>
        <v>2.7587862842527427E-2</v>
      </c>
      <c r="P14" s="33">
        <f>'EFP per kg feed'!J101*FCR_bonefree_incl_parents_NL</f>
        <v>1.4322928834114559</v>
      </c>
      <c r="Q14" s="33">
        <f>'EFP per kg feed'!K101*FCR_bonefree_incl_parents_NL</f>
        <v>5.2214193847712449E-10</v>
      </c>
      <c r="R14" s="33">
        <f>'EFP per kg feed'!L101*FCR_bonefree_incl_parents_NL+Excreted_N_after_losses_NL</f>
        <v>5.9299832156451966E-2</v>
      </c>
      <c r="S14" s="11">
        <f>Production!I52*Labour_per_animal_NL</f>
        <v>0.12736107534619906</v>
      </c>
      <c r="T14" s="5">
        <v>75.375612033895237</v>
      </c>
      <c r="U14">
        <v>32.1</v>
      </c>
    </row>
    <row r="15" spans="1:21" x14ac:dyDescent="0.3">
      <c r="A15" s="13">
        <v>21121</v>
      </c>
      <c r="B15" s="13" t="s">
        <v>72</v>
      </c>
      <c r="C15" s="17" t="s">
        <v>73</v>
      </c>
      <c r="D15" t="s">
        <v>28</v>
      </c>
      <c r="E15" t="s">
        <v>83</v>
      </c>
      <c r="F15" s="12">
        <f>'GHG detailed, results per kg'!G51</f>
        <v>2.0362176644441434</v>
      </c>
      <c r="G15" s="12">
        <f>'GHG detailed, results per kg'!G47</f>
        <v>1.3816965219126489</v>
      </c>
      <c r="H15" s="48">
        <f>'GHG detailed, results per kg'!G48</f>
        <v>2.1239648828208497E-3</v>
      </c>
      <c r="I15" s="48">
        <f>'GHG detailed, results per kg'!G49</f>
        <v>3.3020792144736189E-3</v>
      </c>
      <c r="J15" s="48">
        <f>'GHG detailed, results per kg'!G50</f>
        <v>1.839087363489545E-3</v>
      </c>
      <c r="L15" s="19">
        <f>'EFP per kg feed'!F113*FCR_bonefree_incl_parents_PL</f>
        <v>7.0510223239481578</v>
      </c>
      <c r="M15" s="20">
        <f>'EFP per kg feed'!G113*FCR_bonefree_incl_parents_PL-Manure_repl_factor_PL*Excreted_N_after_losses_PL</f>
        <v>5.5335452912070753E-2</v>
      </c>
      <c r="N15" s="20">
        <f>'EFP per kg feed'!H113*FCR_bonefree_incl_parents_PL</f>
        <v>1.0506686777606527E-2</v>
      </c>
      <c r="O15" s="33">
        <f>'EFP per kg feed'!I113*FCR_bonefree_incl_parents_PL+Water_stables_PL/Bonefree_outof_CW_PL</f>
        <v>1.7549217910379257E-2</v>
      </c>
      <c r="P15" s="33">
        <f>'EFP per kg feed'!J113*FCR_bonefree_incl_parents_PL</f>
        <v>0.68914628627154917</v>
      </c>
      <c r="Q15" s="33">
        <f>'EFP per kg feed'!K113*FCR_bonefree_incl_parents_PL</f>
        <v>5.1482480186745822E-10</v>
      </c>
      <c r="R15" s="33">
        <f>'EFP per kg feed'!L113*FCR_bonefree_incl_parents_PL+Excreted_N_after_losses_PL</f>
        <v>4.5305435275347382E-2</v>
      </c>
      <c r="S15" s="11">
        <f>Production!J52*Labour_per_animal_PL</f>
        <v>0.32143509492135952</v>
      </c>
      <c r="T15" s="5">
        <v>76.41384051491049</v>
      </c>
      <c r="U15">
        <v>134.69999999999999</v>
      </c>
    </row>
    <row r="16" spans="1:21" x14ac:dyDescent="0.3">
      <c r="A16" s="13">
        <v>21121</v>
      </c>
      <c r="B16" s="13" t="s">
        <v>72</v>
      </c>
      <c r="C16" s="17" t="s">
        <v>73</v>
      </c>
      <c r="D16" t="s">
        <v>37</v>
      </c>
      <c r="E16" t="s">
        <v>84</v>
      </c>
      <c r="F16" s="12">
        <f>'GHG detailed, results per kg'!G56</f>
        <v>1.533532930669921</v>
      </c>
      <c r="G16" s="12">
        <f>'GHG detailed, results per kg'!G52</f>
        <v>1.0417050786071167</v>
      </c>
      <c r="H16" s="48">
        <f>'GHG detailed, results per kg'!G53</f>
        <v>1.5090294734024876E-3</v>
      </c>
      <c r="I16" s="48">
        <f>'GHG detailed, results per kg'!G54</f>
        <v>2.9891817315537664E-3</v>
      </c>
      <c r="J16" s="48">
        <f>'GHG detailed, results per kg'!G55</f>
        <v>1.3412119670456355E-3</v>
      </c>
      <c r="L16" s="19">
        <f>'EFP per kg feed'!F125*FCR_bonefree_incl_parents_ES</f>
        <v>7.5137078946604463</v>
      </c>
      <c r="M16" s="20">
        <f>'EFP per kg feed'!G125*FCR_bonefree_incl_parents_ES-Manure_repl_factor_ES*Excreted_N_after_losses_ES</f>
        <v>5.2321449730115488E-2</v>
      </c>
      <c r="N16" s="20">
        <f>'EFP per kg feed'!H125*FCR_bonefree_incl_parents_ES</f>
        <v>1.1865134590449923E-2</v>
      </c>
      <c r="O16" s="33">
        <f>'EFP per kg feed'!I125*FCR_bonefree_incl_parents_ES+Water_stables_ES/Bonefree_outof_CW_ES</f>
        <v>0.65893968124649371</v>
      </c>
      <c r="P16" s="33">
        <f>'EFP per kg feed'!J125*FCR_bonefree_incl_parents_ES</f>
        <v>0.52449158424294329</v>
      </c>
      <c r="Q16" s="33">
        <f>'EFP per kg feed'!K125*FCR_bonefree_incl_parents_ES</f>
        <v>1.1939788374507376E-8</v>
      </c>
      <c r="R16" s="33">
        <f>'EFP per kg feed'!L125*FCR_bonefree_incl_parents_ES+Excreted_N_after_losses_ES</f>
        <v>6.2712674860449374E-2</v>
      </c>
      <c r="S16" s="11">
        <f>Production!K52*Labour_per_animal_ES</f>
        <v>3.0324065558618822E-2</v>
      </c>
      <c r="T16" s="5">
        <v>76.41384051491049</v>
      </c>
      <c r="U16">
        <v>95.7</v>
      </c>
    </row>
    <row r="17" spans="1:21" x14ac:dyDescent="0.3">
      <c r="A17" s="13">
        <v>21121</v>
      </c>
      <c r="B17" s="13" t="s">
        <v>72</v>
      </c>
      <c r="C17" s="17" t="s">
        <v>73</v>
      </c>
      <c r="D17" s="18" t="s">
        <v>34</v>
      </c>
      <c r="E17" s="18" t="s">
        <v>85</v>
      </c>
      <c r="F17" s="11">
        <f>'GHG detailed, results per kg'!G61</f>
        <v>1.6703778271990886</v>
      </c>
      <c r="G17" s="12">
        <f>'GHG detailed, results per kg'!G57</f>
        <v>0.96137293425267856</v>
      </c>
      <c r="H17" s="48">
        <f>'GHG detailed, results per kg'!G58</f>
        <v>9.6050213917710605E-4</v>
      </c>
      <c r="I17" s="48">
        <f>'GHG detailed, results per kg'!G59</f>
        <v>2.2013861429824129E-3</v>
      </c>
      <c r="J17" s="48">
        <f>'GHG detailed, results per kg'!G60</f>
        <v>2.2745219902505758E-3</v>
      </c>
      <c r="K17" s="18"/>
      <c r="L17" s="19">
        <f>'EFP per kg feed'!F137*FCR_bonefree_incl_parents_SE</f>
        <v>6.0474278332696754</v>
      </c>
      <c r="M17" s="20">
        <f>'EFP per kg feed'!G137*FCR_bonefree_incl_parents_SE-Manure_repl_factor_SE*Excreted_N_after_losses_SE</f>
        <v>7.836753861316012E-2</v>
      </c>
      <c r="N17" s="20">
        <f>'EFP per kg feed'!H137*FCR_bonefree_incl_parents_SE</f>
        <v>9.1283906588472356E-3</v>
      </c>
      <c r="O17" s="33">
        <f>'EFP per kg feed'!I137*FCR_bonefree_incl_parents_SE+Water_stables_SE/Bonefree_outof_CW_SE</f>
        <v>1.5210233237848887E-2</v>
      </c>
      <c r="P17" s="33">
        <f>'EFP per kg feed'!J137*FCR_bonefree_incl_parents_SE</f>
        <v>0.4999489870327774</v>
      </c>
      <c r="Q17" s="33">
        <f>'EFP per kg feed'!K137*FCR_bonefree_incl_parents_SE</f>
        <v>4.6739435695688283E-10</v>
      </c>
      <c r="R17" s="33">
        <f>'EFP per kg feed'!L137*FCR_bonefree_incl_parents_SE+Excreted_N_after_losses_SE</f>
        <v>3.2095316530379496E-2</v>
      </c>
      <c r="S17" s="11">
        <f>Production!L52*Labour_per_animal_SE</f>
        <v>6.2164334395168587E-2</v>
      </c>
      <c r="T17" s="5">
        <v>60.503138260165535</v>
      </c>
      <c r="U17" s="20">
        <v>10.1</v>
      </c>
    </row>
    <row r="18" spans="1:21" x14ac:dyDescent="0.3">
      <c r="A18" s="13">
        <v>21121</v>
      </c>
      <c r="B18" s="13" t="s">
        <v>72</v>
      </c>
      <c r="C18" s="17" t="s">
        <v>73</v>
      </c>
      <c r="D18" t="s">
        <v>26</v>
      </c>
      <c r="E18" t="s">
        <v>86</v>
      </c>
      <c r="F18" s="12">
        <f>'GHG detailed, results per kg'!G66</f>
        <v>1.8847951928975923</v>
      </c>
      <c r="G18" s="12">
        <f>'GHG detailed, results per kg'!G62</f>
        <v>1.1766977238000227</v>
      </c>
      <c r="H18" s="48">
        <f>'GHG detailed, results per kg'!G63</f>
        <v>1.4064880236185147E-3</v>
      </c>
      <c r="I18" s="48">
        <f>'GHG detailed, results per kg'!G64</f>
        <v>2.2013861429824129E-3</v>
      </c>
      <c r="J18" s="48">
        <f>'GHG detailed, results per kg'!G65</f>
        <v>2.2225153851033424E-3</v>
      </c>
      <c r="L18" s="19">
        <f>'EFP per kg feed'!F149*FCR_bonefree_incl_parents_GB</f>
        <v>5.7620018808426083</v>
      </c>
      <c r="M18" s="20">
        <f>'EFP per kg feed'!G149*FCR_bonefree_incl_parents_GB-Manure_repl_factor_GB*Excreted_N_after_losses_GB</f>
        <v>7.5136044353400488E-2</v>
      </c>
      <c r="N18" s="20">
        <f>'EFP per kg feed'!H149*FCR_bonefree_incl_parents_GB</f>
        <v>9.2824578562071894E-3</v>
      </c>
      <c r="O18" s="33">
        <f>'EFP per kg feed'!I149*FCR_bonefree_incl_parents_GB+Water_stables_GB/Bonefree_outof_CW_GB</f>
        <v>1.6921113154768994E-2</v>
      </c>
      <c r="P18" s="33">
        <f>'EFP per kg feed'!J149*FCR_bonefree_incl_parents_GB</f>
        <v>1.0742659115973359</v>
      </c>
      <c r="Q18" s="33">
        <f>'EFP per kg feed'!K149*FCR_bonefree_incl_parents_GB</f>
        <v>4.1401873984325444E-9</v>
      </c>
      <c r="R18" s="33">
        <f>'EFP per kg feed'!L149*FCR_bonefree_incl_parents_GB+Excreted_N_after_losses_GB</f>
        <v>3.1976318366704878E-2</v>
      </c>
      <c r="S18" s="12">
        <f>Production!M52*Labour_per_animal_GB</f>
        <v>8.6423586842063652E-2</v>
      </c>
      <c r="T18" s="323">
        <f>T12</f>
        <v>76.426602115042613</v>
      </c>
      <c r="U18">
        <v>29.8</v>
      </c>
    </row>
    <row r="19" spans="1:21" x14ac:dyDescent="0.3">
      <c r="A19" s="13"/>
      <c r="B19" s="13"/>
      <c r="C19" s="17"/>
      <c r="T19" s="5"/>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0">
    <tabColor theme="9" tint="0.59999389629810485"/>
  </sheetPr>
  <dimension ref="A1:AC68"/>
  <sheetViews>
    <sheetView topLeftCell="A44" zoomScale="80" zoomScaleNormal="80" workbookViewId="0">
      <selection activeCell="A66" activeCellId="11" sqref="A11:XFD11 A16:XFD16 A21:XFD21 A26:XFD26 A31:XFD31 A36:XFD36 A41:XFD41 A46:XFD46 A51:XFD51 A56:XFD56 A61:XFD61 A66:XFD66"/>
    </sheetView>
  </sheetViews>
  <sheetFormatPr defaultColWidth="8.88671875" defaultRowHeight="14.4" x14ac:dyDescent="0.3"/>
  <cols>
    <col min="1" max="1" width="8.109375" style="31" customWidth="1"/>
    <col min="2" max="2" width="22.44140625" customWidth="1"/>
    <col min="3" max="3" width="27.33203125" customWidth="1"/>
    <col min="4" max="5" width="10.109375" customWidth="1"/>
    <col min="6" max="6" width="15.21875" customWidth="1"/>
    <col min="7" max="7" width="9.33203125" style="13" customWidth="1"/>
    <col min="8" max="20" width="14.6640625" customWidth="1"/>
    <col min="21" max="22" width="14.6640625" style="9" customWidth="1"/>
    <col min="23" max="24" width="14.6640625" customWidth="1"/>
    <col min="26" max="26" width="16" customWidth="1"/>
    <col min="27" max="27" width="19.33203125" customWidth="1"/>
    <col min="29" max="29" width="17.6640625" bestFit="1" customWidth="1"/>
    <col min="30" max="30" width="15.5546875" customWidth="1"/>
  </cols>
  <sheetData>
    <row r="1" spans="1:27" x14ac:dyDescent="0.3">
      <c r="H1" s="224" t="s">
        <v>89</v>
      </c>
    </row>
    <row r="2" spans="1:27" ht="21" x14ac:dyDescent="0.4">
      <c r="A2" s="65" t="s">
        <v>90</v>
      </c>
      <c r="F2" s="48"/>
      <c r="H2" s="224" t="s">
        <v>91</v>
      </c>
    </row>
    <row r="3" spans="1:27" x14ac:dyDescent="0.3">
      <c r="H3" s="224" t="s">
        <v>92</v>
      </c>
      <c r="J3" s="8"/>
      <c r="K3" s="9"/>
      <c r="L3" s="9"/>
      <c r="M3" s="9"/>
      <c r="N3" s="9"/>
      <c r="O3" s="9"/>
      <c r="P3" s="9"/>
      <c r="Q3" s="9"/>
      <c r="R3" s="9"/>
      <c r="S3" s="9"/>
      <c r="T3" s="9"/>
    </row>
    <row r="4" spans="1:27" x14ac:dyDescent="0.3">
      <c r="A4" s="66"/>
      <c r="B4" s="49"/>
      <c r="C4" s="49"/>
      <c r="D4" s="49"/>
      <c r="E4" s="49"/>
      <c r="F4" s="49"/>
      <c r="G4" s="49"/>
      <c r="H4" s="50"/>
      <c r="I4" s="50"/>
      <c r="J4" s="51"/>
      <c r="K4" s="51"/>
      <c r="L4" s="51"/>
      <c r="M4" s="51"/>
      <c r="N4" s="51"/>
      <c r="O4" s="51"/>
      <c r="P4" s="51"/>
      <c r="Q4" s="51"/>
      <c r="R4" s="51"/>
      <c r="S4" s="50" t="s">
        <v>93</v>
      </c>
      <c r="T4" s="50"/>
      <c r="U4" s="62"/>
      <c r="V4" s="62"/>
      <c r="W4" s="51" t="s">
        <v>94</v>
      </c>
      <c r="X4" s="51" t="s">
        <v>95</v>
      </c>
      <c r="Z4" s="50" t="s">
        <v>96</v>
      </c>
      <c r="AA4" s="50"/>
    </row>
    <row r="5" spans="1:27" x14ac:dyDescent="0.3">
      <c r="A5" s="67" t="s">
        <v>40</v>
      </c>
      <c r="B5" s="47"/>
      <c r="C5" s="47"/>
      <c r="D5" s="54"/>
      <c r="E5" s="54"/>
      <c r="F5" s="55"/>
      <c r="G5" s="56" t="s">
        <v>97</v>
      </c>
      <c r="H5" s="56" t="s">
        <v>98</v>
      </c>
      <c r="I5" s="57"/>
      <c r="J5" s="56" t="s">
        <v>99</v>
      </c>
      <c r="K5" s="58"/>
      <c r="L5" s="59" t="s">
        <v>100</v>
      </c>
      <c r="M5" s="58"/>
      <c r="N5" s="58"/>
      <c r="O5" s="58"/>
      <c r="P5" s="59" t="s">
        <v>101</v>
      </c>
      <c r="Q5" s="59" t="s">
        <v>283</v>
      </c>
      <c r="R5" s="59" t="s">
        <v>102</v>
      </c>
      <c r="S5" s="60"/>
      <c r="T5" s="60"/>
      <c r="U5" s="63"/>
      <c r="V5" s="63"/>
      <c r="W5" s="61"/>
      <c r="X5" s="61"/>
      <c r="Z5" s="56"/>
      <c r="AA5" s="56"/>
    </row>
    <row r="6" spans="1:27" ht="57.6" x14ac:dyDescent="0.3">
      <c r="A6" s="69" t="s">
        <v>103</v>
      </c>
      <c r="B6" s="68" t="s">
        <v>104</v>
      </c>
      <c r="C6" s="68" t="s">
        <v>105</v>
      </c>
      <c r="D6" s="70" t="s">
        <v>55</v>
      </c>
      <c r="E6" s="71" t="s">
        <v>56</v>
      </c>
      <c r="F6" s="70" t="s">
        <v>106</v>
      </c>
      <c r="G6" s="322" t="s">
        <v>107</v>
      </c>
      <c r="H6" s="53" t="s">
        <v>108</v>
      </c>
      <c r="I6" s="53" t="s">
        <v>15</v>
      </c>
      <c r="J6" s="53" t="s">
        <v>109</v>
      </c>
      <c r="K6" s="53" t="s">
        <v>110</v>
      </c>
      <c r="L6" s="53" t="s">
        <v>111</v>
      </c>
      <c r="M6" s="53" t="s">
        <v>112</v>
      </c>
      <c r="N6" s="53" t="s">
        <v>113</v>
      </c>
      <c r="O6" s="53" t="s">
        <v>114</v>
      </c>
      <c r="P6" s="53" t="s">
        <v>115</v>
      </c>
      <c r="Q6" s="53" t="s">
        <v>283</v>
      </c>
      <c r="R6" s="53" t="s">
        <v>20</v>
      </c>
      <c r="S6" s="71" t="s">
        <v>21</v>
      </c>
      <c r="T6" s="71" t="s">
        <v>116</v>
      </c>
      <c r="U6" s="72" t="s">
        <v>117</v>
      </c>
      <c r="V6" s="72" t="s">
        <v>118</v>
      </c>
      <c r="W6" s="53" t="s">
        <v>23</v>
      </c>
      <c r="X6" s="53" t="s">
        <v>24</v>
      </c>
      <c r="Z6" s="71" t="s">
        <v>424</v>
      </c>
      <c r="AA6" s="71" t="s">
        <v>119</v>
      </c>
    </row>
    <row r="7" spans="1:27" x14ac:dyDescent="0.3">
      <c r="A7" s="178" t="s">
        <v>120</v>
      </c>
      <c r="B7" s="178" t="s">
        <v>121</v>
      </c>
      <c r="C7" s="179" t="s">
        <v>122</v>
      </c>
      <c r="D7" s="163" t="s">
        <v>128</v>
      </c>
      <c r="E7" s="163" t="s">
        <v>75</v>
      </c>
      <c r="F7" s="180" t="s">
        <v>123</v>
      </c>
      <c r="G7" s="20">
        <f>SUM(H7:X7)</f>
        <v>0.96979987723667149</v>
      </c>
      <c r="H7" s="181">
        <f>'CO2 per kg feed'!G17*FCR_bonefree_incl_parents_DK-Excreted_N_after_losses_DK*Manure_repl_factor_DK*(EF_min_fert_BAT_CO2*Frac_BAT_DK+EF_min_fert_AN_CO2*Frac_AN_DK)</f>
        <v>0.15582779932847879</v>
      </c>
      <c r="I7" s="181">
        <f>'CO2 per kg feed'!H17*FCR_bonefree_incl_parents_DK</f>
        <v>8.1035416450437853E-2</v>
      </c>
      <c r="J7" s="181">
        <f>'CO2 per kg feed'!I17*FCR_bonefree_incl_parents_DK</f>
        <v>0</v>
      </c>
      <c r="K7" s="181"/>
      <c r="L7" s="181">
        <f>'CO2 per kg feed'!K17*FCR_bonefree_incl_parents_DK</f>
        <v>9.6796331565040639E-2</v>
      </c>
      <c r="M7" s="181"/>
      <c r="N7" s="181">
        <f>'CO2 per kg feed'!M17*FCR_bonefree_incl_parents_DK</f>
        <v>4.4158907457002343E-4</v>
      </c>
      <c r="O7" s="181">
        <f>'CO2 per kg feed'!N17*FCR_bonefree_incl_parents_DK</f>
        <v>0.12254513762721125</v>
      </c>
      <c r="P7" s="181">
        <f>'CO2 per kg feed'!O17*FCR_bonefree_incl_parents_DK</f>
        <v>0.11199553670653163</v>
      </c>
      <c r="Q7" s="181">
        <f>'CO2 per kg feed'!P17*FCR_bonefree_incl_parents_DK</f>
        <v>1.5422914394032912E-2</v>
      </c>
      <c r="R7" s="181">
        <f>'CO2 per kg feed'!Q17*FCR_bonefree_incl_parents_DK</f>
        <v>9.755227344507221E-2</v>
      </c>
      <c r="S7" s="162"/>
      <c r="T7" s="162"/>
      <c r="U7" s="182"/>
      <c r="V7" s="182"/>
      <c r="W7" s="183">
        <f>Energy_stables_DK/Bonefree_outof_CW_DK*(Share_heating_DK*(Share_biofuels_DK*EF_biofuels_CO2+(1-Share_biofuels_DK)*EF_oil_CO2)+(1-Share_heating_DK)*EF_el_CO2_DK)</f>
        <v>8.8165821384309104E-2</v>
      </c>
      <c r="X7" s="184">
        <f>(Energy_slaughter_el_DK*EF_el_CO2_DK+Energy_slaughter_oil_DK*EF_oil_CO2)/Bonefree_outof_CW_DK</f>
        <v>0.20001705726098704</v>
      </c>
      <c r="Z7" s="20"/>
      <c r="AA7" s="20"/>
    </row>
    <row r="8" spans="1:27" x14ac:dyDescent="0.3">
      <c r="A8" s="13" t="s">
        <v>120</v>
      </c>
      <c r="B8" s="13" t="s">
        <v>121</v>
      </c>
      <c r="C8" s="17" t="s">
        <v>122</v>
      </c>
      <c r="D8" s="18" t="s">
        <v>128</v>
      </c>
      <c r="E8" s="18" t="s">
        <v>75</v>
      </c>
      <c r="F8" s="13" t="s">
        <v>124</v>
      </c>
      <c r="G8" s="33">
        <f t="shared" ref="G8:G11" si="0">SUM(H8:X8)</f>
        <v>1.1031150597600678E-3</v>
      </c>
      <c r="H8" s="34">
        <f>'CH4 per kg feed'!G17*FCR_bonefree_incl_parents_DK-Excreted_N_after_losses_DK*Manure_repl_factor_DK*(EF_min_fert_BAT_CH4*Frac_BAT_DK+EF_min_fert_AN_CH4*Frac_AN_DK)</f>
        <v>1.9891544090829319E-4</v>
      </c>
      <c r="I8" s="34">
        <f>'CH4 per kg feed'!H17*FCR_bonefree_incl_parents_DK</f>
        <v>3.0129717318643141E-4</v>
      </c>
      <c r="J8" s="34"/>
      <c r="K8" s="34"/>
      <c r="L8" s="34">
        <f>'CH4 per kg feed'!K17*FCR_bonefree_incl_parents_DK</f>
        <v>4.4219940871966469E-5</v>
      </c>
      <c r="M8" s="34"/>
      <c r="N8" s="34">
        <f>'CH4 per kg feed'!M17*FCR_bonefree_incl_parents_DK</f>
        <v>5.0607310382560943E-6</v>
      </c>
      <c r="O8" s="34">
        <f>'CH4 per kg feed'!N17*FCR_bonefree_incl_parents_DK</f>
        <v>7.3304796895099349E-5</v>
      </c>
      <c r="P8" s="34">
        <f>'CH4 per kg feed'!O17*FCR_bonefree_incl_parents_DK</f>
        <v>0</v>
      </c>
      <c r="Q8" s="34">
        <f>'CH4 per kg feed'!P17*FCR_bonefree_incl_parents_DK</f>
        <v>5.2062806227921423E-5</v>
      </c>
      <c r="R8" s="34">
        <f>'CH4 per kg feed'!Q17*FCR_bonefree_incl_parents_DK</f>
        <v>8.6743812526790973E-5</v>
      </c>
      <c r="W8" s="4">
        <f>Energy_stables_DK/Bonefree_outof_CW_DK*(Share_heating_DK*(Share_biofuels_DK*EF_biofuel_CH4+(1-Share_biofuels_DK)*EF_oil_CH4)+(1-Share_heating_DK)*EF_el_CH4_DK)</f>
        <v>7.3155856042763585E-5</v>
      </c>
      <c r="X8" s="12">
        <f>(Energy_slaughter_el_DK*EF_el_CH4_DK+Energy_slaughter_oil_DK*EF_oil_CH4)/Bonefree_outof_CW_DK</f>
        <v>2.683545020625454E-4</v>
      </c>
      <c r="Z8" s="33"/>
      <c r="AA8" s="33"/>
    </row>
    <row r="9" spans="1:27" x14ac:dyDescent="0.3">
      <c r="A9" s="13" t="s">
        <v>120</v>
      </c>
      <c r="B9" s="13" t="s">
        <v>121</v>
      </c>
      <c r="C9" s="17" t="s">
        <v>122</v>
      </c>
      <c r="D9" s="18" t="s">
        <v>128</v>
      </c>
      <c r="E9" s="18" t="s">
        <v>75</v>
      </c>
      <c r="F9" s="13" t="s">
        <v>125</v>
      </c>
      <c r="G9" s="33">
        <f>SUM(H9:T9)+SUM(W9:X9)</f>
        <v>2.2013861429824129E-3</v>
      </c>
      <c r="H9" s="34"/>
      <c r="I9" s="34"/>
      <c r="J9" s="34"/>
      <c r="K9" s="34"/>
      <c r="L9" s="34"/>
      <c r="M9" s="34"/>
      <c r="N9" s="34"/>
      <c r="O9" s="34"/>
      <c r="P9" s="34"/>
      <c r="Q9" s="34"/>
      <c r="R9" s="34"/>
      <c r="T9" s="48">
        <f>SUM(U9:V9)</f>
        <v>2.2013861429824129E-3</v>
      </c>
      <c r="U9" s="64">
        <f>(Production!B40*(Slaughter_age_DK/365)+SUM(Production!B41:B44))*EF_CH4_manure_DK</f>
        <v>2.2013861429824129E-3</v>
      </c>
      <c r="W9" s="4"/>
      <c r="X9" s="12"/>
    </row>
    <row r="10" spans="1:27" ht="15" thickBot="1" x14ac:dyDescent="0.35">
      <c r="A10" s="13" t="s">
        <v>120</v>
      </c>
      <c r="B10" s="13" t="s">
        <v>121</v>
      </c>
      <c r="C10" s="17" t="s">
        <v>122</v>
      </c>
      <c r="D10" s="18" t="s">
        <v>128</v>
      </c>
      <c r="E10" s="18" t="s">
        <v>75</v>
      </c>
      <c r="F10" s="35" t="s">
        <v>126</v>
      </c>
      <c r="G10" s="33">
        <f>SUM(H10:T10)+SUM(W10:X10)</f>
        <v>2.2752379268341223E-3</v>
      </c>
      <c r="H10" s="34">
        <f>'N2O per kg feed'!G17*FCR_bonefree_incl_parents_DK-Excreted_N_after_losses_DK*Manure_repl_factor_DK*(EF_min_fert_BAT_N2O*Frac_BAT_DK+EF_min_fert_AN_N2O*Frac_AN_DK)</f>
        <v>3.221913288311639E-4</v>
      </c>
      <c r="I10" s="33">
        <f>'N2O per kg feed'!H17*FCR_bonefree_incl_parents_DK</f>
        <v>3.0750563147775556E-6</v>
      </c>
      <c r="J10" s="33">
        <f>'N2O per kg feed'!I17*FCR_bonefree_incl_parents_DK-Excreted_N_after_losses_DK*Manure_repl_factor_DK*EF_N2O_diff_DK</f>
        <v>1.6302270696837474E-3</v>
      </c>
      <c r="K10" s="33">
        <f>J10*EF_indirect_N2O_DK</f>
        <v>1.6302270696837476E-4</v>
      </c>
      <c r="L10" s="33">
        <f>'N2O per kg feed'!K17*FCR_bonefree_incl_parents_DK</f>
        <v>2.6876140555132513E-6</v>
      </c>
      <c r="M10" s="33"/>
      <c r="N10" s="33">
        <f>'N2O per kg feed'!M17*FCR_bonefree_incl_parents_DK</f>
        <v>6.2144098158157332E-8</v>
      </c>
      <c r="O10" s="33">
        <f>'N2O per kg feed'!N17*FCR_bonefree_incl_parents_DK</f>
        <v>4.7612337487221382E-6</v>
      </c>
      <c r="P10" s="33">
        <f>'N2O per kg feed'!O17*FCR_bonefree_incl_parents_DK</f>
        <v>0</v>
      </c>
      <c r="Q10" s="33">
        <f>'N2O per kg feed'!P17*FCR_bonefree_incl_parents_DK</f>
        <v>5.29444925522237E-6</v>
      </c>
      <c r="R10" s="33">
        <f>'N2O per kg feed'!Q17*FCR_bonefree_incl_parents_DK</f>
        <v>3.4661158195222369E-6</v>
      </c>
      <c r="T10" s="48">
        <f>SUM(U10:V10)</f>
        <v>1.2390587072060898E-4</v>
      </c>
      <c r="U10" s="9">
        <f>Excreted_N_per_kg_of_bonefree_meat_DK*EF_N2O_manure_direct_DK*44/28</f>
        <v>4.5919975807215269E-5</v>
      </c>
      <c r="V10" s="64">
        <f>(Excreted_N_per_kg_of_bonefree_meat_DK-U10*28/44)*EF_ammonia_DK*EF_N2O_manure_indirect_DK*44/28</f>
        <v>7.7985894913393708E-5</v>
      </c>
      <c r="W10" s="4">
        <f>Energy_stables_DK/Bonefree_outof_CW_DK*(Share_heating_DK*(Share_biofuels_DK*EF_biofuel_N2O+(1-Share_biofuels_DK)*EF_oil_N2O)+(1-Share_heating_DK)*EF_el_N2O_DK)</f>
        <v>6.374398559090906E-6</v>
      </c>
      <c r="X10" s="12">
        <f>(Energy_slaughter_el_DK*EF_el_N2O_DK+Energy_slaughter_oil_DK*EF_oil_N2O)/Bonefree_outof_CW_DK</f>
        <v>1.016993877922078E-5</v>
      </c>
      <c r="Z10" s="33"/>
      <c r="AA10" s="33"/>
    </row>
    <row r="11" spans="1:27" ht="15.6" thickTop="1" thickBot="1" x14ac:dyDescent="0.35">
      <c r="A11" s="172" t="s">
        <v>120</v>
      </c>
      <c r="B11" s="172" t="s">
        <v>121</v>
      </c>
      <c r="C11" s="173" t="s">
        <v>122</v>
      </c>
      <c r="D11" s="174" t="s">
        <v>128</v>
      </c>
      <c r="E11" s="174" t="s">
        <v>75</v>
      </c>
      <c r="F11" s="175" t="s">
        <v>127</v>
      </c>
      <c r="G11" s="186">
        <f t="shared" si="0"/>
        <v>1.683250085903762</v>
      </c>
      <c r="H11" s="176">
        <f>SUMPRODUCT(H7:H10,'Parameters, general'!$B$14:$B$17)</f>
        <v>0.24971371223845368</v>
      </c>
      <c r="I11" s="176">
        <f>SUMPRODUCT(I7:I10,'Parameters, general'!$B$14:$B$17)</f>
        <v>9.0853562585327785E-2</v>
      </c>
      <c r="J11" s="176">
        <f>SUMPRODUCT(J7:J10,'Parameters, general'!$B$14:$B$17)</f>
        <v>0.44505199002366302</v>
      </c>
      <c r="K11" s="176">
        <f>SUMPRODUCT(K7:K10,'Parameters, general'!$B$14:$B$17)</f>
        <v>4.4505199002366311E-2</v>
      </c>
      <c r="L11" s="176">
        <f>SUMPRODUCT(L7:L10,'Parameters, general'!$B$14:$B$17)</f>
        <v>9.8847804440180348E-2</v>
      </c>
      <c r="M11" s="176">
        <f>SUMPRODUCT(M7:M10,'Parameters, general'!$B$14:$B$17)</f>
        <v>0</v>
      </c>
      <c r="N11" s="176">
        <f>SUMPRODUCT(N7:N10,'Parameters, general'!$B$14:$B$17)</f>
        <v>6.093641983072319E-4</v>
      </c>
      <c r="O11" s="176">
        <f>SUMPRODUCT(O7:O10,'Parameters, general'!$B$14:$B$17)</f>
        <v>0.12602943738808636</v>
      </c>
      <c r="P11" s="176">
        <f>SUMPRODUCT(P7:P10,'Parameters, general'!$B$14:$B$17)</f>
        <v>0.11199553670653163</v>
      </c>
      <c r="Q11" s="176">
        <f>SUMPRODUCT(Q7:Q10,'Parameters, general'!$B$14:$B$17)</f>
        <v>1.8419770666300676E-2</v>
      </c>
      <c r="R11" s="176">
        <f>SUMPRODUCT(R7:R10,'Parameters, general'!$B$14:$B$17)</f>
        <v>0.10108348867710014</v>
      </c>
      <c r="S11" s="176">
        <f>SUMPRODUCT(S7:S10,'Parameters, general'!$B$14:$B$17)</f>
        <v>0</v>
      </c>
      <c r="T11" s="176">
        <f>SUMPRODUCT(T7:T10,'Parameters, general'!$B$14:$B$17)</f>
        <v>9.3263728567251403E-2</v>
      </c>
      <c r="U11" s="177"/>
      <c r="V11" s="177"/>
      <c r="W11" s="176">
        <f>SUMPRODUCT(W7:W10,'Parameters, general'!$B$14:$B$17)</f>
        <v>9.2086076701015276E-2</v>
      </c>
      <c r="X11" s="176">
        <f>SUMPRODUCT(X7:X10,'Parameters, general'!$B$14:$B$17)</f>
        <v>0.21079041470917817</v>
      </c>
      <c r="Z11" s="115">
        <f>SUM(H11:R11)</f>
        <v>1.2871098659263174</v>
      </c>
      <c r="AA11" s="210">
        <f>'CO2 per kg feed'!F17+'CH4 per kg feed'!F17*CF_GWP_CH4_fossil+'N2O per kg feed'!F17*CF_GWP_N2O</f>
        <v>0.42757257003276783</v>
      </c>
    </row>
    <row r="12" spans="1:27" ht="15" thickTop="1" x14ac:dyDescent="0.3">
      <c r="A12" s="13" t="s">
        <v>120</v>
      </c>
      <c r="B12" s="13" t="s">
        <v>121</v>
      </c>
      <c r="C12" s="17" t="s">
        <v>122</v>
      </c>
      <c r="D12" s="18" t="s">
        <v>35</v>
      </c>
      <c r="E12" s="18" t="s">
        <v>76</v>
      </c>
      <c r="F12" s="36" t="s">
        <v>123</v>
      </c>
      <c r="G12" s="20">
        <f t="shared" ref="G12:G41" si="1">SUM(H12:X12)</f>
        <v>0.74603329812799513</v>
      </c>
      <c r="H12" s="181">
        <f>'CO2 per kg feed'!G29*FCR_bonefree_incl_parents_FR-Excreted_N_after_losses_FR*Manure_repl_factor_FR*(EF_min_fert_BAT_CO2*Frac_BAT_FR+EF_min_fert_AN_CO2*Frac_AN_FR)</f>
        <v>0.15744981278820208</v>
      </c>
      <c r="I12" s="181">
        <f>'CO2 per kg feed'!H29*FCR_bonefree_incl_parents_FR</f>
        <v>7.5484001359292743E-2</v>
      </c>
      <c r="J12" s="181">
        <f>'CO2 per kg feed'!I29*FCR_bonefree_incl_parents_FR</f>
        <v>0</v>
      </c>
      <c r="K12" s="181"/>
      <c r="L12" s="181">
        <f>'CO2 per kg feed'!K29*FCR_bonefree_incl_parents_FR</f>
        <v>8.5386586298980202E-2</v>
      </c>
      <c r="M12" s="181"/>
      <c r="N12" s="181">
        <f>'CO2 per kg feed'!M29*FCR_bonefree_incl_parents_FR</f>
        <v>5.5928481880847224E-3</v>
      </c>
      <c r="O12" s="181">
        <f>'CO2 per kg feed'!N29*FCR_bonefree_incl_parents_FR</f>
        <v>0.10551287107527549</v>
      </c>
      <c r="P12" s="181">
        <f>'CO2 per kg feed'!O29*FCR_bonefree_incl_parents_FR</f>
        <v>9.1730991286372396E-2</v>
      </c>
      <c r="Q12" s="181">
        <f>'CO2 per kg feed'!P29*FCR_bonefree_incl_parents_FR</f>
        <v>1.6937198338641407E-2</v>
      </c>
      <c r="R12" s="181">
        <f>'CO2 per kg feed'!Q29*FCR_bonefree_incl_parents_FR</f>
        <v>9.2752330581814882E-2</v>
      </c>
      <c r="S12" s="162"/>
      <c r="T12" s="162"/>
      <c r="U12" s="182"/>
      <c r="V12" s="182"/>
      <c r="W12" s="183">
        <f>Energy_stables_FR/Bonefree_outof_CW_FR*(Share_heating_FR*(Share_biofuels_FR*EF_biofuels_CO2+(1-Share_biofuels_FR)*EF_oil_CO2)+(1-Share_heating_FR)*EF_el_CO2_FR)</f>
        <v>6.2400426851590918E-2</v>
      </c>
      <c r="X12" s="184">
        <f>(Energy_slaughter_el_FR*EF_el_CO2_FR+Energy_slaughter_oil_FR*EF_oil_CO2)/Bonefree_outof_CW_FR</f>
        <v>5.2786231359740254E-2</v>
      </c>
      <c r="Z12" s="20"/>
      <c r="AA12" s="20"/>
    </row>
    <row r="13" spans="1:27" x14ac:dyDescent="0.3">
      <c r="A13" s="13" t="s">
        <v>120</v>
      </c>
      <c r="B13" s="13" t="s">
        <v>121</v>
      </c>
      <c r="C13" s="17" t="s">
        <v>122</v>
      </c>
      <c r="D13" s="18" t="s">
        <v>35</v>
      </c>
      <c r="E13" s="18" t="s">
        <v>76</v>
      </c>
      <c r="F13" s="13" t="s">
        <v>124</v>
      </c>
      <c r="G13" s="33">
        <f t="shared" si="1"/>
        <v>1.0169099467455076E-3</v>
      </c>
      <c r="H13" s="34">
        <f>'CH4 per kg feed'!G29*FCR_bonefree_incl_parents_FR-Excreted_N_after_losses_FR*Manure_repl_factor_FR*(EF_min_fert_BAT_CH4*Frac_BAT_FR+EF_min_fert_AN_CH4*Frac_AN_FR)</f>
        <v>2.89195446930623E-4</v>
      </c>
      <c r="I13" s="34">
        <f>'CH4 per kg feed'!H29*FCR_bonefree_incl_parents_FR</f>
        <v>2.7750917657695022E-4</v>
      </c>
      <c r="J13" s="34"/>
      <c r="K13" s="34"/>
      <c r="L13" s="34">
        <f>'CH4 per kg feed'!K29*FCR_bonefree_incl_parents_FR</f>
        <v>3.7833579362281445E-5</v>
      </c>
      <c r="M13" s="34"/>
      <c r="N13" s="34">
        <f>'CH4 per kg feed'!M29*FCR_bonefree_incl_parents_FR</f>
        <v>1.9538691548016668E-5</v>
      </c>
      <c r="O13" s="34">
        <f>'CH4 per kg feed'!N29*FCR_bonefree_incl_parents_FR</f>
        <v>5.7353021255166712E-5</v>
      </c>
      <c r="P13" s="34">
        <f>'CH4 per kg feed'!O29*FCR_bonefree_incl_parents_FR</f>
        <v>0</v>
      </c>
      <c r="Q13" s="34">
        <f>'CH4 per kg feed'!P29*FCR_bonefree_incl_parents_FR</f>
        <v>5.1988569920082553E-5</v>
      </c>
      <c r="R13" s="34">
        <f>'CH4 per kg feed'!Q29*FCR_bonefree_incl_parents_FR</f>
        <v>8.9083902457246818E-5</v>
      </c>
      <c r="W13" s="4">
        <f>Energy_stables_FR/Bonefree_outof_CW_FR*(Share_heating_FR*(Share_biofuels_FR*EF_biofuel_CH4+(1-Share_biofuels_FR)*EF_oil_CH4)+(1-Share_heating_FR)*EF_el_CH4_FR)</f>
        <v>5.1246928471036339E-5</v>
      </c>
      <c r="X13" s="12">
        <f>(Energy_slaughter_el_FR*EF_el_CH4_FR+Energy_slaughter_oil_FR*EF_oil_CH4)/Bonefree_outof_CW_FR</f>
        <v>1.4316063022410392E-4</v>
      </c>
      <c r="Z13" s="33"/>
      <c r="AA13" s="33"/>
    </row>
    <row r="14" spans="1:27" x14ac:dyDescent="0.3">
      <c r="A14" s="13" t="s">
        <v>120</v>
      </c>
      <c r="B14" s="13" t="s">
        <v>121</v>
      </c>
      <c r="C14" s="17" t="s">
        <v>122</v>
      </c>
      <c r="D14" s="18" t="s">
        <v>35</v>
      </c>
      <c r="E14" s="18" t="s">
        <v>76</v>
      </c>
      <c r="F14" s="13" t="s">
        <v>125</v>
      </c>
      <c r="G14" s="33">
        <f>SUM(H14:T14)+SUM(W14:X14)</f>
        <v>2.2548527409656507E-3</v>
      </c>
      <c r="H14" s="34"/>
      <c r="I14" s="34"/>
      <c r="J14" s="34"/>
      <c r="K14" s="34"/>
      <c r="L14" s="34"/>
      <c r="M14" s="34"/>
      <c r="N14" s="34"/>
      <c r="O14" s="34"/>
      <c r="P14" s="34"/>
      <c r="Q14" s="34"/>
      <c r="R14" s="34"/>
      <c r="T14" s="48">
        <f>SUM(U14:V14)</f>
        <v>2.2548527409656507E-3</v>
      </c>
      <c r="U14" s="64">
        <f>(Production!C40*(Slaughter_age_FR/365)+SUM(Production!C41:C44))*EF_CH4_manure_FR</f>
        <v>2.2548527409656507E-3</v>
      </c>
      <c r="W14" s="4"/>
      <c r="X14" s="12"/>
    </row>
    <row r="15" spans="1:27" ht="15" thickBot="1" x14ac:dyDescent="0.35">
      <c r="A15" s="13" t="s">
        <v>120</v>
      </c>
      <c r="B15" s="13" t="s">
        <v>121</v>
      </c>
      <c r="C15" s="17" t="s">
        <v>122</v>
      </c>
      <c r="D15" s="18" t="s">
        <v>35</v>
      </c>
      <c r="E15" s="18" t="s">
        <v>76</v>
      </c>
      <c r="F15" s="35" t="s">
        <v>126</v>
      </c>
      <c r="G15" s="33">
        <f>SUM(H15:T15)+SUM(W15:X15)</f>
        <v>1.7922933177445578E-3</v>
      </c>
      <c r="H15" s="34">
        <f>'N2O per kg feed'!G29*FCR_bonefree_incl_parents_FR-Excreted_N_after_losses_FR*Manure_repl_factor_FR*(EF_min_fert_BAT_N2O*Frac_BAT_FR+EF_min_fert_AN_N2O*Frac_AN_FR)</f>
        <v>3.3199344328929524E-4</v>
      </c>
      <c r="I15" s="33">
        <f>'N2O per kg feed'!H29*FCR_bonefree_incl_parents_FR</f>
        <v>2.8369277306046328E-6</v>
      </c>
      <c r="J15" s="33">
        <f>'N2O per kg feed'!I29*FCR_bonefree_incl_parents_FR-Excreted_N_after_losses_FR*Manure_repl_factor_FR*EF_N2O_diff_FR</f>
        <v>1.1383231057595386E-3</v>
      </c>
      <c r="K15" s="33">
        <f>J15*EF_indirect_N2O_FR</f>
        <v>1.1383231057595386E-4</v>
      </c>
      <c r="L15" s="33">
        <f>'N2O per kg feed'!K29*FCR_bonefree_incl_parents_FR</f>
        <v>2.2946469799159597E-6</v>
      </c>
      <c r="M15" s="33"/>
      <c r="N15" s="33">
        <f>'N2O per kg feed'!M29*FCR_bonefree_incl_parents_FR</f>
        <v>2.4080939385404767E-7</v>
      </c>
      <c r="O15" s="33">
        <f>'N2O per kg feed'!N29*FCR_bonefree_incl_parents_FR</f>
        <v>3.9570162626807675E-6</v>
      </c>
      <c r="P15" s="33">
        <f>'N2O per kg feed'!O29*FCR_bonefree_incl_parents_FR</f>
        <v>0</v>
      </c>
      <c r="Q15" s="33">
        <f>'N2O per kg feed'!P29*FCR_bonefree_incl_parents_FR</f>
        <v>5.1358634652715183E-6</v>
      </c>
      <c r="R15" s="33">
        <f>'N2O per kg feed'!Q29*FCR_bonefree_incl_parents_FR</f>
        <v>3.2106037113318351E-6</v>
      </c>
      <c r="T15" s="48">
        <f>SUM(U15:V15)</f>
        <v>1.8057705445485167E-4</v>
      </c>
      <c r="U15" s="9">
        <f>Excreted_N_per_kg_of_bonefree_meat_FR*EF_N2O_manure_direct_FR*44/28</f>
        <v>6.6922526944688019E-5</v>
      </c>
      <c r="V15" s="64">
        <f>(Excreted_N_per_kg_of_bonefree_meat_FR-U15*28/44)*EF_ammonia_FR*EF_N2O_manure_indirect_FR*44/28</f>
        <v>1.1365452751016366E-4</v>
      </c>
      <c r="W15" s="4">
        <f>Energy_stables_FR/Bonefree_outof_CW_FR*(Share_heating_FR*(Share_biofuels_FR*EF_biofuel_N2O+(1-Share_biofuels_FR)*EF_oil_N2O)+(1-Share_heating_FR)*EF_el_N2O_FR)</f>
        <v>5.3835558246363609E-6</v>
      </c>
      <c r="X15" s="12">
        <f>(Energy_slaughter_el_FR*EF_el_N2O_FR+Energy_slaughter_oil_FR*EF_oil_N2O)/Bonefree_outof_CW_FR</f>
        <v>4.507980296623376E-6</v>
      </c>
      <c r="Z15" s="33"/>
      <c r="AA15" s="33"/>
    </row>
    <row r="16" spans="1:27" ht="15.6" thickTop="1" thickBot="1" x14ac:dyDescent="0.35">
      <c r="A16" s="172" t="s">
        <v>120</v>
      </c>
      <c r="B16" s="172" t="s">
        <v>121</v>
      </c>
      <c r="C16" s="173" t="s">
        <v>122</v>
      </c>
      <c r="D16" s="37" t="s">
        <v>35</v>
      </c>
      <c r="E16" s="37" t="s">
        <v>76</v>
      </c>
      <c r="F16" s="185" t="s">
        <v>127</v>
      </c>
      <c r="G16" s="186">
        <f t="shared" si="1"/>
        <v>1.326514314291348</v>
      </c>
      <c r="H16" s="176">
        <f>SUMPRODUCT(H12:H15,'Parameters, general'!$B$14:$B$17)</f>
        <v>0.25670204712471223</v>
      </c>
      <c r="I16" s="176">
        <f>SUMPRODUCT(I12:I15,'Parameters, general'!$B$14:$B$17)</f>
        <v>8.452825609174093E-2</v>
      </c>
      <c r="J16" s="176">
        <f>SUMPRODUCT(J12:J15,'Parameters, general'!$B$14:$B$17)</f>
        <v>0.31076220787235403</v>
      </c>
      <c r="K16" s="176">
        <f>SUMPRODUCT(K12:K15,'Parameters, general'!$B$14:$B$17)</f>
        <v>3.1076220787235403E-2</v>
      </c>
      <c r="L16" s="176">
        <f>SUMPRODUCT(L12:L15,'Parameters, general'!$B$14:$B$17)</f>
        <v>8.7140465589493246E-2</v>
      </c>
      <c r="M16" s="176">
        <f>SUMPRODUCT(M12:M15,'Parameters, general'!$B$14:$B$17)</f>
        <v>0</v>
      </c>
      <c r="N16" s="176">
        <f>SUMPRODUCT(N12:N15,'Parameters, general'!$B$14:$B$17)</f>
        <v>6.2408421607377737E-3</v>
      </c>
      <c r="O16" s="176">
        <f>SUMPRODUCT(O12:O15,'Parameters, general'!$B$14:$B$17)</f>
        <v>0.1083022565483913</v>
      </c>
      <c r="P16" s="176">
        <f>SUMPRODUCT(P12:P15,'Parameters, general'!$B$14:$B$17)</f>
        <v>9.1730991286372396E-2</v>
      </c>
      <c r="Q16" s="176">
        <f>SUMPRODUCT(Q12:Q15,'Parameters, general'!$B$14:$B$17)</f>
        <v>1.9888548448278993E-2</v>
      </c>
      <c r="R16" s="176">
        <f>SUMPRODUCT(R12:R15,'Parameters, general'!$B$14:$B$17)</f>
        <v>9.6283525688234423E-2</v>
      </c>
      <c r="S16" s="176">
        <f>SUMPRODUCT(S12:S15,'Parameters, general'!$B$14:$B$17)</f>
        <v>0</v>
      </c>
      <c r="T16" s="176">
        <f>SUMPRODUCT(T12:T15,'Parameters, general'!$B$14:$B$17)</f>
        <v>0.11017855987224708</v>
      </c>
      <c r="U16" s="177"/>
      <c r="V16" s="177"/>
      <c r="W16" s="176">
        <f>SUMPRODUCT(W12:W15,'Parameters, general'!$B$14:$B$17)</f>
        <v>6.5397296060153529E-2</v>
      </c>
      <c r="X16" s="176">
        <f>SUMPRODUCT(X12:X15,'Parameters, general'!$B$14:$B$17)</f>
        <v>5.8283096761396737E-2</v>
      </c>
      <c r="Z16" s="115">
        <f>SUM(H16:R16)</f>
        <v>1.0926553615975507</v>
      </c>
      <c r="AA16" s="210">
        <f>'CO2 per kg feed'!F29+'CH4 per kg feed'!F29*CF_GWP_CH4_fossil+'N2O per kg feed'!F29*CF_GWP_N2O</f>
        <v>0.38891067605745983</v>
      </c>
    </row>
    <row r="17" spans="1:27" ht="15" thickTop="1" x14ac:dyDescent="0.3">
      <c r="A17" s="178" t="s">
        <v>120</v>
      </c>
      <c r="B17" s="178" t="s">
        <v>121</v>
      </c>
      <c r="C17" s="179" t="s">
        <v>122</v>
      </c>
      <c r="D17" s="163" t="s">
        <v>29</v>
      </c>
      <c r="E17" s="163" t="s">
        <v>77</v>
      </c>
      <c r="F17" s="180" t="s">
        <v>123</v>
      </c>
      <c r="G17" s="20">
        <f>SUM(H17:X17)</f>
        <v>0.98916343458231615</v>
      </c>
      <c r="H17" s="181">
        <f>'CO2 per kg feed'!G41*FCR_bonefree_incl_parents_DE-Excreted_N_after_losses_DE*Manure_repl_factor_DE*(EF_min_fert_BAT_CO2*Frac_BAT_DE+EF_min_fert_AN_CO2*Frac_AN_DE)</f>
        <v>0.13971618849444883</v>
      </c>
      <c r="I17" s="181">
        <f>'CO2 per kg feed'!H41*FCR_bonefree_incl_parents_DE</f>
        <v>8.0675571130795487E-2</v>
      </c>
      <c r="J17" s="181">
        <f>'CO2 per kg feed'!I41*FCR_bonefree_incl_parents_DE</f>
        <v>0</v>
      </c>
      <c r="K17" s="181"/>
      <c r="L17" s="181">
        <f>'CO2 per kg feed'!K41*FCR_bonefree_incl_parents_DE</f>
        <v>8.6792439955505937E-2</v>
      </c>
      <c r="M17" s="181"/>
      <c r="N17" s="181">
        <f>'CO2 per kg feed'!M41*FCR_bonefree_incl_parents_DE</f>
        <v>1.4603878231679718E-3</v>
      </c>
      <c r="O17" s="181">
        <f>'CO2 per kg feed'!N41*FCR_bonefree_incl_parents_DE</f>
        <v>0.12988624027038756</v>
      </c>
      <c r="P17" s="181">
        <f>'CO2 per kg feed'!O41*FCR_bonefree_incl_parents_DE</f>
        <v>9.4471241184542698E-2</v>
      </c>
      <c r="Q17" s="181">
        <f>'CO2 per kg feed'!P41*FCR_bonefree_incl_parents_DE</f>
        <v>1.7007421815292072E-2</v>
      </c>
      <c r="R17" s="181">
        <f>'CO2 per kg feed'!Q41*FCR_bonefree_incl_parents_DE</f>
        <v>9.4222312196757377E-2</v>
      </c>
      <c r="S17" s="162"/>
      <c r="T17" s="162"/>
      <c r="U17" s="182"/>
      <c r="V17" s="182"/>
      <c r="W17" s="183">
        <f>Energy_stables_DE/Bonefree_outof_CW_DE*(Share_heating_DE*(Share_biofuels_DE*EF_biofuels_CO2+(1-Share_biofuels_DE)*EF_oil_CO2)+(1-Share_heating_DE)*EF_el_CO2_DE)</f>
        <v>9.6617763330327275E-2</v>
      </c>
      <c r="X17" s="184">
        <f>(Energy_slaughter_el_DE*EF_el_CO2_DE+Energy_slaughter_oil_DE*EF_oil_CO2)/Bonefree_outof_CW_DE</f>
        <v>0.24831386838109093</v>
      </c>
      <c r="Z17" s="20"/>
      <c r="AA17" s="20"/>
    </row>
    <row r="18" spans="1:27" x14ac:dyDescent="0.3">
      <c r="A18" s="13" t="s">
        <v>120</v>
      </c>
      <c r="B18" s="13" t="s">
        <v>121</v>
      </c>
      <c r="C18" s="17" t="s">
        <v>122</v>
      </c>
      <c r="D18" s="18" t="s">
        <v>29</v>
      </c>
      <c r="E18" s="18" t="s">
        <v>77</v>
      </c>
      <c r="F18" s="13" t="s">
        <v>124</v>
      </c>
      <c r="G18" s="33">
        <f>SUM(H18:X18)</f>
        <v>1.4032804898214482E-3</v>
      </c>
      <c r="H18" s="34">
        <f>'CH4 per kg feed'!G41*FCR_bonefree_incl_parents_DE-Excreted_N_after_losses_DE*Manure_repl_factor_DE*(EF_min_fert_BAT_CH4*Frac_BAT_DE+EF_min_fert_AN_CH4*Frac_AN_DE)</f>
        <v>2.5792928364802651E-4</v>
      </c>
      <c r="I18" s="34">
        <f>'CH4 per kg feed'!H41*FCR_bonefree_incl_parents_DE</f>
        <v>2.9681362225537981E-4</v>
      </c>
      <c r="J18" s="34"/>
      <c r="K18" s="34"/>
      <c r="L18" s="34">
        <f>'CH4 per kg feed'!K41*FCR_bonefree_incl_parents_DE</f>
        <v>3.8353870407000006E-5</v>
      </c>
      <c r="M18" s="34"/>
      <c r="N18" s="34">
        <f>'CH4 per kg feed'!M41*FCR_bonefree_incl_parents_DE</f>
        <v>4.3594979577843623E-6</v>
      </c>
      <c r="O18" s="34">
        <f>'CH4 per kg feed'!N41*FCR_bonefree_incl_parents_DE</f>
        <v>9.2562813578873771E-5</v>
      </c>
      <c r="P18" s="34">
        <f>'CH4 per kg feed'!O41*FCR_bonefree_incl_parents_DE</f>
        <v>0</v>
      </c>
      <c r="Q18" s="34">
        <f>'CH4 per kg feed'!P41*FCR_bonefree_incl_parents_DE</f>
        <v>5.2595617833870938E-5</v>
      </c>
      <c r="R18" s="34">
        <f>'CH4 per kg feed'!Q41*FCR_bonefree_incl_parents_DE</f>
        <v>8.9919548412112764E-5</v>
      </c>
      <c r="W18" s="4">
        <f>Energy_stables_DE/Bonefree_outof_CW_DE*(Share_heating_DE*(Share_biofuels_DE*EF_biofuel_CH4+(1-Share_biofuels_DE)*EF_oil_CH4)+(1-Share_heating_DE)*EF_el_CH4_DE)</f>
        <v>1.0729736973130906E-4</v>
      </c>
      <c r="X18" s="12">
        <f>(Energy_slaughter_el_DE*EF_el_CH4_DE+Energy_slaughter_oil_DE*EF_oil_CH4)/Bonefree_outof_CW_DE</f>
        <v>4.6344886599709086E-4</v>
      </c>
      <c r="Z18" s="33"/>
      <c r="AA18" s="33"/>
    </row>
    <row r="19" spans="1:27" x14ac:dyDescent="0.3">
      <c r="A19" s="13" t="s">
        <v>120</v>
      </c>
      <c r="B19" s="13" t="s">
        <v>121</v>
      </c>
      <c r="C19" s="17" t="s">
        <v>122</v>
      </c>
      <c r="D19" s="18" t="s">
        <v>29</v>
      </c>
      <c r="E19" s="18" t="s">
        <v>77</v>
      </c>
      <c r="F19" s="13" t="s">
        <v>125</v>
      </c>
      <c r="G19" s="33">
        <f>SUM(H19:T19)+SUM(W19:X19)</f>
        <v>3.3020792144736189E-3</v>
      </c>
      <c r="H19" s="34"/>
      <c r="I19" s="34"/>
      <c r="J19" s="34"/>
      <c r="K19" s="34"/>
      <c r="L19" s="34"/>
      <c r="M19" s="34"/>
      <c r="N19" s="34"/>
      <c r="O19" s="34"/>
      <c r="P19" s="34"/>
      <c r="Q19" s="34"/>
      <c r="R19" s="34"/>
      <c r="T19" s="48">
        <f>SUM(U19:V19)</f>
        <v>3.3020792144736189E-3</v>
      </c>
      <c r="U19" s="64">
        <f>(Production!D40*(Slaughter_age_DE/365)+SUM(Production!D41:D44))*EF_CH4_manure_DE</f>
        <v>3.3020792144736189E-3</v>
      </c>
      <c r="W19" s="4"/>
      <c r="X19" s="12"/>
    </row>
    <row r="20" spans="1:27" ht="15" thickBot="1" x14ac:dyDescent="0.35">
      <c r="A20" s="13" t="s">
        <v>120</v>
      </c>
      <c r="B20" s="13" t="s">
        <v>121</v>
      </c>
      <c r="C20" s="17" t="s">
        <v>122</v>
      </c>
      <c r="D20" s="18" t="s">
        <v>29</v>
      </c>
      <c r="E20" s="18" t="s">
        <v>77</v>
      </c>
      <c r="F20" s="35" t="s">
        <v>126</v>
      </c>
      <c r="G20" s="33">
        <f>SUM(H20:T20)+SUM(W20:X20)</f>
        <v>1.8609263500085154E-3</v>
      </c>
      <c r="H20" s="34">
        <f>'N2O per kg feed'!G41*FCR_bonefree_incl_parents_DE-Excreted_N_after_losses_DE*Manure_repl_factor_DE*(EF_min_fert_BAT_N2O*Frac_BAT_DE+EF_min_fert_AN_N2O*Frac_AN_DE)</f>
        <v>2.9449448909018813E-4</v>
      </c>
      <c r="I20" s="33">
        <f>'N2O per kg feed'!H41*FCR_bonefree_incl_parents_DE</f>
        <v>3.0276799027585705E-6</v>
      </c>
      <c r="J20" s="33">
        <f>'N2O per kg feed'!I41*FCR_bonefree_incl_parents_DE-Excreted_N_after_losses_DE*Manure_repl_factor_DE*EF_N2O_diff_DE</f>
        <v>1.1507977139614846E-3</v>
      </c>
      <c r="K20" s="33">
        <f>J20*EF_indirect_N2O_DE</f>
        <v>1.1507977139614847E-4</v>
      </c>
      <c r="L20" s="33">
        <f>'N2O per kg feed'!K41*FCR_bonefree_incl_parents_DE</f>
        <v>2.3266654434352227E-6</v>
      </c>
      <c r="M20" s="33"/>
      <c r="N20" s="33">
        <f>'N2O per kg feed'!M41*FCR_bonefree_incl_parents_DE</f>
        <v>5.3674875411625427E-8</v>
      </c>
      <c r="O20" s="33">
        <f>'N2O per kg feed'!N41*FCR_bonefree_incl_parents_DE</f>
        <v>4.8448061008391923E-6</v>
      </c>
      <c r="P20" s="33">
        <f>'N2O per kg feed'!O41*FCR_bonefree_incl_parents_DE</f>
        <v>0</v>
      </c>
      <c r="Q20" s="33">
        <f>'N2O per kg feed'!P41*FCR_bonefree_incl_parents_DE</f>
        <v>5.2083720715029182E-6</v>
      </c>
      <c r="R20" s="33">
        <f>'N2O per kg feed'!Q41*FCR_bonefree_incl_parents_DE</f>
        <v>3.2688953639676601E-6</v>
      </c>
      <c r="T20" s="48">
        <f>SUM(U20:V20)</f>
        <v>2.642451288923892E-4</v>
      </c>
      <c r="U20" s="9">
        <f>Excreted_N_per_kg_of_bonefree_meat_DE*EF_N2O_manure_direct_DE*44/28</f>
        <v>9.7930226028384234E-5</v>
      </c>
      <c r="V20" s="64">
        <f>(Excreted_N_per_kg_of_bonefree_meat_DE-U20*28/44)*EF_ammonia_DE*EF_N2O_manure_indirect_DE*44/28</f>
        <v>1.6631490286400497E-4</v>
      </c>
      <c r="W20" s="4">
        <f>Energy_stables_DE/Bonefree_outof_CW_DE*(Share_heating_DE*(Share_biofuels_DE*EF_biofuel_N2O+(1-Share_biofuels_DE)*EF_oil_N2O)+(1-Share_heating_DE)*EF_el_N2O_DE)</f>
        <v>6.5285200272727236E-6</v>
      </c>
      <c r="X20" s="12">
        <f>(Energy_slaughter_el_DE*EF_el_N2O_DE+Energy_slaughter_oil_DE*EF_oil_N2O)/Bonefree_outof_CW_DE</f>
        <v>1.1050632883116888E-5</v>
      </c>
      <c r="Z20" s="33"/>
      <c r="AA20" s="33"/>
    </row>
    <row r="21" spans="1:27" ht="15.6" thickTop="1" thickBot="1" x14ac:dyDescent="0.35">
      <c r="A21" s="172" t="s">
        <v>120</v>
      </c>
      <c r="B21" s="172" t="s">
        <v>121</v>
      </c>
      <c r="C21" s="173" t="s">
        <v>122</v>
      </c>
      <c r="D21" s="174" t="s">
        <v>29</v>
      </c>
      <c r="E21" s="174" t="s">
        <v>77</v>
      </c>
      <c r="F21" s="175" t="s">
        <v>127</v>
      </c>
      <c r="G21" s="186">
        <f>SUM(H21:X21)</f>
        <v>1.6281702255221076</v>
      </c>
      <c r="H21" s="176">
        <f>SUMPRODUCT(H17:H20,'Parameters, general'!$B$14:$B$17)</f>
        <v>0.22779947666878139</v>
      </c>
      <c r="I21" s="176">
        <f>SUMPRODUCT(I17:I20,'Parameters, general'!$B$14:$B$17)</f>
        <v>9.0347173687458884E-2</v>
      </c>
      <c r="J21" s="176">
        <f>SUMPRODUCT(J17:J20,'Parameters, general'!$B$14:$B$17)</f>
        <v>0.31416777591148531</v>
      </c>
      <c r="K21" s="176">
        <f>SUMPRODUCT(K17:K20,'Parameters, general'!$B$14:$B$17)</f>
        <v>3.1416777591148533E-2</v>
      </c>
      <c r="L21" s="176">
        <f>SUMPRODUCT(L17:L20,'Parameters, general'!$B$14:$B$17)</f>
        <v>8.8570564959692358E-2</v>
      </c>
      <c r="M21" s="176">
        <f>SUMPRODUCT(M17:M20,'Parameters, general'!$B$14:$B$17)</f>
        <v>0</v>
      </c>
      <c r="N21" s="176">
        <f>SUMPRODUCT(N17:N20,'Parameters, general'!$B$14:$B$17)</f>
        <v>1.6049541032973197E-3</v>
      </c>
      <c r="O21" s="176">
        <f>SUMPRODUCT(O17:O20,'Parameters, general'!$B$14:$B$17)</f>
        <v>0.1339672441805671</v>
      </c>
      <c r="P21" s="176">
        <f>SUMPRODUCT(P17:P20,'Parameters, general'!$B$14:$B$17)</f>
        <v>9.4471241184542698E-2</v>
      </c>
      <c r="Q21" s="176">
        <f>SUMPRODUCT(Q17:Q20,'Parameters, general'!$B$14:$B$17)</f>
        <v>1.999665680226172E-2</v>
      </c>
      <c r="R21" s="176">
        <f>SUMPRODUCT(R17:R20,'Parameters, general'!$B$14:$B$17)</f>
        <v>9.7794323173801503E-2</v>
      </c>
      <c r="S21" s="176">
        <f>SUMPRODUCT(S17:S20,'Parameters, general'!$B$14:$B$17)</f>
        <v>0</v>
      </c>
      <c r="T21" s="176">
        <f>SUMPRODUCT(T17:T20,'Parameters, general'!$B$14:$B$17)</f>
        <v>0.16129505897840996</v>
      </c>
      <c r="U21" s="177"/>
      <c r="V21" s="177"/>
      <c r="W21" s="176">
        <f>SUMPRODUCT(W17:W20,'Parameters, general'!$B$14:$B$17)</f>
        <v>0.10159751091576574</v>
      </c>
      <c r="X21" s="176">
        <f>SUMPRODUCT(X17:X20,'Parameters, general'!$B$14:$B$17)</f>
        <v>0.26514146736489513</v>
      </c>
      <c r="Z21" s="115">
        <f>SUM(H21:R21)</f>
        <v>1.1001361882630369</v>
      </c>
      <c r="AA21" s="210">
        <f>'CO2 per kg feed'!F41+'CH4 per kg feed'!F41*CF_GWP_CH4_fossil+'N2O per kg feed'!F41*CF_GWP_N2O</f>
        <v>0.42210136010924315</v>
      </c>
    </row>
    <row r="22" spans="1:27" ht="15" thickTop="1" x14ac:dyDescent="0.3">
      <c r="A22" s="13" t="s">
        <v>120</v>
      </c>
      <c r="B22" s="13" t="s">
        <v>121</v>
      </c>
      <c r="C22" s="17" t="s">
        <v>122</v>
      </c>
      <c r="D22" s="18" t="s">
        <v>32</v>
      </c>
      <c r="E22" s="18" t="s">
        <v>78</v>
      </c>
      <c r="F22" s="36" t="s">
        <v>123</v>
      </c>
      <c r="G22" s="20">
        <f>SUM(H22:X22)</f>
        <v>1.2701078226641762</v>
      </c>
      <c r="H22" s="181">
        <f>'CO2 per kg feed'!G53*FCR_bonefree_incl_parents_GR-Excreted_N_after_losses_GR*Manure_repl_factor_GR*(EF_min_fert_BAT_CO2*Frac_BAT_GR+EF_min_fert_AN_CO2*Frac_AN_GR)</f>
        <v>7.7225019756086991E-2</v>
      </c>
      <c r="I22" s="181">
        <f>'CO2 per kg feed'!H53*FCR_bonefree_incl_parents_GR</f>
        <v>7.244103886116654E-2</v>
      </c>
      <c r="J22" s="181">
        <f>'CO2 per kg feed'!I53*FCR_bonefree_incl_parents_GR</f>
        <v>0</v>
      </c>
      <c r="K22" s="181"/>
      <c r="L22" s="181">
        <f>'CO2 per kg feed'!K53*FCR_bonefree_incl_parents_GR</f>
        <v>0.12418652700653203</v>
      </c>
      <c r="M22" s="181"/>
      <c r="N22" s="181">
        <f>'CO2 per kg feed'!M53*FCR_bonefree_incl_parents_GR</f>
        <v>2.2798804088378678E-2</v>
      </c>
      <c r="O22" s="181">
        <f>'CO2 per kg feed'!N53*FCR_bonefree_incl_parents_GR</f>
        <v>0.11988509202721101</v>
      </c>
      <c r="P22" s="181">
        <f>'CO2 per kg feed'!O53*FCR_bonefree_incl_parents_GR</f>
        <v>0.21074568629094556</v>
      </c>
      <c r="Q22" s="181">
        <f>'CO2 per kg feed'!P53*FCR_bonefree_incl_parents_GR</f>
        <v>2.340001760305942E-2</v>
      </c>
      <c r="R22" s="181">
        <f>'CO2 per kg feed'!Q53*FCR_bonefree_incl_parents_GR</f>
        <v>0.16678490885548827</v>
      </c>
      <c r="S22" s="162"/>
      <c r="T22" s="162"/>
      <c r="U22" s="182"/>
      <c r="V22" s="182"/>
      <c r="W22" s="183">
        <f>Energy_stables_GR/Bonefree_outof_CW_GR*(Share_heating_GR*(Share_biofuels_GR*EF_biofuels_CO2+(1-Share_biofuels_GR)*EF_oil_CO2)+(1-Share_heating_GR)*EF_el_CO2_GR)</f>
        <v>0.11265954365473635</v>
      </c>
      <c r="X22" s="184">
        <f>(Energy_slaughter_el_GR*EF_el_CO2_GR+Energy_slaughter_oil_GR*EF_oil_CO2)/Bonefree_outof_CW_GR</f>
        <v>0.33998118452057141</v>
      </c>
      <c r="Z22" s="20"/>
      <c r="AA22" s="20"/>
    </row>
    <row r="23" spans="1:27" x14ac:dyDescent="0.3">
      <c r="A23" s="13" t="s">
        <v>120</v>
      </c>
      <c r="B23" s="13" t="s">
        <v>121</v>
      </c>
      <c r="C23" s="17" t="s">
        <v>122</v>
      </c>
      <c r="D23" s="18" t="s">
        <v>32</v>
      </c>
      <c r="E23" s="18" t="s">
        <v>78</v>
      </c>
      <c r="F23" s="13" t="s">
        <v>124</v>
      </c>
      <c r="G23" s="33">
        <f>SUM(H23:X23)</f>
        <v>1.7458147098191618E-3</v>
      </c>
      <c r="H23" s="34">
        <f>'CH4 per kg feed'!G53*FCR_bonefree_incl_parents_GR-Excreted_N_after_losses_GR*Manure_repl_factor_GR*(EF_min_fert_BAT_CH4*Frac_BAT_GR+EF_min_fert_AN_CH4*Frac_AN_GR)</f>
        <v>1.5547768432601423E-4</v>
      </c>
      <c r="I23" s="34">
        <f>'CH4 per kg feed'!H53*FCR_bonefree_incl_parents_GR</f>
        <v>2.6535314094676936E-4</v>
      </c>
      <c r="J23" s="34"/>
      <c r="K23" s="34"/>
      <c r="L23" s="34">
        <f>'CH4 per kg feed'!K53*FCR_bonefree_incl_parents_GR</f>
        <v>5.5030546622838139E-5</v>
      </c>
      <c r="M23" s="34"/>
      <c r="N23" s="34">
        <f>'CH4 per kg feed'!M53*FCR_bonefree_incl_parents_GR</f>
        <v>7.7451555064330979E-5</v>
      </c>
      <c r="O23" s="34">
        <f>'CH4 per kg feed'!N53*FCR_bonefree_incl_parents_GR</f>
        <v>9.7128687673706006E-5</v>
      </c>
      <c r="P23" s="34">
        <f>'CH4 per kg feed'!O53*FCR_bonefree_incl_parents_GR</f>
        <v>0</v>
      </c>
      <c r="Q23" s="34">
        <f>'CH4 per kg feed'!P53*FCR_bonefree_incl_parents_GR</f>
        <v>8.576330406859139E-5</v>
      </c>
      <c r="R23" s="34">
        <f>'CH4 per kg feed'!Q53*FCR_bonefree_incl_parents_GR</f>
        <v>2.046050815663885E-4</v>
      </c>
      <c r="W23" s="4">
        <f>Energy_stables_GR/Bonefree_outof_CW_GR*(Share_heating_GR*(Share_biofuels_GR*EF_biofuel_CH4+(1-Share_biofuels_GR)*EF_oil_CH4)+(1-Share_heating_GR)*EF_el_CH4_GR)</f>
        <v>1.4218692966226358E-4</v>
      </c>
      <c r="X23" s="12">
        <f>(Energy_slaughter_el_GR*EF_el_CH4_GR+Energy_slaughter_oil_GR*EF_oil_CH4)/Bonefree_outof_CW_GR</f>
        <v>6.6281777988825977E-4</v>
      </c>
      <c r="Z23" s="33"/>
      <c r="AA23" s="33"/>
    </row>
    <row r="24" spans="1:27" x14ac:dyDescent="0.3">
      <c r="A24" s="13" t="s">
        <v>120</v>
      </c>
      <c r="B24" s="13" t="s">
        <v>121</v>
      </c>
      <c r="C24" s="17" t="s">
        <v>122</v>
      </c>
      <c r="D24" s="18" t="s">
        <v>32</v>
      </c>
      <c r="E24" s="18" t="s">
        <v>78</v>
      </c>
      <c r="F24" s="13" t="s">
        <v>125</v>
      </c>
      <c r="G24" s="33">
        <f>SUM(H24:T24)+SUM(W24:X24)</f>
        <v>3.3020792144736189E-3</v>
      </c>
      <c r="H24" s="34"/>
      <c r="I24" s="34"/>
      <c r="J24" s="34"/>
      <c r="K24" s="34"/>
      <c r="L24" s="34"/>
      <c r="M24" s="34"/>
      <c r="N24" s="34"/>
      <c r="O24" s="34"/>
      <c r="P24" s="34"/>
      <c r="Q24" s="34"/>
      <c r="R24" s="34"/>
      <c r="T24" s="48">
        <f>SUM(U24:V24)</f>
        <v>3.3020792144736189E-3</v>
      </c>
      <c r="U24" s="64">
        <f>(Production!E40*(Slaughter_age_GR/365)+SUM(Production!E41:E44))*EF_CH4_manure_GR</f>
        <v>3.3020792144736189E-3</v>
      </c>
      <c r="W24" s="4"/>
      <c r="X24" s="12"/>
    </row>
    <row r="25" spans="1:27" ht="15" thickBot="1" x14ac:dyDescent="0.35">
      <c r="A25" s="13" t="s">
        <v>120</v>
      </c>
      <c r="B25" s="13" t="s">
        <v>121</v>
      </c>
      <c r="C25" s="17" t="s">
        <v>122</v>
      </c>
      <c r="D25" s="18" t="s">
        <v>32</v>
      </c>
      <c r="E25" s="18" t="s">
        <v>78</v>
      </c>
      <c r="F25" s="35" t="s">
        <v>126</v>
      </c>
      <c r="G25" s="33">
        <f>SUM(H25:T25)+SUM(W25:X25)</f>
        <v>8.4529818092066828E-4</v>
      </c>
      <c r="H25" s="34">
        <f>'N2O per kg feed'!G53*FCR_bonefree_incl_parents_GR-Excreted_N_after_losses_GR*Manure_repl_factor_GR*(EF_min_fert_BAT_N2O*Frac_BAT_GR+EF_min_fert_AN_N2O*Frac_AN_GR)</f>
        <v>1.7086401214406029E-4</v>
      </c>
      <c r="I25" s="33">
        <f>'N2O per kg feed'!H53*FCR_bonefree_incl_parents_GR</f>
        <v>2.7419414989720062E-6</v>
      </c>
      <c r="J25" s="33">
        <f>'N2O per kg feed'!I53*FCR_bonefree_incl_parents_GR-Excreted_N_after_losses_GR*Manure_repl_factor_GR*EF_N2O_diff_GR</f>
        <v>3.9061315859335215E-4</v>
      </c>
      <c r="K25" s="33">
        <f>J25*EF_indirect_N2O_GR</f>
        <v>3.9061315859335219E-5</v>
      </c>
      <c r="L25" s="33">
        <f>'N2O per kg feed'!K53*FCR_bonefree_incl_parents_GR</f>
        <v>3.3385732131389467E-6</v>
      </c>
      <c r="M25" s="33"/>
      <c r="N25" s="33">
        <f>'N2O per kg feed'!M53*FCR_bonefree_incl_parents_GR</f>
        <v>9.5293862971588521E-7</v>
      </c>
      <c r="O25" s="33">
        <f>'N2O per kg feed'!N53*FCR_bonefree_incl_parents_GR</f>
        <v>4.2342188327999436E-6</v>
      </c>
      <c r="P25" s="33">
        <f>'N2O per kg feed'!O53*FCR_bonefree_incl_parents_GR</f>
        <v>0</v>
      </c>
      <c r="Q25" s="33">
        <f>'N2O per kg feed'!P53*FCR_bonefree_incl_parents_GR</f>
        <v>8.9188094194018159E-6</v>
      </c>
      <c r="R25" s="33">
        <f>'N2O per kg feed'!Q53*FCR_bonefree_incl_parents_GR</f>
        <v>6.0369677402900235E-6</v>
      </c>
      <c r="T25" s="48">
        <f>SUM(U25:V25)</f>
        <v>2.0018570370635542E-4</v>
      </c>
      <c r="U25" s="9">
        <f>Excreted_N_per_kg_of_bonefree_meat_GR*EF_N2O_manure_direct_GR*44/28</f>
        <v>7.4189565173018348E-5</v>
      </c>
      <c r="V25" s="64">
        <f>(Excreted_N_per_kg_of_bonefree_meat_GR-U25*28/44)*EF_ammonia_GR*EF_N2O_manure_indirect_GR*44/28</f>
        <v>1.2599613853333708E-4</v>
      </c>
      <c r="W25" s="4">
        <f>Energy_stables_GR/Bonefree_outof_CW_GR*(Share_heating_GR*(Share_biofuels_GR*EF_biofuel_N2O+(1-Share_biofuels_GR)*EF_oil_N2O)+(1-Share_heating_GR)*EF_el_N2O_GR)</f>
        <v>6.6434076572727234E-6</v>
      </c>
      <c r="X25" s="12">
        <f>(Energy_slaughter_el_GR*EF_el_N2O_GR+Energy_slaughter_oil_GR*EF_oil_N2O)/Bonefree_outof_CW_GR</f>
        <v>1.1707133625974028E-5</v>
      </c>
      <c r="Z25" s="33"/>
      <c r="AA25" s="33"/>
    </row>
    <row r="26" spans="1:27" ht="15.6" thickTop="1" thickBot="1" x14ac:dyDescent="0.35">
      <c r="A26" s="172" t="s">
        <v>120</v>
      </c>
      <c r="B26" s="172" t="s">
        <v>121</v>
      </c>
      <c r="C26" s="173" t="s">
        <v>122</v>
      </c>
      <c r="D26" s="37" t="s">
        <v>32</v>
      </c>
      <c r="E26" s="37" t="s">
        <v>78</v>
      </c>
      <c r="F26" s="175" t="s">
        <v>127</v>
      </c>
      <c r="G26" s="186">
        <f>SUM(H26:X26)</f>
        <v>1.6420556431989173</v>
      </c>
      <c r="H26" s="176">
        <f>SUMPRODUCT(H22:H25,'Parameters, general'!$B$14:$B$17)</f>
        <v>0.12850413006433067</v>
      </c>
      <c r="I26" s="176">
        <f>SUMPRODUCT(I22:I25,'Parameters, general'!$B$14:$B$17)</f>
        <v>8.1097112490599629E-2</v>
      </c>
      <c r="J26" s="176">
        <f>SUMPRODUCT(J22:J25,'Parameters, general'!$B$14:$B$17)</f>
        <v>0.10663739229598514</v>
      </c>
      <c r="K26" s="176">
        <f>SUMPRODUCT(K22:K25,'Parameters, general'!$B$14:$B$17)</f>
        <v>1.0663739229598514E-2</v>
      </c>
      <c r="L26" s="176">
        <f>SUMPRODUCT(L22:L25,'Parameters, general'!$B$14:$B$17)</f>
        <v>0.12673786778307952</v>
      </c>
      <c r="M26" s="176">
        <f>SUMPRODUCT(M22:M25,'Parameters, general'!$B$14:$B$17)</f>
        <v>0</v>
      </c>
      <c r="N26" s="176">
        <f>SUMPRODUCT(N22:N25,'Parameters, general'!$B$14:$B$17)</f>
        <v>2.5367012675208179E-2</v>
      </c>
      <c r="O26" s="176">
        <f>SUMPRODUCT(O22:O25,'Parameters, general'!$B$14:$B$17)</f>
        <v>0.12393546866124183</v>
      </c>
      <c r="P26" s="176">
        <f>SUMPRODUCT(P22:P25,'Parameters, general'!$B$14:$B$17)</f>
        <v>0.21074568629094556</v>
      </c>
      <c r="Q26" s="176">
        <f>SUMPRODUCT(Q22:Q25,'Parameters, general'!$B$14:$B$17)</f>
        <v>2.839059903580014E-2</v>
      </c>
      <c r="R26" s="176">
        <f>SUMPRODUCT(R22:R25,'Parameters, general'!$B$14:$B$17)</f>
        <v>0.17453023247926583</v>
      </c>
      <c r="S26" s="176">
        <f>SUMPRODUCT(S22:S25,'Parameters, general'!$B$14:$B$17)</f>
        <v>0</v>
      </c>
      <c r="T26" s="176">
        <f>SUMPRODUCT(T22:T25,'Parameters, general'!$B$14:$B$17)</f>
        <v>0.14380683590262272</v>
      </c>
      <c r="U26" s="177"/>
      <c r="V26" s="177"/>
      <c r="W26" s="176">
        <f>SUMPRODUCT(W22:W25,'Parameters, general'!$B$14:$B$17)</f>
        <v>0.11871036444910726</v>
      </c>
      <c r="X26" s="176">
        <f>SUMPRODUCT(X22:X25,'Parameters, general'!$B$14:$B$17)</f>
        <v>0.36292920184113242</v>
      </c>
      <c r="Z26" s="115">
        <f>SUM(H26:R26)</f>
        <v>1.016609241006055</v>
      </c>
      <c r="AA26" s="210">
        <f>'CO2 per kg feed'!F53+'CH4 per kg feed'!F53*CF_GWP_CH4_fossil+'N2O per kg feed'!F53*CF_GWP_N2O</f>
        <v>0.37535000566571175</v>
      </c>
    </row>
    <row r="27" spans="1:27" ht="15" thickTop="1" x14ac:dyDescent="0.3">
      <c r="A27" s="178" t="s">
        <v>120</v>
      </c>
      <c r="B27" s="178" t="s">
        <v>121</v>
      </c>
      <c r="C27" s="179" t="s">
        <v>122</v>
      </c>
      <c r="D27" s="163" t="s">
        <v>129</v>
      </c>
      <c r="E27" s="163" t="s">
        <v>79</v>
      </c>
      <c r="F27" s="180" t="s">
        <v>123</v>
      </c>
      <c r="G27" s="20">
        <f t="shared" si="1"/>
        <v>0.94482381171406504</v>
      </c>
      <c r="H27" s="181">
        <f>'CO2 per kg feed'!G65*FCR_bonefree_incl_parents_HU-Excreted_N_after_losses_HU*Manure_repl_factor_HU*(EF_min_fert_BAT_CO2*Frac_BAT_HU+EF_min_fert_AN_CO2*Frac_AN_HU)</f>
        <v>0.11976551814140372</v>
      </c>
      <c r="I27" s="181">
        <f>'CO2 per kg feed'!H65*FCR_bonefree_incl_parents_HU</f>
        <v>7.9244948748787694E-2</v>
      </c>
      <c r="J27" s="181">
        <f>'CO2 per kg feed'!I65*FCR_bonefree_incl_parents_HU</f>
        <v>0</v>
      </c>
      <c r="K27" s="181"/>
      <c r="L27" s="181">
        <f>'CO2 per kg feed'!K65*FCR_bonefree_incl_parents_HU</f>
        <v>9.824151163044724E-2</v>
      </c>
      <c r="M27" s="181"/>
      <c r="N27" s="181">
        <f>'CO2 per kg feed'!M65*FCR_bonefree_incl_parents_HU</f>
        <v>6.448196132052067E-4</v>
      </c>
      <c r="O27" s="181">
        <f>'CO2 per kg feed'!N65*FCR_bonefree_incl_parents_HU</f>
        <v>0.12271005318954616</v>
      </c>
      <c r="P27" s="181">
        <f>'CO2 per kg feed'!O65*FCR_bonefree_incl_parents_HU</f>
        <v>0.10270073851020657</v>
      </c>
      <c r="Q27" s="181">
        <f>'CO2 per kg feed'!P65*FCR_bonefree_incl_parents_HU</f>
        <v>1.1400364295597796E-2</v>
      </c>
      <c r="R27" s="181">
        <f>'CO2 per kg feed'!Q65*FCR_bonefree_incl_parents_HU</f>
        <v>8.1268937498851071E-2</v>
      </c>
      <c r="S27" s="162"/>
      <c r="T27" s="162"/>
      <c r="U27" s="182"/>
      <c r="V27" s="182"/>
      <c r="W27" s="183">
        <f>Energy_stables_HU/Bonefree_outof_CW_HU*(Share_heating_HU*(Share_biofuels_HU*EF_biofuels_CO2+(1-Share_biofuels_HU)*EF_oil_CO2)+(1-Share_heating_HU)*EF_el_CO2_HU)</f>
        <v>9.4222167981863642E-2</v>
      </c>
      <c r="X27" s="184">
        <f>(Energy_slaughter_el_HU*EF_el_CO2_HU+Energy_slaughter_oil_HU*EF_oil_CO2)/Bonefree_outof_CW_HU</f>
        <v>0.23462475210415584</v>
      </c>
      <c r="Z27" s="20"/>
      <c r="AA27" s="20"/>
    </row>
    <row r="28" spans="1:27" x14ac:dyDescent="0.3">
      <c r="A28" s="13" t="s">
        <v>120</v>
      </c>
      <c r="B28" s="13" t="s">
        <v>121</v>
      </c>
      <c r="C28" s="17" t="s">
        <v>122</v>
      </c>
      <c r="D28" s="18" t="s">
        <v>129</v>
      </c>
      <c r="E28" s="18" t="s">
        <v>79</v>
      </c>
      <c r="F28" s="13" t="s">
        <v>124</v>
      </c>
      <c r="G28" s="33">
        <f t="shared" si="1"/>
        <v>1.4900730847458676E-3</v>
      </c>
      <c r="H28" s="34">
        <f>'CH4 per kg feed'!G65*FCR_bonefree_incl_parents_HU-Excreted_N_after_losses_HU*Manure_repl_factor_HU*(EF_min_fert_BAT_CH4*Frac_BAT_HU+EF_min_fert_AN_CH4*Frac_AN_HU)</f>
        <v>2.3789942550602494E-4</v>
      </c>
      <c r="I28" s="34">
        <f>'CH4 per kg feed'!H65*FCR_bonefree_incl_parents_HU</f>
        <v>2.9205690947298521E-4</v>
      </c>
      <c r="J28" s="34"/>
      <c r="K28" s="34"/>
      <c r="L28" s="34">
        <f>'CH4 per kg feed'!K65*FCR_bonefree_incl_parents_HU</f>
        <v>4.3794601695904772E-5</v>
      </c>
      <c r="M28" s="34"/>
      <c r="N28" s="34">
        <f>'CH4 per kg feed'!M65*FCR_bonefree_incl_parents_HU</f>
        <v>3.0300550533386496E-6</v>
      </c>
      <c r="O28" s="34">
        <f>'CH4 per kg feed'!N65*FCR_bonefree_incl_parents_HU</f>
        <v>1.0017621748410996E-4</v>
      </c>
      <c r="P28" s="34">
        <f>'CH4 per kg feed'!O65*FCR_bonefree_incl_parents_HU</f>
        <v>0</v>
      </c>
      <c r="Q28" s="34">
        <f>'CH4 per kg feed'!P65*FCR_bonefree_incl_parents_HU</f>
        <v>4.1787832300764941E-5</v>
      </c>
      <c r="R28" s="34">
        <f>'CH4 per kg feed'!Q65*FCR_bonefree_incl_parents_HU</f>
        <v>6.8054673466235493E-5</v>
      </c>
      <c r="W28" s="4">
        <f>Energy_stables_HU/Bonefree_outof_CW_HU*(Share_heating_HU*(Share_biofuels_HU*EF_biofuel_CH4+(1-Share_biofuels_HU)*EF_oil_CH4)+(1-Share_heating_HU)*EF_el_CH4_HU)</f>
        <v>1.270354535242181E-4</v>
      </c>
      <c r="X28" s="12">
        <f>(Energy_slaughter_el_HU*EF_el_CH4_HU+Energy_slaughter_oil_HU*EF_oil_CH4)/Bonefree_outof_CW_HU</f>
        <v>5.7623791624228566E-4</v>
      </c>
      <c r="Z28" s="33"/>
      <c r="AA28" s="33"/>
    </row>
    <row r="29" spans="1:27" x14ac:dyDescent="0.3">
      <c r="A29" s="13" t="s">
        <v>120</v>
      </c>
      <c r="B29" s="13" t="s">
        <v>121</v>
      </c>
      <c r="C29" s="17" t="s">
        <v>122</v>
      </c>
      <c r="D29" s="18" t="s">
        <v>129</v>
      </c>
      <c r="E29" s="18" t="s">
        <v>79</v>
      </c>
      <c r="F29" s="13" t="s">
        <v>125</v>
      </c>
      <c r="G29" s="33">
        <f>SUM(H29:T29)+SUM(W29:X29)</f>
        <v>2.2013861429824129E-3</v>
      </c>
      <c r="H29" s="34"/>
      <c r="I29" s="34"/>
      <c r="J29" s="34"/>
      <c r="K29" s="34"/>
      <c r="L29" s="34"/>
      <c r="M29" s="34"/>
      <c r="N29" s="34"/>
      <c r="O29" s="34"/>
      <c r="P29" s="34"/>
      <c r="Q29" s="34"/>
      <c r="R29" s="34"/>
      <c r="T29" s="48">
        <f>SUM(U29:V29)</f>
        <v>2.2013861429824129E-3</v>
      </c>
      <c r="U29" s="64">
        <f>(Production!F40*(Slaughter_age_HU/365)+SUM(Production!F41:F44))*EF_CH4_manure_HU</f>
        <v>2.2013861429824129E-3</v>
      </c>
      <c r="W29" s="4"/>
      <c r="X29" s="12"/>
    </row>
    <row r="30" spans="1:27" ht="15" thickBot="1" x14ac:dyDescent="0.35">
      <c r="A30" s="13" t="s">
        <v>120</v>
      </c>
      <c r="B30" s="13" t="s">
        <v>121</v>
      </c>
      <c r="C30" s="17" t="s">
        <v>122</v>
      </c>
      <c r="D30" s="18" t="s">
        <v>129</v>
      </c>
      <c r="E30" s="18" t="s">
        <v>79</v>
      </c>
      <c r="F30" s="35" t="s">
        <v>126</v>
      </c>
      <c r="G30" s="33">
        <f>SUM(H30:T30)+SUM(W30:X30)</f>
        <v>9.6757640355058579E-4</v>
      </c>
      <c r="H30" s="34">
        <f>'N2O per kg feed'!G65*FCR_bonefree_incl_parents_HU-Excreted_N_after_losses_HU*Manure_repl_factor_HU*(EF_min_fert_BAT_N2O*Frac_BAT_HU+EF_min_fert_AN_N2O*Frac_AN_HU)</f>
        <v>2.6499329634851343E-4</v>
      </c>
      <c r="I30" s="33">
        <f>'N2O per kg feed'!H65*FCR_bonefree_incl_parents_HU</f>
        <v>2.9638561159611502E-6</v>
      </c>
      <c r="J30" s="33">
        <f>'N2O per kg feed'!I65*FCR_bonefree_incl_parents_HU-Excreted_N_after_losses_HU*Manure_repl_factor_HU*EF_N2O_diff_HU</f>
        <v>4.2688948942153256E-4</v>
      </c>
      <c r="K30" s="33">
        <f>J30*EF_indirect_N2O_HU</f>
        <v>4.2688948942153258E-5</v>
      </c>
      <c r="L30" s="33">
        <f>'N2O per kg feed'!K65*FCR_bonefree_incl_parents_HU</f>
        <v>2.6545385709170937E-6</v>
      </c>
      <c r="M30" s="33"/>
      <c r="N30" s="33">
        <f>'N2O per kg feed'!M65*FCR_bonefree_incl_parents_HU</f>
        <v>3.728902520093863E-8</v>
      </c>
      <c r="O30" s="33">
        <f>'N2O per kg feed'!N65*FCR_bonefree_incl_parents_HU</f>
        <v>4.3400031743078446E-6</v>
      </c>
      <c r="P30" s="33">
        <f>'N2O per kg feed'!O65*FCR_bonefree_incl_parents_HU</f>
        <v>0</v>
      </c>
      <c r="Q30" s="33">
        <f>'N2O per kg feed'!P65*FCR_bonefree_incl_parents_HU</f>
        <v>4.3457729699251553E-6</v>
      </c>
      <c r="R30" s="33">
        <f>'N2O per kg feed'!Q65*FCR_bonefree_incl_parents_HU</f>
        <v>2.9416848430332019E-6</v>
      </c>
      <c r="T30" s="48">
        <f>SUM(U30:V30)</f>
        <v>2.0146461588995025E-4</v>
      </c>
      <c r="U30" s="9">
        <f>Excreted_N_per_kg_of_bonefree_meat_HU*EF_N2O_manure_direct_HU*44/28</f>
        <v>7.4663534777434033E-5</v>
      </c>
      <c r="V30" s="64">
        <f>(Excreted_N_per_kg_of_bonefree_meat_HU-U30*28/44)*EF_ammonia_HU*EF_N2O_manure_indirect_HU*44/28</f>
        <v>1.2680108111251621E-4</v>
      </c>
      <c r="W30" s="4">
        <f>Energy_stables_HU/Bonefree_outof_CW_HU*(Share_heating_HU*(Share_biofuels_HU*EF_biofuel_N2O+(1-Share_biofuels_HU)*EF_oil_N2O)+(1-Share_heating_HU)*EF_el_N2O_HU)</f>
        <v>6.0337176309090884E-6</v>
      </c>
      <c r="X30" s="12">
        <f>(Energy_slaughter_el_HU*EF_el_N2O_HU+Energy_slaughter_oil_HU*EF_oil_N2O)/Bonefree_outof_CW_HU</f>
        <v>8.2231906181818181E-6</v>
      </c>
      <c r="Z30" s="33"/>
      <c r="AA30" s="33"/>
    </row>
    <row r="31" spans="1:27" ht="15.6" thickTop="1" thickBot="1" x14ac:dyDescent="0.35">
      <c r="A31" s="172" t="s">
        <v>120</v>
      </c>
      <c r="B31" s="172" t="s">
        <v>121</v>
      </c>
      <c r="C31" s="173" t="s">
        <v>122</v>
      </c>
      <c r="D31" s="174" t="s">
        <v>129</v>
      </c>
      <c r="E31" s="174" t="s">
        <v>79</v>
      </c>
      <c r="F31" s="175" t="s">
        <v>127</v>
      </c>
      <c r="G31" s="186">
        <f t="shared" si="1"/>
        <v>1.3128137736693268</v>
      </c>
      <c r="H31" s="176">
        <f>SUMPRODUCT(H27:H30,'Parameters, general'!$B$14:$B$17)</f>
        <v>0.19919809092462742</v>
      </c>
      <c r="I31" s="176">
        <f>SUMPRODUCT(I27:I30,'Parameters, general'!$B$14:$B$17)</f>
        <v>8.8757377370740048E-2</v>
      </c>
      <c r="J31" s="176">
        <f>SUMPRODUCT(J27:J30,'Parameters, general'!$B$14:$B$17)</f>
        <v>0.11654083061207839</v>
      </c>
      <c r="K31" s="176">
        <f>SUMPRODUCT(K27:K30,'Parameters, general'!$B$14:$B$17)</f>
        <v>1.165408306120784E-2</v>
      </c>
      <c r="L31" s="176">
        <f>SUMPRODUCT(L27:L30,'Parameters, general'!$B$14:$B$17)</f>
        <v>0.10027127979084556</v>
      </c>
      <c r="M31" s="176">
        <f>SUMPRODUCT(M27:M30,'Parameters, general'!$B$14:$B$17)</f>
        <v>0</v>
      </c>
      <c r="N31" s="176">
        <f>SUMPRODUCT(N27:N30,'Parameters, general'!$B$14:$B$17)</f>
        <v>7.4529515767455471E-4</v>
      </c>
      <c r="O31" s="176">
        <f>SUMPRODUCT(O27:O30,'Parameters, general'!$B$14:$B$17)</f>
        <v>0.12688012533715867</v>
      </c>
      <c r="P31" s="176">
        <f>SUMPRODUCT(P27:P30,'Parameters, general'!$B$14:$B$17)</f>
        <v>0.10270073851020657</v>
      </c>
      <c r="Q31" s="176">
        <f>SUMPRODUCT(Q27:Q30,'Parameters, general'!$B$14:$B$17)</f>
        <v>1.3832037718950158E-2</v>
      </c>
      <c r="R31" s="176">
        <f>SUMPRODUCT(R27:R30,'Parameters, general'!$B$14:$B$17)</f>
        <v>8.4100046730292963E-2</v>
      </c>
      <c r="S31" s="176">
        <f>SUMPRODUCT(S27:S30,'Parameters, general'!$B$14:$B$17)</f>
        <v>0</v>
      </c>
      <c r="T31" s="176">
        <f>SUMPRODUCT(T27:T30,'Parameters, general'!$B$14:$B$17)</f>
        <v>0.11443726599848156</v>
      </c>
      <c r="U31" s="177"/>
      <c r="V31" s="177"/>
      <c r="W31" s="176">
        <f>SUMPRODUCT(W27:W30,'Parameters, general'!$B$14:$B$17)</f>
        <v>9.9655029410123525E-2</v>
      </c>
      <c r="X31" s="176">
        <f>SUMPRODUCT(X27:X30,'Parameters, general'!$B$14:$B$17)</f>
        <v>0.25404157304693958</v>
      </c>
      <c r="Z31" s="115">
        <f>SUM(H31:R31)</f>
        <v>0.844679905213782</v>
      </c>
      <c r="AA31" s="210">
        <f>'CO2 per kg feed'!F65+'CH4 per kg feed'!F65*CF_GWP_CH4_fossil+'N2O per kg feed'!F65*CF_GWP_N2O</f>
        <v>0.32328911058606979</v>
      </c>
    </row>
    <row r="32" spans="1:27" ht="15" thickTop="1" x14ac:dyDescent="0.3">
      <c r="A32" s="178" t="s">
        <v>120</v>
      </c>
      <c r="B32" s="178" t="s">
        <v>121</v>
      </c>
      <c r="C32" s="179" t="s">
        <v>122</v>
      </c>
      <c r="D32" s="163" t="s">
        <v>130</v>
      </c>
      <c r="E32" s="163" t="s">
        <v>80</v>
      </c>
      <c r="F32" s="180" t="s">
        <v>123</v>
      </c>
      <c r="G32" s="20">
        <f t="shared" si="1"/>
        <v>0.90510556042248769</v>
      </c>
      <c r="H32" s="181">
        <f>'CO2 per kg feed'!G77*FCR_bonefree_incl_parents_IE-Excreted_N_after_losses_IE*Manure_repl_factor_IE*(EF_min_fert_BAT_CO2*Frac_BAT_IE+EF_min_fert_AN_CO2*Frac_AN_IE)</f>
        <v>7.3870634042071642E-2</v>
      </c>
      <c r="I32" s="181">
        <f>'CO2 per kg feed'!H77*FCR_bonefree_incl_parents_IE</f>
        <v>6.1987142705091862E-2</v>
      </c>
      <c r="J32" s="181">
        <f>'CO2 per kg feed'!I77*FCR_bonefree_incl_parents_IE</f>
        <v>0</v>
      </c>
      <c r="K32" s="181"/>
      <c r="L32" s="181">
        <f>'CO2 per kg feed'!K77*FCR_bonefree_incl_parents_IE</f>
        <v>7.3289324738994646E-2</v>
      </c>
      <c r="M32" s="181"/>
      <c r="N32" s="181">
        <f>'CO2 per kg feed'!M77*FCR_bonefree_incl_parents_IE</f>
        <v>1.9093930700649341E-4</v>
      </c>
      <c r="O32" s="181">
        <f>'CO2 per kg feed'!N77*FCR_bonefree_incl_parents_IE</f>
        <v>9.7908903415762263E-2</v>
      </c>
      <c r="P32" s="181">
        <f>'CO2 per kg feed'!O77*FCR_bonefree_incl_parents_IE</f>
        <v>0.14537905545271551</v>
      </c>
      <c r="Q32" s="181">
        <f>'CO2 per kg feed'!P77*FCR_bonefree_incl_parents_IE</f>
        <v>2.1179503776865685E-2</v>
      </c>
      <c r="R32" s="181">
        <f>'CO2 per kg feed'!Q77*FCR_bonefree_incl_parents_IE</f>
        <v>0.13009147937537194</v>
      </c>
      <c r="S32" s="162"/>
      <c r="T32" s="162"/>
      <c r="U32" s="182"/>
      <c r="V32" s="182"/>
      <c r="W32" s="183">
        <f>Energy_stables_IE/Bonefree_outof_CW_IE*(Share_heating_IE*(Share_biofuels_IE*EF_biofuels_CO2+(1-Share_biofuels_IE)*EF_oil_CO2)+(1-Share_heating_IE)*EF_el_CO2_IE)</f>
        <v>9.0105819102249102E-2</v>
      </c>
      <c r="X32" s="184">
        <f>(Energy_slaughter_el_IE*EF_el_CO2_IE+Energy_slaughter_oil_IE*EF_oil_CO2)/Bonefree_outof_CW_IE</f>
        <v>0.21110275850635851</v>
      </c>
      <c r="Z32" s="20"/>
      <c r="AA32" s="20"/>
    </row>
    <row r="33" spans="1:27" x14ac:dyDescent="0.3">
      <c r="A33" s="13" t="s">
        <v>120</v>
      </c>
      <c r="B33" s="13" t="s">
        <v>121</v>
      </c>
      <c r="C33" s="17" t="s">
        <v>122</v>
      </c>
      <c r="D33" s="18" t="s">
        <v>130</v>
      </c>
      <c r="E33" s="18" t="s">
        <v>80</v>
      </c>
      <c r="F33" s="13" t="s">
        <v>124</v>
      </c>
      <c r="G33" s="33">
        <f t="shared" si="1"/>
        <v>9.238180389124262E-4</v>
      </c>
      <c r="H33" s="34">
        <f>'CH4 per kg feed'!G77*FCR_bonefree_incl_parents_IE-Excreted_N_after_losses_IE*Manure_repl_factor_IE*(EF_min_fert_BAT_CH4*Frac_BAT_IE+EF_min_fert_AN_CH4*Frac_AN_IE)</f>
        <v>1.3352963996697526E-4</v>
      </c>
      <c r="I33" s="34">
        <f>'CH4 per kg feed'!H77*FCR_bonefree_incl_parents_IE</f>
        <v>2.2691611575880239E-4</v>
      </c>
      <c r="J33" s="34"/>
      <c r="K33" s="34"/>
      <c r="L33" s="34">
        <f>'CH4 per kg feed'!K77*FCR_bonefree_incl_parents_IE</f>
        <v>3.2220328324216942E-5</v>
      </c>
      <c r="M33" s="34"/>
      <c r="N33" s="34">
        <f>'CH4 per kg feed'!M77*FCR_bonefree_incl_parents_IE</f>
        <v>1.5062730519148909E-6</v>
      </c>
      <c r="O33" s="34">
        <f>'CH4 per kg feed'!N77*FCR_bonefree_incl_parents_IE</f>
        <v>5.4757723407661476E-5</v>
      </c>
      <c r="P33" s="34">
        <f>'CH4 per kg feed'!O77*FCR_bonefree_incl_parents_IE</f>
        <v>0</v>
      </c>
      <c r="Q33" s="34">
        <f>'CH4 per kg feed'!P77*FCR_bonefree_incl_parents_IE</f>
        <v>7.0098586717185177E-5</v>
      </c>
      <c r="R33" s="34">
        <f>'CH4 per kg feed'!Q77*FCR_bonefree_incl_parents_IE</f>
        <v>1.1745742086050077E-4</v>
      </c>
      <c r="W33" s="4">
        <f>Energy_stables_IE/Bonefree_outof_CW_IE*(Share_heating_IE*(Share_biofuels_IE*EF_biofuel_CH4+(1-Share_biofuels_IE)*EF_oil_CH4)+(1-Share_heating_IE)*EF_el_CH4_IE)</f>
        <v>6.5086731554232156E-5</v>
      </c>
      <c r="X33" s="12">
        <f>(Energy_slaughter_el_IE*EF_el_CH4_IE+Energy_slaughter_oil_IE*EF_oil_CH4)/Bonefree_outof_CW_IE</f>
        <v>2.2224521927093717E-4</v>
      </c>
      <c r="Z33" s="33"/>
      <c r="AA33" s="33"/>
    </row>
    <row r="34" spans="1:27" x14ac:dyDescent="0.3">
      <c r="A34" s="13" t="s">
        <v>120</v>
      </c>
      <c r="B34" s="13" t="s">
        <v>121</v>
      </c>
      <c r="C34" s="17" t="s">
        <v>122</v>
      </c>
      <c r="D34" s="18" t="s">
        <v>130</v>
      </c>
      <c r="E34" s="18" t="s">
        <v>80</v>
      </c>
      <c r="F34" s="13" t="s">
        <v>125</v>
      </c>
      <c r="G34" s="33">
        <f>SUM(H34:T34)+SUM(W34:X34)</f>
        <v>2.3114554501315336E-3</v>
      </c>
      <c r="H34" s="34"/>
      <c r="I34" s="34"/>
      <c r="J34" s="34"/>
      <c r="K34" s="34"/>
      <c r="L34" s="34"/>
      <c r="M34" s="34"/>
      <c r="N34" s="34"/>
      <c r="O34" s="34"/>
      <c r="P34" s="34"/>
      <c r="Q34" s="34"/>
      <c r="R34" s="34"/>
      <c r="T34" s="48">
        <f>SUM(U34:V34)</f>
        <v>2.3114554501315336E-3</v>
      </c>
      <c r="U34" s="64">
        <f>(Production!G40*(Slaughter_age_IE/365)+SUM(Production!G41:G44))*EF_CH4_manure_IE</f>
        <v>2.3114554501315336E-3</v>
      </c>
      <c r="W34" s="4"/>
      <c r="X34" s="12"/>
    </row>
    <row r="35" spans="1:27" ht="15" thickBot="1" x14ac:dyDescent="0.35">
      <c r="A35" s="13" t="s">
        <v>120</v>
      </c>
      <c r="B35" s="13" t="s">
        <v>121</v>
      </c>
      <c r="C35" s="17" t="s">
        <v>122</v>
      </c>
      <c r="D35" s="18" t="s">
        <v>130</v>
      </c>
      <c r="E35" s="18" t="s">
        <v>80</v>
      </c>
      <c r="F35" s="35" t="s">
        <v>126</v>
      </c>
      <c r="G35" s="33">
        <f>SUM(H35:T35)+SUM(W35:X35)</f>
        <v>1.4786289096342456E-3</v>
      </c>
      <c r="H35" s="34">
        <f>'N2O per kg feed'!G77*FCR_bonefree_incl_parents_IE-Excreted_N_after_losses_IE*Manure_repl_factor_IE*(EF_min_fert_BAT_N2O*Frac_BAT_IE+EF_min_fert_AN_N2O*Frac_AN_IE)</f>
        <v>1.54634166330425E-4</v>
      </c>
      <c r="I35" s="33">
        <f>'N2O per kg feed'!H77*FCR_bonefree_incl_parents_IE</f>
        <v>2.349137985389717E-6</v>
      </c>
      <c r="J35" s="33">
        <f>'N2O per kg feed'!I77*FCR_bonefree_incl_parents_IE-Excreted_N_after_losses_IE*Manure_repl_factor_IE*EF_N2O_diff_IE</f>
        <v>9.6962619692664656E-4</v>
      </c>
      <c r="K35" s="33">
        <f>J35*EF_indirect_N2O_IE</f>
        <v>9.6962619692664666E-5</v>
      </c>
      <c r="L35" s="33">
        <f>'N2O per kg feed'!K77*FCR_bonefree_incl_parents_IE</f>
        <v>1.9522283700003912E-6</v>
      </c>
      <c r="M35" s="33"/>
      <c r="N35" s="33">
        <f>'N2O per kg feed'!M77*FCR_bonefree_incl_parents_IE</f>
        <v>1.8527425416637677E-8</v>
      </c>
      <c r="O35" s="33">
        <f>'N2O per kg feed'!N77*FCR_bonefree_incl_parents_IE</f>
        <v>3.4955066427270998E-6</v>
      </c>
      <c r="P35" s="33">
        <f>'N2O per kg feed'!O77*FCR_bonefree_incl_parents_IE</f>
        <v>0</v>
      </c>
      <c r="Q35" s="33">
        <f>'N2O per kg feed'!P77*FCR_bonefree_incl_parents_IE</f>
        <v>7.0878958820386658E-6</v>
      </c>
      <c r="R35" s="33">
        <f>'N2O per kg feed'!Q77*FCR_bonefree_incl_parents_IE</f>
        <v>4.5993797609353656E-6</v>
      </c>
      <c r="T35" s="48">
        <f>SUM(U35:V35)</f>
        <v>2.2420798815111804E-4</v>
      </c>
      <c r="U35" s="9">
        <f>Excreted_N_per_kg_of_bonefree_meat_IE*EF_N2O_manure_direct_IE*44/28</f>
        <v>8.3092312993780548E-5</v>
      </c>
      <c r="V35" s="64">
        <f>(Excreted_N_per_kg_of_bonefree_meat_IE-U35*28/44)*EF_ammonia_IE*EF_N2O_manure_indirect_IE*44/28</f>
        <v>1.4111567515733749E-4</v>
      </c>
      <c r="W35" s="4">
        <f>Energy_stables_IE/Bonefree_outof_CW_IE*(Share_heating_IE*(Share_biofuels_IE*EF_biofuel_N2O+(1-Share_biofuels_IE)*EF_oil_N2O)+(1-Share_heating_IE)*EF_el_N2O_IE)</f>
        <v>5.9500682590909063E-6</v>
      </c>
      <c r="X35" s="12">
        <f>(Energy_slaughter_el_IE*EF_el_N2O_IE+Energy_slaughter_oil_IE*EF_oil_N2O)/Bonefree_outof_CW_IE</f>
        <v>7.7451942077922069E-6</v>
      </c>
      <c r="Z35" s="33"/>
      <c r="AA35" s="33"/>
    </row>
    <row r="36" spans="1:27" ht="15.6" thickTop="1" thickBot="1" x14ac:dyDescent="0.35">
      <c r="A36" s="172" t="s">
        <v>120</v>
      </c>
      <c r="B36" s="172" t="s">
        <v>121</v>
      </c>
      <c r="C36" s="173" t="s">
        <v>122</v>
      </c>
      <c r="D36" s="37" t="s">
        <v>130</v>
      </c>
      <c r="E36" s="37" t="s">
        <v>80</v>
      </c>
      <c r="F36" s="175" t="s">
        <v>127</v>
      </c>
      <c r="G36" s="186">
        <f t="shared" si="1"/>
        <v>1.3987103274657782</v>
      </c>
      <c r="H36" s="176">
        <f>SUMPRODUCT(H32:H35,'Parameters, general'!$B$14:$B$17)</f>
        <v>0.12006494472129353</v>
      </c>
      <c r="I36" s="176">
        <f>SUMPRODUCT(I32:I35,'Parameters, general'!$B$14:$B$17)</f>
        <v>6.9390557624715576E-2</v>
      </c>
      <c r="J36" s="176">
        <f>SUMPRODUCT(J32:J35,'Parameters, general'!$B$14:$B$17)</f>
        <v>0.2647079517609745</v>
      </c>
      <c r="K36" s="176">
        <f>SUMPRODUCT(K32:K35,'Parameters, general'!$B$14:$B$17)</f>
        <v>2.6470795176097454E-2</v>
      </c>
      <c r="L36" s="176">
        <f>SUMPRODUCT(L32:L35,'Parameters, general'!$B$14:$B$17)</f>
        <v>7.4782448868066412E-2</v>
      </c>
      <c r="M36" s="176">
        <f>SUMPRODUCT(M32:M35,'Parameters, general'!$B$14:$B$17)</f>
        <v>0</v>
      </c>
      <c r="N36" s="176">
        <f>SUMPRODUCT(N32:N35,'Parameters, general'!$B$14:$B$17)</f>
        <v>2.4088423109229923E-4</v>
      </c>
      <c r="O36" s="176">
        <f>SUMPRODUCT(O32:O35,'Parameters, general'!$B$14:$B$17)</f>
        <v>0.10049495688677507</v>
      </c>
      <c r="P36" s="176">
        <f>SUMPRODUCT(P32:P35,'Parameters, general'!$B$14:$B$17)</f>
        <v>0.14537905545271551</v>
      </c>
      <c r="Q36" s="176">
        <f>SUMPRODUCT(Q32:Q35,'Parameters, general'!$B$14:$B$17)</f>
        <v>2.5203437236834356E-2</v>
      </c>
      <c r="R36" s="176">
        <f>SUMPRODUCT(R32:R35,'Parameters, general'!$B$14:$B$17)</f>
        <v>0.13484734119175021</v>
      </c>
      <c r="S36" s="176">
        <f>SUMPRODUCT(S32:S35,'Parameters, general'!$B$14:$B$17)</f>
        <v>0</v>
      </c>
      <c r="T36" s="176">
        <f>SUMPRODUCT(T32:T35,'Parameters, general'!$B$14:$B$17)</f>
        <v>0.12361807791880663</v>
      </c>
      <c r="U36" s="177"/>
      <c r="V36" s="177"/>
      <c r="W36" s="176">
        <f>SUMPRODUCT(W32:W35,'Parameters, general'!$B$14:$B$17)</f>
        <v>9.366977233729705E-2</v>
      </c>
      <c r="X36" s="176">
        <f>SUMPRODUCT(X32:X35,'Parameters, general'!$B$14:$B$17)</f>
        <v>0.21984010405935969</v>
      </c>
      <c r="Z36" s="115">
        <f>SUM(H36:R36)</f>
        <v>0.96158237315031492</v>
      </c>
      <c r="AA36" s="210">
        <f>'CO2 per kg feed'!F77+'CH4 per kg feed'!F77*CF_GWP_CH4_fossil+'N2O per kg feed'!F77*CF_GWP_N2O</f>
        <v>0.36652169420274006</v>
      </c>
    </row>
    <row r="37" spans="1:27" ht="15" thickTop="1" x14ac:dyDescent="0.3">
      <c r="A37" s="178" t="s">
        <v>120</v>
      </c>
      <c r="B37" s="178" t="s">
        <v>121</v>
      </c>
      <c r="C37" s="179" t="s">
        <v>122</v>
      </c>
      <c r="D37" s="163" t="s">
        <v>33</v>
      </c>
      <c r="E37" s="163" t="s">
        <v>81</v>
      </c>
      <c r="F37" s="180" t="s">
        <v>123</v>
      </c>
      <c r="G37" s="20">
        <f t="shared" si="1"/>
        <v>0.94113878961121478</v>
      </c>
      <c r="H37" s="181">
        <f>'CO2 per kg feed'!G89*FCR_bonefree_incl_parents_IT-Excreted_N_after_losses_IT*Manure_repl_factor_IT*(EF_min_fert_BAT_CO2*Frac_BAT_IT+EF_min_fert_AN_CO2*Frac_AN_IT)</f>
        <v>0.12143610821430112</v>
      </c>
      <c r="I37" s="181">
        <f>'CO2 per kg feed'!H89*FCR_bonefree_incl_parents_IT</f>
        <v>7.4152094164650045E-2</v>
      </c>
      <c r="J37" s="181">
        <f>'CO2 per kg feed'!I89*FCR_bonefree_incl_parents_IT</f>
        <v>0</v>
      </c>
      <c r="K37" s="181"/>
      <c r="L37" s="181">
        <f>'CO2 per kg feed'!K89*FCR_bonefree_incl_parents_IT</f>
        <v>9.3443167380547157E-2</v>
      </c>
      <c r="M37" s="181"/>
      <c r="N37" s="181">
        <f>'CO2 per kg feed'!M89*FCR_bonefree_incl_parents_IT</f>
        <v>1.3844658112289163E-2</v>
      </c>
      <c r="O37" s="181">
        <f>'CO2 per kg feed'!N89*FCR_bonefree_incl_parents_IT</f>
        <v>0.11284311162434965</v>
      </c>
      <c r="P37" s="181">
        <f>'CO2 per kg feed'!O89*FCR_bonefree_incl_parents_IT</f>
        <v>0.12172101088019294</v>
      </c>
      <c r="Q37" s="181">
        <f>'CO2 per kg feed'!P89*FCR_bonefree_incl_parents_IT</f>
        <v>1.3797801402552474E-2</v>
      </c>
      <c r="R37" s="181">
        <f>'CO2 per kg feed'!Q89*FCR_bonefree_incl_parents_IT</f>
        <v>9.7174036340963305E-2</v>
      </c>
      <c r="S37" s="162"/>
      <c r="T37" s="162"/>
      <c r="U37" s="182"/>
      <c r="V37" s="182"/>
      <c r="W37" s="183">
        <f>Energy_stables_IT/Bonefree_outof_CW_IT*(Share_heating_IT*(Share_biofuels_IT*EF_biofuels_CO2+(1-Share_biofuels_IT)*EF_oil_CO2)+(1-Share_heating_IT)*EF_el_CO2_IT)</f>
        <v>8.8842575850745453E-2</v>
      </c>
      <c r="X37" s="184">
        <f>(Energy_slaughter_el_IT*EF_el_CO2_IT+Energy_slaughter_oil_IT*EF_oil_CO2)/Bonefree_outof_CW_IT</f>
        <v>0.20388422564062339</v>
      </c>
      <c r="Z37" s="20"/>
      <c r="AA37" s="20"/>
    </row>
    <row r="38" spans="1:27" x14ac:dyDescent="0.3">
      <c r="A38" s="13" t="s">
        <v>120</v>
      </c>
      <c r="B38" s="13" t="s">
        <v>121</v>
      </c>
      <c r="C38" s="17" t="s">
        <v>122</v>
      </c>
      <c r="D38" s="18" t="s">
        <v>33</v>
      </c>
      <c r="E38" s="18" t="s">
        <v>81</v>
      </c>
      <c r="F38" s="13" t="s">
        <v>124</v>
      </c>
      <c r="G38" s="33">
        <f t="shared" si="1"/>
        <v>1.9482908510904931E-3</v>
      </c>
      <c r="H38" s="34">
        <f>'CH4 per kg feed'!G89*FCR_bonefree_incl_parents_IT-Excreted_N_after_losses_IT*Manure_repl_factor_IT*(EF_min_fert_BAT_CH4*Frac_BAT_IT+EF_min_fert_AN_CH4*Frac_AN_IT)</f>
        <v>2.3758590064577303E-4</v>
      </c>
      <c r="I38" s="34">
        <f>'CH4 per kg feed'!H89*FCR_bonefree_incl_parents_IT</f>
        <v>2.7275231283004666E-4</v>
      </c>
      <c r="J38" s="34"/>
      <c r="K38" s="34"/>
      <c r="L38" s="34">
        <f>'CH4 per kg feed'!K89*FCR_bonefree_incl_parents_IT</f>
        <v>4.1352626644511915E-5</v>
      </c>
      <c r="M38" s="34"/>
      <c r="N38" s="34">
        <f>'CH4 per kg feed'!M89*FCR_bonefree_incl_parents_IT</f>
        <v>4.3731438260207251E-5</v>
      </c>
      <c r="O38" s="34">
        <f>'CH4 per kg feed'!N89*FCR_bonefree_incl_parents_IT</f>
        <v>1.1907303408592466E-4</v>
      </c>
      <c r="P38" s="34">
        <f>'CH4 per kg feed'!O89*FCR_bonefree_incl_parents_IT</f>
        <v>0</v>
      </c>
      <c r="Q38" s="34">
        <f>'CH4 per kg feed'!P89*FCR_bonefree_incl_parents_IT</f>
        <v>5.0148059886283597E-5</v>
      </c>
      <c r="R38" s="34">
        <f>'CH4 per kg feed'!Q89*FCR_bonefree_incl_parents_IT</f>
        <v>1.5113089841220596E-4</v>
      </c>
      <c r="W38" s="4">
        <f>Energy_stables_IT/Bonefree_outof_CW_IT*(Share_heating_IT*(Share_biofuels_IT*EF_biofuel_CH4+(1-Share_biofuels_IT)*EF_oil_CH4)+(1-Share_heating_IT)*EF_el_CH4_IT)</f>
        <v>1.7607167637343627E-4</v>
      </c>
      <c r="X38" s="12">
        <f>(Energy_slaughter_el_IT*EF_el_CH4_IT+Energy_slaughter_oil_IT*EF_oil_CH4)/Bonefree_outof_CW_IT</f>
        <v>8.5644490395210375E-4</v>
      </c>
      <c r="Z38" s="33"/>
      <c r="AA38" s="33"/>
    </row>
    <row r="39" spans="1:27" x14ac:dyDescent="0.3">
      <c r="A39" s="13" t="s">
        <v>120</v>
      </c>
      <c r="B39" s="13" t="s">
        <v>121</v>
      </c>
      <c r="C39" s="17" t="s">
        <v>122</v>
      </c>
      <c r="D39" s="18" t="s">
        <v>33</v>
      </c>
      <c r="E39" s="18" t="s">
        <v>81</v>
      </c>
      <c r="F39" s="13" t="s">
        <v>125</v>
      </c>
      <c r="G39" s="33">
        <f>SUM(H39:T39)+SUM(W39:X39)</f>
        <v>2.2013861429824129E-3</v>
      </c>
      <c r="H39" s="34"/>
      <c r="I39" s="34"/>
      <c r="J39" s="34"/>
      <c r="K39" s="34"/>
      <c r="L39" s="34"/>
      <c r="M39" s="34"/>
      <c r="N39" s="34"/>
      <c r="O39" s="34"/>
      <c r="P39" s="34"/>
      <c r="Q39" s="34"/>
      <c r="R39" s="34"/>
      <c r="T39" s="48">
        <f>SUM(U39:V39)</f>
        <v>2.2013861429824129E-3</v>
      </c>
      <c r="U39" s="64">
        <f>(Production!H40*(Slaughter_age_IT/365)+SUM(Production!H41:H44))*EF_CH4_manure_IT</f>
        <v>2.2013861429824129E-3</v>
      </c>
      <c r="W39" s="4"/>
      <c r="X39" s="12"/>
    </row>
    <row r="40" spans="1:27" ht="15" thickBot="1" x14ac:dyDescent="0.35">
      <c r="A40" s="13" t="s">
        <v>120</v>
      </c>
      <c r="B40" s="13" t="s">
        <v>121</v>
      </c>
      <c r="C40" s="17" t="s">
        <v>122</v>
      </c>
      <c r="D40" s="18" t="s">
        <v>33</v>
      </c>
      <c r="E40" s="18" t="s">
        <v>81</v>
      </c>
      <c r="F40" s="35" t="s">
        <v>126</v>
      </c>
      <c r="G40" s="33">
        <f>SUM(H40:T40)+SUM(W40:X40)</f>
        <v>9.5162991757859194E-4</v>
      </c>
      <c r="H40" s="34">
        <f>'N2O per kg feed'!G89*FCR_bonefree_incl_parents_IT-Excreted_N_after_losses_IT*Manure_repl_factor_IT*(EF_min_fert_BAT_N2O*Frac_BAT_IT+EF_min_fert_AN_N2O*Frac_AN_IT)</f>
        <v>2.6646500254863976E-4</v>
      </c>
      <c r="I40" s="33">
        <f>'N2O per kg feed'!H89*FCR_bonefree_incl_parents_IT</f>
        <v>2.7840753172490729E-6</v>
      </c>
      <c r="J40" s="33">
        <f>'N2O per kg feed'!I89*FCR_bonefree_incl_parents_IT-Excreted_N_after_losses_IT*Manure_repl_factor_IT*EF_N2O_diff_IT</f>
        <v>4.5442317739146656E-4</v>
      </c>
      <c r="K40" s="33">
        <f>J40*EF_indirect_N2O_IT</f>
        <v>4.5442317739146656E-5</v>
      </c>
      <c r="L40" s="33">
        <f>'N2O per kg feed'!K89*FCR_bonefree_incl_parents_IT</f>
        <v>2.5072242449018082E-6</v>
      </c>
      <c r="M40" s="33"/>
      <c r="N40" s="33">
        <f>'N2O per kg feed'!M89*FCR_bonefree_incl_parents_IT</f>
        <v>5.3832493396272496E-7</v>
      </c>
      <c r="O40" s="33">
        <f>'N2O per kg feed'!N89*FCR_bonefree_incl_parents_IT</f>
        <v>4.1265528006399379E-6</v>
      </c>
      <c r="P40" s="33">
        <f>'N2O per kg feed'!O89*FCR_bonefree_incl_parents_IT</f>
        <v>0</v>
      </c>
      <c r="Q40" s="33">
        <f>'N2O per kg feed'!P89*FCR_bonefree_incl_parents_IT</f>
        <v>5.2037372094182247E-6</v>
      </c>
      <c r="R40" s="33">
        <f>'N2O per kg feed'!Q89*FCR_bonefree_incl_parents_IT</f>
        <v>3.5111851979757836E-6</v>
      </c>
      <c r="T40" s="48">
        <f>SUM(U40:V40)</f>
        <v>1.516803156081786E-4</v>
      </c>
      <c r="U40" s="9">
        <f>Excreted_N_per_kg_of_bonefree_meat_IT*EF_N2O_manure_direct_IT*44/28</f>
        <v>5.6213288221538974E-5</v>
      </c>
      <c r="V40" s="64">
        <f>(Excreted_N_per_kg_of_bonefree_meat_IT-U40*28/44)*EF_ammonia_IT*EF_N2O_manure_indirect_IT*44/28</f>
        <v>9.546702738663964E-5</v>
      </c>
      <c r="W40" s="4">
        <f>Energy_stables_IT/Bonefree_outof_CW_IT*(Share_heating_IT*(Share_biofuels_IT*EF_biofuel_N2O+(1-Share_biofuels_IT)*EF_oil_N2O)+(1-Share_heating_IT)*EF_el_N2O_IT)</f>
        <v>6.1366468727272697E-6</v>
      </c>
      <c r="X40" s="12">
        <f>(Energy_slaughter_el_IT*EF_el_N2O_IT+Energy_slaughter_oil_IT*EF_oil_N2O)/Bonefree_outof_CW_IT</f>
        <v>8.8113577142857141E-6</v>
      </c>
      <c r="Z40" s="33"/>
      <c r="AA40" s="33"/>
    </row>
    <row r="41" spans="1:27" ht="15.6" thickTop="1" thickBot="1" x14ac:dyDescent="0.35">
      <c r="A41" s="172" t="s">
        <v>120</v>
      </c>
      <c r="B41" s="172" t="s">
        <v>121</v>
      </c>
      <c r="C41" s="173" t="s">
        <v>122</v>
      </c>
      <c r="D41" s="174" t="s">
        <v>33</v>
      </c>
      <c r="E41" s="174" t="s">
        <v>81</v>
      </c>
      <c r="F41" s="175" t="s">
        <v>127</v>
      </c>
      <c r="G41" s="186">
        <f t="shared" si="1"/>
        <v>1.3184302503331922</v>
      </c>
      <c r="H41" s="176">
        <f>SUMPRODUCT(H37:H40,'Parameters, general'!$B$14:$B$17)</f>
        <v>0.20126111374932382</v>
      </c>
      <c r="I41" s="176">
        <f>SUMPRODUCT(I37:I40,'Parameters, general'!$B$14:$B$17)</f>
        <v>8.3040165648594427E-2</v>
      </c>
      <c r="J41" s="176">
        <f>SUMPRODUCT(J37:J40,'Parameters, general'!$B$14:$B$17)</f>
        <v>0.12405752742787036</v>
      </c>
      <c r="K41" s="176">
        <f>SUMPRODUCT(K37:K40,'Parameters, general'!$B$14:$B$17)</f>
        <v>1.2405752742787038E-2</v>
      </c>
      <c r="L41" s="176">
        <f>SUMPRODUCT(L37:L40,'Parameters, general'!$B$14:$B$17)</f>
        <v>9.5359947873411802E-2</v>
      </c>
      <c r="M41" s="176">
        <f>SUMPRODUCT(M37:M40,'Parameters, general'!$B$14:$B$17)</f>
        <v>0</v>
      </c>
      <c r="N41" s="176">
        <f>SUMPRODUCT(N37:N40,'Parameters, general'!$B$14:$B$17)</f>
        <v>1.5294817679415163E-2</v>
      </c>
      <c r="O41" s="176">
        <f>SUMPRODUCT(O37:O40,'Parameters, general'!$B$14:$B$17)</f>
        <v>0.11751803695468491</v>
      </c>
      <c r="P41" s="176">
        <f>SUMPRODUCT(P37:P40,'Parameters, general'!$B$14:$B$17)</f>
        <v>0.12172101088019294</v>
      </c>
      <c r="Q41" s="176">
        <f>SUMPRODUCT(Q37:Q40,'Parameters, general'!$B$14:$B$17)</f>
        <v>1.6712833845334903E-2</v>
      </c>
      <c r="R41" s="176">
        <f>SUMPRODUCT(R37:R40,'Parameters, general'!$B$14:$B$17)</f>
        <v>0.10263629067269443</v>
      </c>
      <c r="S41" s="176">
        <f>SUMPRODUCT(S37:S40,'Parameters, general'!$B$14:$B$17)</f>
        <v>0</v>
      </c>
      <c r="T41" s="176">
        <f>SUMPRODUCT(T37:T40,'Parameters, general'!$B$14:$B$17)</f>
        <v>0.1008461520215579</v>
      </c>
      <c r="U41" s="177"/>
      <c r="V41" s="177"/>
      <c r="W41" s="176">
        <f>SUMPRODUCT(W37:W40,'Parameters, general'!$B$14:$B$17)</f>
        <v>9.5764816402928402E-2</v>
      </c>
      <c r="X41" s="176">
        <f>SUMPRODUCT(X37:X40,'Parameters, general'!$B$14:$B$17)</f>
        <v>0.2318117844343961</v>
      </c>
      <c r="Z41" s="115">
        <f>SUM(H41:R41)</f>
        <v>0.89000749747430985</v>
      </c>
      <c r="AA41" s="210">
        <f>'CO2 per kg feed'!F89+'CH4 per kg feed'!F89*CF_GWP_CH4_fossil+'N2O per kg feed'!F89*CF_GWP_N2O</f>
        <v>0.32060947075643409</v>
      </c>
    </row>
    <row r="42" spans="1:27" ht="15" thickTop="1" x14ac:dyDescent="0.3">
      <c r="A42" s="178" t="s">
        <v>120</v>
      </c>
      <c r="B42" s="178" t="s">
        <v>121</v>
      </c>
      <c r="C42" s="179" t="s">
        <v>122</v>
      </c>
      <c r="D42" t="s">
        <v>131</v>
      </c>
      <c r="E42" s="18" t="s">
        <v>82</v>
      </c>
      <c r="F42" s="180" t="s">
        <v>123</v>
      </c>
      <c r="G42" s="20">
        <f t="shared" ref="G42:G51" si="2">SUM(H42:X42)</f>
        <v>1.131967192468728</v>
      </c>
      <c r="H42" s="181">
        <f>'CO2 per kg feed'!G101*FCR_bonefree_incl_parents_NL-Excreted_N_after_losses_NL*Manure_repl_factor_NL*(EF_min_fert_BAT_CO2*Frac_BAT_NL+EF_min_fert_AN_CO2*Frac_AN_NL)</f>
        <v>0.11726582037688661</v>
      </c>
      <c r="I42" s="181">
        <f>'CO2 per kg feed'!H101*FCR_bonefree_incl_parents_NL</f>
        <v>7.6915781436205727E-2</v>
      </c>
      <c r="J42" s="181">
        <f>'CO2 per kg feed'!I101*FCR_bonefree_incl_parents_NL</f>
        <v>0</v>
      </c>
      <c r="K42" s="181"/>
      <c r="L42" s="181">
        <f>'CO2 per kg feed'!K101*FCR_bonefree_incl_parents_NL</f>
        <v>9.0565867076903853E-2</v>
      </c>
      <c r="M42" s="181"/>
      <c r="N42" s="181">
        <f>'CO2 per kg feed'!M101*FCR_bonefree_incl_parents_NL</f>
        <v>5.2976138815788963E-3</v>
      </c>
      <c r="O42" s="181">
        <f>'CO2 per kg feed'!N101*FCR_bonefree_incl_parents_NL</f>
        <v>0.12798050031176947</v>
      </c>
      <c r="P42" s="181">
        <f>'CO2 per kg feed'!O101*FCR_bonefree_incl_parents_NL</f>
        <v>0.16553871256597608</v>
      </c>
      <c r="Q42" s="181">
        <f>'CO2 per kg feed'!P101*FCR_bonefree_incl_parents_NL</f>
        <v>2.6861900739376204E-2</v>
      </c>
      <c r="R42" s="181">
        <f>'CO2 per kg feed'!Q101*FCR_bonefree_incl_parents_NL</f>
        <v>0.15632703528865707</v>
      </c>
      <c r="S42" s="162"/>
      <c r="T42" s="162"/>
      <c r="U42" s="182"/>
      <c r="V42" s="182"/>
      <c r="W42" s="183">
        <f>Energy_stables_NL/Bonefree_outof_CW_NL*(Share_heating_NL*(Share_biofuels_NL*EF_biofuels_CO2+(1-Share_biofuels_NL)*EF_oil_CO2)+(1-Share_heating_NL)*EF_el_CO2_NL)</f>
        <v>9.9638535746490897E-2</v>
      </c>
      <c r="X42" s="184">
        <f>(Energy_slaughter_el_NL*EF_el_CO2_NL+Energy_slaughter_oil_NL*EF_oil_CO2)/Bonefree_outof_CW_NL</f>
        <v>0.26557542504488307</v>
      </c>
      <c r="Z42" s="20"/>
      <c r="AA42" s="20"/>
    </row>
    <row r="43" spans="1:27" x14ac:dyDescent="0.3">
      <c r="A43" s="13" t="s">
        <v>120</v>
      </c>
      <c r="B43" s="13" t="s">
        <v>121</v>
      </c>
      <c r="C43" s="17" t="s">
        <v>122</v>
      </c>
      <c r="D43" t="s">
        <v>131</v>
      </c>
      <c r="E43" s="18" t="s">
        <v>82</v>
      </c>
      <c r="F43" s="13" t="s">
        <v>124</v>
      </c>
      <c r="G43" s="33">
        <f t="shared" si="2"/>
        <v>1.5856928529503691E-3</v>
      </c>
      <c r="H43" s="34">
        <f>'CH4 per kg feed'!G101*FCR_bonefree_incl_parents_NL-Excreted_N_after_losses_NL*Manure_repl_factor_NL*(EF_min_fert_BAT_CH4*Frac_BAT_NL+EF_min_fert_AN_CH4*Frac_AN_NL)</f>
        <v>2.4041030802612212E-4</v>
      </c>
      <c r="I43" s="34">
        <f>'CH4 per kg feed'!H101*FCR_bonefree_incl_parents_NL</f>
        <v>3.6359113779957841E-4</v>
      </c>
      <c r="J43" s="34"/>
      <c r="K43" s="34"/>
      <c r="L43" s="34">
        <f>'CH4 per kg feed'!K101*FCR_bonefree_incl_parents_NL</f>
        <v>3.9749889745540118E-5</v>
      </c>
      <c r="M43" s="34"/>
      <c r="N43" s="34">
        <f>'CH4 per kg feed'!M101*FCR_bonefree_incl_parents_NL</f>
        <v>1.6894328135822036E-5</v>
      </c>
      <c r="O43" s="34">
        <f>'CH4 per kg feed'!N101*FCR_bonefree_incl_parents_NL</f>
        <v>8.6416552331442946E-5</v>
      </c>
      <c r="P43" s="34">
        <f>'CH4 per kg feed'!O101*FCR_bonefree_incl_parents_NL</f>
        <v>9.0765002988949152E-6</v>
      </c>
      <c r="Q43" s="34">
        <f>'CH4 per kg feed'!P101*FCR_bonefree_incl_parents_NL</f>
        <v>9.0245087730192415E-5</v>
      </c>
      <c r="R43" s="34">
        <f>'CH4 per kg feed'!Q101*FCR_bonefree_incl_parents_NL</f>
        <v>1.0945183723651387E-4</v>
      </c>
      <c r="W43" s="4">
        <f>Energy_stables_NL/Bonefree_outof_CW_NL*(Share_heating_NL*(Share_biofuels_NL*EF_biofuel_CH4+(1-Share_biofuels_NL)*EF_oil_CH4)+(1-Share_heating_NL)*EF_el_CH4_NL)</f>
        <v>1.1610113210205449E-4</v>
      </c>
      <c r="X43" s="12">
        <f>(Energy_slaughter_el_NL*EF_el_CH4_NL+Energy_slaughter_oil_NL*EF_oil_CH4)/Bonefree_outof_CW_NL</f>
        <v>5.1375607954420779E-4</v>
      </c>
      <c r="Z43" s="33"/>
      <c r="AA43" s="33"/>
    </row>
    <row r="44" spans="1:27" x14ac:dyDescent="0.3">
      <c r="A44" s="13" t="s">
        <v>120</v>
      </c>
      <c r="B44" s="13" t="s">
        <v>121</v>
      </c>
      <c r="C44" s="17" t="s">
        <v>122</v>
      </c>
      <c r="D44" t="s">
        <v>131</v>
      </c>
      <c r="E44" s="18" t="s">
        <v>82</v>
      </c>
      <c r="F44" s="13" t="s">
        <v>125</v>
      </c>
      <c r="G44" s="33">
        <f>SUM(H44:T44)+SUM(W44:X44)</f>
        <v>3.1693197592288259E-3</v>
      </c>
      <c r="H44" s="34"/>
      <c r="I44" s="34"/>
      <c r="J44" s="34"/>
      <c r="K44" s="34"/>
      <c r="L44" s="34"/>
      <c r="M44" s="34"/>
      <c r="N44" s="34"/>
      <c r="O44" s="34"/>
      <c r="P44" s="34"/>
      <c r="Q44" s="34"/>
      <c r="R44" s="34"/>
      <c r="T44" s="48">
        <f>SUM(U44:V44)</f>
        <v>3.1693197592288259E-3</v>
      </c>
      <c r="U44" s="64">
        <f>(Production!I40*(Slaughter_age_NL/365)+SUM(Production!I41:I44))*EF_CH4_manure_NL</f>
        <v>3.1693197592288259E-3</v>
      </c>
      <c r="W44" s="4"/>
      <c r="X44" s="12"/>
    </row>
    <row r="45" spans="1:27" ht="15" thickBot="1" x14ac:dyDescent="0.35">
      <c r="A45" s="13" t="s">
        <v>120</v>
      </c>
      <c r="B45" s="13" t="s">
        <v>121</v>
      </c>
      <c r="C45" s="17" t="s">
        <v>122</v>
      </c>
      <c r="D45" t="s">
        <v>131</v>
      </c>
      <c r="E45" s="18" t="s">
        <v>82</v>
      </c>
      <c r="F45" s="35" t="s">
        <v>126</v>
      </c>
      <c r="G45" s="33">
        <f>SUM(H45:T45)+SUM(W45:X45)</f>
        <v>1.9221784153758937E-3</v>
      </c>
      <c r="H45" s="34">
        <f>'N2O per kg feed'!G101*FCR_bonefree_incl_parents_NL-Excreted_N_after_losses_NL*Manure_repl_factor_NL*(EF_min_fert_BAT_N2O*Frac_BAT_NL+EF_min_fert_AN_N2O*Frac_AN_NL)</f>
        <v>2.3614626915979692E-4</v>
      </c>
      <c r="I45" s="33">
        <f>'N2O per kg feed'!H101*FCR_bonefree_incl_parents_NL</f>
        <v>2.9189387973805424E-6</v>
      </c>
      <c r="J45" s="33">
        <f>'N2O per kg feed'!I101*FCR_bonefree_incl_parents_NL-Excreted_N_after_losses_NL*Manure_repl_factor_NL*EF_N2O_diff_NL</f>
        <v>1.2771475958063259E-3</v>
      </c>
      <c r="K45" s="33">
        <f>J45*EF_indirect_N2O_NL</f>
        <v>1.2771475958063259E-4</v>
      </c>
      <c r="L45" s="33">
        <f>'N2O per kg feed'!K101*FCR_bonefree_incl_parents_NL</f>
        <v>2.4309735032918581E-6</v>
      </c>
      <c r="M45" s="33"/>
      <c r="N45" s="33">
        <f>'N2O per kg feed'!M101*FCR_bonefree_incl_parents_NL</f>
        <v>2.1017858056490616E-7</v>
      </c>
      <c r="O45" s="33">
        <f>'N2O per kg feed'!N101*FCR_bonefree_incl_parents_NL</f>
        <v>4.646862726627737E-6</v>
      </c>
      <c r="P45" s="33">
        <f>'N2O per kg feed'!O101*FCR_bonefree_incl_parents_NL</f>
        <v>0</v>
      </c>
      <c r="Q45" s="33">
        <f>'N2O per kg feed'!P101*FCR_bonefree_incl_parents_NL</f>
        <v>8.5805828778560201E-6</v>
      </c>
      <c r="R45" s="33">
        <f>'N2O per kg feed'!Q101*FCR_bonefree_incl_parents_NL</f>
        <v>5.4741917534848112E-6</v>
      </c>
      <c r="T45" s="48">
        <f>SUM(U45:V45)</f>
        <v>2.3982733445551663E-4</v>
      </c>
      <c r="U45" s="9">
        <f>Excreted_N_per_kg_of_bonefree_meat_NL*EF_N2O_manure_direct_NL*44/28</f>
        <v>8.8880900735839827E-5</v>
      </c>
      <c r="V45" s="64">
        <f>(Excreted_N_per_kg_of_bonefree_meat_NL-U45*28/44)*EF_ammonia_NL*EF_N2O_manure_indirect_NL*44/28</f>
        <v>1.5094643371967682E-4</v>
      </c>
      <c r="W45" s="4">
        <f>Energy_stables_NL/Bonefree_outof_CW_NL*(Share_heating_NL*(Share_biofuels_NL*EF_biofuel_N2O+(1-Share_biofuels_NL)*EF_oil_N2O)+(1-Share_heating_NL)*EF_el_N2O_NL)</f>
        <v>6.4542865499999965E-6</v>
      </c>
      <c r="X45" s="12">
        <f>(Energy_slaughter_el_NL*EF_el_N2O_NL+Energy_slaughter_oil_NL*EF_oil_N2O)/Bonefree_outof_CW_NL</f>
        <v>1.0626441584415587E-5</v>
      </c>
      <c r="Z45" s="33"/>
      <c r="AA45" s="33"/>
    </row>
    <row r="46" spans="1:27" ht="15.6" thickTop="1" thickBot="1" x14ac:dyDescent="0.35">
      <c r="A46" s="172" t="s">
        <v>120</v>
      </c>
      <c r="B46" s="172" t="s">
        <v>121</v>
      </c>
      <c r="C46" s="173" t="s">
        <v>122</v>
      </c>
      <c r="D46" s="211" t="s">
        <v>131</v>
      </c>
      <c r="E46" s="174" t="s">
        <v>82</v>
      </c>
      <c r="F46" s="175" t="s">
        <v>127</v>
      </c>
      <c r="G46" s="186">
        <f t="shared" si="2"/>
        <v>1.7895471803834464</v>
      </c>
      <c r="H46" s="176">
        <f>SUMPRODUCT(H42:H45,'Parameters, general'!$B$14:$B$17)</f>
        <v>0.18889797903668962</v>
      </c>
      <c r="I46" s="176">
        <f>SUMPRODUCT(I42:I45,'Parameters, general'!$B$14:$B$17)</f>
        <v>8.8547667634318053E-2</v>
      </c>
      <c r="J46" s="176">
        <f>SUMPRODUCT(J42:J45,'Parameters, general'!$B$14:$B$17)</f>
        <v>0.34866129365512699</v>
      </c>
      <c r="K46" s="176">
        <f>SUMPRODUCT(K42:K45,'Parameters, general'!$B$14:$B$17)</f>
        <v>3.4866129365512699E-2</v>
      </c>
      <c r="L46" s="176">
        <f>SUMPRODUCT(L42:L45,'Parameters, general'!$B$14:$B$17)</f>
        <v>9.2414069557719622E-2</v>
      </c>
      <c r="M46" s="176">
        <f>SUMPRODUCT(M42:M45,'Parameters, general'!$B$14:$B$17)</f>
        <v>0</v>
      </c>
      <c r="N46" s="176">
        <f>SUMPRODUCT(N42:N45,'Parameters, general'!$B$14:$B$17)</f>
        <v>5.858443612520612E-3</v>
      </c>
      <c r="O46" s="176">
        <f>SUMPRODUCT(O42:O45,'Parameters, general'!$B$14:$B$17)</f>
        <v>0.13182430709561582</v>
      </c>
      <c r="P46" s="176">
        <f>SUMPRODUCT(P42:P45,'Parameters, general'!$B$14:$B$17)</f>
        <v>0.16580919227488314</v>
      </c>
      <c r="Q46" s="176">
        <f>SUMPRODUCT(Q42:Q45,'Parameters, general'!$B$14:$B$17)</f>
        <v>3.1893703479390634E-2</v>
      </c>
      <c r="R46" s="176">
        <f>SUMPRODUCT(R42:R45,'Parameters, general'!$B$14:$B$17)</f>
        <v>0.16108315438700654</v>
      </c>
      <c r="S46" s="176">
        <f>SUMPRODUCT(S42:S45,'Parameters, general'!$B$14:$B$17)</f>
        <v>0</v>
      </c>
      <c r="T46" s="176">
        <f>SUMPRODUCT(T42:T45,'Parameters, general'!$B$14:$B$17)</f>
        <v>0.15104449580553436</v>
      </c>
      <c r="U46" s="177"/>
      <c r="V46" s="177"/>
      <c r="W46" s="176">
        <f>SUMPRODUCT(W42:W45,'Parameters, general'!$B$14:$B$17)</f>
        <v>0.10486036971128213</v>
      </c>
      <c r="X46" s="176">
        <f>SUMPRODUCT(X42:X45,'Parameters, general'!$B$14:$B$17)</f>
        <v>0.28378637476784591</v>
      </c>
      <c r="Z46" s="115">
        <f>SUM(H46:R46)</f>
        <v>1.2498559400987839</v>
      </c>
      <c r="AA46" s="210">
        <f>'CO2 per kg feed'!F101+'CH4 per kg feed'!F101*CF_GWP_CH4_fossil+'N2O per kg feed'!F101*CF_GWP_N2O</f>
        <v>0.46008793011821969</v>
      </c>
    </row>
    <row r="47" spans="1:27" ht="15" thickTop="1" x14ac:dyDescent="0.3">
      <c r="A47" s="178" t="s">
        <v>120</v>
      </c>
      <c r="B47" s="178" t="s">
        <v>121</v>
      </c>
      <c r="C47" s="179" t="s">
        <v>122</v>
      </c>
      <c r="D47" t="s">
        <v>28</v>
      </c>
      <c r="E47" s="18" t="s">
        <v>83</v>
      </c>
      <c r="F47" s="180" t="s">
        <v>123</v>
      </c>
      <c r="G47" s="20">
        <f t="shared" si="2"/>
        <v>1.3816965219126489</v>
      </c>
      <c r="H47" s="181">
        <f>'CO2 per kg feed'!G113*FCR_bonefree_incl_parents_PL-Excreted_N_after_losses_PL*Manure_repl_factor_PL*(EF_min_fert_BAT_CO2*Frac_BAT_PL+EF_min_fert_AN_CO2*Frac_AN_PL)</f>
        <v>0.14368948544767265</v>
      </c>
      <c r="I47" s="181">
        <f>'CO2 per kg feed'!H113*FCR_bonefree_incl_parents_PL</f>
        <v>8.014189109575115E-2</v>
      </c>
      <c r="J47" s="181">
        <f>'CO2 per kg feed'!I113*FCR_bonefree_incl_parents_PL</f>
        <v>0</v>
      </c>
      <c r="K47" s="181"/>
      <c r="L47" s="181">
        <f>'CO2 per kg feed'!K113*FCR_bonefree_incl_parents_PL</f>
        <v>0.12903980665294482</v>
      </c>
      <c r="M47" s="181"/>
      <c r="N47" s="181">
        <f>'CO2 per kg feed'!M113*FCR_bonefree_incl_parents_PL</f>
        <v>8.7490449095264998E-4</v>
      </c>
      <c r="O47" s="181">
        <f>'CO2 per kg feed'!N113*FCR_bonefree_incl_parents_PL</f>
        <v>0.15442875703285569</v>
      </c>
      <c r="P47" s="181">
        <f>'CO2 per kg feed'!O113*FCR_bonefree_incl_parents_PL</f>
        <v>0.10930332474514153</v>
      </c>
      <c r="Q47" s="181">
        <f>'CO2 per kg feed'!P113*FCR_bonefree_incl_parents_PL</f>
        <v>1.4183906626631949E-2</v>
      </c>
      <c r="R47" s="181">
        <f>'CO2 per kg feed'!Q113*FCR_bonefree_incl_parents_PL</f>
        <v>9.2615278953938632E-2</v>
      </c>
      <c r="S47" s="162"/>
      <c r="T47" s="162"/>
      <c r="U47" s="182"/>
      <c r="V47" s="182"/>
      <c r="W47" s="183">
        <f>Energy_stables_PL/Bonefree_outof_CW_PL*(Share_heating_PL*(Share_biofuels_PL*EF_biofuels_CO2+(1-Share_biofuels_PL)*EF_oil_CO2)+(1-Share_heating_PL)*EF_el_CO2_PL)</f>
        <v>0.14315846005559088</v>
      </c>
      <c r="X47" s="184">
        <f>(Energy_slaughter_el_PL*EF_el_CO2_PL+Energy_slaughter_oil_PL*EF_oil_CO2)/Bonefree_outof_CW_PL</f>
        <v>0.51426070681116887</v>
      </c>
      <c r="Z47" s="20"/>
      <c r="AA47" s="20"/>
    </row>
    <row r="48" spans="1:27" x14ac:dyDescent="0.3">
      <c r="A48" s="13" t="s">
        <v>120</v>
      </c>
      <c r="B48" s="13" t="s">
        <v>121</v>
      </c>
      <c r="C48" s="17" t="s">
        <v>122</v>
      </c>
      <c r="D48" t="s">
        <v>28</v>
      </c>
      <c r="E48" s="18" t="s">
        <v>83</v>
      </c>
      <c r="F48" s="13" t="s">
        <v>124</v>
      </c>
      <c r="G48" s="33">
        <f t="shared" si="2"/>
        <v>2.1239648828208497E-3</v>
      </c>
      <c r="H48" s="34">
        <f>'CH4 per kg feed'!G113*FCR_bonefree_incl_parents_PL-Excreted_N_after_losses_PL*Manure_repl_factor_PL*(EF_min_fert_BAT_CH4*Frac_BAT_PL+EF_min_fert_AN_CH4*Frac_AN_PL)</f>
        <v>2.8187140177128421E-4</v>
      </c>
      <c r="I48" s="34">
        <f>'CH4 per kg feed'!H113*FCR_bonefree_incl_parents_PL</f>
        <v>3.1605190218993482E-4</v>
      </c>
      <c r="J48" s="34"/>
      <c r="K48" s="34"/>
      <c r="L48" s="34">
        <f>'CH4 per kg feed'!K113*FCR_bonefree_incl_parents_PL</f>
        <v>5.7061792235275844E-5</v>
      </c>
      <c r="M48" s="34"/>
      <c r="N48" s="34">
        <f>'CH4 per kg feed'!M113*FCR_bonefree_incl_parents_PL</f>
        <v>2.9951441267913627E-6</v>
      </c>
      <c r="O48" s="34">
        <f>'CH4 per kg feed'!N113*FCR_bonefree_incl_parents_PL</f>
        <v>1.4056293131697585E-4</v>
      </c>
      <c r="P48" s="34">
        <f>'CH4 per kg feed'!O113*FCR_bonefree_incl_parents_PL</f>
        <v>4.5592717266788646E-6</v>
      </c>
      <c r="Q48" s="34">
        <f>'CH4 per kg feed'!P113*FCR_bonefree_incl_parents_PL</f>
        <v>5.0018007778590775E-5</v>
      </c>
      <c r="R48" s="34">
        <f>'CH4 per kg feed'!Q113*FCR_bonefree_incl_parents_PL</f>
        <v>9.4121854049459858E-5</v>
      </c>
      <c r="W48" s="4">
        <f>Energy_stables_PL/Bonefree_outof_CW_PL*(Share_heating_PL*(Share_biofuels_PL*EF_biofuel_CH4+(1-Share_biofuels_PL)*EF_oil_CH4)+(1-Share_heating_PL)*EF_el_CH4_PL)</f>
        <v>1.9754916533305813E-4</v>
      </c>
      <c r="X48" s="12">
        <f>(Energy_slaughter_el_PL*EF_el_CH4_PL+Energy_slaughter_oil_PL*EF_oil_CH4)/Bonefree_outof_CW_PL</f>
        <v>9.7917341229280001E-4</v>
      </c>
      <c r="Z48" s="33"/>
      <c r="AA48" s="33"/>
    </row>
    <row r="49" spans="1:29" x14ac:dyDescent="0.3">
      <c r="A49" s="13" t="s">
        <v>120</v>
      </c>
      <c r="B49" s="13" t="s">
        <v>121</v>
      </c>
      <c r="C49" s="17" t="s">
        <v>122</v>
      </c>
      <c r="D49" t="s">
        <v>28</v>
      </c>
      <c r="E49" s="18" t="s">
        <v>83</v>
      </c>
      <c r="F49" s="13" t="s">
        <v>125</v>
      </c>
      <c r="G49" s="33">
        <f>SUM(H49:T49)+SUM(W49:X49)</f>
        <v>3.3020792144736189E-3</v>
      </c>
      <c r="H49" s="34"/>
      <c r="I49" s="34"/>
      <c r="J49" s="34"/>
      <c r="K49" s="34"/>
      <c r="L49" s="34"/>
      <c r="M49" s="34"/>
      <c r="N49" s="34"/>
      <c r="O49" s="34"/>
      <c r="P49" s="34"/>
      <c r="Q49" s="34"/>
      <c r="R49" s="34"/>
      <c r="T49" s="48">
        <f>SUM(U49:V49)</f>
        <v>3.3020792144736189E-3</v>
      </c>
      <c r="U49" s="64">
        <f>(Production!J40*(Slaughter_age_PL/365)+SUM(Production!J41:J44))*EF_CH4_manure_PL</f>
        <v>3.3020792144736189E-3</v>
      </c>
      <c r="W49" s="4"/>
      <c r="X49" s="12"/>
    </row>
    <row r="50" spans="1:29" ht="15" thickBot="1" x14ac:dyDescent="0.35">
      <c r="A50" s="13" t="s">
        <v>120</v>
      </c>
      <c r="B50" s="13" t="s">
        <v>121</v>
      </c>
      <c r="C50" s="17" t="s">
        <v>122</v>
      </c>
      <c r="D50" t="s">
        <v>28</v>
      </c>
      <c r="E50" s="18" t="s">
        <v>83</v>
      </c>
      <c r="F50" s="35" t="s">
        <v>126</v>
      </c>
      <c r="G50" s="33">
        <f>SUM(H50:T50)+SUM(W50:X50)</f>
        <v>1.839087363489545E-3</v>
      </c>
      <c r="H50" s="34">
        <f>'N2O per kg feed'!G113*FCR_bonefree_incl_parents_PL-Excreted_N_after_losses_PL*Manure_repl_factor_PL*(EF_min_fert_BAT_N2O*Frac_BAT_PL+EF_min_fert_AN_N2O*Frac_AN_PL)</f>
        <v>3.1482070765617882E-4</v>
      </c>
      <c r="I50" s="33">
        <f>'N2O per kg feed'!H113*FCR_bonefree_incl_parents_PL</f>
        <v>3.0032102067852761E-6</v>
      </c>
      <c r="J50" s="33">
        <f>'N2O per kg feed'!I113*FCR_bonefree_incl_parents_PL-Excreted_N_after_losses_PL*Manure_repl_factor_PL*EF_N2O_diff_PL</f>
        <v>1.1889015129920425E-3</v>
      </c>
      <c r="K50" s="33">
        <f>J50*EF_indirect_N2O_PL</f>
        <v>1.1889015129920425E-4</v>
      </c>
      <c r="L50" s="33">
        <f>'N2O per kg feed'!K113*FCR_bonefree_incl_parents_PL</f>
        <v>3.4658925335938756E-6</v>
      </c>
      <c r="M50" s="33"/>
      <c r="N50" s="33">
        <f>'N2O per kg feed'!M113*FCR_bonefree_incl_parents_PL</f>
        <v>3.7511820580610342E-8</v>
      </c>
      <c r="O50" s="33">
        <f>'N2O per kg feed'!N113*FCR_bonefree_incl_parents_PL</f>
        <v>4.5467420908238776E-6</v>
      </c>
      <c r="P50" s="33">
        <f>'N2O per kg feed'!O113*FCR_bonefree_incl_parents_PL</f>
        <v>0</v>
      </c>
      <c r="Q50" s="33">
        <f>'N2O per kg feed'!P113*FCR_bonefree_incl_parents_PL</f>
        <v>5.0059474170374712E-6</v>
      </c>
      <c r="R50" s="33">
        <f>'N2O per kg feed'!Q113*FCR_bonefree_incl_parents_PL</f>
        <v>3.3078370642528297E-6</v>
      </c>
      <c r="T50" s="48">
        <f>SUM(U50:V50)</f>
        <v>1.8145661753281187E-4</v>
      </c>
      <c r="U50" s="9">
        <f>Excreted_N_per_kg_of_bonefree_meat_PL*EF_N2O_manure_direct_PL*44/28</f>
        <v>6.724849628759288E-5</v>
      </c>
      <c r="V50" s="64">
        <f>(Excreted_N_per_kg_of_bonefree_meat_PL-U50*28/44)*EF_ammonia_PL*EF_N2O_manure_indirect_PL*44/28</f>
        <v>1.1420812124521899E-4</v>
      </c>
      <c r="W50" s="4">
        <f>Energy_stables_PL/Bonefree_outof_CW_PL*(Share_heating_PL*(Share_biofuels_PL*EF_biofuel_N2O+(1-Share_biofuels_PL)*EF_oil_N2O)+(1-Share_heating_PL)*EF_el_N2O_PL)</f>
        <v>6.2413830009090877E-6</v>
      </c>
      <c r="X50" s="12">
        <f>(Energy_slaughter_el_PL*EF_el_N2O_PL+Energy_slaughter_oil_PL*EF_oil_N2O)/Bonefree_outof_CW_PL</f>
        <v>9.4098498753246761E-6</v>
      </c>
      <c r="Z50" s="33"/>
      <c r="AA50" s="33"/>
    </row>
    <row r="51" spans="1:29" ht="15.6" thickTop="1" thickBot="1" x14ac:dyDescent="0.35">
      <c r="A51" s="172" t="s">
        <v>120</v>
      </c>
      <c r="B51" s="172" t="s">
        <v>121</v>
      </c>
      <c r="C51" s="173" t="s">
        <v>122</v>
      </c>
      <c r="D51" s="211" t="s">
        <v>28</v>
      </c>
      <c r="E51" s="37" t="s">
        <v>83</v>
      </c>
      <c r="F51" s="175" t="s">
        <v>127</v>
      </c>
      <c r="G51" s="186">
        <f t="shared" si="2"/>
        <v>2.0362176644441434</v>
      </c>
      <c r="H51" s="176">
        <f>SUMPRODUCT(H47:H50,'Parameters, general'!$B$14:$B$17)</f>
        <v>0.23803530641059373</v>
      </c>
      <c r="I51" s="176">
        <f>SUMPRODUCT(I47:I50,'Parameters, general'!$B$14:$B$17)</f>
        <v>9.0380114167463596E-2</v>
      </c>
      <c r="J51" s="176">
        <f>SUMPRODUCT(J47:J50,'Parameters, general'!$B$14:$B$17)</f>
        <v>0.32457011304682759</v>
      </c>
      <c r="K51" s="176">
        <f>SUMPRODUCT(K47:K50,'Parameters, general'!$B$14:$B$17)</f>
        <v>3.2457011304682759E-2</v>
      </c>
      <c r="L51" s="176">
        <f>SUMPRODUCT(L47:L50,'Parameters, general'!$B$14:$B$17)</f>
        <v>0.13168643672322716</v>
      </c>
      <c r="M51" s="176">
        <f>SUMPRODUCT(M47:M50,'Parameters, general'!$B$14:$B$17)</f>
        <v>0</v>
      </c>
      <c r="N51" s="176">
        <f>SUMPRODUCT(N47:N50,'Parameters, general'!$B$14:$B$17)</f>
        <v>9.7440051294953923E-4</v>
      </c>
      <c r="O51" s="176">
        <f>SUMPRODUCT(O47:O50,'Parameters, general'!$B$14:$B$17)</f>
        <v>0.15985879297689648</v>
      </c>
      <c r="P51" s="176">
        <f>SUMPRODUCT(P47:P50,'Parameters, general'!$B$14:$B$17)</f>
        <v>0.10943919104259656</v>
      </c>
      <c r="Q51" s="176">
        <f>SUMPRODUCT(Q47:Q50,'Parameters, general'!$B$14:$B$17)</f>
        <v>1.7041066903285183E-2</v>
      </c>
      <c r="R51" s="176">
        <f>SUMPRODUCT(R47:R50,'Parameters, general'!$B$14:$B$17)</f>
        <v>9.6323149723153562E-2</v>
      </c>
      <c r="S51" s="176">
        <f>SUMPRODUCT(S47:S50,'Parameters, general'!$B$14:$B$17)</f>
        <v>0</v>
      </c>
      <c r="T51" s="176">
        <f>SUMPRODUCT(T47:T50,'Parameters, general'!$B$14:$B$17)</f>
        <v>0.13869379537724535</v>
      </c>
      <c r="U51" s="177"/>
      <c r="V51" s="177"/>
      <c r="W51" s="176">
        <f>SUMPRODUCT(W47:W50,'Parameters, general'!$B$14:$B$17)</f>
        <v>0.1507493227417642</v>
      </c>
      <c r="X51" s="176">
        <f>SUMPRODUCT(X47:X50,'Parameters, general'!$B$14:$B$17)</f>
        <v>0.54600896351345796</v>
      </c>
      <c r="Z51" s="115">
        <f>SUM(H51:R51)</f>
        <v>1.2007655828116759</v>
      </c>
      <c r="AA51" s="210">
        <f>'CO2 per kg feed'!F113+'CH4 per kg feed'!F113*CF_GWP_CH4_fossil+'N2O per kg feed'!F113*CF_GWP_N2O</f>
        <v>0.42545943255561613</v>
      </c>
    </row>
    <row r="52" spans="1:29" ht="15" thickTop="1" x14ac:dyDescent="0.3">
      <c r="A52" s="178" t="s">
        <v>120</v>
      </c>
      <c r="B52" s="178" t="s">
        <v>121</v>
      </c>
      <c r="C52" s="179" t="s">
        <v>122</v>
      </c>
      <c r="D52" t="s">
        <v>37</v>
      </c>
      <c r="E52" s="163" t="s">
        <v>84</v>
      </c>
      <c r="F52" s="180" t="s">
        <v>123</v>
      </c>
      <c r="G52" s="181">
        <f>SUM(H52:X52)</f>
        <v>1.0417050786071167</v>
      </c>
      <c r="H52" s="181">
        <f>'CO2 per kg feed'!G125*FCR_bonefree_incl_parents_ES-Excreted_N_after_losses_ES*Manure_repl_factor_ES*(EF_min_fert_BAT_CO2*Frac_BAT_ES+EF_min_fert_AN_CO2*Frac_AN_ES)</f>
        <v>9.9951183948770742E-2</v>
      </c>
      <c r="I52" s="181">
        <f>'CO2 per kg feed'!H125*FCR_bonefree_incl_parents_ES</f>
        <v>8.1798311357871634E-2</v>
      </c>
      <c r="J52" s="181">
        <f>'CO2 per kg feed'!I125*FCR_bonefree_incl_parents_ES</f>
        <v>0</v>
      </c>
      <c r="K52" s="181"/>
      <c r="L52" s="181">
        <f>'CO2 per kg feed'!K125*FCR_bonefree_incl_parents_ES</f>
        <v>0.13617480825735256</v>
      </c>
      <c r="M52" s="181"/>
      <c r="N52" s="181">
        <f>'CO2 per kg feed'!M125*FCR_bonefree_incl_parents_ES</f>
        <v>3.4723120639342714E-2</v>
      </c>
      <c r="O52" s="181">
        <f>'CO2 per kg feed'!N125*FCR_bonefree_incl_parents_ES</f>
        <v>0.11672871452569965</v>
      </c>
      <c r="P52" s="181">
        <f>'CO2 per kg feed'!O125*FCR_bonefree_incl_parents_ES</f>
        <v>0.17943027040143328</v>
      </c>
      <c r="Q52" s="181">
        <f>'CO2 per kg feed'!P125*FCR_bonefree_incl_parents_ES</f>
        <v>2.1254173266292253E-2</v>
      </c>
      <c r="R52" s="181">
        <f>'CO2 per kg feed'!Q125*FCR_bonefree_incl_parents_ES</f>
        <v>0.14597586211155766</v>
      </c>
      <c r="S52" s="162"/>
      <c r="T52" s="162"/>
      <c r="U52" s="182"/>
      <c r="V52" s="182"/>
      <c r="W52" s="183">
        <f>Energy_stables_ES/Bonefree_outof_CW_ES*(Share_heating_ES*(Share_biofuels_ES*EF_biofuels_CO2+(1-Share_biofuels_ES)*EF_oil_CO2)+(1-Share_heating_ES)*EF_el_CO2_ES)</f>
        <v>7.8855189217809096E-2</v>
      </c>
      <c r="X52" s="184">
        <f>(Energy_slaughter_el_ES*EF_el_CO2_ES+Energy_slaughter_oil_ES*EF_oil_CO2)/Bonefree_outof_CW_ES</f>
        <v>0.14681344488098702</v>
      </c>
      <c r="Z52" s="20"/>
      <c r="AA52" s="20"/>
    </row>
    <row r="53" spans="1:29" x14ac:dyDescent="0.3">
      <c r="A53" s="13" t="s">
        <v>120</v>
      </c>
      <c r="B53" s="13" t="s">
        <v>121</v>
      </c>
      <c r="C53" s="17" t="s">
        <v>122</v>
      </c>
      <c r="D53" t="s">
        <v>37</v>
      </c>
      <c r="E53" s="18" t="s">
        <v>84</v>
      </c>
      <c r="F53" s="13" t="s">
        <v>124</v>
      </c>
      <c r="G53" s="33">
        <f>SUM(H53:X53)</f>
        <v>1.5090294734024876E-3</v>
      </c>
      <c r="H53" s="34">
        <f>'CH4 per kg feed'!G125*FCR_bonefree_incl_parents_ES-Excreted_N_after_losses_ES*Manure_repl_factor_ES*(EF_min_fert_BAT_CH4*Frac_BAT_ES+EF_min_fert_AN_CH4*Frac_AN_ES)</f>
        <v>2.0118114346470879E-4</v>
      </c>
      <c r="I53" s="34">
        <f>'CH4 per kg feed'!H125*FCR_bonefree_incl_parents_ES</f>
        <v>3.1379744348390318E-4</v>
      </c>
      <c r="J53" s="34"/>
      <c r="K53" s="34"/>
      <c r="L53" s="34">
        <f>'CH4 per kg feed'!K125*FCR_bonefree_incl_parents_ES</f>
        <v>6.0444429056990246E-5</v>
      </c>
      <c r="M53" s="34"/>
      <c r="N53" s="34">
        <f>'CH4 per kg feed'!M125*FCR_bonefree_incl_parents_ES</f>
        <v>1.1374409324497328E-4</v>
      </c>
      <c r="O53" s="34">
        <f>'CH4 per kg feed'!N125*FCR_bonefree_incl_parents_ES</f>
        <v>8.7660975524989209E-5</v>
      </c>
      <c r="P53" s="34">
        <f>'CH4 per kg feed'!O125*FCR_bonefree_incl_parents_ES</f>
        <v>1.4863131654585744E-6</v>
      </c>
      <c r="Q53" s="34">
        <f>'CH4 per kg feed'!P125*FCR_bonefree_incl_parents_ES</f>
        <v>7.664084772807884E-5</v>
      </c>
      <c r="R53" s="34">
        <f>'CH4 per kg feed'!Q125*FCR_bonefree_incl_parents_ES</f>
        <v>1.186367372734892E-4</v>
      </c>
      <c r="W53" s="4">
        <f>Energy_stables_ES/Bonefree_outof_CW_ES*(Share_heating_ES*(Share_biofuels_ES*EF_biofuel_CH4+(1-Share_biofuels_ES)*EF_oil_CH4)+(1-Share_heating_ES)*EF_el_CH4_ES)</f>
        <v>1.0203862043599995E-4</v>
      </c>
      <c r="X53" s="12">
        <f>(Energy_slaughter_el_ES*EF_el_CH4_ES+Energy_slaughter_oil_ES*EF_oil_CH4)/Bonefree_outof_CW_ES</f>
        <v>4.3339887002389612E-4</v>
      </c>
      <c r="Z53" s="33"/>
      <c r="AA53" s="33"/>
    </row>
    <row r="54" spans="1:29" x14ac:dyDescent="0.3">
      <c r="A54" s="13" t="s">
        <v>120</v>
      </c>
      <c r="B54" s="13" t="s">
        <v>121</v>
      </c>
      <c r="C54" s="17" t="s">
        <v>122</v>
      </c>
      <c r="D54" t="s">
        <v>37</v>
      </c>
      <c r="E54" s="18" t="s">
        <v>84</v>
      </c>
      <c r="F54" s="13" t="s">
        <v>125</v>
      </c>
      <c r="G54" s="33">
        <f>SUM(H54:T54)+SUM(W54:X54)</f>
        <v>2.9891817315537664E-3</v>
      </c>
      <c r="H54" s="34"/>
      <c r="I54" s="34"/>
      <c r="J54" s="34"/>
      <c r="K54" s="34"/>
      <c r="L54" s="34"/>
      <c r="M54" s="34"/>
      <c r="N54" s="34"/>
      <c r="O54" s="34"/>
      <c r="P54" s="34"/>
      <c r="Q54" s="34"/>
      <c r="R54" s="34"/>
      <c r="T54" s="48">
        <f>SUM(U54:V54)</f>
        <v>2.9891817315537664E-3</v>
      </c>
      <c r="U54" s="64">
        <f>(Production!K40*(Slaughter_age_ES/365)+SUM(Production!K41:K44))*EF_CH4_manure_ES</f>
        <v>2.9891817315537664E-3</v>
      </c>
      <c r="W54" s="4"/>
      <c r="X54" s="12"/>
    </row>
    <row r="55" spans="1:29" ht="15" thickBot="1" x14ac:dyDescent="0.35">
      <c r="A55" s="13" t="s">
        <v>120</v>
      </c>
      <c r="B55" s="13" t="s">
        <v>121</v>
      </c>
      <c r="C55" s="17" t="s">
        <v>122</v>
      </c>
      <c r="D55" t="s">
        <v>37</v>
      </c>
      <c r="E55" s="18" t="s">
        <v>84</v>
      </c>
      <c r="F55" s="35" t="s">
        <v>126</v>
      </c>
      <c r="G55" s="33">
        <f>SUM(H55:T55)+SUM(W55:X55)</f>
        <v>1.3412119670456355E-3</v>
      </c>
      <c r="H55" s="34">
        <f>'N2O per kg feed'!G125*FCR_bonefree_incl_parents_ES-Excreted_N_after_losses_ES*Manure_repl_factor_ES*(EF_min_fert_BAT_N2O*Frac_BAT_ES+EF_min_fert_AN_N2O*Frac_AN_ES)</f>
        <v>2.2106914059151814E-4</v>
      </c>
      <c r="I55" s="33">
        <f>'N2O per kg feed'!H125*FCR_bonefree_incl_parents_ES</f>
        <v>3.0789653515266777E-6</v>
      </c>
      <c r="J55" s="33">
        <f>'N2O per kg feed'!I125*FCR_bonefree_incl_parents_ES-Excreted_N_after_losses_ES*Manure_repl_factor_ES*EF_N2O_diff_ES</f>
        <v>7.5092798864475599E-4</v>
      </c>
      <c r="K55" s="33">
        <f>J55*EF_indirect_N2O_ES</f>
        <v>7.5092798864475607E-5</v>
      </c>
      <c r="L55" s="33">
        <f>'N2O per kg feed'!K125*FCR_bonefree_incl_parents_ES</f>
        <v>3.6736123367901671E-6</v>
      </c>
      <c r="M55" s="33"/>
      <c r="N55" s="33">
        <f>'N2O per kg feed'!M125*FCR_bonefree_incl_parents_ES</f>
        <v>1.400160047224696E-6</v>
      </c>
      <c r="O55" s="33">
        <f>'N2O per kg feed'!N125*FCR_bonefree_incl_parents_ES</f>
        <v>4.318981519850372E-6</v>
      </c>
      <c r="P55" s="33">
        <f>'N2O per kg feed'!O125*FCR_bonefree_incl_parents_ES</f>
        <v>0</v>
      </c>
      <c r="Q55" s="33">
        <f>'N2O per kg feed'!P125*FCR_bonefree_incl_parents_ES</f>
        <v>7.8407366920810169E-6</v>
      </c>
      <c r="R55" s="33">
        <f>'N2O per kg feed'!Q125*FCR_bonefree_incl_parents_ES</f>
        <v>5.2548422745764931E-6</v>
      </c>
      <c r="T55" s="48">
        <f>SUM(U55:V55)</f>
        <v>2.5623770074413501E-4</v>
      </c>
      <c r="U55" s="9">
        <f>Excreted_N_per_kg_of_bonefree_meat_ES*EF_N2O_manure_direct_ES*44/28</f>
        <v>9.4962643421463519E-5</v>
      </c>
      <c r="V55" s="64">
        <f>(Excreted_N_per_kg_of_bonefree_meat_ES-U55*28/44)*EF_ammonia_ES*EF_N2O_manure_indirect_ES*44/28</f>
        <v>1.6127505732267152E-4</v>
      </c>
      <c r="W55" s="4">
        <f>Energy_stables_ES/Bonefree_outof_CW_ES*(Share_heating_ES*(Share_biofuels_ES*EF_biofuel_N2O+(1-Share_biofuels_ES)*EF_oil_N2O)+(1-Share_heating_ES)*EF_el_N2O_ES)</f>
        <v>5.7448010799999976E-6</v>
      </c>
      <c r="X55" s="12">
        <f>(Energy_slaughter_el_ES*EF_el_N2O_ES+Energy_slaughter_oil_ES*EF_oil_N2O)/Bonefree_outof_CW_ES</f>
        <v>6.5722388987012982E-6</v>
      </c>
      <c r="Z55" s="33"/>
      <c r="AA55" s="33"/>
    </row>
    <row r="56" spans="1:29" ht="15.6" thickTop="1" thickBot="1" x14ac:dyDescent="0.35">
      <c r="A56" s="172" t="s">
        <v>120</v>
      </c>
      <c r="B56" s="172" t="s">
        <v>121</v>
      </c>
      <c r="C56" s="173" t="s">
        <v>122</v>
      </c>
      <c r="D56" s="211" t="s">
        <v>37</v>
      </c>
      <c r="E56" s="174" t="s">
        <v>84</v>
      </c>
      <c r="F56" s="175" t="s">
        <v>127</v>
      </c>
      <c r="G56" s="186">
        <f>SUM(H56:X56)</f>
        <v>1.533532930669921</v>
      </c>
      <c r="H56" s="321">
        <f>SUMPRODUCT(H52:H55,'Parameters, general'!$B$14:$B$17)</f>
        <v>0.16629825740550352</v>
      </c>
      <c r="I56" s="321">
        <f>SUMPRODUCT(I52:I55,'Parameters, general'!$B$14:$B$17)</f>
        <v>9.199003271465872E-2</v>
      </c>
      <c r="J56" s="321">
        <f>SUMPRODUCT(J52:J55,'Parameters, general'!$B$14:$B$17)</f>
        <v>0.20500334090001837</v>
      </c>
      <c r="K56" s="321">
        <f>SUMPRODUCT(K52:K55,'Parameters, general'!$B$14:$B$17)</f>
        <v>2.0500334090001841E-2</v>
      </c>
      <c r="L56" s="321">
        <f>SUMPRODUCT(L52:L55,'Parameters, general'!$B$14:$B$17)</f>
        <v>0.1389789484111946</v>
      </c>
      <c r="M56" s="321">
        <f>SUMPRODUCT(M52:M55,'Parameters, general'!$B$14:$B$17)</f>
        <v>0</v>
      </c>
      <c r="N56" s="321">
        <f>SUMPRODUCT(N52:N55,'Parameters, general'!$B$14:$B$17)</f>
        <v>3.8494938310935263E-2</v>
      </c>
      <c r="O56" s="321">
        <f>SUMPRODUCT(O52:O55,'Parameters, general'!$B$14:$B$17)</f>
        <v>0.12052009355126349</v>
      </c>
      <c r="P56" s="321">
        <f>SUMPRODUCT(P52:P55,'Parameters, general'!$B$14:$B$17)</f>
        <v>0.17947456253376395</v>
      </c>
      <c r="Q56" s="321">
        <f>SUMPRODUCT(Q52:Q55,'Parameters, general'!$B$14:$B$17)</f>
        <v>2.5678591645527122E-2</v>
      </c>
      <c r="R56" s="321">
        <f>SUMPRODUCT(R52:R55,'Parameters, general'!$B$14:$B$17)</f>
        <v>0.15094580882326702</v>
      </c>
      <c r="S56" s="321">
        <f>SUMPRODUCT(S52:S55,'Parameters, general'!$B$14:$B$17)</f>
        <v>0</v>
      </c>
      <c r="T56" s="321">
        <f>SUMPRODUCT(T52:T55,'Parameters, general'!$B$14:$B$17)</f>
        <v>0.15066079905510055</v>
      </c>
      <c r="U56" s="321"/>
      <c r="V56" s="321"/>
      <c r="W56" s="321">
        <f>SUMPRODUCT(W52:W55,'Parameters, general'!$B$14:$B$17)</f>
        <v>8.3464270801641899E-2</v>
      </c>
      <c r="X56" s="321">
        <f>SUMPRODUCT(X52:X55,'Parameters, general'!$B$14:$B$17)</f>
        <v>0.16152295242704456</v>
      </c>
      <c r="Z56" s="115">
        <f>SUM(H56:R56)</f>
        <v>1.137884908386134</v>
      </c>
      <c r="AA56" s="210" t="e">
        <f>'CO2 per kg feed'!#REF!+'CH4 per kg feed'!#REF!*CF_GWP_CH4_fossil+'N2O per kg feed'!#REF!*CF_GWP_N2O</f>
        <v>#REF!</v>
      </c>
    </row>
    <row r="57" spans="1:29" ht="15" thickTop="1" x14ac:dyDescent="0.3">
      <c r="A57" s="13" t="s">
        <v>120</v>
      </c>
      <c r="B57" s="13" t="s">
        <v>121</v>
      </c>
      <c r="C57" s="17" t="s">
        <v>122</v>
      </c>
      <c r="D57" s="18" t="s">
        <v>34</v>
      </c>
      <c r="E57" s="18" t="s">
        <v>85</v>
      </c>
      <c r="F57" s="36" t="s">
        <v>123</v>
      </c>
      <c r="G57" s="181">
        <f>SUM(H57:X57)</f>
        <v>0.96137293425267856</v>
      </c>
      <c r="H57" s="20">
        <f>'CO2 per kg feed'!G137*FCR_bonefree_incl_parents_SE-Excreted_N_after_losses_SE*Manure_repl_factor_SE*(EF_min_fert_BAT_CO2*Frac_BAT_SE+EF_min_fert_AN_CO2*Frac_AN_SE)</f>
        <v>0.15557897468160156</v>
      </c>
      <c r="I57" s="20">
        <f>'CO2 per kg feed'!H137*FCR_bonefree_incl_parents_SE</f>
        <v>8.1376058230981721E-2</v>
      </c>
      <c r="J57" s="20">
        <f>'CO2 per kg feed'!I137*FCR_bonefree_incl_parents_SE</f>
        <v>0</v>
      </c>
      <c r="K57" s="20"/>
      <c r="L57" s="20">
        <f>'CO2 per kg feed'!K137*FCR_bonefree_incl_parents_SE</f>
        <v>0.10890908180342121</v>
      </c>
      <c r="M57" s="20"/>
      <c r="N57" s="20">
        <f>'CO2 per kg feed'!M137*FCR_bonefree_incl_parents_SE</f>
        <v>6.5424829481218786E-4</v>
      </c>
      <c r="O57" s="20">
        <f>'CO2 per kg feed'!N137*FCR_bonefree_incl_parents_SE</f>
        <v>0.11219292938121507</v>
      </c>
      <c r="P57" s="20">
        <f>'CO2 per kg feed'!O137*FCR_bonefree_incl_parents_SE</f>
        <v>0.19351823709175994</v>
      </c>
      <c r="Q57" s="20">
        <f>'CO2 per kg feed'!P137*FCR_bonefree_incl_parents_SE</f>
        <v>2.6129814366563753E-2</v>
      </c>
      <c r="R57" s="20">
        <f>'CO2 per kg feed'!Q137*FCR_bonefree_incl_parents_SE</f>
        <v>0.16701044797066569</v>
      </c>
      <c r="W57" s="4">
        <f>Energy_stables_SE/Bonefree_outof_CW_SE*(Share_heating_SE*(Share_biofuels_SE*EF_biofuels_CO2+(1-Share_biofuels_SE)*EF_oil_CO2)+(1-Share_heating_SE)*EF_el_CO2_SE)</f>
        <v>6.2522030884405472E-2</v>
      </c>
      <c r="X57" s="12">
        <f>(Energy_slaughter_el_SE*EF_el_CO2_SE+Energy_slaughter_oil_SE*EF_oil_CO2)/Bonefree_outof_CW_SE</f>
        <v>5.3481111547251943E-2</v>
      </c>
    </row>
    <row r="58" spans="1:29" x14ac:dyDescent="0.3">
      <c r="A58" s="13" t="s">
        <v>120</v>
      </c>
      <c r="B58" s="13" t="s">
        <v>121</v>
      </c>
      <c r="C58" s="17" t="s">
        <v>122</v>
      </c>
      <c r="D58" s="18" t="s">
        <v>34</v>
      </c>
      <c r="E58" s="18" t="s">
        <v>85</v>
      </c>
      <c r="F58" s="13" t="s">
        <v>124</v>
      </c>
      <c r="G58" s="33">
        <f>SUM(H58:X58)</f>
        <v>9.6050213917710605E-4</v>
      </c>
      <c r="H58" s="34">
        <f>'CH4 per kg feed'!G137*FCR_bonefree_incl_parents_SE-Excreted_N_after_losses_SE*Manure_repl_factor_SE*(EF_min_fert_BAT_CH4*Frac_BAT_SE+EF_min_fert_AN_CH4*Frac_AN_SE)</f>
        <v>2.220350539325972E-4</v>
      </c>
      <c r="I58" s="34">
        <f>'CH4 per kg feed'!H137*FCR_bonefree_incl_parents_SE</f>
        <v>3.2952273395827578E-4</v>
      </c>
      <c r="J58" s="34"/>
      <c r="K58" s="34"/>
      <c r="L58" s="34">
        <f>'CH4 per kg feed'!K137*FCR_bonefree_incl_parents_SE</f>
        <v>4.8163740672674797E-5</v>
      </c>
      <c r="M58" s="34"/>
      <c r="N58" s="34">
        <f>'CH4 per kg feed'!M137*FCR_bonefree_incl_parents_SE</f>
        <v>4.4105911402471734E-7</v>
      </c>
      <c r="O58" s="34">
        <f>'CH4 per kg feed'!N137*FCR_bonefree_incl_parents_SE</f>
        <v>4.6537721899329755E-5</v>
      </c>
      <c r="P58" s="34">
        <f>'CH4 per kg feed'!O137*FCR_bonefree_incl_parents_SE</f>
        <v>5.0097343446832216E-6</v>
      </c>
      <c r="Q58" s="34">
        <f>'CH4 per kg feed'!P137*FCR_bonefree_incl_parents_SE</f>
        <v>9.1296546030137366E-5</v>
      </c>
      <c r="R58" s="34">
        <f>'CH4 per kg feed'!Q137*FCR_bonefree_incl_parents_SE</f>
        <v>1.2795150004578341E-4</v>
      </c>
      <c r="W58" s="4">
        <f>Energy_stables_SE/Bonefree_outof_CW_SE*(Share_heating_SE*(Share_biofuels_SE*EF_biofuel_CH4+(1-Share_biofuels_SE)*EF_oil_CH4)+(1-Share_heating_SE)*EF_el_CH4_SE)</f>
        <v>3.5628958968721792E-5</v>
      </c>
      <c r="X58" s="12">
        <f>(Energy_slaughter_el_SE*EF_el_CH4_SE+Energy_slaughter_oil_SE*EF_oil_CH4)/Bonefree_outof_CW_SE</f>
        <v>5.3915090210877913E-5</v>
      </c>
    </row>
    <row r="59" spans="1:29" x14ac:dyDescent="0.3">
      <c r="A59" s="13" t="s">
        <v>120</v>
      </c>
      <c r="B59" s="13" t="s">
        <v>121</v>
      </c>
      <c r="C59" s="17" t="s">
        <v>122</v>
      </c>
      <c r="D59" s="18" t="s">
        <v>34</v>
      </c>
      <c r="E59" s="18" t="s">
        <v>85</v>
      </c>
      <c r="F59" s="13" t="s">
        <v>125</v>
      </c>
      <c r="G59" s="33">
        <f>SUM(H59:T59)+SUM(W59:X59)</f>
        <v>2.2013861429824129E-3</v>
      </c>
      <c r="H59" s="34"/>
      <c r="I59" s="34"/>
      <c r="J59" s="34"/>
      <c r="K59" s="34"/>
      <c r="L59" s="34"/>
      <c r="M59" s="34"/>
      <c r="N59" s="34"/>
      <c r="O59" s="34"/>
      <c r="P59" s="34"/>
      <c r="Q59" s="34"/>
      <c r="R59" s="34"/>
      <c r="T59" s="48">
        <f>SUM(U59:V59)</f>
        <v>2.2013861429824129E-3</v>
      </c>
      <c r="U59" s="64">
        <f>(Production!L40*(Slaughter_age_SE/365)+SUM(Production!L41:L44))*EF_CH4_manure_SE</f>
        <v>2.2013861429824129E-3</v>
      </c>
      <c r="W59" s="4"/>
      <c r="X59" s="12"/>
    </row>
    <row r="60" spans="1:29" ht="15" thickBot="1" x14ac:dyDescent="0.35">
      <c r="A60" s="13" t="s">
        <v>120</v>
      </c>
      <c r="B60" s="13" t="s">
        <v>121</v>
      </c>
      <c r="C60" s="17" t="s">
        <v>122</v>
      </c>
      <c r="D60" s="18" t="s">
        <v>34</v>
      </c>
      <c r="E60" s="18" t="s">
        <v>85</v>
      </c>
      <c r="F60" s="35" t="s">
        <v>126</v>
      </c>
      <c r="G60" s="33">
        <f>SUM(H60:T60)+SUM(W60:X60)</f>
        <v>2.2745219902505758E-3</v>
      </c>
      <c r="H60" s="34">
        <f>'N2O per kg feed'!G137*FCR_bonefree_incl_parents_SE-Excreted_N_after_losses_SE*Manure_repl_factor_SE*(EF_min_fert_BAT_N2O*Frac_BAT_SE+EF_min_fert_AN_N2O*Frac_AN_SE)</f>
        <v>3.2636270923727201E-4</v>
      </c>
      <c r="I60" s="33">
        <f>'N2O per kg feed'!H137*FCR_bonefree_incl_parents_SE</f>
        <v>3.0765537974457709E-6</v>
      </c>
      <c r="J60" s="33">
        <f>'N2O per kg feed'!I137*FCR_bonefree_incl_parents_SE-Excreted_N_after_losses_SE*Manure_repl_factor_SE*EF_N2O_diff_SE</f>
        <v>1.6264595862209468E-3</v>
      </c>
      <c r="K60" s="33">
        <f>J60*EF_indirect_N2O_SE</f>
        <v>1.6264595862209468E-4</v>
      </c>
      <c r="L60" s="33">
        <f>'N2O per kg feed'!K137*FCR_bonefree_incl_parents_SE</f>
        <v>2.9309947251330754E-6</v>
      </c>
      <c r="M60" s="33"/>
      <c r="N60" s="33">
        <f>'N2O per kg feed'!M137*FCR_bonefree_incl_parents_SE</f>
        <v>3.7930631048308945E-8</v>
      </c>
      <c r="O60" s="33">
        <f>'N2O per kg feed'!N137*FCR_bonefree_incl_parents_SE</f>
        <v>4.2098361657773456E-6</v>
      </c>
      <c r="P60" s="33">
        <f>'N2O per kg feed'!O137*FCR_bonefree_incl_parents_SE</f>
        <v>0</v>
      </c>
      <c r="Q60" s="33">
        <f>'N2O per kg feed'!P137*FCR_bonefree_incl_parents_SE</f>
        <v>9.051847241045052E-6</v>
      </c>
      <c r="R60" s="33">
        <f>'N2O per kg feed'!Q137*FCR_bonefree_incl_parents_SE</f>
        <v>5.9442795315411799E-6</v>
      </c>
      <c r="T60" s="48">
        <f>SUM(U60:V60)</f>
        <v>1.2390587072060898E-4</v>
      </c>
      <c r="U60" s="9">
        <f>Excreted_N_per_kg_of_bonefree_meat_SE*EF_N2O_manure_direct_SE*44/28</f>
        <v>4.5919975807215269E-5</v>
      </c>
      <c r="V60" s="64">
        <f>(Excreted_N_per_kg_of_bonefree_meat_SE-U60*28/44)*EF_ammonia_SE*EF_N2O_manure_indirect_SE*44/28</f>
        <v>7.7985894913393708E-5</v>
      </c>
      <c r="W60" s="4">
        <f>Energy_stables_SE/Bonefree_outof_CW_SE*(Share_heating_SE*(Share_biofuels_SE*EF_biofuel_N2O+(1-Share_biofuels_SE)*EF_oil_N2O)+(1-Share_heating_SE)*EF_el_N2O_SE)</f>
        <v>5.3842837109090881E-6</v>
      </c>
      <c r="X60" s="12">
        <f>(Energy_slaughter_el_SE*EF_el_N2O_SE+Energy_slaughter_oil_SE*EF_oil_N2O)/Bonefree_outof_CW_SE</f>
        <v>4.5121396467532456E-6</v>
      </c>
    </row>
    <row r="61" spans="1:29" ht="15.6" thickTop="1" thickBot="1" x14ac:dyDescent="0.35">
      <c r="A61" s="52" t="s">
        <v>120</v>
      </c>
      <c r="B61" s="52" t="s">
        <v>121</v>
      </c>
      <c r="C61" s="73" t="s">
        <v>122</v>
      </c>
      <c r="D61" s="37" t="s">
        <v>34</v>
      </c>
      <c r="E61" s="37" t="s">
        <v>85</v>
      </c>
      <c r="F61" s="38" t="s">
        <v>127</v>
      </c>
      <c r="G61" s="186">
        <f>SUM(H61:X61)</f>
        <v>1.6703778271990886</v>
      </c>
      <c r="H61" s="225">
        <f>SUMPRODUCT(H57:H60,'Parameters, general'!$B$14:$B$17)</f>
        <v>0.25129263891056819</v>
      </c>
      <c r="I61" s="176">
        <f>SUMPRODUCT(I57:I60,'Parameters, general'!$B$14:$B$17)</f>
        <v>9.2035734889641035E-2</v>
      </c>
      <c r="J61" s="176">
        <f>SUMPRODUCT(J57:J60,'Parameters, general'!$B$14:$B$17)</f>
        <v>0.44402346703831846</v>
      </c>
      <c r="K61" s="176">
        <f>SUMPRODUCT(K57:K60,'Parameters, general'!$B$14:$B$17)</f>
        <v>4.4402346703831849E-2</v>
      </c>
      <c r="L61" s="176">
        <f>SUMPRODUCT(L57:L60,'Parameters, general'!$B$14:$B$17)</f>
        <v>0.11114452283542825</v>
      </c>
      <c r="M61" s="176">
        <f>SUMPRODUCT(M57:M60,'Parameters, general'!$B$14:$B$17)</f>
        <v>0</v>
      </c>
      <c r="N61" s="176">
        <f>SUMPRODUCT(N57:N60,'Parameters, general'!$B$14:$B$17)</f>
        <v>6.777469186863128E-4</v>
      </c>
      <c r="O61" s="176">
        <f>SUMPRODUCT(O57:O60,'Parameters, general'!$B$14:$B$17)</f>
        <v>0.1147290387670723</v>
      </c>
      <c r="P61" s="176">
        <f>SUMPRODUCT(P57:P60,'Parameters, general'!$B$14:$B$17)</f>
        <v>0.1936675271752315</v>
      </c>
      <c r="Q61" s="176">
        <f>SUMPRODUCT(Q57:Q60,'Parameters, general'!$B$14:$B$17)</f>
        <v>3.1321605735067148E-2</v>
      </c>
      <c r="R61" s="176">
        <f>SUMPRODUCT(R57:R60,'Parameters, general'!$B$14:$B$17)</f>
        <v>0.17244619098414077</v>
      </c>
      <c r="S61" s="176">
        <f>SUMPRODUCT(S57:S60,'Parameters, general'!$B$14:$B$17)</f>
        <v>0</v>
      </c>
      <c r="T61" s="176">
        <f>SUMPRODUCT(T57:T60,'Parameters, general'!$B$14:$B$17)</f>
        <v>9.3263728567251403E-2</v>
      </c>
      <c r="U61" s="177"/>
      <c r="V61" s="177"/>
      <c r="W61" s="176">
        <f>SUMPRODUCT(W57:W60,'Parameters, general'!$B$14:$B$17)</f>
        <v>6.5053683314751559E-2</v>
      </c>
      <c r="X61" s="176">
        <f>SUMPRODUCT(X57:X60,'Parameters, general'!$B$14:$B$17)</f>
        <v>5.6319595359099743E-2</v>
      </c>
      <c r="Z61" s="115">
        <f>SUM(H61:R61)</f>
        <v>1.4557408199579858</v>
      </c>
      <c r="AA61" s="210">
        <f>'CO2 per kg feed'!F137+'CH4 per kg feed'!F137*CF_GWP_CH4_fossil+'N2O per kg feed'!F137*CF_GWP_N2O</f>
        <v>0.47923224051590563</v>
      </c>
      <c r="AC61" s="319"/>
    </row>
    <row r="62" spans="1:29" ht="15" thickTop="1" x14ac:dyDescent="0.3">
      <c r="A62" s="178" t="s">
        <v>120</v>
      </c>
      <c r="B62" s="178" t="s">
        <v>121</v>
      </c>
      <c r="C62" s="179" t="s">
        <v>122</v>
      </c>
      <c r="D62" s="163" t="s">
        <v>26</v>
      </c>
      <c r="E62" s="163" t="s">
        <v>86</v>
      </c>
      <c r="F62" s="180" t="s">
        <v>123</v>
      </c>
      <c r="G62" s="181">
        <f>SUM(H62:X62)</f>
        <v>1.1766977238000227</v>
      </c>
      <c r="H62" s="20">
        <f>'CO2 per kg feed'!G149*FCR_bonefree_incl_parents_GB-Excreted_N_after_losses_GB*Manure_repl_factor_GB*(EF_min_fert_BAT_CO2*Frac_BAT_GB+EF_min_fert_AN_CO2*Frac_AN_GB)</f>
        <v>0.17650024797500843</v>
      </c>
      <c r="I62" s="20">
        <f>'CO2 per kg feed'!H149*FCR_bonefree_incl_parents_GB</f>
        <v>7.9273942911501846E-2</v>
      </c>
      <c r="J62" s="20">
        <f>'CO2 per kg feed'!I149*FCR_bonefree_incl_parents_GB</f>
        <v>0</v>
      </c>
      <c r="K62" s="20"/>
      <c r="L62" s="20">
        <f>'CO2 per kg feed'!K149*FCR_bonefree_incl_parents_GB</f>
        <v>9.8977904779885967E-2</v>
      </c>
      <c r="M62" s="20"/>
      <c r="N62" s="20">
        <f>'CO2 per kg feed'!M149*FCR_bonefree_incl_parents_GB</f>
        <v>2.9931955172999284E-4</v>
      </c>
      <c r="O62" s="20">
        <f>'CO2 per kg feed'!N149*FCR_bonefree_incl_parents_GB</f>
        <v>0.12445047162013394</v>
      </c>
      <c r="P62" s="20">
        <f>'CO2 per kg feed'!O149*FCR_bonefree_incl_parents_GB</f>
        <v>0.19388172665675926</v>
      </c>
      <c r="Q62" s="20">
        <f>'CO2 per kg feed'!P149*FCR_bonefree_incl_parents_GB</f>
        <v>2.8017113589711984E-2</v>
      </c>
      <c r="R62" s="20">
        <f>'CO2 per kg feed'!Q149*FCR_bonefree_incl_parents_GB</f>
        <v>0.17281168139074457</v>
      </c>
      <c r="W62" s="4">
        <f>Energy_stables_GB/Bonefree_outof_CW_GB*(Share_heating_GB*(Share_biofuels_GB*EF_biofuels_CO2+(1-Share_biofuels_GB)*EF_oil_CO2)+(1-Share_heating_GB)*EF_el_CO2_GB)</f>
        <v>9.0295971528027277E-2</v>
      </c>
      <c r="X62" s="12">
        <f>(Energy_slaughter_el_GB*EF_el_CO2_GB+Energy_slaughter_oil_GB*EF_oil_CO2)/Bonefree_outof_CW_GB</f>
        <v>0.21218934379651946</v>
      </c>
    </row>
    <row r="63" spans="1:29" x14ac:dyDescent="0.3">
      <c r="A63" s="13" t="s">
        <v>120</v>
      </c>
      <c r="B63" s="13" t="s">
        <v>121</v>
      </c>
      <c r="C63" s="17" t="s">
        <v>122</v>
      </c>
      <c r="D63" s="18" t="s">
        <v>26</v>
      </c>
      <c r="E63" s="18" t="s">
        <v>86</v>
      </c>
      <c r="F63" s="13" t="s">
        <v>124</v>
      </c>
      <c r="G63" s="33">
        <f>SUM(H63:X63)</f>
        <v>1.4064880236185147E-3</v>
      </c>
      <c r="H63" s="34">
        <f>'CH4 per kg feed'!G149*FCR_bonefree_incl_parents_GB-Excreted_N_after_losses_GB*Manure_repl_factor_GB*(EF_min_fert_BAT_CH4*Frac_BAT_GB+EF_min_fert_AN_CH4*Frac_AN_GB)</f>
        <v>3.4874528091768502E-4</v>
      </c>
      <c r="I63" s="34">
        <f>'CH4 per kg feed'!H149*FCR_bonefree_incl_parents_GB</f>
        <v>3.3542329761884846E-4</v>
      </c>
      <c r="J63" s="34"/>
      <c r="K63" s="34"/>
      <c r="L63" s="34">
        <f>'CH4 per kg feed'!K149*FCR_bonefree_incl_parents_GB</f>
        <v>4.3613516449593734E-5</v>
      </c>
      <c r="M63" s="34"/>
      <c r="N63" s="34">
        <f>'CH4 per kg feed'!M149*FCR_bonefree_incl_parents_GB</f>
        <v>8.6863151664387655E-7</v>
      </c>
      <c r="O63" s="34">
        <f>'CH4 per kg feed'!N149*FCR_bonefree_incl_parents_GB</f>
        <v>7.1347446486929873E-5</v>
      </c>
      <c r="P63" s="34">
        <f>'CH4 per kg feed'!O149*FCR_bonefree_incl_parents_GB</f>
        <v>6.9719218565038649E-6</v>
      </c>
      <c r="Q63" s="34">
        <f>'CH4 per kg feed'!P149*FCR_bonefree_incl_parents_GB</f>
        <v>9.6419582084560931E-5</v>
      </c>
      <c r="R63" s="34">
        <f>'CH4 per kg feed'!Q149*FCR_bonefree_incl_parents_GB</f>
        <v>1.2819183416514911E-4</v>
      </c>
      <c r="W63" s="4">
        <f>Energy_stables_GB/Bonefree_outof_CW_GB*(Share_heating_GB*(Share_biofuels_GB*EF_biofuel_CH4+(1-Share_biofuels_GB)*EF_oil_CH4)+(1-Share_heating_GB)*EF_el_CH4_GB)</f>
        <v>7.8129751381509052E-5</v>
      </c>
      <c r="X63" s="12">
        <f>(Energy_slaughter_el_GB*EF_el_CH4_GB+Energy_slaughter_oil_GB*EF_oil_CH4)/Bonefree_outof_CW_GB</f>
        <v>2.9677676114109092E-4</v>
      </c>
    </row>
    <row r="64" spans="1:29" x14ac:dyDescent="0.3">
      <c r="A64" s="13" t="s">
        <v>120</v>
      </c>
      <c r="B64" s="13" t="s">
        <v>121</v>
      </c>
      <c r="C64" s="17" t="s">
        <v>122</v>
      </c>
      <c r="D64" s="18" t="s">
        <v>26</v>
      </c>
      <c r="E64" s="18" t="s">
        <v>86</v>
      </c>
      <c r="F64" s="13" t="s">
        <v>125</v>
      </c>
      <c r="G64" s="33">
        <f>SUM(H64:T64)+SUM(W64:X64)</f>
        <v>2.2013861429824129E-3</v>
      </c>
      <c r="H64" s="34"/>
      <c r="I64" s="34"/>
      <c r="J64" s="34"/>
      <c r="K64" s="34"/>
      <c r="L64" s="34"/>
      <c r="M64" s="34"/>
      <c r="N64" s="34"/>
      <c r="O64" s="34"/>
      <c r="P64" s="34"/>
      <c r="Q64" s="34"/>
      <c r="R64" s="34"/>
      <c r="T64" s="48">
        <f>SUM(U64:V64)</f>
        <v>2.2013861429824129E-3</v>
      </c>
      <c r="U64" s="64">
        <f>(Production!M40*(Slaughter_age_GB/365)+SUM(Production!M41:M44))*EF_CH4_manure_GB</f>
        <v>2.2013861429824129E-3</v>
      </c>
      <c r="W64" s="4"/>
      <c r="X64" s="12"/>
    </row>
    <row r="65" spans="1:27" ht="15" thickBot="1" x14ac:dyDescent="0.35">
      <c r="A65" s="13" t="s">
        <v>120</v>
      </c>
      <c r="B65" s="13" t="s">
        <v>121</v>
      </c>
      <c r="C65" s="17" t="s">
        <v>122</v>
      </c>
      <c r="D65" s="18" t="s">
        <v>26</v>
      </c>
      <c r="E65" s="18" t="s">
        <v>86</v>
      </c>
      <c r="F65" s="35" t="s">
        <v>126</v>
      </c>
      <c r="G65" s="33">
        <f>SUM(H65:T65)+SUM(W65:X65)</f>
        <v>2.2225153851033424E-3</v>
      </c>
      <c r="H65" s="34">
        <f>'N2O per kg feed'!G149*FCR_bonefree_incl_parents_GB-Excreted_N_after_losses_GB*Manure_repl_factor_GB*(EF_min_fert_BAT_N2O*Frac_BAT_GB+EF_min_fert_AN_N2O*Frac_AN_GB)</f>
        <v>3.7375469167892785E-4</v>
      </c>
      <c r="I65" s="33">
        <f>'N2O per kg feed'!H149*FCR_bonefree_incl_parents_GB</f>
        <v>3.2296791556537795E-6</v>
      </c>
      <c r="J65" s="33">
        <f>'N2O per kg feed'!I149*FCR_bonefree_incl_parents_GB-Excreted_N_after_losses_GB*Manure_repl_factor_GB*EF_N2O_diff_GB</f>
        <v>1.5323175493638164E-3</v>
      </c>
      <c r="K65" s="33">
        <f>J65*EF_indirect_N2O_GB</f>
        <v>1.5323175493638165E-4</v>
      </c>
      <c r="L65" s="33">
        <f>'N2O per kg feed'!K149*FCR_bonefree_incl_parents_GB</f>
        <v>2.6595748913457237E-6</v>
      </c>
      <c r="M65" s="33"/>
      <c r="N65" s="33">
        <f>'N2O per kg feed'!M149*FCR_bonefree_incl_parents_GB</f>
        <v>1.2319970164932494E-8</v>
      </c>
      <c r="O65" s="33">
        <f>'N2O per kg feed'!N149*FCR_bonefree_incl_parents_GB</f>
        <v>4.4273385459231231E-6</v>
      </c>
      <c r="P65" s="33">
        <f>'N2O per kg feed'!O149*FCR_bonefree_incl_parents_GB</f>
        <v>0</v>
      </c>
      <c r="Q65" s="33">
        <f>'N2O per kg feed'!P149*FCR_bonefree_incl_parents_GB</f>
        <v>9.4101950046141694E-6</v>
      </c>
      <c r="R65" s="33">
        <f>'N2O per kg feed'!Q149*FCR_bonefree_incl_parents_GB</f>
        <v>6.1141407007109557E-6</v>
      </c>
      <c r="T65" s="48">
        <f>SUM(U65:V65)</f>
        <v>1.2390587072060898E-4</v>
      </c>
      <c r="U65" s="9">
        <f>Excreted_N_per_kg_of_bonefree_meat_GB*EF_N2O_manure_direct_GB*44/28</f>
        <v>4.5919975807215269E-5</v>
      </c>
      <c r="V65" s="64">
        <f>(Excreted_N_per_kg_of_bonefree_meat_GB-U65*28/44)*EF_ammonia_GB*EF_N2O_manure_indirect_GB*44/28</f>
        <v>7.7985894913393708E-5</v>
      </c>
      <c r="W65" s="4">
        <f>Energy_stables_GB/Bonefree_outof_CW_GB*(Share_heating_GB*(Share_biofuels_GB*EF_biofuel_N2O+(1-Share_biofuels_GB)*EF_oil_N2O)+(1-Share_heating_GB)*EF_el_N2O_GB)</f>
        <v>5.9138779118181782E-6</v>
      </c>
      <c r="X65" s="12">
        <f>(Energy_slaughter_el_GB*EF_el_N2O_GB+Energy_slaughter_oil_GB*EF_oil_N2O)/Bonefree_outof_CW_GB</f>
        <v>7.538392223376623E-6</v>
      </c>
    </row>
    <row r="66" spans="1:27" ht="15.6" thickTop="1" thickBot="1" x14ac:dyDescent="0.35">
      <c r="A66" s="172" t="s">
        <v>120</v>
      </c>
      <c r="B66" s="172" t="s">
        <v>121</v>
      </c>
      <c r="C66" s="173" t="s">
        <v>122</v>
      </c>
      <c r="D66" s="174" t="s">
        <v>26</v>
      </c>
      <c r="E66" s="174" t="s">
        <v>86</v>
      </c>
      <c r="F66" s="175" t="s">
        <v>127</v>
      </c>
      <c r="G66" s="186">
        <f>SUM(H66:X66)</f>
        <v>1.8847951928975923</v>
      </c>
      <c r="H66" s="225">
        <f>SUMPRODUCT(H62:H65,'Parameters, general'!$B$14:$B$17)</f>
        <v>0.28892788817470272</v>
      </c>
      <c r="I66" s="176">
        <f>SUMPRODUCT(I62:I65,'Parameters, general'!$B$14:$B$17)</f>
        <v>9.0151259590037003E-2</v>
      </c>
      <c r="J66" s="176">
        <f>SUMPRODUCT(J62:J65,'Parameters, general'!$B$14:$B$17)</f>
        <v>0.41832269097632191</v>
      </c>
      <c r="K66" s="176">
        <f>SUMPRODUCT(K62:K65,'Parameters, general'!$B$14:$B$17)</f>
        <v>4.1832269097632192E-2</v>
      </c>
      <c r="L66" s="176">
        <f>SUMPRODUCT(L62:L65,'Parameters, general'!$B$14:$B$17)</f>
        <v>0.10100365151542123</v>
      </c>
      <c r="M66" s="176">
        <f>SUMPRODUCT(M62:M65,'Parameters, general'!$B$14:$B$17)</f>
        <v>0</v>
      </c>
      <c r="N66" s="176">
        <f>SUMPRODUCT(N62:N65,'Parameters, general'!$B$14:$B$17)</f>
        <v>3.2856812278100694E-4</v>
      </c>
      <c r="O66" s="176">
        <f>SUMPRODUCT(O62:O65,'Parameters, general'!$B$14:$B$17)</f>
        <v>0.12778528894848146</v>
      </c>
      <c r="P66" s="176">
        <f>SUMPRODUCT(P62:P65,'Parameters, general'!$B$14:$B$17)</f>
        <v>0.19408948992808309</v>
      </c>
      <c r="Q66" s="176">
        <f>SUMPRODUCT(Q62:Q65,'Parameters, general'!$B$14:$B$17)</f>
        <v>3.3459400372091566E-2</v>
      </c>
      <c r="R66" s="176">
        <f>SUMPRODUCT(R62:R65,'Parameters, general'!$B$14:$B$17)</f>
        <v>0.17830095846016009</v>
      </c>
      <c r="S66" s="176">
        <f>SUMPRODUCT(S62:S65,'Parameters, general'!$B$14:$B$17)</f>
        <v>0</v>
      </c>
      <c r="T66" s="176">
        <f>SUMPRODUCT(T62:T65,'Parameters, general'!$B$14:$B$17)</f>
        <v>9.3263728567251403E-2</v>
      </c>
      <c r="U66" s="177"/>
      <c r="V66" s="177"/>
      <c r="W66" s="176">
        <f>SUMPRODUCT(W62:W65,'Parameters, general'!$B$14:$B$17)</f>
        <v>9.4238726789122609E-2</v>
      </c>
      <c r="X66" s="176">
        <f>SUMPRODUCT(X62:X65,'Parameters, general'!$B$14:$B$17)</f>
        <v>0.2230912723555058</v>
      </c>
      <c r="Z66" s="115">
        <f>SUM(H66:R66)</f>
        <v>1.4742014651857123</v>
      </c>
      <c r="AA66" s="210">
        <f>'CO2 per kg feed'!F149+'CH4 per kg feed'!F149*CF_GWP_CH4_fossil+'N2O per kg feed'!F149*CF_GWP_N2O</f>
        <v>0.48993599539723415</v>
      </c>
    </row>
    <row r="67" spans="1:27" ht="15" thickTop="1" x14ac:dyDescent="0.3"/>
    <row r="68" spans="1:27" x14ac:dyDescent="0.3">
      <c r="F68" s="34"/>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2:O52"/>
  <sheetViews>
    <sheetView zoomScale="80" zoomScaleNormal="80" workbookViewId="0">
      <selection activeCell="N1" sqref="N1:P1048576"/>
    </sheetView>
  </sheetViews>
  <sheetFormatPr defaultColWidth="8.88671875" defaultRowHeight="14.4" x14ac:dyDescent="0.3"/>
  <cols>
    <col min="1" max="1" width="28.44140625" customWidth="1"/>
    <col min="2" max="13" width="8.6640625" customWidth="1"/>
  </cols>
  <sheetData>
    <row r="2" spans="1:15" ht="18" x14ac:dyDescent="0.35">
      <c r="A2" s="1" t="s">
        <v>133</v>
      </c>
    </row>
    <row r="4" spans="1:15" x14ac:dyDescent="0.3">
      <c r="A4" s="119" t="s">
        <v>134</v>
      </c>
      <c r="B4" s="119" t="s">
        <v>31</v>
      </c>
      <c r="C4" s="119" t="s">
        <v>35</v>
      </c>
      <c r="D4" s="119" t="s">
        <v>29</v>
      </c>
      <c r="E4" s="119" t="s">
        <v>32</v>
      </c>
      <c r="F4" s="119" t="s">
        <v>36</v>
      </c>
      <c r="G4" s="119" t="s">
        <v>27</v>
      </c>
      <c r="H4" s="119" t="s">
        <v>33</v>
      </c>
      <c r="I4" s="119" t="s">
        <v>30</v>
      </c>
      <c r="J4" s="119" t="s">
        <v>28</v>
      </c>
      <c r="K4" s="119" t="s">
        <v>37</v>
      </c>
      <c r="L4" s="119" t="s">
        <v>34</v>
      </c>
      <c r="M4" s="119" t="s">
        <v>26</v>
      </c>
    </row>
    <row r="5" spans="1:15" x14ac:dyDescent="0.3">
      <c r="A5" s="3" t="s">
        <v>135</v>
      </c>
      <c r="B5" s="243">
        <v>1</v>
      </c>
      <c r="C5" s="243">
        <v>1</v>
      </c>
      <c r="D5" s="243">
        <v>1</v>
      </c>
      <c r="E5" s="243">
        <v>1</v>
      </c>
      <c r="F5" s="243">
        <v>1</v>
      </c>
      <c r="G5" s="243">
        <v>1</v>
      </c>
      <c r="H5" s="243">
        <v>1</v>
      </c>
      <c r="I5" s="243">
        <v>1</v>
      </c>
      <c r="J5" s="243">
        <v>1</v>
      </c>
      <c r="K5" s="243">
        <v>1</v>
      </c>
      <c r="L5" s="243">
        <v>1</v>
      </c>
      <c r="M5" s="243">
        <v>1</v>
      </c>
      <c r="N5" s="17"/>
      <c r="O5" s="17"/>
    </row>
    <row r="6" spans="1:15" x14ac:dyDescent="0.3">
      <c r="A6" s="3" t="s">
        <v>136</v>
      </c>
      <c r="B6" s="11">
        <f>B41*(1-'Parameters, country spec'!B16/100)</f>
        <v>7.0708356313549147E-3</v>
      </c>
      <c r="C6" s="11">
        <f>C41*(1-'Parameters, country spec'!C16/100)</f>
        <v>7.1296367592663893E-3</v>
      </c>
      <c r="D6" s="11">
        <f>D41*(1-'Parameters, country spec'!D16/100)</f>
        <v>7.0708356313549147E-3</v>
      </c>
      <c r="E6" s="11">
        <f>E41*(1-'Parameters, country spec'!E16/100)</f>
        <v>7.0708356313549147E-3</v>
      </c>
      <c r="F6" s="11">
        <f>F41*(1-'Parameters, country spec'!F16/100)</f>
        <v>7.0708356313549147E-3</v>
      </c>
      <c r="G6" s="11">
        <f>G41*(1-'Parameters, country spec'!G16/100)</f>
        <v>7.0708356313549147E-3</v>
      </c>
      <c r="H6" s="11">
        <f>H41*(1-'Parameters, country spec'!H16/100)</f>
        <v>7.0708356313549147E-3</v>
      </c>
      <c r="I6" s="11">
        <f>I41*(1-'Parameters, country spec'!I16/100)</f>
        <v>7.0708356313549147E-3</v>
      </c>
      <c r="J6" s="11">
        <f>J41*(1-'Parameters, country spec'!J16/100)</f>
        <v>7.0708356313549147E-3</v>
      </c>
      <c r="K6" s="11">
        <f>K41*(1-'Parameters, country spec'!K16/100)</f>
        <v>7.0708356313549147E-3</v>
      </c>
      <c r="L6" s="11">
        <f>L41*(1-'Parameters, country spec'!L16/100)</f>
        <v>7.0708356313549147E-3</v>
      </c>
      <c r="M6" s="11">
        <f>M41*(1-'Parameters, country spec'!M16/100)</f>
        <v>7.0708356313549147E-3</v>
      </c>
    </row>
    <row r="7" spans="1:15" x14ac:dyDescent="0.3">
      <c r="A7" s="3" t="s">
        <v>137</v>
      </c>
      <c r="B7" s="242">
        <f>B42*(1-'Parameters, country spec'!B16/100)</f>
        <v>5.6566685050839314E-4</v>
      </c>
      <c r="C7" s="242">
        <f>C42*(1-'Parameters, country spec'!C16/100)</f>
        <v>5.7037094074131119E-4</v>
      </c>
      <c r="D7" s="242">
        <f>D42*(1-'Parameters, country spec'!D16/100)</f>
        <v>5.6566685050839314E-4</v>
      </c>
      <c r="E7" s="242">
        <f>E42*(1-'Parameters, country spec'!E16/100)</f>
        <v>5.6566685050839314E-4</v>
      </c>
      <c r="F7" s="242">
        <f>F42*(1-'Parameters, country spec'!F16/100)</f>
        <v>5.6566685050839314E-4</v>
      </c>
      <c r="G7" s="242">
        <f>G42*(1-'Parameters, country spec'!G16/100)</f>
        <v>5.6566685050839314E-4</v>
      </c>
      <c r="H7" s="242">
        <f>H42*(1-'Parameters, country spec'!H16/100)</f>
        <v>5.6566685050839314E-4</v>
      </c>
      <c r="I7" s="242">
        <f>I42*(1-'Parameters, country spec'!I16/100)</f>
        <v>5.6566685050839314E-4</v>
      </c>
      <c r="J7" s="242">
        <f>J42*(1-'Parameters, country spec'!J16/100)</f>
        <v>5.6566685050839314E-4</v>
      </c>
      <c r="K7" s="242">
        <f>K42*(1-'Parameters, country spec'!K16/100)</f>
        <v>5.6566685050839314E-4</v>
      </c>
      <c r="L7" s="242">
        <f>L42*(1-'Parameters, country spec'!L16/100)</f>
        <v>5.6566685050839314E-4</v>
      </c>
      <c r="M7" s="242">
        <f>M42*(1-'Parameters, country spec'!M16/100)</f>
        <v>5.6566685050839314E-4</v>
      </c>
    </row>
    <row r="8" spans="1:15" x14ac:dyDescent="0.3">
      <c r="A8" s="3" t="s">
        <v>138</v>
      </c>
      <c r="B8" s="242">
        <f>B43*(1-'Parameters, country spec'!B16/100)</f>
        <v>5.5336974506255849E-5</v>
      </c>
      <c r="C8" s="242">
        <f>C43*(1-'Parameters, country spec'!C16/100)</f>
        <v>5.5797157246432612E-5</v>
      </c>
      <c r="D8" s="242">
        <f>D43*(1-'Parameters, country spec'!D16/100)</f>
        <v>5.5336974506255849E-5</v>
      </c>
      <c r="E8" s="242">
        <f>E43*(1-'Parameters, country spec'!E16/100)</f>
        <v>5.5336974506255849E-5</v>
      </c>
      <c r="F8" s="242">
        <f>F43*(1-'Parameters, country spec'!F16/100)</f>
        <v>5.5336974506255849E-5</v>
      </c>
      <c r="G8" s="242">
        <f>G43*(1-'Parameters, country spec'!G16/100)</f>
        <v>5.5336974506255849E-5</v>
      </c>
      <c r="H8" s="242">
        <f>H43*(1-'Parameters, country spec'!H16/100)</f>
        <v>5.5336974506255849E-5</v>
      </c>
      <c r="I8" s="242">
        <f>I43*(1-'Parameters, country spec'!I16/100)</f>
        <v>5.5336974506255849E-5</v>
      </c>
      <c r="J8" s="242">
        <f>J43*(1-'Parameters, country spec'!J16/100)</f>
        <v>5.5336974506255849E-5</v>
      </c>
      <c r="K8" s="242">
        <f>K43*(1-'Parameters, country spec'!K16/100)</f>
        <v>5.5336974506255849E-5</v>
      </c>
      <c r="L8" s="242">
        <f>L43*(1-'Parameters, country spec'!L16/100)</f>
        <v>5.5336974506255849E-5</v>
      </c>
      <c r="M8" s="242">
        <f>M43*(1-'Parameters, country spec'!M16/100)</f>
        <v>5.5336974506255849E-5</v>
      </c>
    </row>
    <row r="9" spans="1:15" x14ac:dyDescent="0.3">
      <c r="A9" s="3" t="s">
        <v>139</v>
      </c>
      <c r="B9" s="242">
        <f>B44*(1-'Parameters, country spec'!B16/100)</f>
        <v>4.4269579605004687E-6</v>
      </c>
      <c r="C9" s="242">
        <f>C44*(1-'Parameters, country spec'!C16/100)</f>
        <v>4.4637725797146096E-6</v>
      </c>
      <c r="D9" s="242">
        <f>D44*(1-'Parameters, country spec'!D16/100)</f>
        <v>4.4269579605004687E-6</v>
      </c>
      <c r="E9" s="242">
        <f>E44*(1-'Parameters, country spec'!E16/100)</f>
        <v>4.4269579605004687E-6</v>
      </c>
      <c r="F9" s="242">
        <f>F44*(1-'Parameters, country spec'!F16/100)</f>
        <v>4.4269579605004687E-6</v>
      </c>
      <c r="G9" s="242">
        <f>G44*(1-'Parameters, country spec'!G16/100)</f>
        <v>4.4269579605004687E-6</v>
      </c>
      <c r="H9" s="242">
        <f>H44*(1-'Parameters, country spec'!H16/100)</f>
        <v>4.4269579605004687E-6</v>
      </c>
      <c r="I9" s="242">
        <f>I44*(1-'Parameters, country spec'!I16/100)</f>
        <v>4.4269579605004687E-6</v>
      </c>
      <c r="J9" s="242">
        <f>J44*(1-'Parameters, country spec'!J16/100)</f>
        <v>4.4269579605004687E-6</v>
      </c>
      <c r="K9" s="242">
        <f>K44*(1-'Parameters, country spec'!K16/100)</f>
        <v>4.4269579605004687E-6</v>
      </c>
      <c r="L9" s="242">
        <f>L44*(1-'Parameters, country spec'!L16/100)</f>
        <v>4.4269579605004687E-6</v>
      </c>
      <c r="M9" s="242">
        <f>M44*(1-'Parameters, country spec'!M16/100)</f>
        <v>4.4269579605004687E-6</v>
      </c>
    </row>
    <row r="10" spans="1:15" x14ac:dyDescent="0.3">
      <c r="A10" s="6" t="s">
        <v>140</v>
      </c>
      <c r="B10" s="7">
        <f t="shared" ref="B10:M10" si="0">SUM(B5:B9)</f>
        <v>1.0076962664143299</v>
      </c>
      <c r="C10" s="7">
        <f t="shared" si="0"/>
        <v>1.0077602686298339</v>
      </c>
      <c r="D10" s="7">
        <f t="shared" si="0"/>
        <v>1.0076962664143299</v>
      </c>
      <c r="E10" s="7">
        <f t="shared" si="0"/>
        <v>1.0076962664143299</v>
      </c>
      <c r="F10" s="7">
        <f t="shared" si="0"/>
        <v>1.0076962664143299</v>
      </c>
      <c r="G10" s="7">
        <f t="shared" si="0"/>
        <v>1.0076962664143299</v>
      </c>
      <c r="H10" s="7">
        <f t="shared" si="0"/>
        <v>1.0076962664143299</v>
      </c>
      <c r="I10" s="7">
        <f t="shared" si="0"/>
        <v>1.0076962664143299</v>
      </c>
      <c r="J10" s="7">
        <f t="shared" si="0"/>
        <v>1.0076962664143299</v>
      </c>
      <c r="K10" s="7">
        <f t="shared" si="0"/>
        <v>1.0076962664143299</v>
      </c>
      <c r="L10" s="7">
        <f>SUM(L5:L9)</f>
        <v>1.0076962664143299</v>
      </c>
      <c r="M10" s="7">
        <f t="shared" si="0"/>
        <v>1.0076962664143299</v>
      </c>
    </row>
    <row r="11" spans="1:15" x14ac:dyDescent="0.3">
      <c r="A11" s="119" t="s">
        <v>141</v>
      </c>
      <c r="B11" s="171"/>
      <c r="C11" s="171"/>
      <c r="D11" s="171"/>
      <c r="E11" s="171"/>
      <c r="F11" s="171"/>
      <c r="G11" s="171"/>
      <c r="H11" s="171"/>
      <c r="I11" s="171"/>
      <c r="J11" s="171"/>
      <c r="K11" s="171"/>
      <c r="L11" s="171"/>
      <c r="M11" s="171"/>
    </row>
    <row r="12" spans="1:15" x14ac:dyDescent="0.3">
      <c r="A12" s="3" t="s">
        <v>135</v>
      </c>
      <c r="B12" s="11">
        <f>B5*'Parameters, country spec'!B10</f>
        <v>1.4379</v>
      </c>
      <c r="C12" s="11">
        <f>C5*'Parameters, country spec'!C10</f>
        <v>1.4379</v>
      </c>
      <c r="D12" s="11">
        <f>D5*'Parameters, country spec'!D10</f>
        <v>1.4379</v>
      </c>
      <c r="E12" s="11">
        <f>E5*'Parameters, country spec'!E10</f>
        <v>1.4379</v>
      </c>
      <c r="F12" s="11">
        <f>F5*'Parameters, country spec'!F10</f>
        <v>1.4379</v>
      </c>
      <c r="G12" s="11">
        <f>G5*'Parameters, country spec'!G10</f>
        <v>1.4379</v>
      </c>
      <c r="H12" s="11">
        <f>H5*'Parameters, country spec'!H10</f>
        <v>1.4379</v>
      </c>
      <c r="I12" s="11">
        <f>I5*'Parameters, country spec'!I10</f>
        <v>1.4379</v>
      </c>
      <c r="J12" s="11">
        <f>J5*'Parameters, country spec'!J10</f>
        <v>1.4379</v>
      </c>
      <c r="K12" s="11">
        <f>K5*'Parameters, country spec'!K10</f>
        <v>1.4379</v>
      </c>
      <c r="L12" s="11">
        <f>L5*'Parameters, country spec'!L10</f>
        <v>1.4379</v>
      </c>
      <c r="M12" s="11">
        <f>M5*'Parameters, country spec'!M10</f>
        <v>1.4379</v>
      </c>
    </row>
    <row r="13" spans="1:15" x14ac:dyDescent="0.3">
      <c r="A13" s="3" t="s">
        <v>136</v>
      </c>
      <c r="B13" s="11">
        <f>B6*'Parameters, country spec'!B11</f>
        <v>3.0404593214826133E-2</v>
      </c>
      <c r="C13" s="11">
        <f>C6*'Parameters, country spec'!C11</f>
        <v>3.4935220120405307E-2</v>
      </c>
      <c r="D13" s="11">
        <f>D6*'Parameters, country spec'!D11</f>
        <v>3.0404593214826133E-2</v>
      </c>
      <c r="E13" s="11">
        <f>E6*'Parameters, country spec'!E11</f>
        <v>3.0404593214826133E-2</v>
      </c>
      <c r="F13" s="11">
        <f>F6*'Parameters, country spec'!F11</f>
        <v>3.0404593214826133E-2</v>
      </c>
      <c r="G13" s="11">
        <f>G6*'Parameters, country spec'!G11</f>
        <v>3.0404593214826133E-2</v>
      </c>
      <c r="H13" s="11">
        <f>H6*'Parameters, country spec'!H11</f>
        <v>3.0404593214826133E-2</v>
      </c>
      <c r="I13" s="11">
        <f>I6*'Parameters, country spec'!I11</f>
        <v>3.0404593214826133E-2</v>
      </c>
      <c r="J13" s="11">
        <f>J6*'Parameters, country spec'!J11</f>
        <v>3.0404593214826133E-2</v>
      </c>
      <c r="K13" s="11">
        <f>K6*'Parameters, country spec'!K11</f>
        <v>3.0404593214826133E-2</v>
      </c>
      <c r="L13" s="11">
        <f>L6*'Parameters, country spec'!L11</f>
        <v>3.0404593214826133E-2</v>
      </c>
      <c r="M13" s="11">
        <f>M6*'Parameters, country spec'!M11</f>
        <v>3.0404593214826133E-2</v>
      </c>
    </row>
    <row r="14" spans="1:15" x14ac:dyDescent="0.3">
      <c r="A14" s="3" t="s">
        <v>137</v>
      </c>
      <c r="B14" s="242">
        <f>B7*'Parameters, country spec'!B12</f>
        <v>2.8283342525419657E-3</v>
      </c>
      <c r="C14" s="242">
        <f>C7*'Parameters, country spec'!C12</f>
        <v>2.8518547037065557E-3</v>
      </c>
      <c r="D14" s="242">
        <f>D7*'Parameters, country spec'!D12</f>
        <v>2.8283342525419657E-3</v>
      </c>
      <c r="E14" s="242">
        <f>E7*'Parameters, country spec'!E12</f>
        <v>2.8283342525419657E-3</v>
      </c>
      <c r="F14" s="242">
        <f>F7*'Parameters, country spec'!F12</f>
        <v>2.8283342525419657E-3</v>
      </c>
      <c r="G14" s="242">
        <f>G7*'Parameters, country spec'!G12</f>
        <v>2.8283342525419657E-3</v>
      </c>
      <c r="H14" s="242">
        <f>H7*'Parameters, country spec'!H12</f>
        <v>2.8283342525419657E-3</v>
      </c>
      <c r="I14" s="242">
        <f>I7*'Parameters, country spec'!I12</f>
        <v>2.8283342525419657E-3</v>
      </c>
      <c r="J14" s="242">
        <f>J7*'Parameters, country spec'!J12</f>
        <v>2.8283342525419657E-3</v>
      </c>
      <c r="K14" s="242">
        <f>K7*'Parameters, country spec'!K12</f>
        <v>2.8283342525419657E-3</v>
      </c>
      <c r="L14" s="242">
        <f>L7*'Parameters, country spec'!L12</f>
        <v>2.8283342525419657E-3</v>
      </c>
      <c r="M14" s="242">
        <f>M7*'Parameters, country spec'!M12</f>
        <v>2.8283342525419657E-3</v>
      </c>
    </row>
    <row r="15" spans="1:15" x14ac:dyDescent="0.3">
      <c r="A15" s="3" t="s">
        <v>138</v>
      </c>
      <c r="B15" s="242">
        <f>B8*'Parameters, country spec'!B11</f>
        <v>2.3794899037690015E-4</v>
      </c>
      <c r="C15" s="242">
        <f>C8*'Parameters, country spec'!C11</f>
        <v>2.7340607050751982E-4</v>
      </c>
      <c r="D15" s="242">
        <f>D8*'Parameters, country spec'!D11</f>
        <v>2.3794899037690015E-4</v>
      </c>
      <c r="E15" s="242">
        <f>E8*'Parameters, country spec'!E11</f>
        <v>2.3794899037690015E-4</v>
      </c>
      <c r="F15" s="242">
        <f>F8*'Parameters, country spec'!F11</f>
        <v>2.3794899037690015E-4</v>
      </c>
      <c r="G15" s="242">
        <f>G8*'Parameters, country spec'!G11</f>
        <v>2.3794899037690015E-4</v>
      </c>
      <c r="H15" s="242">
        <f>H8*'Parameters, country spec'!H11</f>
        <v>2.3794899037690015E-4</v>
      </c>
      <c r="I15" s="242">
        <f>I8*'Parameters, country spec'!I11</f>
        <v>2.3794899037690015E-4</v>
      </c>
      <c r="J15" s="242">
        <f>J8*'Parameters, country spec'!J11</f>
        <v>2.3794899037690015E-4</v>
      </c>
      <c r="K15" s="242">
        <f>K8*'Parameters, country spec'!K11</f>
        <v>2.3794899037690015E-4</v>
      </c>
      <c r="L15" s="242">
        <f>L8*'Parameters, country spec'!L11</f>
        <v>2.3794899037690015E-4</v>
      </c>
      <c r="M15" s="242">
        <f>M8*'Parameters, country spec'!M11</f>
        <v>2.3794899037690015E-4</v>
      </c>
    </row>
    <row r="16" spans="1:15" x14ac:dyDescent="0.3">
      <c r="A16" s="3" t="s">
        <v>139</v>
      </c>
      <c r="B16" s="242">
        <f>B9*'Parameters, country spec'!B12</f>
        <v>2.2134789802502345E-5</v>
      </c>
      <c r="C16" s="242">
        <f>C9*'Parameters, country spec'!C12</f>
        <v>2.2318862898573049E-5</v>
      </c>
      <c r="D16" s="242">
        <f>D9*'Parameters, country spec'!D12</f>
        <v>2.2134789802502345E-5</v>
      </c>
      <c r="E16" s="242">
        <f>E9*'Parameters, country spec'!E12</f>
        <v>2.2134789802502345E-5</v>
      </c>
      <c r="F16" s="242">
        <f>F9*'Parameters, country spec'!F12</f>
        <v>2.2134789802502345E-5</v>
      </c>
      <c r="G16" s="242">
        <f>G9*'Parameters, country spec'!G12</f>
        <v>2.2134789802502345E-5</v>
      </c>
      <c r="H16" s="242">
        <f>H9*'Parameters, country spec'!H12</f>
        <v>2.2134789802502345E-5</v>
      </c>
      <c r="I16" s="242">
        <f>I9*'Parameters, country spec'!I12</f>
        <v>2.2134789802502345E-5</v>
      </c>
      <c r="J16" s="242">
        <f>J9*'Parameters, country spec'!J12</f>
        <v>2.2134789802502345E-5</v>
      </c>
      <c r="K16" s="242">
        <f>K9*'Parameters, country spec'!K12</f>
        <v>2.2134789802502345E-5</v>
      </c>
      <c r="L16" s="242">
        <f>L9*'Parameters, country spec'!L12</f>
        <v>2.2134789802502345E-5</v>
      </c>
      <c r="M16" s="242">
        <f>M9*'Parameters, country spec'!M12</f>
        <v>2.2134789802502345E-5</v>
      </c>
    </row>
    <row r="17" spans="1:13" x14ac:dyDescent="0.3">
      <c r="A17" s="6" t="s">
        <v>140</v>
      </c>
      <c r="B17" s="7">
        <f t="shared" ref="B17:M17" si="1">SUM(B12:B16)</f>
        <v>1.4713930112475473</v>
      </c>
      <c r="C17" s="7">
        <f t="shared" si="1"/>
        <v>1.4759827997575179</v>
      </c>
      <c r="D17" s="7">
        <f t="shared" si="1"/>
        <v>1.4713930112475473</v>
      </c>
      <c r="E17" s="7">
        <f t="shared" si="1"/>
        <v>1.4713930112475473</v>
      </c>
      <c r="F17" s="7">
        <f t="shared" si="1"/>
        <v>1.4713930112475473</v>
      </c>
      <c r="G17" s="7">
        <f t="shared" si="1"/>
        <v>1.4713930112475473</v>
      </c>
      <c r="H17" s="7">
        <f t="shared" si="1"/>
        <v>1.4713930112475473</v>
      </c>
      <c r="I17" s="7">
        <f t="shared" si="1"/>
        <v>1.4713930112475473</v>
      </c>
      <c r="J17" s="7">
        <f t="shared" si="1"/>
        <v>1.4713930112475473</v>
      </c>
      <c r="K17" s="7">
        <f t="shared" si="1"/>
        <v>1.4713930112475473</v>
      </c>
      <c r="L17" s="7">
        <f>SUM(L12:L16)</f>
        <v>1.4713930112475473</v>
      </c>
      <c r="M17" s="7">
        <f t="shared" si="1"/>
        <v>1.4713930112475473</v>
      </c>
    </row>
    <row r="18" spans="1:13" x14ac:dyDescent="0.3">
      <c r="A18" s="119" t="s">
        <v>142</v>
      </c>
      <c r="B18" s="171"/>
      <c r="C18" s="171"/>
      <c r="D18" s="171"/>
      <c r="E18" s="171"/>
      <c r="F18" s="171"/>
      <c r="G18" s="171"/>
      <c r="H18" s="171"/>
      <c r="I18" s="171"/>
      <c r="J18" s="171"/>
      <c r="K18" s="171"/>
      <c r="L18" s="171"/>
      <c r="M18" s="171"/>
    </row>
    <row r="19" spans="1:13" x14ac:dyDescent="0.3">
      <c r="A19" s="3" t="s">
        <v>135</v>
      </c>
      <c r="B19" s="11">
        <f>B12*'Parameters, country spec'!B9</f>
        <v>1.107183</v>
      </c>
      <c r="C19" s="11">
        <f>C12*'Parameters, country spec'!C9</f>
        <v>1.107183</v>
      </c>
      <c r="D19" s="11">
        <f>D12*'Parameters, country spec'!D9</f>
        <v>1.107183</v>
      </c>
      <c r="E19" s="11">
        <f>E12*'Parameters, country spec'!E9</f>
        <v>1.107183</v>
      </c>
      <c r="F19" s="11">
        <f>F12*'Parameters, country spec'!F9</f>
        <v>1.107183</v>
      </c>
      <c r="G19" s="11">
        <f>G12*'Parameters, country spec'!G9</f>
        <v>1.107183</v>
      </c>
      <c r="H19" s="11">
        <f>H12*'Parameters, country spec'!H9</f>
        <v>1.107183</v>
      </c>
      <c r="I19" s="11">
        <f>I12*'Parameters, country spec'!I9</f>
        <v>1.107183</v>
      </c>
      <c r="J19" s="11">
        <f>J12*'Parameters, country spec'!J9</f>
        <v>1.107183</v>
      </c>
      <c r="K19" s="11">
        <f>K12*'Parameters, country spec'!K9</f>
        <v>1.107183</v>
      </c>
      <c r="L19" s="11">
        <f>L12*'Parameters, country spec'!L9</f>
        <v>1.107183</v>
      </c>
      <c r="M19" s="11">
        <f>M12*'Parameters, country spec'!M9</f>
        <v>1.107183</v>
      </c>
    </row>
    <row r="20" spans="1:13" x14ac:dyDescent="0.3">
      <c r="A20" s="3" t="s">
        <v>136</v>
      </c>
      <c r="B20" s="11">
        <f>B13*'Parameters, country spec'!B9</f>
        <v>2.3411536775416124E-2</v>
      </c>
      <c r="C20" s="11">
        <f>C13*'Parameters, country spec'!C9</f>
        <v>2.6900119492712087E-2</v>
      </c>
      <c r="D20" s="11">
        <f>D13*'Parameters, country spec'!D9</f>
        <v>2.3411536775416124E-2</v>
      </c>
      <c r="E20" s="11">
        <f>E13*'Parameters, country spec'!E9</f>
        <v>2.3411536775416124E-2</v>
      </c>
      <c r="F20" s="11">
        <f>F13*'Parameters, country spec'!F9</f>
        <v>2.3411536775416124E-2</v>
      </c>
      <c r="G20" s="11">
        <f>G13*'Parameters, country spec'!G9</f>
        <v>2.3411536775416124E-2</v>
      </c>
      <c r="H20" s="11">
        <f>H13*'Parameters, country spec'!H9</f>
        <v>2.3411536775416124E-2</v>
      </c>
      <c r="I20" s="11">
        <f>I13*'Parameters, country spec'!I9</f>
        <v>2.3411536775416124E-2</v>
      </c>
      <c r="J20" s="11">
        <f>J13*'Parameters, country spec'!J9</f>
        <v>2.3411536775416124E-2</v>
      </c>
      <c r="K20" s="11">
        <f>K13*'Parameters, country spec'!K9</f>
        <v>2.3411536775416124E-2</v>
      </c>
      <c r="L20" s="11">
        <f>L13*'Parameters, country spec'!L9</f>
        <v>2.3411536775416124E-2</v>
      </c>
      <c r="M20" s="11">
        <f>M13*'Parameters, country spec'!M9</f>
        <v>2.3411536775416124E-2</v>
      </c>
    </row>
    <row r="21" spans="1:13" x14ac:dyDescent="0.3">
      <c r="A21" s="3" t="s">
        <v>137</v>
      </c>
      <c r="B21" s="11">
        <f>B14*'Parameters, country spec'!B9</f>
        <v>2.1778173744573135E-3</v>
      </c>
      <c r="C21" s="11">
        <f>C14*'Parameters, country spec'!C9</f>
        <v>2.1959281218540479E-3</v>
      </c>
      <c r="D21" s="11">
        <f>D14*'Parameters, country spec'!D9</f>
        <v>2.1778173744573135E-3</v>
      </c>
      <c r="E21" s="11">
        <f>E14*'Parameters, country spec'!E9</f>
        <v>2.1778173744573135E-3</v>
      </c>
      <c r="F21" s="11">
        <f>F14*'Parameters, country spec'!F9</f>
        <v>2.1778173744573135E-3</v>
      </c>
      <c r="G21" s="11">
        <f>G14*'Parameters, country spec'!G9</f>
        <v>2.1778173744573135E-3</v>
      </c>
      <c r="H21" s="11">
        <f>H14*'Parameters, country spec'!H9</f>
        <v>2.1778173744573135E-3</v>
      </c>
      <c r="I21" s="11">
        <f>I14*'Parameters, country spec'!I9</f>
        <v>2.1778173744573135E-3</v>
      </c>
      <c r="J21" s="11">
        <f>J14*'Parameters, country spec'!J9</f>
        <v>2.1778173744573135E-3</v>
      </c>
      <c r="K21" s="11">
        <f>K14*'Parameters, country spec'!K9</f>
        <v>2.1778173744573135E-3</v>
      </c>
      <c r="L21" s="11">
        <f>L14*'Parameters, country spec'!L9</f>
        <v>2.1778173744573135E-3</v>
      </c>
      <c r="M21" s="11">
        <f>M14*'Parameters, country spec'!M9</f>
        <v>2.1778173744573135E-3</v>
      </c>
    </row>
    <row r="22" spans="1:13" x14ac:dyDescent="0.3">
      <c r="A22" s="3" t="s">
        <v>138</v>
      </c>
      <c r="B22" s="11">
        <f>B15*'Parameters, country spec'!B9</f>
        <v>1.8322072259021311E-4</v>
      </c>
      <c r="C22" s="11">
        <f>C15*'Parameters, country spec'!C9</f>
        <v>2.1052267429079026E-4</v>
      </c>
      <c r="D22" s="11">
        <f>D15*'Parameters, country spec'!D9</f>
        <v>1.8322072259021311E-4</v>
      </c>
      <c r="E22" s="11">
        <f>E15*'Parameters, country spec'!E9</f>
        <v>1.8322072259021311E-4</v>
      </c>
      <c r="F22" s="11">
        <f>F15*'Parameters, country spec'!F9</f>
        <v>1.8322072259021311E-4</v>
      </c>
      <c r="G22" s="11">
        <f>G15*'Parameters, country spec'!G9</f>
        <v>1.8322072259021311E-4</v>
      </c>
      <c r="H22" s="11">
        <f>H15*'Parameters, country spec'!H9</f>
        <v>1.8322072259021311E-4</v>
      </c>
      <c r="I22" s="11">
        <f>I15*'Parameters, country spec'!I9</f>
        <v>1.8322072259021311E-4</v>
      </c>
      <c r="J22" s="11">
        <f>J15*'Parameters, country spec'!J9</f>
        <v>1.8322072259021311E-4</v>
      </c>
      <c r="K22" s="11">
        <f>K15*'Parameters, country spec'!K9</f>
        <v>1.8322072259021311E-4</v>
      </c>
      <c r="L22" s="11">
        <f>L15*'Parameters, country spec'!L9</f>
        <v>1.8322072259021311E-4</v>
      </c>
      <c r="M22" s="11">
        <f>M15*'Parameters, country spec'!M9</f>
        <v>1.8322072259021311E-4</v>
      </c>
    </row>
    <row r="23" spans="1:13" x14ac:dyDescent="0.3">
      <c r="A23" s="3" t="s">
        <v>139</v>
      </c>
      <c r="B23" s="11">
        <f>B16*'Parameters, country spec'!B9</f>
        <v>1.7043788147926804E-5</v>
      </c>
      <c r="C23" s="11">
        <f>C16*'Parameters, country spec'!C9</f>
        <v>1.7185524431901248E-5</v>
      </c>
      <c r="D23" s="11">
        <f>D16*'Parameters, country spec'!D9</f>
        <v>1.7043788147926804E-5</v>
      </c>
      <c r="E23" s="11">
        <f>E16*'Parameters, country spec'!E9</f>
        <v>1.7043788147926804E-5</v>
      </c>
      <c r="F23" s="11">
        <f>F16*'Parameters, country spec'!F9</f>
        <v>1.7043788147926804E-5</v>
      </c>
      <c r="G23" s="11">
        <f>G16*'Parameters, country spec'!G9</f>
        <v>1.7043788147926804E-5</v>
      </c>
      <c r="H23" s="11">
        <f>H16*'Parameters, country spec'!H9</f>
        <v>1.7043788147926804E-5</v>
      </c>
      <c r="I23" s="11">
        <f>I16*'Parameters, country spec'!I9</f>
        <v>1.7043788147926804E-5</v>
      </c>
      <c r="J23" s="11">
        <f>J16*'Parameters, country spec'!J9</f>
        <v>1.7043788147926804E-5</v>
      </c>
      <c r="K23" s="11">
        <f>K16*'Parameters, country spec'!K9</f>
        <v>1.7043788147926804E-5</v>
      </c>
      <c r="L23" s="11">
        <f>L16*'Parameters, country spec'!L9</f>
        <v>1.7043788147926804E-5</v>
      </c>
      <c r="M23" s="11">
        <f>M16*'Parameters, country spec'!M9</f>
        <v>1.7043788147926804E-5</v>
      </c>
    </row>
    <row r="24" spans="1:13" x14ac:dyDescent="0.3">
      <c r="A24" s="6" t="s">
        <v>140</v>
      </c>
      <c r="B24" s="7">
        <f t="shared" ref="B24:M24" si="2">SUM(B19:B23)</f>
        <v>1.1329726186606117</v>
      </c>
      <c r="C24" s="7">
        <f t="shared" si="2"/>
        <v>1.1365067558132889</v>
      </c>
      <c r="D24" s="7">
        <f t="shared" si="2"/>
        <v>1.1329726186606117</v>
      </c>
      <c r="E24" s="7">
        <f t="shared" si="2"/>
        <v>1.1329726186606117</v>
      </c>
      <c r="F24" s="7">
        <f t="shared" si="2"/>
        <v>1.1329726186606117</v>
      </c>
      <c r="G24" s="7">
        <f t="shared" si="2"/>
        <v>1.1329726186606117</v>
      </c>
      <c r="H24" s="7">
        <f t="shared" si="2"/>
        <v>1.1329726186606117</v>
      </c>
      <c r="I24" s="7">
        <f t="shared" si="2"/>
        <v>1.1329726186606117</v>
      </c>
      <c r="J24" s="7">
        <f t="shared" si="2"/>
        <v>1.1329726186606117</v>
      </c>
      <c r="K24" s="7">
        <f t="shared" si="2"/>
        <v>1.1329726186606117</v>
      </c>
      <c r="L24" s="7">
        <f t="shared" si="2"/>
        <v>1.1329726186606117</v>
      </c>
      <c r="M24" s="7">
        <f t="shared" si="2"/>
        <v>1.1329726186606117</v>
      </c>
    </row>
    <row r="25" spans="1:13" x14ac:dyDescent="0.3">
      <c r="A25" s="119" t="s">
        <v>143</v>
      </c>
      <c r="B25" s="171"/>
      <c r="C25" s="171"/>
      <c r="D25" s="171"/>
      <c r="E25" s="171"/>
      <c r="F25" s="171"/>
      <c r="G25" s="171"/>
      <c r="H25" s="171"/>
      <c r="I25" s="171"/>
      <c r="J25" s="171"/>
      <c r="K25" s="171"/>
      <c r="L25" s="171"/>
      <c r="M25" s="171"/>
    </row>
    <row r="26" spans="1:13" x14ac:dyDescent="0.3">
      <c r="A26" s="3" t="s">
        <v>135</v>
      </c>
      <c r="B26" s="11">
        <f>B5*'Parameters, country spec'!B13</f>
        <v>0.27500000000000002</v>
      </c>
      <c r="C26" s="11">
        <f>C5*'Parameters, country spec'!C13</f>
        <v>0.27500000000000002</v>
      </c>
      <c r="D26" s="11">
        <f>D5*'Parameters, country spec'!D13</f>
        <v>0.27500000000000002</v>
      </c>
      <c r="E26" s="11">
        <f>E5*'Parameters, country spec'!E13</f>
        <v>0.27500000000000002</v>
      </c>
      <c r="F26" s="11">
        <f>F5*'Parameters, country spec'!F13</f>
        <v>0.27500000000000002</v>
      </c>
      <c r="G26" s="11">
        <f>G5*'Parameters, country spec'!G13</f>
        <v>0.27500000000000002</v>
      </c>
      <c r="H26" s="11">
        <f>H5*'Parameters, country spec'!H13</f>
        <v>0.27500000000000002</v>
      </c>
      <c r="I26" s="11">
        <f>I5*'Parameters, country spec'!I13</f>
        <v>0.27500000000000002</v>
      </c>
      <c r="J26" s="11">
        <f>J5*'Parameters, country spec'!J13</f>
        <v>0.27500000000000002</v>
      </c>
      <c r="K26" s="11">
        <f>K5*'Parameters, country spec'!K13</f>
        <v>0.27500000000000002</v>
      </c>
      <c r="L26" s="11">
        <f>L5*'Parameters, country spec'!L13</f>
        <v>0.27500000000000002</v>
      </c>
      <c r="M26" s="11">
        <f>M5*'Parameters, country spec'!M13</f>
        <v>0.27500000000000002</v>
      </c>
    </row>
    <row r="27" spans="1:13" x14ac:dyDescent="0.3">
      <c r="A27" s="3" t="s">
        <v>136</v>
      </c>
      <c r="B27" s="11">
        <f>B6*'Parameters, country spec'!B13</f>
        <v>1.9444797986226017E-3</v>
      </c>
      <c r="C27" s="11">
        <f>C6*'Parameters, country spec'!C13</f>
        <v>1.9606501087982573E-3</v>
      </c>
      <c r="D27" s="11">
        <f>D6*'Parameters, country spec'!D13</f>
        <v>1.9444797986226017E-3</v>
      </c>
      <c r="E27" s="11">
        <f>E6*'Parameters, country spec'!E13</f>
        <v>1.9444797986226017E-3</v>
      </c>
      <c r="F27" s="11">
        <f>F6*'Parameters, country spec'!F13</f>
        <v>1.9444797986226017E-3</v>
      </c>
      <c r="G27" s="11">
        <f>G6*'Parameters, country spec'!G13</f>
        <v>1.9444797986226017E-3</v>
      </c>
      <c r="H27" s="11">
        <f>H6*'Parameters, country spec'!H13</f>
        <v>1.9444797986226017E-3</v>
      </c>
      <c r="I27" s="11">
        <f>I6*'Parameters, country spec'!I13</f>
        <v>1.9444797986226017E-3</v>
      </c>
      <c r="J27" s="11">
        <f>J6*'Parameters, country spec'!J13</f>
        <v>1.9444797986226017E-3</v>
      </c>
      <c r="K27" s="11">
        <f>K6*'Parameters, country spec'!K13</f>
        <v>1.9444797986226017E-3</v>
      </c>
      <c r="L27" s="11">
        <f>L6*'Parameters, country spec'!L13</f>
        <v>1.9444797986226017E-3</v>
      </c>
      <c r="M27" s="11">
        <f>M6*'Parameters, country spec'!M13</f>
        <v>1.9444797986226017E-3</v>
      </c>
    </row>
    <row r="28" spans="1:13" x14ac:dyDescent="0.3">
      <c r="A28" s="3" t="s">
        <v>137</v>
      </c>
      <c r="B28" s="11">
        <f>B7*'Parameters, country spec'!B13</f>
        <v>1.5555838388980813E-4</v>
      </c>
      <c r="C28" s="11">
        <f>C7*'Parameters, country spec'!C13</f>
        <v>1.568520087038606E-4</v>
      </c>
      <c r="D28" s="11">
        <f>D7*'Parameters, country spec'!D13</f>
        <v>1.5555838388980813E-4</v>
      </c>
      <c r="E28" s="11">
        <f>E7*'Parameters, country spec'!E13</f>
        <v>1.5555838388980813E-4</v>
      </c>
      <c r="F28" s="11">
        <f>F7*'Parameters, country spec'!F13</f>
        <v>1.5555838388980813E-4</v>
      </c>
      <c r="G28" s="11">
        <f>G7*'Parameters, country spec'!G13</f>
        <v>1.5555838388980813E-4</v>
      </c>
      <c r="H28" s="11">
        <f>H7*'Parameters, country spec'!H13</f>
        <v>1.5555838388980813E-4</v>
      </c>
      <c r="I28" s="11">
        <f>I7*'Parameters, country spec'!I13</f>
        <v>1.5555838388980813E-4</v>
      </c>
      <c r="J28" s="11">
        <f>J7*'Parameters, country spec'!J13</f>
        <v>1.5555838388980813E-4</v>
      </c>
      <c r="K28" s="11">
        <f>K7*'Parameters, country spec'!K13</f>
        <v>1.5555838388980813E-4</v>
      </c>
      <c r="L28" s="11">
        <f>L7*'Parameters, country spec'!L13</f>
        <v>1.5555838388980813E-4</v>
      </c>
      <c r="M28" s="11">
        <f>M7*'Parameters, country spec'!M13</f>
        <v>1.5555838388980813E-4</v>
      </c>
    </row>
    <row r="29" spans="1:13" x14ac:dyDescent="0.3">
      <c r="A29" s="3" t="s">
        <v>138</v>
      </c>
      <c r="B29" s="11">
        <f>B8*'Parameters, country spec'!B13</f>
        <v>1.521766798922036E-5</v>
      </c>
      <c r="C29" s="11">
        <f>C8*'Parameters, country spec'!C13</f>
        <v>1.5344218242768971E-5</v>
      </c>
      <c r="D29" s="11">
        <f>D8*'Parameters, country spec'!D13</f>
        <v>1.521766798922036E-5</v>
      </c>
      <c r="E29" s="11">
        <f>E8*'Parameters, country spec'!E13</f>
        <v>1.521766798922036E-5</v>
      </c>
      <c r="F29" s="11">
        <f>F8*'Parameters, country spec'!F13</f>
        <v>1.521766798922036E-5</v>
      </c>
      <c r="G29" s="11">
        <f>G8*'Parameters, country spec'!G13</f>
        <v>1.521766798922036E-5</v>
      </c>
      <c r="H29" s="11">
        <f>H8*'Parameters, country spec'!H13</f>
        <v>1.521766798922036E-5</v>
      </c>
      <c r="I29" s="11">
        <f>I8*'Parameters, country spec'!I13</f>
        <v>1.521766798922036E-5</v>
      </c>
      <c r="J29" s="11">
        <f>J8*'Parameters, country spec'!J13</f>
        <v>1.521766798922036E-5</v>
      </c>
      <c r="K29" s="11">
        <f>K8*'Parameters, country spec'!K13</f>
        <v>1.521766798922036E-5</v>
      </c>
      <c r="L29" s="11">
        <f>L8*'Parameters, country spec'!L13</f>
        <v>1.521766798922036E-5</v>
      </c>
      <c r="M29" s="11">
        <f>M8*'Parameters, country spec'!M13</f>
        <v>1.521766798922036E-5</v>
      </c>
    </row>
    <row r="30" spans="1:13" x14ac:dyDescent="0.3">
      <c r="A30" s="3" t="s">
        <v>139</v>
      </c>
      <c r="B30" s="11">
        <f>B9*'Parameters, country spec'!B13</f>
        <v>1.217413439137629E-6</v>
      </c>
      <c r="C30" s="11">
        <f>C9*'Parameters, country spec'!C13</f>
        <v>1.2275374594215178E-6</v>
      </c>
      <c r="D30" s="11">
        <f>D9*'Parameters, country spec'!D13</f>
        <v>1.217413439137629E-6</v>
      </c>
      <c r="E30" s="11">
        <f>E9*'Parameters, country spec'!E13</f>
        <v>1.217413439137629E-6</v>
      </c>
      <c r="F30" s="11">
        <f>F9*'Parameters, country spec'!F13</f>
        <v>1.217413439137629E-6</v>
      </c>
      <c r="G30" s="11">
        <f>G9*'Parameters, country spec'!G13</f>
        <v>1.217413439137629E-6</v>
      </c>
      <c r="H30" s="11">
        <f>H9*'Parameters, country spec'!H13</f>
        <v>1.217413439137629E-6</v>
      </c>
      <c r="I30" s="11">
        <f>I9*'Parameters, country spec'!I13</f>
        <v>1.217413439137629E-6</v>
      </c>
      <c r="J30" s="11">
        <f>J9*'Parameters, country spec'!J13</f>
        <v>1.217413439137629E-6</v>
      </c>
      <c r="K30" s="11">
        <f>K9*'Parameters, country spec'!K13</f>
        <v>1.217413439137629E-6</v>
      </c>
      <c r="L30" s="11">
        <f>L9*'Parameters, country spec'!L13</f>
        <v>1.217413439137629E-6</v>
      </c>
      <c r="M30" s="11">
        <f>M9*'Parameters, country spec'!M13</f>
        <v>1.217413439137629E-6</v>
      </c>
    </row>
    <row r="31" spans="1:13" x14ac:dyDescent="0.3">
      <c r="A31" s="6" t="s">
        <v>140</v>
      </c>
      <c r="B31" s="7">
        <f t="shared" ref="B31:M31" si="3">SUM(B26:B30)</f>
        <v>0.27711647326394079</v>
      </c>
      <c r="C31" s="7">
        <f t="shared" si="3"/>
        <v>0.27713407387320432</v>
      </c>
      <c r="D31" s="7">
        <f t="shared" si="3"/>
        <v>0.27711647326394079</v>
      </c>
      <c r="E31" s="7">
        <f t="shared" si="3"/>
        <v>0.27711647326394079</v>
      </c>
      <c r="F31" s="7">
        <f t="shared" si="3"/>
        <v>0.27711647326394079</v>
      </c>
      <c r="G31" s="7">
        <f t="shared" si="3"/>
        <v>0.27711647326394079</v>
      </c>
      <c r="H31" s="7">
        <f t="shared" si="3"/>
        <v>0.27711647326394079</v>
      </c>
      <c r="I31" s="7">
        <f t="shared" si="3"/>
        <v>0.27711647326394079</v>
      </c>
      <c r="J31" s="7">
        <f t="shared" si="3"/>
        <v>0.27711647326394079</v>
      </c>
      <c r="K31" s="7">
        <f t="shared" si="3"/>
        <v>0.27711647326394079</v>
      </c>
      <c r="L31" s="7">
        <f t="shared" si="3"/>
        <v>0.27711647326394079</v>
      </c>
      <c r="M31" s="7">
        <f t="shared" si="3"/>
        <v>0.27711647326394079</v>
      </c>
    </row>
    <row r="32" spans="1:13" x14ac:dyDescent="0.3">
      <c r="A32" s="119" t="s">
        <v>144</v>
      </c>
      <c r="B32" s="171"/>
      <c r="C32" s="171"/>
      <c r="D32" s="171"/>
      <c r="E32" s="171"/>
      <c r="F32" s="171"/>
      <c r="G32" s="171"/>
      <c r="H32" s="171"/>
      <c r="I32" s="171"/>
      <c r="J32" s="171"/>
      <c r="K32" s="171"/>
      <c r="L32" s="171"/>
      <c r="M32" s="171"/>
    </row>
    <row r="33" spans="1:13" x14ac:dyDescent="0.3">
      <c r="A33" s="3" t="s">
        <v>135</v>
      </c>
      <c r="B33" s="11">
        <f t="shared" ref="B33:M33" si="4">B19+B26</f>
        <v>1.3821829999999999</v>
      </c>
      <c r="C33" s="11">
        <f t="shared" si="4"/>
        <v>1.3821829999999999</v>
      </c>
      <c r="D33" s="11">
        <f t="shared" si="4"/>
        <v>1.3821829999999999</v>
      </c>
      <c r="E33" s="11">
        <f t="shared" si="4"/>
        <v>1.3821829999999999</v>
      </c>
      <c r="F33" s="11">
        <f t="shared" si="4"/>
        <v>1.3821829999999999</v>
      </c>
      <c r="G33" s="11">
        <f t="shared" si="4"/>
        <v>1.3821829999999999</v>
      </c>
      <c r="H33" s="11">
        <f t="shared" si="4"/>
        <v>1.3821829999999999</v>
      </c>
      <c r="I33" s="11">
        <f t="shared" si="4"/>
        <v>1.3821829999999999</v>
      </c>
      <c r="J33" s="11">
        <f t="shared" si="4"/>
        <v>1.3821829999999999</v>
      </c>
      <c r="K33" s="11">
        <f t="shared" si="4"/>
        <v>1.3821829999999999</v>
      </c>
      <c r="L33" s="11">
        <f t="shared" si="4"/>
        <v>1.3821829999999999</v>
      </c>
      <c r="M33" s="11">
        <f t="shared" si="4"/>
        <v>1.3821829999999999</v>
      </c>
    </row>
    <row r="34" spans="1:13" x14ac:dyDescent="0.3">
      <c r="A34" s="3" t="s">
        <v>136</v>
      </c>
      <c r="B34" s="11">
        <f t="shared" ref="B34:M34" si="5">B20+B27</f>
        <v>2.5356016574038725E-2</v>
      </c>
      <c r="C34" s="11">
        <f t="shared" si="5"/>
        <v>2.8860769601510343E-2</v>
      </c>
      <c r="D34" s="11">
        <f t="shared" si="5"/>
        <v>2.5356016574038725E-2</v>
      </c>
      <c r="E34" s="11">
        <f t="shared" si="5"/>
        <v>2.5356016574038725E-2</v>
      </c>
      <c r="F34" s="11">
        <f t="shared" si="5"/>
        <v>2.5356016574038725E-2</v>
      </c>
      <c r="G34" s="11">
        <f t="shared" si="5"/>
        <v>2.5356016574038725E-2</v>
      </c>
      <c r="H34" s="11">
        <f t="shared" si="5"/>
        <v>2.5356016574038725E-2</v>
      </c>
      <c r="I34" s="11">
        <f t="shared" si="5"/>
        <v>2.5356016574038725E-2</v>
      </c>
      <c r="J34" s="11">
        <f t="shared" si="5"/>
        <v>2.5356016574038725E-2</v>
      </c>
      <c r="K34" s="11">
        <f t="shared" si="5"/>
        <v>2.5356016574038725E-2</v>
      </c>
      <c r="L34" s="11">
        <f t="shared" si="5"/>
        <v>2.5356016574038725E-2</v>
      </c>
      <c r="M34" s="11">
        <f t="shared" si="5"/>
        <v>2.5356016574038725E-2</v>
      </c>
    </row>
    <row r="35" spans="1:13" x14ac:dyDescent="0.3">
      <c r="A35" s="3" t="s">
        <v>137</v>
      </c>
      <c r="B35" s="11">
        <f t="shared" ref="B35:M35" si="6">B21+B28</f>
        <v>2.3333757583471216E-3</v>
      </c>
      <c r="C35" s="11">
        <f t="shared" si="6"/>
        <v>2.3527801305579083E-3</v>
      </c>
      <c r="D35" s="11">
        <f t="shared" si="6"/>
        <v>2.3333757583471216E-3</v>
      </c>
      <c r="E35" s="11">
        <f t="shared" si="6"/>
        <v>2.3333757583471216E-3</v>
      </c>
      <c r="F35" s="11">
        <f t="shared" si="6"/>
        <v>2.3333757583471216E-3</v>
      </c>
      <c r="G35" s="11">
        <f t="shared" si="6"/>
        <v>2.3333757583471216E-3</v>
      </c>
      <c r="H35" s="11">
        <f t="shared" si="6"/>
        <v>2.3333757583471216E-3</v>
      </c>
      <c r="I35" s="11">
        <f t="shared" si="6"/>
        <v>2.3333757583471216E-3</v>
      </c>
      <c r="J35" s="11">
        <f t="shared" si="6"/>
        <v>2.3333757583471216E-3</v>
      </c>
      <c r="K35" s="11">
        <f t="shared" si="6"/>
        <v>2.3333757583471216E-3</v>
      </c>
      <c r="L35" s="11">
        <f t="shared" si="6"/>
        <v>2.3333757583471216E-3</v>
      </c>
      <c r="M35" s="11">
        <f t="shared" si="6"/>
        <v>2.3333757583471216E-3</v>
      </c>
    </row>
    <row r="36" spans="1:13" x14ac:dyDescent="0.3">
      <c r="A36" s="3" t="s">
        <v>138</v>
      </c>
      <c r="B36" s="11">
        <f t="shared" ref="B36:M36" si="7">B22+B29</f>
        <v>1.9843839057943346E-4</v>
      </c>
      <c r="C36" s="11">
        <f t="shared" si="7"/>
        <v>2.2586689253355924E-4</v>
      </c>
      <c r="D36" s="11">
        <f t="shared" si="7"/>
        <v>1.9843839057943346E-4</v>
      </c>
      <c r="E36" s="11">
        <f t="shared" si="7"/>
        <v>1.9843839057943346E-4</v>
      </c>
      <c r="F36" s="11">
        <f t="shared" si="7"/>
        <v>1.9843839057943346E-4</v>
      </c>
      <c r="G36" s="11">
        <f t="shared" si="7"/>
        <v>1.9843839057943346E-4</v>
      </c>
      <c r="H36" s="11">
        <f t="shared" si="7"/>
        <v>1.9843839057943346E-4</v>
      </c>
      <c r="I36" s="11">
        <f t="shared" si="7"/>
        <v>1.9843839057943346E-4</v>
      </c>
      <c r="J36" s="11">
        <f t="shared" si="7"/>
        <v>1.9843839057943346E-4</v>
      </c>
      <c r="K36" s="11">
        <f t="shared" si="7"/>
        <v>1.9843839057943346E-4</v>
      </c>
      <c r="L36" s="11">
        <f t="shared" si="7"/>
        <v>1.9843839057943346E-4</v>
      </c>
      <c r="M36" s="11">
        <f t="shared" si="7"/>
        <v>1.9843839057943346E-4</v>
      </c>
    </row>
    <row r="37" spans="1:13" x14ac:dyDescent="0.3">
      <c r="A37" s="3" t="s">
        <v>139</v>
      </c>
      <c r="B37" s="11">
        <f t="shared" ref="B37:M37" si="8">B23+B30</f>
        <v>1.8261201587064434E-5</v>
      </c>
      <c r="C37" s="11">
        <f t="shared" si="8"/>
        <v>1.8413061891322767E-5</v>
      </c>
      <c r="D37" s="11">
        <f t="shared" si="8"/>
        <v>1.8261201587064434E-5</v>
      </c>
      <c r="E37" s="11">
        <f t="shared" si="8"/>
        <v>1.8261201587064434E-5</v>
      </c>
      <c r="F37" s="11">
        <f t="shared" si="8"/>
        <v>1.8261201587064434E-5</v>
      </c>
      <c r="G37" s="11">
        <f t="shared" si="8"/>
        <v>1.8261201587064434E-5</v>
      </c>
      <c r="H37" s="11">
        <f t="shared" si="8"/>
        <v>1.8261201587064434E-5</v>
      </c>
      <c r="I37" s="11">
        <f t="shared" si="8"/>
        <v>1.8261201587064434E-5</v>
      </c>
      <c r="J37" s="11">
        <f t="shared" si="8"/>
        <v>1.8261201587064434E-5</v>
      </c>
      <c r="K37" s="11">
        <f t="shared" si="8"/>
        <v>1.8261201587064434E-5</v>
      </c>
      <c r="L37" s="11">
        <f t="shared" si="8"/>
        <v>1.8261201587064434E-5</v>
      </c>
      <c r="M37" s="11">
        <f t="shared" si="8"/>
        <v>1.8261201587064434E-5</v>
      </c>
    </row>
    <row r="38" spans="1:13" x14ac:dyDescent="0.3">
      <c r="A38" s="6" t="s">
        <v>140</v>
      </c>
      <c r="B38" s="7">
        <f t="shared" ref="B38:M38" si="9">SUM(B33:B37)</f>
        <v>1.4100890919245523</v>
      </c>
      <c r="C38" s="7">
        <f t="shared" si="9"/>
        <v>1.4136408296864931</v>
      </c>
      <c r="D38" s="7">
        <f t="shared" si="9"/>
        <v>1.4100890919245523</v>
      </c>
      <c r="E38" s="7">
        <f t="shared" si="9"/>
        <v>1.4100890919245523</v>
      </c>
      <c r="F38" s="7">
        <f t="shared" si="9"/>
        <v>1.4100890919245523</v>
      </c>
      <c r="G38" s="7">
        <f t="shared" si="9"/>
        <v>1.4100890919245523</v>
      </c>
      <c r="H38" s="7">
        <f t="shared" si="9"/>
        <v>1.4100890919245523</v>
      </c>
      <c r="I38" s="7">
        <f t="shared" si="9"/>
        <v>1.4100890919245523</v>
      </c>
      <c r="J38" s="7">
        <f t="shared" si="9"/>
        <v>1.4100890919245523</v>
      </c>
      <c r="K38" s="7">
        <f t="shared" si="9"/>
        <v>1.4100890919245523</v>
      </c>
      <c r="L38" s="7">
        <f t="shared" si="9"/>
        <v>1.4100890919245523</v>
      </c>
      <c r="M38" s="7">
        <f t="shared" si="9"/>
        <v>1.4100890919245523</v>
      </c>
    </row>
    <row r="39" spans="1:13" x14ac:dyDescent="0.3">
      <c r="A39" s="119" t="s">
        <v>145</v>
      </c>
      <c r="B39" s="171"/>
      <c r="C39" s="171"/>
      <c r="D39" s="171"/>
      <c r="E39" s="171"/>
      <c r="F39" s="171"/>
      <c r="G39" s="171"/>
      <c r="H39" s="171"/>
      <c r="I39" s="171"/>
      <c r="J39" s="171"/>
      <c r="K39" s="171"/>
      <c r="L39" s="171"/>
      <c r="M39" s="171"/>
    </row>
    <row r="40" spans="1:13" x14ac:dyDescent="0.3">
      <c r="A40" s="3" t="s">
        <v>135</v>
      </c>
      <c r="B40" s="11">
        <f>B5/(1-'Parameters, country spec'!B6/100)/(1-'Parameters, country spec'!B7/100)</f>
        <v>1.0606253447032372</v>
      </c>
      <c r="C40" s="11">
        <f>C5/(1-'Parameters, country spec'!C6/100)/(1-'Parameters, country spec'!C7/100)</f>
        <v>1.0694455138899583</v>
      </c>
      <c r="D40" s="11">
        <f>D5/(1-'Parameters, country spec'!D6/100)/(1-'Parameters, country spec'!D7/100)</f>
        <v>1.0606253447032372</v>
      </c>
      <c r="E40" s="11">
        <f>E5/(1-'Parameters, country spec'!E6/100)/(1-'Parameters, country spec'!E7/100)</f>
        <v>1.0606253447032372</v>
      </c>
      <c r="F40" s="11">
        <f>F5/(1-'Parameters, country spec'!F6/100)/(1-'Parameters, country spec'!F7/100)</f>
        <v>1.0606253447032372</v>
      </c>
      <c r="G40" s="11">
        <f>G5/(1-'Parameters, country spec'!G6/100)/(1-'Parameters, country spec'!G7/100)</f>
        <v>1.0606253447032372</v>
      </c>
      <c r="H40" s="11">
        <f>H5/(1-'Parameters, country spec'!H6/100)/(1-'Parameters, country spec'!H7/100)</f>
        <v>1.0606253447032372</v>
      </c>
      <c r="I40" s="11">
        <f>I5/(1-'Parameters, country spec'!I6/100)/(1-'Parameters, country spec'!I7/100)</f>
        <v>1.0606253447032372</v>
      </c>
      <c r="J40" s="11">
        <f>J5/(1-'Parameters, country spec'!J6/100)/(1-'Parameters, country spec'!J7/100)</f>
        <v>1.0606253447032372</v>
      </c>
      <c r="K40" s="11">
        <f>K5/(1-'Parameters, country spec'!K6/100)/(1-'Parameters, country spec'!K7/100)</f>
        <v>1.0606253447032372</v>
      </c>
      <c r="L40" s="11">
        <f>L5/(1-'Parameters, country spec'!L6/100)/(1-'Parameters, country spec'!L7/100)</f>
        <v>1.0606253447032372</v>
      </c>
      <c r="M40" s="11">
        <f>M5/(1-'Parameters, country spec'!M6/100)/(1-'Parameters, country spec'!M7/100)</f>
        <v>1.0606253447032372</v>
      </c>
    </row>
    <row r="41" spans="1:13" x14ac:dyDescent="0.3">
      <c r="A41" s="3" t="s">
        <v>136</v>
      </c>
      <c r="B41" s="11">
        <f>B40/'Parameters, country spec'!B14/(1-'Parameters, country spec'!B16/100)</f>
        <v>7.6856909036466465E-3</v>
      </c>
      <c r="C41" s="11">
        <f>C40/'Parameters, country spec'!C14/(1-'Parameters, country spec'!C16/100)</f>
        <v>7.7496051731156404E-3</v>
      </c>
      <c r="D41" s="11">
        <f>D40/'Parameters, country spec'!D14/(1-'Parameters, country spec'!D16/100)</f>
        <v>7.6856909036466465E-3</v>
      </c>
      <c r="E41" s="11">
        <f>E40/'Parameters, country spec'!E14/(1-'Parameters, country spec'!E16/100)</f>
        <v>7.6856909036466465E-3</v>
      </c>
      <c r="F41" s="11">
        <f>F40/'Parameters, country spec'!F14/(1-'Parameters, country spec'!F16/100)</f>
        <v>7.6856909036466465E-3</v>
      </c>
      <c r="G41" s="11">
        <f>G40/'Parameters, country spec'!G14/(1-'Parameters, country spec'!G16/100)</f>
        <v>7.6856909036466465E-3</v>
      </c>
      <c r="H41" s="11">
        <f>H40/'Parameters, country spec'!H14/(1-'Parameters, country spec'!H16/100)</f>
        <v>7.6856909036466465E-3</v>
      </c>
      <c r="I41" s="11">
        <f>I40/'Parameters, country spec'!I14/(1-'Parameters, country spec'!I16/100)</f>
        <v>7.6856909036466465E-3</v>
      </c>
      <c r="J41" s="11">
        <f>J40/'Parameters, country spec'!J14/(1-'Parameters, country spec'!J16/100)</f>
        <v>7.6856909036466465E-3</v>
      </c>
      <c r="K41" s="11">
        <f>K40/'Parameters, country spec'!K14/(1-'Parameters, country spec'!K16/100)</f>
        <v>7.6856909036466465E-3</v>
      </c>
      <c r="L41" s="11">
        <f>L40/'Parameters, country spec'!L14/(1-'Parameters, country spec'!L16/100)</f>
        <v>7.6856909036466465E-3</v>
      </c>
      <c r="M41" s="11">
        <f>M40/'Parameters, country spec'!M14/(1-'Parameters, country spec'!M16/100)</f>
        <v>7.6856909036466465E-3</v>
      </c>
    </row>
    <row r="42" spans="1:13" x14ac:dyDescent="0.3">
      <c r="A42" s="3" t="s">
        <v>137</v>
      </c>
      <c r="B42" s="242">
        <f>B41/'Parameters, country spec'!B15</f>
        <v>6.1485527229173168E-4</v>
      </c>
      <c r="C42" s="242">
        <f>C41/'Parameters, country spec'!C15</f>
        <v>6.1996841384925124E-4</v>
      </c>
      <c r="D42" s="242">
        <f>D41/'Parameters, country spec'!D15</f>
        <v>6.1485527229173168E-4</v>
      </c>
      <c r="E42" s="242">
        <f>E41/'Parameters, country spec'!E15</f>
        <v>6.1485527229173168E-4</v>
      </c>
      <c r="F42" s="242">
        <f>F41/'Parameters, country spec'!F15</f>
        <v>6.1485527229173168E-4</v>
      </c>
      <c r="G42" s="242">
        <f>G41/'Parameters, country spec'!G15</f>
        <v>6.1485527229173168E-4</v>
      </c>
      <c r="H42" s="242">
        <f>H41/'Parameters, country spec'!H15</f>
        <v>6.1485527229173168E-4</v>
      </c>
      <c r="I42" s="242">
        <f>I41/'Parameters, country spec'!I15</f>
        <v>6.1485527229173168E-4</v>
      </c>
      <c r="J42" s="242">
        <f>J41/'Parameters, country spec'!J15</f>
        <v>6.1485527229173168E-4</v>
      </c>
      <c r="K42" s="242">
        <f>K41/'Parameters, country spec'!K15</f>
        <v>6.1485527229173168E-4</v>
      </c>
      <c r="L42" s="242">
        <f>L41/'Parameters, country spec'!L15</f>
        <v>6.1485527229173168E-4</v>
      </c>
      <c r="M42" s="242">
        <f>M41/'Parameters, country spec'!M15</f>
        <v>6.1485527229173168E-4</v>
      </c>
    </row>
    <row r="43" spans="1:13" x14ac:dyDescent="0.3">
      <c r="A43" s="3" t="s">
        <v>138</v>
      </c>
      <c r="B43" s="242">
        <f>(B41+B42)/'Parameters, country spec'!B14/(1-'Parameters, country spec'!B16/100)</f>
        <v>6.0148885332886789E-5</v>
      </c>
      <c r="C43" s="242">
        <f>(C41+C42)/'Parameters, country spec'!C14/(1-'Parameters, country spec'!C16/100)</f>
        <v>6.0649083963513708E-5</v>
      </c>
      <c r="D43" s="242">
        <f>(D41+D42)/'Parameters, country spec'!D14/(1-'Parameters, country spec'!D16/100)</f>
        <v>6.0148885332886789E-5</v>
      </c>
      <c r="E43" s="242">
        <f>(E41+E42)/'Parameters, country spec'!E14/(1-'Parameters, country spec'!E16/100)</f>
        <v>6.0148885332886789E-5</v>
      </c>
      <c r="F43" s="242">
        <f>(F41+F42)/'Parameters, country spec'!F14/(1-'Parameters, country spec'!F16/100)</f>
        <v>6.0148885332886789E-5</v>
      </c>
      <c r="G43" s="242">
        <f>(G41+G42)/'Parameters, country spec'!G14/(1-'Parameters, country spec'!G16/100)</f>
        <v>6.0148885332886789E-5</v>
      </c>
      <c r="H43" s="242">
        <f>(H41+H42)/'Parameters, country spec'!H14/(1-'Parameters, country spec'!H16/100)</f>
        <v>6.0148885332886789E-5</v>
      </c>
      <c r="I43" s="242">
        <f>(I41+I42)/'Parameters, country spec'!I14/(1-'Parameters, country spec'!I16/100)</f>
        <v>6.0148885332886789E-5</v>
      </c>
      <c r="J43" s="242">
        <f>(J41+J42)/'Parameters, country spec'!J14/(1-'Parameters, country spec'!J16/100)</f>
        <v>6.0148885332886789E-5</v>
      </c>
      <c r="K43" s="242">
        <f>(K41+K42)/'Parameters, country spec'!K14/(1-'Parameters, country spec'!K16/100)</f>
        <v>6.0148885332886789E-5</v>
      </c>
      <c r="L43" s="242">
        <f>(L41+L42)/'Parameters, country spec'!L14/(1-'Parameters, country spec'!L16/100)</f>
        <v>6.0148885332886789E-5</v>
      </c>
      <c r="M43" s="242">
        <f>(M41+M42)/'Parameters, country spec'!M14/(1-'Parameters, country spec'!M16/100)</f>
        <v>6.0148885332886789E-5</v>
      </c>
    </row>
    <row r="44" spans="1:13" x14ac:dyDescent="0.3">
      <c r="A44" s="3" t="s">
        <v>139</v>
      </c>
      <c r="B44" s="242">
        <f>B43/'Parameters, country spec'!B15</f>
        <v>4.8119108266309435E-6</v>
      </c>
      <c r="C44" s="242">
        <f>C43/'Parameters, country spec'!C15</f>
        <v>4.851926717081097E-6</v>
      </c>
      <c r="D44" s="242">
        <f>D43/'Parameters, country spec'!D15</f>
        <v>4.8119108266309435E-6</v>
      </c>
      <c r="E44" s="242">
        <f>E43/'Parameters, country spec'!E15</f>
        <v>4.8119108266309435E-6</v>
      </c>
      <c r="F44" s="242">
        <f>F43/'Parameters, country spec'!F15</f>
        <v>4.8119108266309435E-6</v>
      </c>
      <c r="G44" s="242">
        <f>G43/'Parameters, country spec'!G15</f>
        <v>4.8119108266309435E-6</v>
      </c>
      <c r="H44" s="242">
        <f>H43/'Parameters, country spec'!H15</f>
        <v>4.8119108266309435E-6</v>
      </c>
      <c r="I44" s="242">
        <f>I43/'Parameters, country spec'!I15</f>
        <v>4.8119108266309435E-6</v>
      </c>
      <c r="J44" s="242">
        <f>J43/'Parameters, country spec'!J15</f>
        <v>4.8119108266309435E-6</v>
      </c>
      <c r="K44" s="242">
        <f>K43/'Parameters, country spec'!K15</f>
        <v>4.8119108266309435E-6</v>
      </c>
      <c r="L44" s="242">
        <f>L43/'Parameters, country spec'!L15</f>
        <v>4.8119108266309435E-6</v>
      </c>
      <c r="M44" s="242">
        <f>M43/'Parameters, country spec'!M15</f>
        <v>4.8119108266309435E-6</v>
      </c>
    </row>
    <row r="45" spans="1:13" x14ac:dyDescent="0.3">
      <c r="A45" s="6" t="s">
        <v>140</v>
      </c>
      <c r="B45" s="7">
        <f t="shared" ref="B45:M45" si="10">SUM(B40:B44)</f>
        <v>1.0689908516753353</v>
      </c>
      <c r="C45" s="7">
        <f t="shared" si="10"/>
        <v>1.0778805884876037</v>
      </c>
      <c r="D45" s="7">
        <f t="shared" si="10"/>
        <v>1.0689908516753353</v>
      </c>
      <c r="E45" s="7">
        <f t="shared" si="10"/>
        <v>1.0689908516753353</v>
      </c>
      <c r="F45" s="7">
        <f t="shared" si="10"/>
        <v>1.0689908516753353</v>
      </c>
      <c r="G45" s="7">
        <f t="shared" si="10"/>
        <v>1.0689908516753353</v>
      </c>
      <c r="H45" s="7">
        <f t="shared" si="10"/>
        <v>1.0689908516753353</v>
      </c>
      <c r="I45" s="7">
        <f t="shared" si="10"/>
        <v>1.0689908516753353</v>
      </c>
      <c r="J45" s="7">
        <f t="shared" si="10"/>
        <v>1.0689908516753353</v>
      </c>
      <c r="K45" s="7">
        <f t="shared" si="10"/>
        <v>1.0689908516753353</v>
      </c>
      <c r="L45" s="7">
        <f>SUM(L40:L44)</f>
        <v>1.0689908516753353</v>
      </c>
      <c r="M45" s="7">
        <f t="shared" si="10"/>
        <v>1.0689908516753353</v>
      </c>
    </row>
    <row r="46" spans="1:13" x14ac:dyDescent="0.3">
      <c r="A46" s="119" t="s">
        <v>146</v>
      </c>
      <c r="B46" s="119" t="s">
        <v>31</v>
      </c>
      <c r="C46" s="119" t="s">
        <v>35</v>
      </c>
      <c r="D46" s="119" t="s">
        <v>29</v>
      </c>
      <c r="E46" s="119" t="s">
        <v>32</v>
      </c>
      <c r="F46" s="119" t="s">
        <v>36</v>
      </c>
      <c r="G46" s="119" t="s">
        <v>27</v>
      </c>
      <c r="H46" s="119" t="s">
        <v>33</v>
      </c>
      <c r="I46" s="119" t="s">
        <v>30</v>
      </c>
      <c r="J46" s="119" t="s">
        <v>28</v>
      </c>
      <c r="K46" s="119" t="s">
        <v>37</v>
      </c>
      <c r="L46" s="119" t="s">
        <v>34</v>
      </c>
      <c r="M46" s="119" t="s">
        <v>26</v>
      </c>
    </row>
    <row r="47" spans="1:13" x14ac:dyDescent="0.3">
      <c r="A47" s="3" t="s">
        <v>135</v>
      </c>
      <c r="B47" s="11">
        <f t="shared" ref="B47:M47" si="11">B40/B38</f>
        <v>0.75216903015372494</v>
      </c>
      <c r="C47" s="11">
        <f t="shared" si="11"/>
        <v>0.75651855225993447</v>
      </c>
      <c r="D47" s="11">
        <f t="shared" si="11"/>
        <v>0.75216903015372494</v>
      </c>
      <c r="E47" s="11">
        <f t="shared" si="11"/>
        <v>0.75216903015372494</v>
      </c>
      <c r="F47" s="11">
        <f t="shared" si="11"/>
        <v>0.75216903015372494</v>
      </c>
      <c r="G47" s="11">
        <f t="shared" si="11"/>
        <v>0.75216903015372494</v>
      </c>
      <c r="H47" s="11">
        <f t="shared" si="11"/>
        <v>0.75216903015372494</v>
      </c>
      <c r="I47" s="11">
        <f t="shared" si="11"/>
        <v>0.75216903015372494</v>
      </c>
      <c r="J47" s="11">
        <f t="shared" si="11"/>
        <v>0.75216903015372494</v>
      </c>
      <c r="K47" s="11">
        <f t="shared" si="11"/>
        <v>0.75216903015372494</v>
      </c>
      <c r="L47" s="11">
        <f t="shared" si="11"/>
        <v>0.75216903015372494</v>
      </c>
      <c r="M47" s="11">
        <f t="shared" si="11"/>
        <v>0.75216903015372494</v>
      </c>
    </row>
    <row r="48" spans="1:13" x14ac:dyDescent="0.3">
      <c r="A48" s="3" t="s">
        <v>136</v>
      </c>
      <c r="B48" s="11">
        <f t="shared" ref="B48:M48" si="12">B41/B38</f>
        <v>5.4505002185052534E-3</v>
      </c>
      <c r="C48" s="11">
        <f t="shared" si="12"/>
        <v>5.4820184946372062E-3</v>
      </c>
      <c r="D48" s="11">
        <f t="shared" si="12"/>
        <v>5.4505002185052534E-3</v>
      </c>
      <c r="E48" s="11">
        <f t="shared" si="12"/>
        <v>5.4505002185052534E-3</v>
      </c>
      <c r="F48" s="11">
        <f t="shared" si="12"/>
        <v>5.4505002185052534E-3</v>
      </c>
      <c r="G48" s="11">
        <f t="shared" si="12"/>
        <v>5.4505002185052534E-3</v>
      </c>
      <c r="H48" s="11">
        <f t="shared" si="12"/>
        <v>5.4505002185052534E-3</v>
      </c>
      <c r="I48" s="11">
        <f t="shared" si="12"/>
        <v>5.4505002185052534E-3</v>
      </c>
      <c r="J48" s="11">
        <f t="shared" si="12"/>
        <v>5.4505002185052534E-3</v>
      </c>
      <c r="K48" s="11">
        <f t="shared" si="12"/>
        <v>5.4505002185052534E-3</v>
      </c>
      <c r="L48" s="11">
        <f t="shared" si="12"/>
        <v>5.4505002185052534E-3</v>
      </c>
      <c r="M48" s="11">
        <f t="shared" si="12"/>
        <v>5.4505002185052534E-3</v>
      </c>
    </row>
    <row r="49" spans="1:13" x14ac:dyDescent="0.3">
      <c r="A49" s="3" t="s">
        <v>137</v>
      </c>
      <c r="B49" s="11">
        <f t="shared" ref="B49:M49" si="13">B42/B38</f>
        <v>4.3604001748042022E-4</v>
      </c>
      <c r="C49" s="11">
        <f t="shared" si="13"/>
        <v>4.3856147957097654E-4</v>
      </c>
      <c r="D49" s="11">
        <f t="shared" si="13"/>
        <v>4.3604001748042022E-4</v>
      </c>
      <c r="E49" s="11">
        <f t="shared" si="13"/>
        <v>4.3604001748042022E-4</v>
      </c>
      <c r="F49" s="11">
        <f t="shared" si="13"/>
        <v>4.3604001748042022E-4</v>
      </c>
      <c r="G49" s="11">
        <f t="shared" si="13"/>
        <v>4.3604001748042022E-4</v>
      </c>
      <c r="H49" s="11">
        <f t="shared" si="13"/>
        <v>4.3604001748042022E-4</v>
      </c>
      <c r="I49" s="11">
        <f t="shared" si="13"/>
        <v>4.3604001748042022E-4</v>
      </c>
      <c r="J49" s="11">
        <f t="shared" si="13"/>
        <v>4.3604001748042022E-4</v>
      </c>
      <c r="K49" s="11">
        <f t="shared" si="13"/>
        <v>4.3604001748042022E-4</v>
      </c>
      <c r="L49" s="11">
        <f t="shared" si="13"/>
        <v>4.3604001748042022E-4</v>
      </c>
      <c r="M49" s="11">
        <f t="shared" si="13"/>
        <v>4.3604001748042022E-4</v>
      </c>
    </row>
    <row r="50" spans="1:13" x14ac:dyDescent="0.3">
      <c r="A50" s="3" t="s">
        <v>138</v>
      </c>
      <c r="B50" s="11">
        <f t="shared" ref="B50:M50" si="14">B43/B38</f>
        <v>4.2656088666562841E-5</v>
      </c>
      <c r="C50" s="11">
        <f t="shared" si="14"/>
        <v>4.2902753436291184E-5</v>
      </c>
      <c r="D50" s="11">
        <f t="shared" si="14"/>
        <v>4.2656088666562841E-5</v>
      </c>
      <c r="E50" s="11">
        <f t="shared" si="14"/>
        <v>4.2656088666562841E-5</v>
      </c>
      <c r="F50" s="11">
        <f t="shared" si="14"/>
        <v>4.2656088666562841E-5</v>
      </c>
      <c r="G50" s="11">
        <f t="shared" si="14"/>
        <v>4.2656088666562841E-5</v>
      </c>
      <c r="H50" s="11">
        <f t="shared" si="14"/>
        <v>4.2656088666562841E-5</v>
      </c>
      <c r="I50" s="11">
        <f t="shared" si="14"/>
        <v>4.2656088666562841E-5</v>
      </c>
      <c r="J50" s="11">
        <f t="shared" si="14"/>
        <v>4.2656088666562841E-5</v>
      </c>
      <c r="K50" s="11">
        <f t="shared" si="14"/>
        <v>4.2656088666562841E-5</v>
      </c>
      <c r="L50" s="11">
        <f t="shared" si="14"/>
        <v>4.2656088666562841E-5</v>
      </c>
      <c r="M50" s="11">
        <f t="shared" si="14"/>
        <v>4.2656088666562841E-5</v>
      </c>
    </row>
    <row r="51" spans="1:13" x14ac:dyDescent="0.3">
      <c r="A51" s="3" t="s">
        <v>139</v>
      </c>
      <c r="B51" s="11">
        <f t="shared" ref="B51:M51" si="15">B44/B38</f>
        <v>3.4124870933250277E-6</v>
      </c>
      <c r="C51" s="11">
        <f t="shared" si="15"/>
        <v>3.4322202749032946E-6</v>
      </c>
      <c r="D51" s="11">
        <f t="shared" si="15"/>
        <v>3.4124870933250277E-6</v>
      </c>
      <c r="E51" s="11">
        <f t="shared" si="15"/>
        <v>3.4124870933250277E-6</v>
      </c>
      <c r="F51" s="11">
        <f t="shared" si="15"/>
        <v>3.4124870933250277E-6</v>
      </c>
      <c r="G51" s="11">
        <f t="shared" si="15"/>
        <v>3.4124870933250277E-6</v>
      </c>
      <c r="H51" s="11">
        <f t="shared" si="15"/>
        <v>3.4124870933250277E-6</v>
      </c>
      <c r="I51" s="11">
        <f t="shared" si="15"/>
        <v>3.4124870933250277E-6</v>
      </c>
      <c r="J51" s="11">
        <f t="shared" si="15"/>
        <v>3.4124870933250277E-6</v>
      </c>
      <c r="K51" s="11">
        <f t="shared" si="15"/>
        <v>3.4124870933250277E-6</v>
      </c>
      <c r="L51" s="11">
        <f t="shared" si="15"/>
        <v>3.4124870933250277E-6</v>
      </c>
      <c r="M51" s="11">
        <f t="shared" si="15"/>
        <v>3.4124870933250277E-6</v>
      </c>
    </row>
    <row r="52" spans="1:13" x14ac:dyDescent="0.3">
      <c r="A52" s="6" t="s">
        <v>140</v>
      </c>
      <c r="B52" s="7">
        <f t="shared" ref="B52:M52" si="16">SUM(B47:B51)</f>
        <v>0.75810163896547056</v>
      </c>
      <c r="C52" s="7">
        <f t="shared" si="16"/>
        <v>0.76248546720785393</v>
      </c>
      <c r="D52" s="7">
        <f t="shared" si="16"/>
        <v>0.75810163896547056</v>
      </c>
      <c r="E52" s="7">
        <f t="shared" si="16"/>
        <v>0.75810163896547056</v>
      </c>
      <c r="F52" s="7">
        <f t="shared" si="16"/>
        <v>0.75810163896547056</v>
      </c>
      <c r="G52" s="7">
        <f t="shared" si="16"/>
        <v>0.75810163896547056</v>
      </c>
      <c r="H52" s="7">
        <f t="shared" si="16"/>
        <v>0.75810163896547056</v>
      </c>
      <c r="I52" s="7">
        <f t="shared" si="16"/>
        <v>0.75810163896547056</v>
      </c>
      <c r="J52" s="7">
        <f t="shared" si="16"/>
        <v>0.75810163896547056</v>
      </c>
      <c r="K52" s="7">
        <f t="shared" si="16"/>
        <v>0.75810163896547056</v>
      </c>
      <c r="L52" s="7">
        <f t="shared" si="16"/>
        <v>0.75810163896547056</v>
      </c>
      <c r="M52" s="7">
        <f t="shared" si="16"/>
        <v>0.75810163896547056</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theme="4" tint="0.39997558519241921"/>
  </sheetPr>
  <dimension ref="A2:AC109"/>
  <sheetViews>
    <sheetView topLeftCell="A56" zoomScale="80" zoomScaleNormal="80" workbookViewId="0">
      <pane xSplit="1" topLeftCell="B1" activePane="topRight" state="frozen"/>
      <selection pane="topRight" activeCell="C85" sqref="C85"/>
    </sheetView>
  </sheetViews>
  <sheetFormatPr defaultColWidth="8.88671875" defaultRowHeight="14.4" x14ac:dyDescent="0.3"/>
  <cols>
    <col min="1" max="1" width="56.44140625" customWidth="1"/>
    <col min="2" max="13" width="10.6640625" customWidth="1"/>
    <col min="15" max="15" width="30.44140625" customWidth="1"/>
    <col min="17" max="17" width="41.6640625" customWidth="1"/>
    <col min="18" max="18" width="44.88671875" customWidth="1"/>
  </cols>
  <sheetData>
    <row r="2" spans="1:18" ht="18" x14ac:dyDescent="0.35">
      <c r="A2" s="1" t="s">
        <v>147</v>
      </c>
    </row>
    <row r="3" spans="1:18" x14ac:dyDescent="0.3">
      <c r="B3" t="s">
        <v>75</v>
      </c>
      <c r="C3" t="s">
        <v>76</v>
      </c>
      <c r="D3" t="s">
        <v>77</v>
      </c>
      <c r="E3" t="s">
        <v>78</v>
      </c>
      <c r="F3" t="s">
        <v>79</v>
      </c>
      <c r="G3" t="s">
        <v>80</v>
      </c>
      <c r="H3" t="s">
        <v>81</v>
      </c>
      <c r="I3" t="s">
        <v>82</v>
      </c>
      <c r="J3" t="s">
        <v>83</v>
      </c>
      <c r="K3" t="s">
        <v>84</v>
      </c>
      <c r="L3" s="18" t="s">
        <v>85</v>
      </c>
      <c r="M3" t="s">
        <v>86</v>
      </c>
    </row>
    <row r="4" spans="1:18" x14ac:dyDescent="0.3">
      <c r="A4" s="170" t="s">
        <v>148</v>
      </c>
      <c r="B4" s="170" t="s">
        <v>31</v>
      </c>
      <c r="C4" s="170" t="s">
        <v>35</v>
      </c>
      <c r="D4" s="170" t="s">
        <v>29</v>
      </c>
      <c r="E4" s="170" t="s">
        <v>32</v>
      </c>
      <c r="F4" s="170" t="s">
        <v>36</v>
      </c>
      <c r="G4" s="170" t="s">
        <v>27</v>
      </c>
      <c r="H4" s="170" t="s">
        <v>33</v>
      </c>
      <c r="I4" s="170" t="s">
        <v>30</v>
      </c>
      <c r="J4" s="170" t="s">
        <v>28</v>
      </c>
      <c r="K4" s="170" t="s">
        <v>37</v>
      </c>
      <c r="L4" s="170" t="s">
        <v>34</v>
      </c>
      <c r="M4" s="231" t="s">
        <v>26</v>
      </c>
      <c r="O4" s="170" t="s">
        <v>149</v>
      </c>
      <c r="P4" s="170" t="s">
        <v>150</v>
      </c>
      <c r="Q4" s="170" t="s">
        <v>151</v>
      </c>
      <c r="R4" s="170" t="s">
        <v>150</v>
      </c>
    </row>
    <row r="5" spans="1:18" x14ac:dyDescent="0.3">
      <c r="A5" s="3" t="s">
        <v>152</v>
      </c>
      <c r="B5" s="14">
        <v>35</v>
      </c>
      <c r="C5" s="251">
        <v>35.6</v>
      </c>
      <c r="D5" s="14">
        <v>35</v>
      </c>
      <c r="E5" s="14">
        <v>35</v>
      </c>
      <c r="F5" s="14">
        <v>35</v>
      </c>
      <c r="G5" s="14">
        <v>35</v>
      </c>
      <c r="H5" s="14">
        <v>35</v>
      </c>
      <c r="I5" s="14">
        <v>35</v>
      </c>
      <c r="J5" s="14">
        <v>35</v>
      </c>
      <c r="K5" s="14">
        <v>35</v>
      </c>
      <c r="L5" s="251">
        <v>35</v>
      </c>
      <c r="M5" s="232">
        <v>35</v>
      </c>
      <c r="O5" s="97" t="s">
        <v>153</v>
      </c>
      <c r="Q5" s="96"/>
      <c r="R5" s="96"/>
    </row>
    <row r="6" spans="1:18" x14ac:dyDescent="0.3">
      <c r="A6" s="3" t="s">
        <v>154</v>
      </c>
      <c r="B6" s="14">
        <v>3</v>
      </c>
      <c r="C6" s="251">
        <v>3.8</v>
      </c>
      <c r="D6" s="14">
        <v>3</v>
      </c>
      <c r="E6" s="14">
        <v>3</v>
      </c>
      <c r="F6" s="14">
        <v>3</v>
      </c>
      <c r="G6" s="14">
        <v>3</v>
      </c>
      <c r="H6" s="14">
        <v>3</v>
      </c>
      <c r="I6" s="14">
        <v>3</v>
      </c>
      <c r="J6" s="14">
        <v>3</v>
      </c>
      <c r="K6" s="14">
        <v>3</v>
      </c>
      <c r="L6" s="251">
        <v>3</v>
      </c>
      <c r="M6" s="232">
        <v>3</v>
      </c>
      <c r="O6" s="97" t="s">
        <v>153</v>
      </c>
      <c r="Q6" s="97" t="s">
        <v>155</v>
      </c>
      <c r="R6" s="96"/>
    </row>
    <row r="7" spans="1:18" x14ac:dyDescent="0.3">
      <c r="A7" s="3" t="s">
        <v>156</v>
      </c>
      <c r="B7" s="14">
        <v>2.8</v>
      </c>
      <c r="C7" s="14">
        <v>2.8</v>
      </c>
      <c r="D7" s="14">
        <v>2.8</v>
      </c>
      <c r="E7" s="14">
        <v>2.8</v>
      </c>
      <c r="F7" s="14">
        <v>2.8</v>
      </c>
      <c r="G7" s="14">
        <v>2.8</v>
      </c>
      <c r="H7" s="14">
        <v>2.8</v>
      </c>
      <c r="I7" s="14">
        <v>2.8</v>
      </c>
      <c r="J7" s="14">
        <v>2.8</v>
      </c>
      <c r="K7" s="14">
        <v>2.8</v>
      </c>
      <c r="L7" s="251">
        <v>2.8</v>
      </c>
      <c r="M7" s="232">
        <v>2.8</v>
      </c>
      <c r="O7" s="97"/>
      <c r="Q7" s="97" t="s">
        <v>157</v>
      </c>
      <c r="R7" s="96"/>
    </row>
    <row r="8" spans="1:18" x14ac:dyDescent="0.3">
      <c r="A8" s="3" t="s">
        <v>158</v>
      </c>
      <c r="B8" s="14">
        <v>0.7</v>
      </c>
      <c r="C8" s="14">
        <v>0.7</v>
      </c>
      <c r="D8" s="14">
        <v>0.7</v>
      </c>
      <c r="E8" s="14">
        <v>0.7</v>
      </c>
      <c r="F8" s="14">
        <v>0.7</v>
      </c>
      <c r="G8" s="14">
        <v>0.7</v>
      </c>
      <c r="H8" s="14">
        <v>0.7</v>
      </c>
      <c r="I8" s="14">
        <v>0.7</v>
      </c>
      <c r="J8" s="14">
        <v>0.7</v>
      </c>
      <c r="K8" s="14">
        <v>0.7</v>
      </c>
      <c r="L8" s="251">
        <v>0.7</v>
      </c>
      <c r="M8" s="232">
        <v>0.7</v>
      </c>
      <c r="O8" s="97"/>
      <c r="Q8" s="97"/>
      <c r="R8" s="96"/>
    </row>
    <row r="9" spans="1:18" x14ac:dyDescent="0.3">
      <c r="A9" s="3" t="s">
        <v>159</v>
      </c>
      <c r="B9" s="14">
        <v>0.77</v>
      </c>
      <c r="C9" s="14">
        <v>0.77</v>
      </c>
      <c r="D9" s="14">
        <v>0.77</v>
      </c>
      <c r="E9" s="14">
        <v>0.77</v>
      </c>
      <c r="F9" s="14">
        <v>0.77</v>
      </c>
      <c r="G9" s="14">
        <v>0.77</v>
      </c>
      <c r="H9" s="14">
        <v>0.77</v>
      </c>
      <c r="I9" s="14">
        <v>0.77</v>
      </c>
      <c r="J9" s="14">
        <v>0.77</v>
      </c>
      <c r="K9" s="14">
        <v>0.77</v>
      </c>
      <c r="L9" s="251">
        <v>0.77</v>
      </c>
      <c r="M9" s="232">
        <v>0.77</v>
      </c>
      <c r="O9" s="97"/>
      <c r="Q9" s="97"/>
      <c r="R9" s="96"/>
    </row>
    <row r="10" spans="1:18" x14ac:dyDescent="0.3">
      <c r="A10" s="3" t="s">
        <v>160</v>
      </c>
      <c r="B10" s="15">
        <v>1.4379</v>
      </c>
      <c r="C10" s="252">
        <v>1.4379</v>
      </c>
      <c r="D10" s="15">
        <v>1.4379</v>
      </c>
      <c r="E10" s="15">
        <v>1.4379</v>
      </c>
      <c r="F10" s="15">
        <v>1.4379</v>
      </c>
      <c r="G10" s="15">
        <v>1.4379</v>
      </c>
      <c r="H10" s="15">
        <v>1.4379</v>
      </c>
      <c r="I10" s="15">
        <v>1.4379</v>
      </c>
      <c r="J10" s="15">
        <v>1.4379</v>
      </c>
      <c r="K10" s="15">
        <v>1.4379</v>
      </c>
      <c r="L10" s="252">
        <v>1.4379</v>
      </c>
      <c r="M10" s="233">
        <v>1.4379</v>
      </c>
      <c r="O10" s="97" t="s">
        <v>153</v>
      </c>
      <c r="Q10" s="97" t="s">
        <v>161</v>
      </c>
      <c r="R10" s="96"/>
    </row>
    <row r="11" spans="1:18" x14ac:dyDescent="0.3">
      <c r="A11" s="3" t="s">
        <v>162</v>
      </c>
      <c r="B11" s="15">
        <v>4.3</v>
      </c>
      <c r="C11" s="252">
        <v>4.9000000000000004</v>
      </c>
      <c r="D11" s="15">
        <v>4.3</v>
      </c>
      <c r="E11" s="15">
        <v>4.3</v>
      </c>
      <c r="F11" s="15">
        <v>4.3</v>
      </c>
      <c r="G11" s="15">
        <v>4.3</v>
      </c>
      <c r="H11" s="15">
        <v>4.3</v>
      </c>
      <c r="I11" s="15">
        <v>4.3</v>
      </c>
      <c r="J11" s="15">
        <v>4.3</v>
      </c>
      <c r="K11" s="15">
        <v>4.3</v>
      </c>
      <c r="L11" s="252">
        <v>4.3</v>
      </c>
      <c r="M11" s="233">
        <v>4.3</v>
      </c>
      <c r="O11" s="97" t="s">
        <v>153</v>
      </c>
      <c r="Q11" s="97" t="s">
        <v>163</v>
      </c>
      <c r="R11" s="96"/>
    </row>
    <row r="12" spans="1:18" x14ac:dyDescent="0.3">
      <c r="A12" s="3" t="s">
        <v>164</v>
      </c>
      <c r="B12" s="15">
        <v>5</v>
      </c>
      <c r="C12" s="15">
        <v>5</v>
      </c>
      <c r="D12" s="15">
        <v>5</v>
      </c>
      <c r="E12" s="15">
        <v>5</v>
      </c>
      <c r="F12" s="15">
        <v>5</v>
      </c>
      <c r="G12" s="15">
        <v>5</v>
      </c>
      <c r="H12" s="15">
        <v>5</v>
      </c>
      <c r="I12" s="15">
        <v>5</v>
      </c>
      <c r="J12" s="15">
        <v>5</v>
      </c>
      <c r="K12" s="15">
        <v>5</v>
      </c>
      <c r="L12" s="252">
        <v>5</v>
      </c>
      <c r="M12" s="233">
        <v>5</v>
      </c>
      <c r="O12" s="97"/>
      <c r="Q12" s="97" t="s">
        <v>165</v>
      </c>
      <c r="R12" s="96"/>
    </row>
    <row r="13" spans="1:18" x14ac:dyDescent="0.3">
      <c r="A13" s="3" t="s">
        <v>166</v>
      </c>
      <c r="B13" s="15">
        <v>0.27500000000000002</v>
      </c>
      <c r="C13" s="15">
        <v>0.27500000000000002</v>
      </c>
      <c r="D13" s="15">
        <v>0.27500000000000002</v>
      </c>
      <c r="E13" s="15">
        <v>0.27500000000000002</v>
      </c>
      <c r="F13" s="15">
        <v>0.27500000000000002</v>
      </c>
      <c r="G13" s="15">
        <v>0.27500000000000002</v>
      </c>
      <c r="H13" s="15">
        <v>0.27500000000000002</v>
      </c>
      <c r="I13" s="15">
        <v>0.27500000000000002</v>
      </c>
      <c r="J13" s="15">
        <v>0.27500000000000002</v>
      </c>
      <c r="K13" s="15">
        <v>0.27500000000000002</v>
      </c>
      <c r="L13" s="252">
        <v>0.27500000000000002</v>
      </c>
      <c r="M13" s="233">
        <v>0.27500000000000002</v>
      </c>
      <c r="O13" s="97"/>
      <c r="Q13" s="97" t="s">
        <v>167</v>
      </c>
      <c r="R13" s="96"/>
    </row>
    <row r="14" spans="1:18" x14ac:dyDescent="0.3">
      <c r="A14" s="3" t="s">
        <v>168</v>
      </c>
      <c r="B14" s="14">
        <v>150</v>
      </c>
      <c r="C14" s="14">
        <v>150</v>
      </c>
      <c r="D14" s="14">
        <v>150</v>
      </c>
      <c r="E14" s="14">
        <v>150</v>
      </c>
      <c r="F14" s="14">
        <v>150</v>
      </c>
      <c r="G14" s="14">
        <v>150</v>
      </c>
      <c r="H14" s="14">
        <v>150</v>
      </c>
      <c r="I14" s="14">
        <v>150</v>
      </c>
      <c r="J14" s="14">
        <v>150</v>
      </c>
      <c r="K14" s="14">
        <v>150</v>
      </c>
      <c r="L14" s="251">
        <v>150</v>
      </c>
      <c r="M14" s="232">
        <v>150</v>
      </c>
      <c r="O14" s="97"/>
      <c r="Q14" s="97" t="s">
        <v>169</v>
      </c>
      <c r="R14" s="96"/>
    </row>
    <row r="15" spans="1:18" x14ac:dyDescent="0.3">
      <c r="A15" s="3" t="s">
        <v>170</v>
      </c>
      <c r="B15" s="14">
        <v>12.5</v>
      </c>
      <c r="C15" s="14">
        <v>12.5</v>
      </c>
      <c r="D15" s="14">
        <v>12.5</v>
      </c>
      <c r="E15" s="14">
        <v>12.5</v>
      </c>
      <c r="F15" s="14">
        <v>12.5</v>
      </c>
      <c r="G15" s="14">
        <v>12.5</v>
      </c>
      <c r="H15" s="14">
        <v>12.5</v>
      </c>
      <c r="I15" s="14">
        <v>12.5</v>
      </c>
      <c r="J15" s="14">
        <v>12.5</v>
      </c>
      <c r="K15" s="14">
        <v>12.5</v>
      </c>
      <c r="L15" s="251">
        <v>12.5</v>
      </c>
      <c r="M15" s="232">
        <v>12.5</v>
      </c>
      <c r="O15" s="97"/>
      <c r="Q15" s="97" t="s">
        <v>169</v>
      </c>
      <c r="R15" s="96"/>
    </row>
    <row r="16" spans="1:18" x14ac:dyDescent="0.3">
      <c r="A16" s="3" t="s">
        <v>171</v>
      </c>
      <c r="B16" s="14">
        <v>8</v>
      </c>
      <c r="C16" s="14">
        <v>8</v>
      </c>
      <c r="D16" s="14">
        <v>8</v>
      </c>
      <c r="E16" s="14">
        <v>8</v>
      </c>
      <c r="F16" s="14">
        <v>8</v>
      </c>
      <c r="G16" s="14">
        <v>8</v>
      </c>
      <c r="H16" s="14">
        <v>8</v>
      </c>
      <c r="I16" s="14">
        <v>8</v>
      </c>
      <c r="J16" s="14">
        <v>8</v>
      </c>
      <c r="K16" s="14">
        <v>8</v>
      </c>
      <c r="L16" s="251">
        <v>8</v>
      </c>
      <c r="M16" s="232">
        <v>8</v>
      </c>
      <c r="O16" s="97"/>
      <c r="Q16" s="97" t="s">
        <v>169</v>
      </c>
      <c r="R16" s="96"/>
    </row>
    <row r="17" spans="1:18" x14ac:dyDescent="0.3">
      <c r="M17" s="234"/>
      <c r="O17" s="97"/>
      <c r="Q17" s="97"/>
      <c r="R17" s="96"/>
    </row>
    <row r="18" spans="1:18" x14ac:dyDescent="0.3">
      <c r="A18" s="170" t="s">
        <v>172</v>
      </c>
      <c r="B18" s="170"/>
      <c r="C18" s="170"/>
      <c r="D18" s="170"/>
      <c r="E18" s="170"/>
      <c r="F18" s="170"/>
      <c r="G18" s="170"/>
      <c r="H18" s="170"/>
      <c r="I18" s="170"/>
      <c r="J18" s="170"/>
      <c r="K18" s="170"/>
      <c r="L18" s="170"/>
      <c r="M18" s="231"/>
      <c r="O18" s="97"/>
      <c r="Q18" s="97"/>
      <c r="R18" s="96"/>
    </row>
    <row r="19" spans="1:18" x14ac:dyDescent="0.3">
      <c r="A19" s="91" t="s">
        <v>173</v>
      </c>
      <c r="B19" s="80">
        <v>0.3247662162385499</v>
      </c>
      <c r="C19" s="80">
        <v>0.12938618407074468</v>
      </c>
      <c r="D19" s="80">
        <v>0.12840126760243717</v>
      </c>
      <c r="E19" s="80">
        <v>0.12227505038110943</v>
      </c>
      <c r="F19" s="80">
        <v>8.7418005626499207E-2</v>
      </c>
      <c r="G19" s="80">
        <v>0.30763475488022607</v>
      </c>
      <c r="H19" s="80">
        <v>6.9755357742184998E-2</v>
      </c>
      <c r="I19" s="80">
        <v>6.5976692624369268E-2</v>
      </c>
      <c r="J19" s="80">
        <v>0.16996898787594733</v>
      </c>
      <c r="K19" s="80">
        <v>0.21894700375858384</v>
      </c>
      <c r="L19" s="270">
        <v>0</v>
      </c>
      <c r="M19" s="80">
        <v>0.24290688316534448</v>
      </c>
      <c r="O19" s="97" t="s">
        <v>174</v>
      </c>
      <c r="Q19" s="311" t="s">
        <v>425</v>
      </c>
      <c r="R19" s="97" t="s">
        <v>175</v>
      </c>
    </row>
    <row r="20" spans="1:18" x14ac:dyDescent="0.3">
      <c r="A20" s="92" t="s">
        <v>176</v>
      </c>
      <c r="B20" s="80">
        <v>1.9544149435115246E-2</v>
      </c>
      <c r="C20" s="80">
        <v>0.21280975376032865</v>
      </c>
      <c r="D20" s="80">
        <v>0.19116633717197407</v>
      </c>
      <c r="E20" s="80">
        <v>0.36571383818682729</v>
      </c>
      <c r="F20" s="80">
        <v>0.51851224834420662</v>
      </c>
      <c r="G20" s="80">
        <v>8.4790139584359644E-2</v>
      </c>
      <c r="H20" s="80">
        <v>0.45612129266564322</v>
      </c>
      <c r="I20" s="80">
        <v>0.19814107333385653</v>
      </c>
      <c r="J20" s="80">
        <v>0.23283885034476093</v>
      </c>
      <c r="K20" s="80">
        <v>0.28877148486086363</v>
      </c>
      <c r="L20" s="270">
        <v>2.9000000000000001E-2</v>
      </c>
      <c r="M20" s="80">
        <v>1.1405036092928852E-2</v>
      </c>
      <c r="O20" s="97" t="s">
        <v>177</v>
      </c>
      <c r="Q20" s="97" t="s">
        <v>178</v>
      </c>
      <c r="R20" s="20" t="s">
        <v>179</v>
      </c>
    </row>
    <row r="21" spans="1:18" x14ac:dyDescent="0.3">
      <c r="A21" s="92" t="s">
        <v>180</v>
      </c>
      <c r="B21" s="80">
        <v>5.4547926099966608E-3</v>
      </c>
      <c r="C21" s="80">
        <v>1.4661663802605954E-2</v>
      </c>
      <c r="D21" s="80">
        <v>2.5558758775563904E-5</v>
      </c>
      <c r="E21" s="80">
        <v>3.3230481611398861E-2</v>
      </c>
      <c r="F21" s="80">
        <v>4.6821690090770259E-2</v>
      </c>
      <c r="G21" s="80">
        <v>1.77320656507646E-2</v>
      </c>
      <c r="H21" s="80">
        <v>1.4486341810785938E-2</v>
      </c>
      <c r="I21" s="80">
        <v>2.1671841623166059E-3</v>
      </c>
      <c r="J21" s="80">
        <v>5.0904696791723991E-3</v>
      </c>
      <c r="K21" s="80">
        <v>3.4137674118133308E-2</v>
      </c>
      <c r="L21" s="270">
        <v>4.9000000000000002E-2</v>
      </c>
      <c r="M21" s="80">
        <v>2.6784717007595302E-2</v>
      </c>
      <c r="O21" s="97"/>
      <c r="Q21" s="97"/>
      <c r="R21" s="270"/>
    </row>
    <row r="22" spans="1:18" x14ac:dyDescent="0.3">
      <c r="A22" s="92" t="s">
        <v>181</v>
      </c>
      <c r="B22" s="80">
        <v>3.9573904033440906E-3</v>
      </c>
      <c r="C22" s="80">
        <v>2.2515954502451301E-3</v>
      </c>
      <c r="D22" s="80">
        <v>2.0974185801992562E-2</v>
      </c>
      <c r="E22" s="80">
        <v>7.3294724625475594E-3</v>
      </c>
      <c r="F22" s="80">
        <v>1.8197973513379373E-2</v>
      </c>
      <c r="G22" s="80">
        <v>0</v>
      </c>
      <c r="H22" s="80">
        <v>1.154218810875446E-3</v>
      </c>
      <c r="I22" s="80">
        <v>8.1550834411767848E-3</v>
      </c>
      <c r="J22" s="80">
        <v>6.6462863913214348E-2</v>
      </c>
      <c r="K22" s="80">
        <v>9.0108782601985467E-3</v>
      </c>
      <c r="L22" s="270">
        <v>0</v>
      </c>
      <c r="M22" s="80">
        <v>1.2703483591450424E-3</v>
      </c>
      <c r="O22" s="97"/>
      <c r="Q22" s="97"/>
      <c r="R22" s="270"/>
    </row>
    <row r="23" spans="1:18" x14ac:dyDescent="0.3">
      <c r="A23" s="93" t="s">
        <v>182</v>
      </c>
      <c r="B23" s="80">
        <v>0.33524969269006805</v>
      </c>
      <c r="C23" s="80">
        <v>0.31521053769451607</v>
      </c>
      <c r="D23" s="80">
        <v>0.42888207443270587</v>
      </c>
      <c r="E23" s="80">
        <v>5.256160625309033E-3</v>
      </c>
      <c r="F23" s="80">
        <v>8.1866500320142158E-2</v>
      </c>
      <c r="G23" s="80">
        <v>0.13212925363733041</v>
      </c>
      <c r="H23" s="80">
        <v>6.607302843520492E-2</v>
      </c>
      <c r="I23" s="80">
        <v>0.22324493125110034</v>
      </c>
      <c r="J23" s="80">
        <v>0.26723420141656068</v>
      </c>
      <c r="K23" s="80">
        <v>0.18547053507474909</v>
      </c>
      <c r="L23" s="270">
        <v>0.59099999999999997</v>
      </c>
      <c r="M23" s="80">
        <v>0.36306225085662319</v>
      </c>
      <c r="Q23" s="97"/>
      <c r="R23" s="270"/>
    </row>
    <row r="24" spans="1:18" x14ac:dyDescent="0.3">
      <c r="A24" s="92" t="s">
        <v>183</v>
      </c>
      <c r="B24" s="80">
        <v>6.9591530195853583E-4</v>
      </c>
      <c r="C24" s="80">
        <v>0</v>
      </c>
      <c r="D24" s="80">
        <v>9.3450155108809542E-4</v>
      </c>
      <c r="E24" s="80">
        <v>1.0533673599513421E-3</v>
      </c>
      <c r="F24" s="80">
        <v>1.1994594385271529E-3</v>
      </c>
      <c r="G24" s="80">
        <v>1.3715568697676599E-3</v>
      </c>
      <c r="H24" s="80">
        <v>2.8132125343424525E-3</v>
      </c>
      <c r="I24" s="80">
        <v>0</v>
      </c>
      <c r="J24" s="80">
        <v>4.1789296546899217E-3</v>
      </c>
      <c r="K24" s="80">
        <v>6.9661330661395359E-3</v>
      </c>
      <c r="L24" s="270">
        <v>0</v>
      </c>
      <c r="M24" s="80">
        <v>6.0909129056991628E-3</v>
      </c>
      <c r="Q24" s="96"/>
      <c r="R24" s="270"/>
    </row>
    <row r="25" spans="1:18" x14ac:dyDescent="0.3">
      <c r="A25" s="92" t="s">
        <v>184</v>
      </c>
      <c r="B25" s="80">
        <v>6.8361815808324494E-4</v>
      </c>
      <c r="C25" s="80">
        <v>0</v>
      </c>
      <c r="D25" s="80">
        <v>9.1798847805104754E-4</v>
      </c>
      <c r="E25" s="80">
        <v>1.0347538734704405E-3</v>
      </c>
      <c r="F25" s="80">
        <v>1.1782644376318839E-3</v>
      </c>
      <c r="G25" s="80">
        <v>1.3473208286461219E-3</v>
      </c>
      <c r="H25" s="80">
        <v>2.763501773404974E-3</v>
      </c>
      <c r="I25" s="80">
        <v>0</v>
      </c>
      <c r="J25" s="80">
        <v>4.1050860427910675E-3</v>
      </c>
      <c r="K25" s="80">
        <v>6.843038286368717E-3</v>
      </c>
      <c r="L25" s="270">
        <v>0</v>
      </c>
      <c r="M25" s="80">
        <v>5.9832836689627722E-3</v>
      </c>
      <c r="Q25" s="96"/>
      <c r="R25" s="270"/>
    </row>
    <row r="26" spans="1:18" x14ac:dyDescent="0.3">
      <c r="A26" s="92" t="s">
        <v>185</v>
      </c>
      <c r="B26" s="80">
        <v>4.36899603839115E-2</v>
      </c>
      <c r="C26" s="80">
        <v>9.7073458625180783E-2</v>
      </c>
      <c r="D26" s="80">
        <v>9.4499576799197224E-2</v>
      </c>
      <c r="E26" s="80">
        <v>1.1495502598072803E-3</v>
      </c>
      <c r="F26" s="80">
        <v>5.1767642112223974E-4</v>
      </c>
      <c r="G26" s="80">
        <v>7.3430139783317777E-2</v>
      </c>
      <c r="H26" s="80">
        <v>4.7386628229038642E-3</v>
      </c>
      <c r="I26" s="80">
        <v>0.12320054874364431</v>
      </c>
      <c r="J26" s="80">
        <v>3.0119810543340508E-2</v>
      </c>
      <c r="K26" s="80">
        <v>2.017458178365223E-2</v>
      </c>
      <c r="L26" s="270">
        <v>6.8000000000000005E-2</v>
      </c>
      <c r="M26" s="80">
        <v>9.4633897453147445E-2</v>
      </c>
      <c r="Q26" s="96"/>
      <c r="R26" s="270"/>
    </row>
    <row r="27" spans="1:18" x14ac:dyDescent="0.3">
      <c r="A27" s="92" t="s">
        <v>186</v>
      </c>
      <c r="B27" s="80">
        <v>0.1076444790964969</v>
      </c>
      <c r="C27" s="80">
        <v>8.7459166665531385E-2</v>
      </c>
      <c r="D27" s="80">
        <v>9.0801007307611245E-2</v>
      </c>
      <c r="E27" s="80">
        <v>0.20255815802791313</v>
      </c>
      <c r="F27" s="80">
        <v>9.8710786383614704E-2</v>
      </c>
      <c r="G27" s="80">
        <v>0.13973103889626368</v>
      </c>
      <c r="H27" s="80">
        <v>0.11699211590575154</v>
      </c>
      <c r="I27" s="80">
        <v>0.15910748774892908</v>
      </c>
      <c r="J27" s="80">
        <v>0.1050568603152183</v>
      </c>
      <c r="K27" s="80">
        <v>0.1724593547162262</v>
      </c>
      <c r="L27" s="270">
        <f>0.3*0.62</f>
        <v>0.186</v>
      </c>
      <c r="M27" s="80">
        <v>0.1863493678947572</v>
      </c>
      <c r="R27" s="270"/>
    </row>
    <row r="28" spans="1:18" x14ac:dyDescent="0.3">
      <c r="A28" s="92" t="s">
        <v>187</v>
      </c>
      <c r="B28" s="80">
        <v>1.7669178559904096E-2</v>
      </c>
      <c r="C28" s="80">
        <v>8.0151207366747315E-2</v>
      </c>
      <c r="D28" s="80">
        <v>1.8113105318221089E-2</v>
      </c>
      <c r="E28" s="80">
        <v>0.12768205188630527</v>
      </c>
      <c r="F28" s="80">
        <v>7.7842176173985381E-2</v>
      </c>
      <c r="G28" s="80">
        <v>0.13800716313225697</v>
      </c>
      <c r="H28" s="80">
        <v>0.12350411469968688</v>
      </c>
      <c r="I28" s="80">
        <v>1.7335418632101657E-2</v>
      </c>
      <c r="J28" s="80">
        <v>5.1412336687770274E-2</v>
      </c>
      <c r="K28" s="80">
        <v>2.6495909583274708E-2</v>
      </c>
      <c r="L28" s="270">
        <v>0</v>
      </c>
      <c r="M28" s="80">
        <v>1.2143080899157416E-2</v>
      </c>
      <c r="R28" s="270"/>
    </row>
    <row r="29" spans="1:18" x14ac:dyDescent="0.3">
      <c r="A29" s="92" t="s">
        <v>188</v>
      </c>
      <c r="B29" s="80">
        <v>0.14064460712257179</v>
      </c>
      <c r="C29" s="80">
        <v>6.0996432564100048E-2</v>
      </c>
      <c r="D29" s="80">
        <v>2.5284396777946184E-2</v>
      </c>
      <c r="E29" s="80">
        <v>0.13271711532536037</v>
      </c>
      <c r="F29" s="80">
        <v>6.7735219250121048E-2</v>
      </c>
      <c r="G29" s="80">
        <v>0.1038265667370671</v>
      </c>
      <c r="H29" s="80">
        <v>0.14159815279921578</v>
      </c>
      <c r="I29" s="80">
        <v>0.20267158006250544</v>
      </c>
      <c r="J29" s="80">
        <v>6.3531603526534211E-2</v>
      </c>
      <c r="K29" s="80">
        <v>3.0723406491810091E-2</v>
      </c>
      <c r="L29" s="270">
        <f>1-SUM(L19:L28)</f>
        <v>7.7000000000000179E-2</v>
      </c>
      <c r="M29" s="80">
        <v>4.9370221696639315E-2</v>
      </c>
      <c r="R29" s="270"/>
    </row>
    <row r="30" spans="1:18" x14ac:dyDescent="0.3">
      <c r="A30" s="3"/>
      <c r="B30" s="14"/>
      <c r="C30" s="14"/>
      <c r="D30" s="14"/>
      <c r="E30" s="14"/>
      <c r="F30" s="14"/>
      <c r="G30" s="14"/>
      <c r="H30" s="14"/>
      <c r="I30" s="14"/>
      <c r="J30" s="14"/>
      <c r="K30" s="14"/>
      <c r="L30" s="14"/>
      <c r="M30" s="14"/>
    </row>
    <row r="31" spans="1:18" x14ac:dyDescent="0.3">
      <c r="A31" s="92" t="s">
        <v>189</v>
      </c>
      <c r="B31" s="12">
        <f t="shared" ref="B31:M31" si="0">SUM(B19:B23)</f>
        <v>0.68897224137707391</v>
      </c>
      <c r="C31" s="12">
        <f t="shared" si="0"/>
        <v>0.67431973477844043</v>
      </c>
      <c r="D31" s="12">
        <f t="shared" si="0"/>
        <v>0.76944942376788528</v>
      </c>
      <c r="E31" s="12">
        <f t="shared" si="0"/>
        <v>0.53380500326719216</v>
      </c>
      <c r="F31" s="12">
        <f t="shared" si="0"/>
        <v>0.75281641789499776</v>
      </c>
      <c r="G31" s="12">
        <f t="shared" si="0"/>
        <v>0.54228621375268071</v>
      </c>
      <c r="H31" s="12">
        <f t="shared" si="0"/>
        <v>0.60759023946469448</v>
      </c>
      <c r="I31" s="12">
        <f t="shared" si="0"/>
        <v>0.49768496481281949</v>
      </c>
      <c r="J31" s="12">
        <f t="shared" si="0"/>
        <v>0.74159537322965563</v>
      </c>
      <c r="K31" s="12">
        <f t="shared" si="0"/>
        <v>0.73633757607252837</v>
      </c>
      <c r="L31" s="12">
        <f t="shared" si="0"/>
        <v>0.66899999999999993</v>
      </c>
      <c r="M31" s="235">
        <f t="shared" si="0"/>
        <v>0.64542923548163689</v>
      </c>
    </row>
    <row r="32" spans="1:18" x14ac:dyDescent="0.3">
      <c r="L32" s="18"/>
      <c r="M32" s="234"/>
    </row>
    <row r="33" spans="1:29" x14ac:dyDescent="0.3">
      <c r="A33" s="170" t="s">
        <v>190</v>
      </c>
      <c r="B33" s="170"/>
      <c r="C33" s="170"/>
      <c r="D33" s="170"/>
      <c r="E33" s="170"/>
      <c r="F33" s="170"/>
      <c r="G33" s="170"/>
      <c r="H33" s="170"/>
      <c r="I33" s="170"/>
      <c r="J33" s="170"/>
      <c r="K33" s="170"/>
      <c r="L33" s="170"/>
      <c r="M33" s="231"/>
      <c r="Q33" s="170" t="s">
        <v>191</v>
      </c>
      <c r="R33" s="170" t="s">
        <v>150</v>
      </c>
    </row>
    <row r="34" spans="1:29" x14ac:dyDescent="0.3">
      <c r="A34" s="94" t="s">
        <v>192</v>
      </c>
      <c r="B34" s="14">
        <v>1.52</v>
      </c>
      <c r="C34" s="14">
        <v>1.52</v>
      </c>
      <c r="D34" s="14">
        <v>1.52</v>
      </c>
      <c r="E34" s="14">
        <v>1.52</v>
      </c>
      <c r="F34" s="14">
        <v>1.52</v>
      </c>
      <c r="G34" s="14">
        <v>1.52</v>
      </c>
      <c r="H34" s="14">
        <v>1.52</v>
      </c>
      <c r="I34" s="14">
        <v>1.52</v>
      </c>
      <c r="J34" s="14">
        <v>1.52</v>
      </c>
      <c r="K34" s="14">
        <v>1.52</v>
      </c>
      <c r="L34" s="251">
        <v>1.52</v>
      </c>
      <c r="M34" s="232">
        <v>1.52</v>
      </c>
      <c r="O34" s="97" t="s">
        <v>174</v>
      </c>
      <c r="Q34" s="97" t="s">
        <v>193</v>
      </c>
      <c r="R34" s="97" t="s">
        <v>194</v>
      </c>
    </row>
    <row r="35" spans="1:29" x14ac:dyDescent="0.3">
      <c r="A35" s="3" t="s">
        <v>195</v>
      </c>
      <c r="B35" s="14">
        <v>48</v>
      </c>
      <c r="C35" s="14">
        <v>48</v>
      </c>
      <c r="D35" s="14">
        <v>48</v>
      </c>
      <c r="E35" s="14">
        <v>48</v>
      </c>
      <c r="F35" s="14">
        <v>48</v>
      </c>
      <c r="G35" s="14">
        <v>48</v>
      </c>
      <c r="H35" s="14">
        <v>48</v>
      </c>
      <c r="I35" s="14">
        <v>48</v>
      </c>
      <c r="J35" s="14">
        <v>48</v>
      </c>
      <c r="K35" s="14">
        <v>48</v>
      </c>
      <c r="L35" s="251">
        <v>48</v>
      </c>
      <c r="M35" s="232">
        <v>48</v>
      </c>
      <c r="O35" s="97" t="s">
        <v>177</v>
      </c>
      <c r="Q35" s="97" t="s">
        <v>196</v>
      </c>
      <c r="R35" s="97" t="s">
        <v>197</v>
      </c>
    </row>
    <row r="36" spans="1:29" x14ac:dyDescent="0.3">
      <c r="A36" s="3" t="s">
        <v>198</v>
      </c>
      <c r="B36" s="5">
        <f>B34/B8/B9/(1-B6/100)/(1-B7/100)+SUM(Production!B48:B51)*'Parameters, country spec'!B35</f>
        <v>3.2757680503272759</v>
      </c>
      <c r="C36" s="5">
        <f>C34/C8/C9/(1-C6/100)/(1-C7/100)+SUM(Production!C48:C51)*'Parameters, country spec'!C35</f>
        <v>3.3022879492491786</v>
      </c>
      <c r="D36" s="5">
        <f>D34/D8/D9/(1-D6/100)/(1-D7/100)+SUM(Production!D48:D51)*'Parameters, country spec'!D35</f>
        <v>3.2757680503272759</v>
      </c>
      <c r="E36" s="5">
        <f>E34/E8/E9/(1-E6/100)/(1-E7/100)+SUM(Production!E48:E51)*'Parameters, country spec'!E35</f>
        <v>3.2757680503272759</v>
      </c>
      <c r="F36" s="5">
        <f>F34/F8/F9/(1-F6/100)/(1-F7/100)+SUM(Production!F48:F51)*'Parameters, country spec'!F35</f>
        <v>3.2757680503272759</v>
      </c>
      <c r="G36" s="5">
        <f>G34/G8/G9/(1-G6/100)/(1-G7/100)+SUM(Production!G48:G51)*'Parameters, country spec'!G35</f>
        <v>3.2757680503272759</v>
      </c>
      <c r="H36" s="5">
        <f>H34/H8/H9/(1-H6/100)/(1-H7/100)+SUM(Production!H48:H51)*'Parameters, country spec'!H35</f>
        <v>3.2757680503272759</v>
      </c>
      <c r="I36" s="5">
        <f>I34/I8/I9/(1-I6/100)/(1-I7/100)+SUM(Production!I48:I51)*'Parameters, country spec'!I35</f>
        <v>3.2757680503272759</v>
      </c>
      <c r="J36" s="5">
        <f>J34/J8/J9/(1-J6/100)/(1-J7/100)+SUM(Production!J48:J51)*'Parameters, country spec'!J35</f>
        <v>3.2757680503272759</v>
      </c>
      <c r="K36" s="5">
        <f>K34/K8/K9/(1-K6/100)/(1-K7/100)+SUM(Production!K48:K51)*'Parameters, country spec'!K35</f>
        <v>3.2757680503272759</v>
      </c>
      <c r="L36" s="5">
        <f>L34/L8/L9/(1-L6/100)/(1-L7/100)+SUM(Production!L48:L51)*'Parameters, country spec'!L35</f>
        <v>3.2757680503272759</v>
      </c>
      <c r="M36" s="5">
        <f>M34/M8/M9/(1-M6/100)/(1-M7/100)+SUM(Production!M48:M51)*'Parameters, country spec'!M35</f>
        <v>3.2757680503272759</v>
      </c>
      <c r="Q36" s="97"/>
      <c r="R36" s="97"/>
    </row>
    <row r="37" spans="1:29" x14ac:dyDescent="0.3">
      <c r="M37" s="234"/>
      <c r="Q37" s="97"/>
      <c r="R37" s="97"/>
    </row>
    <row r="38" spans="1:29" x14ac:dyDescent="0.3">
      <c r="A38" s="170" t="s">
        <v>199</v>
      </c>
      <c r="B38" s="170"/>
      <c r="C38" s="170"/>
      <c r="D38" s="170"/>
      <c r="E38" s="170"/>
      <c r="F38" s="170"/>
      <c r="G38" s="170"/>
      <c r="H38" s="170"/>
      <c r="I38" s="170"/>
      <c r="J38" s="170"/>
      <c r="K38" s="170"/>
      <c r="L38" s="170"/>
      <c r="M38" s="231"/>
      <c r="Q38" s="97"/>
      <c r="R38" s="97"/>
      <c r="T38" t="s">
        <v>35</v>
      </c>
      <c r="U38" t="s">
        <v>29</v>
      </c>
      <c r="V38" t="s">
        <v>32</v>
      </c>
      <c r="W38" t="s">
        <v>129</v>
      </c>
      <c r="X38" t="s">
        <v>27</v>
      </c>
      <c r="Y38" t="s">
        <v>33</v>
      </c>
      <c r="Z38" t="s">
        <v>30</v>
      </c>
      <c r="AA38" t="s">
        <v>28</v>
      </c>
      <c r="AB38" t="s">
        <v>37</v>
      </c>
      <c r="AC38" t="s">
        <v>34</v>
      </c>
    </row>
    <row r="39" spans="1:29" x14ac:dyDescent="0.3">
      <c r="A39" s="3" t="s">
        <v>200</v>
      </c>
      <c r="B39" s="14">
        <v>0.28999999999999998</v>
      </c>
      <c r="C39" s="303">
        <v>0.44843073897000002</v>
      </c>
      <c r="D39" s="303">
        <v>0.66</v>
      </c>
      <c r="E39" s="303">
        <v>0.5</v>
      </c>
      <c r="F39" s="14">
        <v>0.49</v>
      </c>
      <c r="G39" s="303">
        <v>0.56000000000000005</v>
      </c>
      <c r="H39" s="14">
        <v>0.36</v>
      </c>
      <c r="I39" s="303">
        <v>0.59901214226393995</v>
      </c>
      <c r="J39" s="14">
        <v>0.435</v>
      </c>
      <c r="K39" s="303">
        <v>0.64</v>
      </c>
      <c r="L39" s="251">
        <v>0.28999999999999998</v>
      </c>
      <c r="M39" s="232">
        <v>0.28999999999999998</v>
      </c>
      <c r="Q39" s="97" t="s">
        <v>201</v>
      </c>
      <c r="R39" s="97"/>
      <c r="T39" t="s">
        <v>202</v>
      </c>
      <c r="U39" t="s">
        <v>202</v>
      </c>
      <c r="V39" t="s">
        <v>202</v>
      </c>
      <c r="W39" t="s">
        <v>203</v>
      </c>
      <c r="X39" t="s">
        <v>202</v>
      </c>
      <c r="Y39" t="s">
        <v>204</v>
      </c>
      <c r="Z39" t="s">
        <v>202</v>
      </c>
      <c r="AA39" t="s">
        <v>205</v>
      </c>
      <c r="AC39" s="97" t="s">
        <v>201</v>
      </c>
    </row>
    <row r="40" spans="1:29" x14ac:dyDescent="0.3">
      <c r="A40" s="3" t="s">
        <v>206</v>
      </c>
      <c r="B40" s="20">
        <f t="shared" ref="B40:M40" si="1">B39/8.5</f>
        <v>3.411764705882353E-2</v>
      </c>
      <c r="C40" s="20">
        <f t="shared" si="1"/>
        <v>5.2756557525882354E-2</v>
      </c>
      <c r="D40" s="20">
        <f t="shared" si="1"/>
        <v>7.7647058823529416E-2</v>
      </c>
      <c r="E40" s="20">
        <f t="shared" si="1"/>
        <v>5.8823529411764705E-2</v>
      </c>
      <c r="F40" s="20">
        <f t="shared" si="1"/>
        <v>5.7647058823529412E-2</v>
      </c>
      <c r="G40" s="20">
        <f t="shared" si="1"/>
        <v>6.5882352941176475E-2</v>
      </c>
      <c r="H40" s="20">
        <f t="shared" si="1"/>
        <v>4.2352941176470586E-2</v>
      </c>
      <c r="I40" s="20">
        <f t="shared" si="1"/>
        <v>7.0472016736934109E-2</v>
      </c>
      <c r="J40" s="20">
        <f t="shared" si="1"/>
        <v>5.1176470588235295E-2</v>
      </c>
      <c r="K40" s="20">
        <f t="shared" si="1"/>
        <v>7.5294117647058831E-2</v>
      </c>
      <c r="L40" s="20">
        <f t="shared" si="1"/>
        <v>3.411764705882353E-2</v>
      </c>
      <c r="M40" s="236">
        <f t="shared" si="1"/>
        <v>3.411764705882353E-2</v>
      </c>
      <c r="Q40" s="97" t="s">
        <v>207</v>
      </c>
      <c r="R40" s="97"/>
    </row>
    <row r="41" spans="1:29" x14ac:dyDescent="0.3">
      <c r="A41" s="3" t="s">
        <v>208</v>
      </c>
      <c r="B41" s="14">
        <v>0.6</v>
      </c>
      <c r="C41" s="303">
        <v>0.44843073897000002</v>
      </c>
      <c r="D41" s="303">
        <v>0.66</v>
      </c>
      <c r="E41" s="303">
        <v>0.5</v>
      </c>
      <c r="F41" s="14">
        <v>0.7</v>
      </c>
      <c r="G41" s="303">
        <v>0.56000000000000005</v>
      </c>
      <c r="H41" s="14">
        <v>0.66</v>
      </c>
      <c r="I41" s="303">
        <v>0.59901214226393995</v>
      </c>
      <c r="J41" s="14">
        <v>0.72499999999999998</v>
      </c>
      <c r="K41" s="303">
        <v>0.64</v>
      </c>
      <c r="L41" s="251">
        <v>0.6</v>
      </c>
      <c r="M41" s="232">
        <v>0.6</v>
      </c>
      <c r="Q41" s="97" t="s">
        <v>201</v>
      </c>
      <c r="R41" s="97" t="s">
        <v>209</v>
      </c>
      <c r="T41" t="s">
        <v>202</v>
      </c>
      <c r="U41" t="s">
        <v>202</v>
      </c>
      <c r="V41" t="s">
        <v>202</v>
      </c>
      <c r="W41" t="s">
        <v>203</v>
      </c>
      <c r="X41" t="s">
        <v>202</v>
      </c>
      <c r="Y41" t="s">
        <v>204</v>
      </c>
      <c r="Z41" t="s">
        <v>202</v>
      </c>
      <c r="AA41" t="s">
        <v>205</v>
      </c>
      <c r="AC41" s="97" t="s">
        <v>201</v>
      </c>
    </row>
    <row r="42" spans="1:29" x14ac:dyDescent="0.3">
      <c r="A42" s="3" t="s">
        <v>210</v>
      </c>
      <c r="B42" s="14">
        <v>0.17</v>
      </c>
      <c r="C42" s="14">
        <v>0.17</v>
      </c>
      <c r="D42" s="14">
        <v>0.17</v>
      </c>
      <c r="E42" s="14">
        <v>0.17</v>
      </c>
      <c r="F42" s="14">
        <v>0.17</v>
      </c>
      <c r="G42" s="14">
        <v>0.17</v>
      </c>
      <c r="H42" s="14">
        <v>0.17</v>
      </c>
      <c r="I42" s="14">
        <v>0.17</v>
      </c>
      <c r="J42" s="14">
        <v>0.17</v>
      </c>
      <c r="K42" s="14">
        <v>0.17</v>
      </c>
      <c r="L42" s="251">
        <v>0.17</v>
      </c>
      <c r="M42" s="232">
        <v>0.17</v>
      </c>
      <c r="Q42" s="97" t="s">
        <v>211</v>
      </c>
      <c r="R42" s="97"/>
    </row>
    <row r="43" spans="1:29" x14ac:dyDescent="0.3">
      <c r="A43" s="3" t="s">
        <v>212</v>
      </c>
      <c r="B43" s="4">
        <f>Production!B47*B40+SUM(Production!B48:B51)*B41</f>
        <v>2.922180278640972E-2</v>
      </c>
      <c r="C43" s="4">
        <f>Production!C47*C40+SUM(Production!C48:C51)*C41</f>
        <v>4.2587062601165099E-2</v>
      </c>
      <c r="D43" s="4">
        <f>Production!D47*D40+SUM(Production!D48:D51)*D41</f>
        <v>6.231923474533542E-2</v>
      </c>
      <c r="E43" s="4">
        <f>Production!E47*E40+SUM(Production!E48:E51)*E41</f>
        <v>4.7211541473738954E-2</v>
      </c>
      <c r="F43" s="4">
        <f>Production!F47*F40+SUM(Production!F48:F51)*F41</f>
        <v>4.7513158494730742E-2</v>
      </c>
      <c r="G43" s="4">
        <f>Production!G47*G40+SUM(Production!G48:G51)*G41</f>
        <v>5.2876926450587627E-2</v>
      </c>
      <c r="H43" s="4">
        <f>Production!H47*H40+SUM(Production!H48:H51)*H41</f>
        <v>3.5772092504615709E-2</v>
      </c>
      <c r="I43" s="4">
        <f>Production!I47*I40+SUM(Production!I48:I51)*I41</f>
        <v>5.6560573195534439E-2</v>
      </c>
      <c r="J43" s="4">
        <f>Production!J47*J40+SUM(Production!J48:J51)*J41</f>
        <v>4.2794497637559104E-2</v>
      </c>
      <c r="K43" s="4">
        <f>Production!K47*K40+SUM(Production!K48:K51)*K41</f>
        <v>6.0430773086385871E-2</v>
      </c>
      <c r="L43" s="4">
        <f>Production!L47*L40+SUM(Production!L48:L51)*L41</f>
        <v>2.922180278640972E-2</v>
      </c>
      <c r="M43" s="4">
        <f>Production!M47*M40+SUM(Production!M48:M51)*M41</f>
        <v>2.922180278640972E-2</v>
      </c>
      <c r="Q43" s="97"/>
      <c r="R43" s="97"/>
    </row>
    <row r="44" spans="1:29" x14ac:dyDescent="0.3">
      <c r="A44" s="3" t="s">
        <v>213</v>
      </c>
      <c r="B44" s="4">
        <f t="shared" ref="B44:M44" si="2">B50</f>
        <v>1E-3</v>
      </c>
      <c r="C44" s="4">
        <f t="shared" si="2"/>
        <v>1E-3</v>
      </c>
      <c r="D44" s="4">
        <f t="shared" si="2"/>
        <v>1E-3</v>
      </c>
      <c r="E44" s="4">
        <f t="shared" si="2"/>
        <v>1E-3</v>
      </c>
      <c r="F44" s="4">
        <f t="shared" si="2"/>
        <v>1E-3</v>
      </c>
      <c r="G44" s="4">
        <f t="shared" si="2"/>
        <v>1E-3</v>
      </c>
      <c r="H44" s="4">
        <f t="shared" si="2"/>
        <v>1E-3</v>
      </c>
      <c r="I44" s="4">
        <f t="shared" si="2"/>
        <v>1E-3</v>
      </c>
      <c r="J44" s="4">
        <f t="shared" si="2"/>
        <v>1E-3</v>
      </c>
      <c r="K44" s="4">
        <f t="shared" si="2"/>
        <v>1E-3</v>
      </c>
      <c r="L44" s="4">
        <f t="shared" si="2"/>
        <v>1E-3</v>
      </c>
      <c r="M44" s="237">
        <f t="shared" si="2"/>
        <v>1E-3</v>
      </c>
      <c r="Q44" s="97"/>
      <c r="R44" s="97"/>
    </row>
    <row r="45" spans="1:29" x14ac:dyDescent="0.3">
      <c r="A45" s="3" t="s">
        <v>214</v>
      </c>
      <c r="B45" s="110">
        <f t="shared" ref="B45:M45" si="3">(B43-B44*28/44)*B42*B51</f>
        <v>4.8595246555078347E-5</v>
      </c>
      <c r="C45" s="110">
        <f t="shared" si="3"/>
        <v>7.1316188240162491E-5</v>
      </c>
      <c r="D45" s="110">
        <f t="shared" si="3"/>
        <v>1.0486088088525204E-4</v>
      </c>
      <c r="E45" s="110">
        <f t="shared" si="3"/>
        <v>7.9177802323538042E-5</v>
      </c>
      <c r="F45" s="110">
        <f t="shared" si="3"/>
        <v>7.9690551259224091E-5</v>
      </c>
      <c r="G45" s="110">
        <f t="shared" si="3"/>
        <v>8.8808956784180781E-5</v>
      </c>
      <c r="H45" s="110">
        <f t="shared" si="3"/>
        <v>5.9730739076028533E-5</v>
      </c>
      <c r="I45" s="110">
        <f t="shared" si="3"/>
        <v>9.5071156250590373E-5</v>
      </c>
      <c r="J45" s="110">
        <f t="shared" si="3"/>
        <v>7.1668827802032304E-5</v>
      </c>
      <c r="K45" s="110">
        <f t="shared" si="3"/>
        <v>1.0165049606503781E-4</v>
      </c>
      <c r="L45" s="110">
        <f t="shared" si="3"/>
        <v>4.8595246555078347E-5</v>
      </c>
      <c r="M45" s="238">
        <f t="shared" si="3"/>
        <v>4.8595246555078347E-5</v>
      </c>
      <c r="Q45" s="97"/>
      <c r="R45" s="97"/>
    </row>
    <row r="46" spans="1:29" x14ac:dyDescent="0.3">
      <c r="A46" s="3" t="s">
        <v>215</v>
      </c>
      <c r="B46" s="4">
        <f t="shared" ref="B46:M46" si="4">B43-B44-B45</f>
        <v>2.8173207539854642E-2</v>
      </c>
      <c r="C46" s="4">
        <f t="shared" si="4"/>
        <v>4.1515746412924937E-2</v>
      </c>
      <c r="D46" s="4">
        <f t="shared" si="4"/>
        <v>6.1214373864450167E-2</v>
      </c>
      <c r="E46" s="4">
        <f t="shared" si="4"/>
        <v>4.6132363671415412E-2</v>
      </c>
      <c r="F46" s="4">
        <f t="shared" si="4"/>
        <v>4.6433467943471515E-2</v>
      </c>
      <c r="G46" s="4">
        <f t="shared" si="4"/>
        <v>5.1788117493803444E-2</v>
      </c>
      <c r="H46" s="4">
        <f t="shared" si="4"/>
        <v>3.4712361765539677E-2</v>
      </c>
      <c r="I46" s="4">
        <f t="shared" si="4"/>
        <v>5.5465502039283847E-2</v>
      </c>
      <c r="J46" s="4">
        <f t="shared" si="4"/>
        <v>4.172282880975707E-2</v>
      </c>
      <c r="K46" s="4">
        <f t="shared" si="4"/>
        <v>5.9329122590320832E-2</v>
      </c>
      <c r="L46" s="4">
        <f t="shared" si="4"/>
        <v>2.8173207539854642E-2</v>
      </c>
      <c r="M46" s="237">
        <f t="shared" si="4"/>
        <v>2.8173207539854642E-2</v>
      </c>
      <c r="Q46" s="97"/>
      <c r="R46" s="97"/>
    </row>
    <row r="47" spans="1:29" x14ac:dyDescent="0.3">
      <c r="M47" s="234"/>
      <c r="Q47" s="97"/>
      <c r="R47" s="97"/>
    </row>
    <row r="48" spans="1:29" x14ac:dyDescent="0.3">
      <c r="A48" s="170" t="s">
        <v>216</v>
      </c>
      <c r="B48" s="170"/>
      <c r="C48" s="170"/>
      <c r="D48" s="170"/>
      <c r="E48" s="170"/>
      <c r="F48" s="170"/>
      <c r="G48" s="170"/>
      <c r="H48" s="170"/>
      <c r="I48" s="170"/>
      <c r="J48" s="170"/>
      <c r="K48" s="170"/>
      <c r="L48" s="170"/>
      <c r="M48" s="231"/>
      <c r="Q48" s="97"/>
      <c r="R48" s="97"/>
    </row>
    <row r="49" spans="1:28" x14ac:dyDescent="0.3">
      <c r="A49" s="3" t="s">
        <v>217</v>
      </c>
      <c r="B49" s="14">
        <v>0.02</v>
      </c>
      <c r="C49" s="303">
        <v>0.02</v>
      </c>
      <c r="D49" s="303">
        <v>0.03</v>
      </c>
      <c r="E49" s="303">
        <v>0.03</v>
      </c>
      <c r="F49" s="303">
        <v>0.02</v>
      </c>
      <c r="G49" s="309">
        <v>2.1000000000000001E-2</v>
      </c>
      <c r="H49" s="14">
        <v>0.02</v>
      </c>
      <c r="I49" s="303">
        <v>2.879385581064E-2</v>
      </c>
      <c r="J49" s="303">
        <v>0.03</v>
      </c>
      <c r="K49" s="310">
        <v>2.7157268533580001E-2</v>
      </c>
      <c r="L49" s="251">
        <v>0.02</v>
      </c>
      <c r="M49" s="232">
        <v>0.02</v>
      </c>
      <c r="Q49" s="97" t="s">
        <v>218</v>
      </c>
      <c r="R49" s="97" t="s">
        <v>219</v>
      </c>
      <c r="T49" t="s">
        <v>202</v>
      </c>
      <c r="U49" t="s">
        <v>202</v>
      </c>
      <c r="V49" t="s">
        <v>202</v>
      </c>
      <c r="W49" t="s">
        <v>202</v>
      </c>
      <c r="X49" t="s">
        <v>220</v>
      </c>
      <c r="Y49" t="s">
        <v>204</v>
      </c>
      <c r="Z49" t="s">
        <v>202</v>
      </c>
      <c r="AA49" t="s">
        <v>205</v>
      </c>
      <c r="AB49" t="s">
        <v>202</v>
      </c>
    </row>
    <row r="50" spans="1:28" x14ac:dyDescent="0.3">
      <c r="A50" s="3" t="s">
        <v>221</v>
      </c>
      <c r="B50" s="14">
        <v>1E-3</v>
      </c>
      <c r="C50" s="14">
        <v>1E-3</v>
      </c>
      <c r="D50" s="14">
        <v>1E-3</v>
      </c>
      <c r="E50" s="14">
        <v>1E-3</v>
      </c>
      <c r="F50" s="14">
        <v>1E-3</v>
      </c>
      <c r="G50" s="14">
        <v>1E-3</v>
      </c>
      <c r="H50" s="14">
        <v>1E-3</v>
      </c>
      <c r="I50" s="14">
        <v>1E-3</v>
      </c>
      <c r="J50" s="14">
        <v>1E-3</v>
      </c>
      <c r="K50" s="14">
        <v>1E-3</v>
      </c>
      <c r="L50" s="251">
        <v>1E-3</v>
      </c>
      <c r="M50" s="232">
        <v>1E-3</v>
      </c>
      <c r="Q50" s="97" t="s">
        <v>222</v>
      </c>
      <c r="R50" s="97" t="s">
        <v>223</v>
      </c>
    </row>
    <row r="51" spans="1:28" x14ac:dyDescent="0.3">
      <c r="A51" s="3" t="s">
        <v>224</v>
      </c>
      <c r="B51" s="14">
        <v>0.01</v>
      </c>
      <c r="C51" s="14">
        <v>0.01</v>
      </c>
      <c r="D51" s="14">
        <v>0.01</v>
      </c>
      <c r="E51" s="14">
        <v>0.01</v>
      </c>
      <c r="F51" s="14">
        <v>0.01</v>
      </c>
      <c r="G51" s="14">
        <v>0.01</v>
      </c>
      <c r="H51" s="14">
        <v>0.01</v>
      </c>
      <c r="I51" s="14">
        <v>0.01</v>
      </c>
      <c r="J51" s="14">
        <v>0.01</v>
      </c>
      <c r="K51" s="14">
        <v>0.01</v>
      </c>
      <c r="L51" s="251">
        <v>0.01</v>
      </c>
      <c r="M51" s="232">
        <v>0.01</v>
      </c>
      <c r="Q51" s="97" t="s">
        <v>225</v>
      </c>
      <c r="R51" s="97" t="s">
        <v>226</v>
      </c>
    </row>
    <row r="52" spans="1:28" x14ac:dyDescent="0.3">
      <c r="L52" s="251"/>
      <c r="M52" s="234"/>
      <c r="Q52" s="97"/>
      <c r="R52" s="97"/>
    </row>
    <row r="53" spans="1:28" x14ac:dyDescent="0.3">
      <c r="A53" s="170" t="s">
        <v>227</v>
      </c>
      <c r="B53" s="170"/>
      <c r="C53" s="170"/>
      <c r="D53" s="170"/>
      <c r="E53" s="170"/>
      <c r="F53" s="170"/>
      <c r="G53" s="170"/>
      <c r="H53" s="170"/>
      <c r="I53" s="170"/>
      <c r="J53" s="170"/>
      <c r="K53" s="170"/>
      <c r="L53" s="271"/>
      <c r="M53" s="231"/>
      <c r="Q53" s="97"/>
      <c r="R53" s="97"/>
    </row>
    <row r="54" spans="1:28" x14ac:dyDescent="0.3">
      <c r="A54" s="3" t="s">
        <v>228</v>
      </c>
      <c r="B54" s="16">
        <v>0.35</v>
      </c>
      <c r="C54" s="16">
        <v>0.35</v>
      </c>
      <c r="D54" s="16">
        <v>0.35</v>
      </c>
      <c r="E54" s="16">
        <v>0.35</v>
      </c>
      <c r="F54" s="16">
        <v>0.35</v>
      </c>
      <c r="G54" s="16">
        <v>0.35</v>
      </c>
      <c r="H54" s="16">
        <v>0.35</v>
      </c>
      <c r="I54" s="16">
        <v>0.35</v>
      </c>
      <c r="J54" s="16">
        <v>0.35</v>
      </c>
      <c r="K54" s="16">
        <v>0.35</v>
      </c>
      <c r="L54" s="272">
        <v>0.35</v>
      </c>
      <c r="M54" s="239">
        <v>0.35</v>
      </c>
      <c r="Q54" s="97" t="s">
        <v>229</v>
      </c>
      <c r="R54" s="97"/>
    </row>
    <row r="55" spans="1:28" x14ac:dyDescent="0.3">
      <c r="A55" s="3" t="s">
        <v>230</v>
      </c>
      <c r="B55" s="14">
        <v>0.8</v>
      </c>
      <c r="C55" s="14">
        <v>0.8</v>
      </c>
      <c r="D55" s="14">
        <v>0.8</v>
      </c>
      <c r="E55" s="14">
        <v>0.8</v>
      </c>
      <c r="F55" s="14">
        <v>0.8</v>
      </c>
      <c r="G55" s="14">
        <v>0.8</v>
      </c>
      <c r="H55" s="14">
        <v>0.8</v>
      </c>
      <c r="I55" s="14">
        <v>0.8</v>
      </c>
      <c r="J55" s="14">
        <v>0.8</v>
      </c>
      <c r="K55" s="14">
        <v>0.8</v>
      </c>
      <c r="L55" s="251">
        <v>0.8</v>
      </c>
      <c r="M55" s="232">
        <v>0.8</v>
      </c>
      <c r="Q55" s="97" t="s">
        <v>229</v>
      </c>
      <c r="R55" s="97"/>
    </row>
    <row r="56" spans="1:28" x14ac:dyDescent="0.3">
      <c r="A56" s="3" t="s">
        <v>231</v>
      </c>
      <c r="B56" s="14">
        <v>0.5</v>
      </c>
      <c r="C56" s="14">
        <v>0.5</v>
      </c>
      <c r="D56" s="14">
        <v>0.5</v>
      </c>
      <c r="E56" s="14">
        <v>0.5</v>
      </c>
      <c r="F56" s="14">
        <v>0.5</v>
      </c>
      <c r="G56" s="14">
        <v>0.5</v>
      </c>
      <c r="H56" s="14">
        <v>0.5</v>
      </c>
      <c r="I56" s="14">
        <v>0.5</v>
      </c>
      <c r="J56" s="14">
        <v>0.5</v>
      </c>
      <c r="K56" s="14">
        <v>0.5</v>
      </c>
      <c r="L56" s="251">
        <v>0.5</v>
      </c>
      <c r="M56" s="232">
        <v>0.5</v>
      </c>
      <c r="Q56" s="97" t="s">
        <v>232</v>
      </c>
      <c r="R56" s="97"/>
    </row>
    <row r="57" spans="1:28" x14ac:dyDescent="0.3">
      <c r="L57" s="251"/>
      <c r="M57" s="234"/>
      <c r="Q57" s="97" t="s">
        <v>233</v>
      </c>
      <c r="R57" s="97"/>
    </row>
    <row r="58" spans="1:28" x14ac:dyDescent="0.3">
      <c r="A58" s="170" t="s">
        <v>234</v>
      </c>
      <c r="B58" s="170"/>
      <c r="C58" s="170"/>
      <c r="D58" s="170"/>
      <c r="E58" s="170"/>
      <c r="F58" s="170"/>
      <c r="G58" s="170"/>
      <c r="H58" s="170"/>
      <c r="I58" s="170"/>
      <c r="J58" s="170"/>
      <c r="K58" s="170"/>
      <c r="L58" s="271"/>
      <c r="M58" s="231"/>
    </row>
    <row r="59" spans="1:28" x14ac:dyDescent="0.3">
      <c r="A59" s="3" t="s">
        <v>235</v>
      </c>
      <c r="B59" s="15">
        <v>0.4</v>
      </c>
      <c r="C59" s="15">
        <v>0.4</v>
      </c>
      <c r="D59" s="15">
        <v>0.4</v>
      </c>
      <c r="E59" s="15">
        <v>0.4</v>
      </c>
      <c r="F59" s="15">
        <v>0.4</v>
      </c>
      <c r="G59" s="15">
        <v>0.4</v>
      </c>
      <c r="H59" s="15">
        <v>0.4</v>
      </c>
      <c r="I59" s="15">
        <v>0.4</v>
      </c>
      <c r="J59" s="15">
        <v>0.4</v>
      </c>
      <c r="K59" s="15">
        <v>0.4</v>
      </c>
      <c r="L59" s="252">
        <v>0.4</v>
      </c>
      <c r="M59" s="233">
        <v>0.4</v>
      </c>
      <c r="Q59" s="113" t="s">
        <v>236</v>
      </c>
    </row>
    <row r="60" spans="1:28" x14ac:dyDescent="0.3">
      <c r="A60" s="3" t="s">
        <v>237</v>
      </c>
      <c r="B60" s="14">
        <v>0.02</v>
      </c>
      <c r="C60" s="14">
        <v>0.02</v>
      </c>
      <c r="D60" s="14">
        <v>0.02</v>
      </c>
      <c r="E60" s="14">
        <v>0.02</v>
      </c>
      <c r="F60" s="14">
        <v>0.02</v>
      </c>
      <c r="G60" s="14">
        <v>0.02</v>
      </c>
      <c r="H60" s="14">
        <v>0.02</v>
      </c>
      <c r="I60" s="14">
        <v>0.02</v>
      </c>
      <c r="J60" s="14">
        <v>0.02</v>
      </c>
      <c r="K60" s="14">
        <v>0.02</v>
      </c>
      <c r="L60" s="251">
        <v>0.02</v>
      </c>
      <c r="M60" s="232">
        <v>0.02</v>
      </c>
      <c r="Q60" s="113" t="s">
        <v>238</v>
      </c>
    </row>
    <row r="61" spans="1:28" x14ac:dyDescent="0.3">
      <c r="L61" s="18"/>
      <c r="M61" s="234"/>
    </row>
    <row r="62" spans="1:28" x14ac:dyDescent="0.3">
      <c r="A62" s="170" t="s">
        <v>239</v>
      </c>
      <c r="B62" s="170"/>
      <c r="C62" s="170"/>
      <c r="D62" s="170"/>
      <c r="E62" s="170"/>
      <c r="F62" s="170"/>
      <c r="G62" s="170"/>
      <c r="H62" s="170"/>
      <c r="I62" s="170"/>
      <c r="J62" s="170"/>
      <c r="K62" s="170"/>
      <c r="L62" s="170"/>
      <c r="M62" s="231"/>
      <c r="Q62" s="97"/>
      <c r="R62" s="97"/>
    </row>
    <row r="63" spans="1:28" x14ac:dyDescent="0.3">
      <c r="A63" s="3" t="s">
        <v>240</v>
      </c>
      <c r="B63" s="20">
        <f>B64+EF_el_CH4_DK*CF_GWP_CH4_fossil+EF_el_N2O_DK*CF_GWP_N2O</f>
        <v>0.39096643315116797</v>
      </c>
      <c r="C63" s="20">
        <f>C64+EF_el_CH4_FR*CF_GWP_CH4_fossil+EF_el_N2O_FR*CF_GWP_N2O</f>
        <v>9.7389846101688715E-2</v>
      </c>
      <c r="D63" s="20">
        <f>D64+EF_el_CH4_DE*CF_GWP_CH4_fossil+EF_el_N2O_DE*CF_GWP_N2O</f>
        <v>0.49559220951342314</v>
      </c>
      <c r="E63" s="20">
        <f>E64+EF_el_CH4_GR*CF_GWP_CH4_fossil+EF_el_N2O_GR*CF_GWP_N2O</f>
        <v>0.68383359838017999</v>
      </c>
      <c r="F63" s="20">
        <f>F64+EF_el_CH4_HU*CF_GWP_CH4_fossil+EF_el_N2O_HU*CF_GWP_N2O</f>
        <v>0.47422491295135871</v>
      </c>
      <c r="G63" s="20">
        <f>G64+EF_el_CH4_IE*CF_GWP_CH4_fossil+EF_el_N2O_IE*CF_GWP_N2O</f>
        <v>0.40838708515026739</v>
      </c>
      <c r="H63" s="20">
        <f>H64+EF_el_CH4_IT*CF_GWP_CH4_fossil+EF_el_N2O_IT*CF_GWP_N2O</f>
        <v>0.43143256987221246</v>
      </c>
      <c r="I63" s="20">
        <f>I64+EF_el_CH4_NL*CF_GWP_CH4_fossil+EF_el_N2O_NL*CF_GWP_N2O</f>
        <v>0.53148365626410343</v>
      </c>
      <c r="J63" s="20">
        <f>J64+EF_el_CH4_PL*CF_GWP_CH4_fossil+EF_el_N2O_PL*CF_GWP_N2O</f>
        <v>1.0362621395994065</v>
      </c>
      <c r="K63" s="20">
        <f>K64+EF_el_CH4_ES*CF_GWP_CH4_fossil+EF_el_N2O_ES*CF_GWP_N2O</f>
        <v>0.29612656825806077</v>
      </c>
      <c r="L63" s="20">
        <f>L64+EF_el_CH4_SE*CF_GWP_CH4_fossil+EF_el_N2O_SE*CF_GWP_N2O</f>
        <v>9.361010590226701E-2</v>
      </c>
      <c r="M63" s="20">
        <f>M64+EF_el_CH4_GB*CF_GWP_CH4_fossil+EF_el_N2O_GB*CF_GWP_N2O</f>
        <v>0.41464558412034863</v>
      </c>
      <c r="Q63" s="97" t="s">
        <v>241</v>
      </c>
      <c r="R63" s="97"/>
    </row>
    <row r="64" spans="1:28" x14ac:dyDescent="0.3">
      <c r="A64" s="3" t="s">
        <v>242</v>
      </c>
      <c r="B64" s="253">
        <v>0.37053203522740003</v>
      </c>
      <c r="C64" s="254">
        <v>8.7112695367499993E-2</v>
      </c>
      <c r="D64" s="253">
        <v>0.46350339663360002</v>
      </c>
      <c r="E64" s="253">
        <v>0.63996298020209996</v>
      </c>
      <c r="F64" s="253">
        <v>0.43715184780049998</v>
      </c>
      <c r="G64" s="253">
        <v>0.3918720101247401</v>
      </c>
      <c r="H64" s="253">
        <v>0.37797633435819999</v>
      </c>
      <c r="I64" s="253">
        <v>0.49673189321139988</v>
      </c>
      <c r="J64" s="253">
        <v>0.9754510606115</v>
      </c>
      <c r="K64" s="253">
        <v>0.26811508139590001</v>
      </c>
      <c r="L64" s="253">
        <v>8.8450339728460003E-2</v>
      </c>
      <c r="M64" s="255">
        <v>0.39396368680829996</v>
      </c>
      <c r="Q64" s="97"/>
      <c r="R64" s="97"/>
    </row>
    <row r="65" spans="1:18" x14ac:dyDescent="0.3">
      <c r="A65" s="3" t="s">
        <v>243</v>
      </c>
      <c r="B65" s="256">
        <v>5.1107441647039987E-4</v>
      </c>
      <c r="C65" s="256">
        <v>2.700762131814E-4</v>
      </c>
      <c r="D65" s="256">
        <v>8.866310670443999E-4</v>
      </c>
      <c r="E65" s="256">
        <v>1.2704162262849E-3</v>
      </c>
      <c r="F65" s="256">
        <v>1.1037499887663997E-3</v>
      </c>
      <c r="G65" s="256">
        <v>4.22314047096554E-4</v>
      </c>
      <c r="H65" s="256">
        <v>1.6431484401077997E-3</v>
      </c>
      <c r="I65" s="256">
        <v>9.8347245312259998E-4</v>
      </c>
      <c r="J65" s="256">
        <v>1.8794008186636402E-3</v>
      </c>
      <c r="K65" s="256">
        <v>8.28784824796E-4</v>
      </c>
      <c r="L65" s="256">
        <v>9.8278548655939986E-5</v>
      </c>
      <c r="M65" s="257">
        <v>5.6578726519659992E-4</v>
      </c>
      <c r="Q65" s="97"/>
      <c r="R65" s="97"/>
    </row>
    <row r="66" spans="1:18" x14ac:dyDescent="0.3">
      <c r="A66" s="3" t="s">
        <v>244</v>
      </c>
      <c r="B66" s="258">
        <v>1.9063664150000001E-5</v>
      </c>
      <c r="C66" s="258">
        <v>8.1643940709999986E-6</v>
      </c>
      <c r="D66" s="258">
        <v>2.0759000300000004E-5</v>
      </c>
      <c r="E66" s="258">
        <v>2.2022764229999999E-5</v>
      </c>
      <c r="F66" s="258">
        <v>1.5316173940000001E-5</v>
      </c>
      <c r="G66" s="258">
        <v>1.439603085E-5</v>
      </c>
      <c r="H66" s="258">
        <v>1.6448395599999999E-5</v>
      </c>
      <c r="I66" s="258">
        <v>1.9942432050000001E-5</v>
      </c>
      <c r="J66" s="258">
        <v>1.7600493009999999E-5</v>
      </c>
      <c r="K66" s="258">
        <v>1.213809188E-5</v>
      </c>
      <c r="L66" s="258">
        <v>8.172400819999999E-6</v>
      </c>
      <c r="M66" s="259">
        <v>1.3997937029999999E-5</v>
      </c>
    </row>
    <row r="67" spans="1:18" x14ac:dyDescent="0.3">
      <c r="A67" s="3"/>
      <c r="M67" s="234"/>
    </row>
    <row r="68" spans="1:18" x14ac:dyDescent="0.3">
      <c r="A68" s="170" t="s">
        <v>245</v>
      </c>
      <c r="B68" s="170"/>
      <c r="C68" s="170"/>
      <c r="D68" s="170"/>
      <c r="E68" s="170"/>
      <c r="F68" s="170"/>
      <c r="G68" s="170"/>
      <c r="H68" s="170"/>
      <c r="I68" s="170"/>
      <c r="J68" s="170"/>
      <c r="K68" s="170"/>
      <c r="L68" s="170"/>
      <c r="M68" s="231"/>
      <c r="Q68" s="97"/>
      <c r="R68" s="97"/>
    </row>
    <row r="69" spans="1:18" x14ac:dyDescent="0.3">
      <c r="A69" s="3" t="s">
        <v>246</v>
      </c>
      <c r="B69" s="16">
        <v>0.19</v>
      </c>
      <c r="C69" s="16">
        <v>0.19</v>
      </c>
      <c r="D69" s="16">
        <v>0.19</v>
      </c>
      <c r="E69" s="16">
        <v>0.19</v>
      </c>
      <c r="F69" s="16">
        <v>0.19</v>
      </c>
      <c r="G69" s="16">
        <v>0.19</v>
      </c>
      <c r="H69" s="16">
        <v>0.19</v>
      </c>
      <c r="I69" s="16">
        <v>0.19</v>
      </c>
      <c r="J69" s="16">
        <v>0.19</v>
      </c>
      <c r="K69" s="16">
        <v>0.19</v>
      </c>
      <c r="L69" s="16">
        <v>0.19</v>
      </c>
      <c r="M69" s="239">
        <v>0.19</v>
      </c>
      <c r="Q69" s="97" t="s">
        <v>247</v>
      </c>
      <c r="R69" s="97"/>
    </row>
    <row r="70" spans="1:18" x14ac:dyDescent="0.3">
      <c r="A70" s="3" t="s">
        <v>248</v>
      </c>
      <c r="B70" s="14">
        <v>0.4</v>
      </c>
      <c r="C70" s="14">
        <v>0.4</v>
      </c>
      <c r="D70" s="14">
        <v>0.4</v>
      </c>
      <c r="E70" s="14">
        <v>0.4</v>
      </c>
      <c r="F70" s="14">
        <v>0.4</v>
      </c>
      <c r="G70" s="14">
        <v>0.4</v>
      </c>
      <c r="H70" s="14">
        <v>0.4</v>
      </c>
      <c r="I70" s="14">
        <v>0.4</v>
      </c>
      <c r="J70" s="14">
        <v>0.4</v>
      </c>
      <c r="K70" s="14">
        <v>0.4</v>
      </c>
      <c r="L70" s="14">
        <v>0.4</v>
      </c>
      <c r="M70" s="232">
        <v>0.4</v>
      </c>
      <c r="Q70" s="97" t="s">
        <v>249</v>
      </c>
      <c r="R70" s="97"/>
    </row>
    <row r="71" spans="1:18" x14ac:dyDescent="0.3">
      <c r="A71" s="3" t="s">
        <v>250</v>
      </c>
      <c r="B71" s="14">
        <v>0.82</v>
      </c>
      <c r="C71" s="14">
        <v>0.82</v>
      </c>
      <c r="D71" s="14">
        <v>0.82</v>
      </c>
      <c r="E71" s="14">
        <v>0.82</v>
      </c>
      <c r="F71" s="14">
        <v>0.82</v>
      </c>
      <c r="G71" s="14">
        <v>0.82</v>
      </c>
      <c r="H71" s="14">
        <v>0.82</v>
      </c>
      <c r="I71" s="14">
        <v>0.82</v>
      </c>
      <c r="J71" s="14">
        <v>0.82</v>
      </c>
      <c r="K71" s="14">
        <v>0.82</v>
      </c>
      <c r="L71" s="14">
        <v>0.82</v>
      </c>
      <c r="M71" s="232">
        <v>0.82</v>
      </c>
      <c r="Q71" s="97" t="s">
        <v>251</v>
      </c>
      <c r="R71" s="97"/>
    </row>
    <row r="72" spans="1:18" x14ac:dyDescent="0.3">
      <c r="A72" s="3" t="s">
        <v>252</v>
      </c>
      <c r="B72" s="14">
        <v>0.65</v>
      </c>
      <c r="C72" s="14">
        <v>0.65</v>
      </c>
      <c r="D72" s="14">
        <v>0.65</v>
      </c>
      <c r="E72" s="14">
        <v>0.65</v>
      </c>
      <c r="F72" s="14">
        <v>0.65</v>
      </c>
      <c r="G72" s="14">
        <v>0.65</v>
      </c>
      <c r="H72" s="14">
        <v>0.65</v>
      </c>
      <c r="I72" s="14">
        <v>0.65</v>
      </c>
      <c r="J72" s="14">
        <v>0.65</v>
      </c>
      <c r="K72" s="14">
        <v>0.65</v>
      </c>
      <c r="L72" s="14">
        <v>0.65</v>
      </c>
      <c r="M72" s="232">
        <v>0.65</v>
      </c>
      <c r="Q72" s="97" t="s">
        <v>251</v>
      </c>
      <c r="R72" s="97"/>
    </row>
    <row r="73" spans="1:18" x14ac:dyDescent="0.3">
      <c r="M73" s="234"/>
      <c r="Q73" s="97"/>
      <c r="R73" s="97"/>
    </row>
    <row r="74" spans="1:18" x14ac:dyDescent="0.3">
      <c r="A74" s="170" t="s">
        <v>253</v>
      </c>
      <c r="B74" s="170"/>
      <c r="C74" s="170"/>
      <c r="D74" s="170"/>
      <c r="E74" s="170"/>
      <c r="F74" s="170"/>
      <c r="G74" s="170"/>
      <c r="H74" s="170"/>
      <c r="I74" s="170"/>
      <c r="J74" s="170"/>
      <c r="K74" s="170"/>
      <c r="L74" s="170"/>
      <c r="M74" s="231"/>
      <c r="Q74" s="97"/>
      <c r="R74" s="97"/>
    </row>
    <row r="75" spans="1:18" x14ac:dyDescent="0.3">
      <c r="A75" s="3" t="s">
        <v>254</v>
      </c>
      <c r="B75" s="260">
        <v>0.6</v>
      </c>
      <c r="C75" s="260">
        <v>0.3</v>
      </c>
      <c r="D75" s="260">
        <v>0.3</v>
      </c>
      <c r="E75" s="260">
        <v>0.3</v>
      </c>
      <c r="F75" s="260">
        <v>0.3</v>
      </c>
      <c r="G75" s="260">
        <v>0.3</v>
      </c>
      <c r="H75" s="260">
        <v>0.3</v>
      </c>
      <c r="I75" s="260">
        <v>0.3</v>
      </c>
      <c r="J75" s="260">
        <v>0.3</v>
      </c>
      <c r="K75" s="260">
        <v>0.3</v>
      </c>
      <c r="L75" s="260">
        <v>0.6</v>
      </c>
      <c r="M75" s="262">
        <v>0.3</v>
      </c>
      <c r="O75" s="224" t="s">
        <v>255</v>
      </c>
    </row>
    <row r="76" spans="1:18" x14ac:dyDescent="0.3">
      <c r="A76" s="3" t="s">
        <v>256</v>
      </c>
      <c r="B76" s="261">
        <v>0.4</v>
      </c>
      <c r="C76" s="261">
        <v>0.7</v>
      </c>
      <c r="D76" s="261">
        <v>0.7</v>
      </c>
      <c r="E76" s="261">
        <v>0.7</v>
      </c>
      <c r="F76" s="261">
        <v>0.7</v>
      </c>
      <c r="G76" s="261">
        <v>0.7</v>
      </c>
      <c r="H76" s="261">
        <v>0.7</v>
      </c>
      <c r="I76" s="261">
        <v>0.7</v>
      </c>
      <c r="J76" s="261">
        <v>0.7</v>
      </c>
      <c r="K76" s="261">
        <v>0.7</v>
      </c>
      <c r="L76" s="261">
        <v>0.4</v>
      </c>
      <c r="M76" s="263">
        <v>0.7</v>
      </c>
    </row>
    <row r="77" spans="1:18" x14ac:dyDescent="0.3">
      <c r="M77" s="234"/>
    </row>
    <row r="78" spans="1:18" x14ac:dyDescent="0.3">
      <c r="A78" s="170" t="s">
        <v>257</v>
      </c>
      <c r="B78" s="170"/>
      <c r="C78" s="170"/>
      <c r="D78" s="170"/>
      <c r="E78" s="170"/>
      <c r="F78" s="170"/>
      <c r="G78" s="170"/>
      <c r="H78" s="170"/>
      <c r="I78" s="170"/>
      <c r="J78" s="170"/>
      <c r="K78" s="170"/>
      <c r="L78" s="170"/>
      <c r="M78" s="231"/>
    </row>
    <row r="79" spans="1:18" x14ac:dyDescent="0.3">
      <c r="A79" s="95" t="s">
        <v>258</v>
      </c>
      <c r="B79" s="264">
        <v>1.6E-2</v>
      </c>
      <c r="C79" s="264">
        <v>1.6E-2</v>
      </c>
      <c r="D79" s="264">
        <v>1.6E-2</v>
      </c>
      <c r="E79" s="264">
        <v>1.6E-2</v>
      </c>
      <c r="F79" s="264">
        <v>1.6E-2</v>
      </c>
      <c r="G79" s="264">
        <v>1.6E-2</v>
      </c>
      <c r="H79" s="264">
        <v>1.6E-2</v>
      </c>
      <c r="I79" s="264">
        <v>1.6E-2</v>
      </c>
      <c r="J79" s="264">
        <v>1.6E-2</v>
      </c>
      <c r="K79" s="264">
        <v>5.0000000000000001E-3</v>
      </c>
      <c r="L79" s="264">
        <v>1.6E-2</v>
      </c>
      <c r="M79" s="265">
        <v>1.6E-2</v>
      </c>
      <c r="O79" s="97" t="s">
        <v>259</v>
      </c>
    </row>
    <row r="80" spans="1:18" x14ac:dyDescent="0.3">
      <c r="A80" s="95" t="s">
        <v>260</v>
      </c>
      <c r="B80" s="264">
        <v>6.0000000000000001E-3</v>
      </c>
      <c r="C80" s="264">
        <v>6.0000000000000001E-3</v>
      </c>
      <c r="D80" s="264">
        <v>6.0000000000000001E-3</v>
      </c>
      <c r="E80" s="264">
        <v>6.0000000000000001E-3</v>
      </c>
      <c r="F80" s="264">
        <v>6.0000000000000001E-3</v>
      </c>
      <c r="G80" s="264">
        <v>6.0000000000000001E-3</v>
      </c>
      <c r="H80" s="264">
        <v>6.0000000000000001E-3</v>
      </c>
      <c r="I80" s="264">
        <v>6.0000000000000001E-3</v>
      </c>
      <c r="J80" s="264">
        <v>6.0000000000000001E-3</v>
      </c>
      <c r="K80" s="264">
        <v>5.0000000000000001E-3</v>
      </c>
      <c r="L80" s="264">
        <v>6.0000000000000001E-3</v>
      </c>
      <c r="M80" s="265">
        <v>6.0000000000000001E-3</v>
      </c>
    </row>
    <row r="81" spans="1:17" x14ac:dyDescent="0.3">
      <c r="A81" s="3" t="s">
        <v>261</v>
      </c>
      <c r="B81" s="4">
        <f t="shared" ref="B81:M81" si="5">B79-B80</f>
        <v>0.01</v>
      </c>
      <c r="C81" s="4">
        <f t="shared" si="5"/>
        <v>0.01</v>
      </c>
      <c r="D81" s="4">
        <f t="shared" si="5"/>
        <v>0.01</v>
      </c>
      <c r="E81" s="4">
        <f t="shared" si="5"/>
        <v>0.01</v>
      </c>
      <c r="F81" s="4">
        <f t="shared" si="5"/>
        <v>0.01</v>
      </c>
      <c r="G81" s="4">
        <f t="shared" si="5"/>
        <v>0.01</v>
      </c>
      <c r="H81" s="4">
        <f t="shared" si="5"/>
        <v>0.01</v>
      </c>
      <c r="I81" s="4">
        <f t="shared" si="5"/>
        <v>0.01</v>
      </c>
      <c r="J81" s="4">
        <f t="shared" si="5"/>
        <v>0.01</v>
      </c>
      <c r="K81" s="4">
        <f t="shared" si="5"/>
        <v>0</v>
      </c>
      <c r="L81" s="4">
        <f t="shared" si="5"/>
        <v>0.01</v>
      </c>
      <c r="M81" s="237">
        <f t="shared" si="5"/>
        <v>0.01</v>
      </c>
    </row>
    <row r="82" spans="1:17" x14ac:dyDescent="0.3">
      <c r="A82" s="95" t="s">
        <v>262</v>
      </c>
      <c r="B82" s="32">
        <v>0.1</v>
      </c>
      <c r="C82" s="32">
        <v>0.1</v>
      </c>
      <c r="D82" s="32">
        <v>0.1</v>
      </c>
      <c r="E82" s="32">
        <v>0.1</v>
      </c>
      <c r="F82" s="32">
        <v>0.1</v>
      </c>
      <c r="G82" s="32">
        <v>0.1</v>
      </c>
      <c r="H82" s="32">
        <v>0.1</v>
      </c>
      <c r="I82" s="32">
        <v>0.1</v>
      </c>
      <c r="J82" s="32">
        <v>0.1</v>
      </c>
      <c r="K82" s="32">
        <v>0.1</v>
      </c>
      <c r="L82" s="32">
        <v>0.1</v>
      </c>
      <c r="M82" s="240">
        <v>0.1</v>
      </c>
    </row>
    <row r="83" spans="1:17" x14ac:dyDescent="0.3">
      <c r="A83" s="3"/>
      <c r="M83" s="234"/>
    </row>
    <row r="84" spans="1:17" x14ac:dyDescent="0.3">
      <c r="A84" s="170" t="s">
        <v>263</v>
      </c>
      <c r="B84" s="170"/>
      <c r="C84" s="170"/>
      <c r="D84" s="170"/>
      <c r="E84" s="170"/>
      <c r="F84" s="170"/>
      <c r="G84" s="170"/>
      <c r="H84" s="170"/>
      <c r="I84" s="170"/>
      <c r="J84" s="170"/>
      <c r="K84" s="170"/>
      <c r="L84" s="170"/>
      <c r="M84" s="231"/>
    </row>
    <row r="85" spans="1:17" x14ac:dyDescent="0.3">
      <c r="A85" s="95" t="s">
        <v>263</v>
      </c>
      <c r="B85" s="266">
        <v>0.5</v>
      </c>
      <c r="C85" s="266">
        <v>0.5</v>
      </c>
      <c r="D85" s="266">
        <v>0.5</v>
      </c>
      <c r="E85" s="266">
        <v>0.5</v>
      </c>
      <c r="F85" s="266">
        <v>0.5</v>
      </c>
      <c r="G85" s="266">
        <v>0.5</v>
      </c>
      <c r="H85" s="266">
        <v>0.5</v>
      </c>
      <c r="I85" s="266">
        <v>0.5</v>
      </c>
      <c r="J85" s="266">
        <v>0.5</v>
      </c>
      <c r="K85" s="266">
        <v>0.5</v>
      </c>
      <c r="L85" s="266">
        <v>0.5</v>
      </c>
      <c r="M85" s="267">
        <v>0.5</v>
      </c>
      <c r="Q85" t="s">
        <v>264</v>
      </c>
    </row>
    <row r="86" spans="1:17" x14ac:dyDescent="0.3">
      <c r="M86" s="234"/>
    </row>
    <row r="87" spans="1:17" x14ac:dyDescent="0.3">
      <c r="A87" s="170" t="s">
        <v>265</v>
      </c>
      <c r="B87" s="170"/>
      <c r="C87" s="170"/>
      <c r="D87" s="170"/>
      <c r="E87" s="170"/>
      <c r="F87" s="170"/>
      <c r="G87" s="170"/>
      <c r="H87" s="170"/>
      <c r="I87" s="170"/>
      <c r="J87" s="170"/>
      <c r="K87" s="170"/>
      <c r="L87" s="170"/>
      <c r="M87" s="231"/>
    </row>
    <row r="88" spans="1:17" x14ac:dyDescent="0.3">
      <c r="A88" s="95" t="s">
        <v>266</v>
      </c>
      <c r="B88" s="117">
        <v>0.01</v>
      </c>
      <c r="C88" s="117">
        <v>0.01</v>
      </c>
      <c r="D88" s="117">
        <v>0.01</v>
      </c>
      <c r="E88" s="117">
        <v>0.01</v>
      </c>
      <c r="F88" s="117">
        <v>0.01</v>
      </c>
      <c r="G88" s="117">
        <v>0.01</v>
      </c>
      <c r="H88" s="117">
        <v>0.01</v>
      </c>
      <c r="I88" s="117">
        <v>0.01</v>
      </c>
      <c r="J88" s="117">
        <v>0.01</v>
      </c>
      <c r="K88" s="117">
        <v>0.01</v>
      </c>
      <c r="L88" s="117">
        <v>0.01</v>
      </c>
      <c r="M88" s="241">
        <v>0.01</v>
      </c>
      <c r="Q88" t="s">
        <v>267</v>
      </c>
    </row>
    <row r="89" spans="1:17" x14ac:dyDescent="0.3">
      <c r="M89" s="234"/>
    </row>
    <row r="90" spans="1:17" x14ac:dyDescent="0.3">
      <c r="A90" s="170" t="s">
        <v>268</v>
      </c>
      <c r="B90" s="170"/>
      <c r="C90" s="170"/>
      <c r="D90" s="170"/>
      <c r="E90" s="170"/>
      <c r="F90" s="170"/>
      <c r="G90" s="170"/>
      <c r="H90" s="170"/>
      <c r="I90" s="170"/>
      <c r="J90" s="170"/>
      <c r="K90" s="170"/>
      <c r="L90" s="170"/>
      <c r="M90" s="231"/>
    </row>
    <row r="91" spans="1:17" x14ac:dyDescent="0.3">
      <c r="A91" s="95" t="s">
        <v>269</v>
      </c>
      <c r="B91" s="268">
        <v>8.2000000000000003E-2</v>
      </c>
      <c r="C91" s="268">
        <v>0.124</v>
      </c>
      <c r="D91" s="268">
        <v>0.14000000000000001</v>
      </c>
      <c r="E91" s="268">
        <v>9.1999999999999998E-2</v>
      </c>
      <c r="F91" s="268">
        <v>0.40200000000000002</v>
      </c>
      <c r="G91" s="268">
        <v>0.26800000000000002</v>
      </c>
      <c r="H91" s="268">
        <v>0.13</v>
      </c>
      <c r="I91" s="268">
        <v>0.16800000000000001</v>
      </c>
      <c r="J91" s="268">
        <v>0.42399999999999999</v>
      </c>
      <c r="K91" s="268">
        <v>0.04</v>
      </c>
      <c r="L91" s="268">
        <v>8.2000000000000003E-2</v>
      </c>
      <c r="M91" s="269">
        <v>0.114</v>
      </c>
    </row>
    <row r="92" spans="1:17" x14ac:dyDescent="0.3">
      <c r="L92" s="18"/>
    </row>
    <row r="93" spans="1:17" x14ac:dyDescent="0.3">
      <c r="A93" s="170" t="s">
        <v>50</v>
      </c>
      <c r="B93" s="170"/>
      <c r="C93" s="170"/>
      <c r="D93" s="170"/>
      <c r="E93" s="170"/>
      <c r="F93" s="170"/>
      <c r="G93" s="170"/>
      <c r="H93" s="170"/>
      <c r="I93" s="170"/>
      <c r="J93" s="170"/>
      <c r="K93" s="170"/>
      <c r="L93" s="170"/>
      <c r="M93" s="231"/>
    </row>
    <row r="94" spans="1:17" x14ac:dyDescent="0.3">
      <c r="A94" s="95" t="s">
        <v>270</v>
      </c>
      <c r="B94" s="14"/>
      <c r="C94" s="14">
        <v>0.1</v>
      </c>
      <c r="D94" s="14">
        <v>0.05</v>
      </c>
      <c r="E94" s="14">
        <v>0.05</v>
      </c>
      <c r="F94" s="14">
        <v>0.05</v>
      </c>
      <c r="G94" s="14">
        <v>0.05</v>
      </c>
      <c r="H94" s="14">
        <v>0.05</v>
      </c>
      <c r="I94" s="14">
        <v>0.05</v>
      </c>
      <c r="J94" s="14">
        <v>0.05</v>
      </c>
      <c r="K94" s="14">
        <v>0.05</v>
      </c>
      <c r="L94" s="14">
        <v>0.05</v>
      </c>
      <c r="M94" s="14">
        <v>0.05</v>
      </c>
    </row>
    <row r="95" spans="1:17" x14ac:dyDescent="0.3">
      <c r="A95" s="250" t="s">
        <v>271</v>
      </c>
      <c r="B95" s="14"/>
      <c r="C95" s="14">
        <v>0.1</v>
      </c>
      <c r="D95" s="14">
        <v>1</v>
      </c>
      <c r="E95" s="14">
        <v>1</v>
      </c>
      <c r="F95" s="14">
        <v>1</v>
      </c>
      <c r="G95" s="14">
        <v>1</v>
      </c>
      <c r="H95" s="14">
        <v>1</v>
      </c>
      <c r="I95" s="14">
        <v>1</v>
      </c>
      <c r="J95" s="14">
        <v>1</v>
      </c>
      <c r="K95" s="14">
        <v>1</v>
      </c>
      <c r="L95" s="14">
        <v>1</v>
      </c>
      <c r="M95" s="14">
        <v>1</v>
      </c>
    </row>
    <row r="96" spans="1:17" x14ac:dyDescent="0.3">
      <c r="A96" s="3" t="s">
        <v>272</v>
      </c>
      <c r="B96" s="14"/>
      <c r="C96" s="14">
        <v>0.63900000000000001</v>
      </c>
      <c r="D96" s="14">
        <v>1</v>
      </c>
      <c r="E96" s="14">
        <v>1</v>
      </c>
      <c r="F96" s="14">
        <v>1</v>
      </c>
      <c r="G96" s="14">
        <v>1</v>
      </c>
      <c r="H96" s="14">
        <v>1</v>
      </c>
      <c r="I96" s="14">
        <v>1</v>
      </c>
      <c r="J96" s="14">
        <v>1</v>
      </c>
      <c r="K96" s="14">
        <v>1</v>
      </c>
      <c r="L96" s="14">
        <v>1</v>
      </c>
      <c r="M96" s="14">
        <v>1</v>
      </c>
    </row>
    <row r="97" spans="1:18" x14ac:dyDescent="0.3">
      <c r="A97" s="3" t="s">
        <v>273</v>
      </c>
      <c r="B97" s="14"/>
      <c r="C97" s="14">
        <v>0.64</v>
      </c>
      <c r="D97" s="14">
        <v>1</v>
      </c>
      <c r="E97" s="14">
        <v>1</v>
      </c>
      <c r="F97" s="14">
        <v>1</v>
      </c>
      <c r="G97" s="14">
        <v>1</v>
      </c>
      <c r="H97" s="14">
        <v>1</v>
      </c>
      <c r="I97" s="14">
        <v>1</v>
      </c>
      <c r="J97" s="14">
        <v>1</v>
      </c>
      <c r="K97" s="14">
        <v>1</v>
      </c>
      <c r="L97" s="14">
        <v>1</v>
      </c>
      <c r="M97" s="14">
        <v>1</v>
      </c>
    </row>
    <row r="98" spans="1:18" x14ac:dyDescent="0.3">
      <c r="A98" s="3" t="s">
        <v>274</v>
      </c>
      <c r="B98" s="248"/>
      <c r="C98" s="248">
        <v>2.5379999999999998</v>
      </c>
      <c r="D98" s="248">
        <f t="shared" ref="D98:M98" si="6">D6/100*Weight_mortality+D94*Weight_diseases+D96*Weight_space+Slaughter_duration_class*Weight_slaughter_duration_class</f>
        <v>3.16</v>
      </c>
      <c r="E98" s="248">
        <f t="shared" si="6"/>
        <v>3.16</v>
      </c>
      <c r="F98" s="248">
        <f t="shared" si="6"/>
        <v>3.16</v>
      </c>
      <c r="G98" s="248">
        <f t="shared" si="6"/>
        <v>3.16</v>
      </c>
      <c r="H98" s="248">
        <f t="shared" si="6"/>
        <v>3.16</v>
      </c>
      <c r="I98" s="248">
        <f t="shared" si="6"/>
        <v>3.16</v>
      </c>
      <c r="J98" s="248">
        <f t="shared" si="6"/>
        <v>3.16</v>
      </c>
      <c r="K98" s="248">
        <f t="shared" si="6"/>
        <v>3.16</v>
      </c>
      <c r="L98" s="248">
        <f t="shared" si="6"/>
        <v>3.16</v>
      </c>
      <c r="M98" s="248">
        <f t="shared" si="6"/>
        <v>3.16</v>
      </c>
    </row>
    <row r="99" spans="1:18" x14ac:dyDescent="0.3">
      <c r="A99" s="3" t="s">
        <v>275</v>
      </c>
      <c r="B99" s="248"/>
      <c r="C99" s="248">
        <v>0.08</v>
      </c>
      <c r="D99" s="248">
        <f t="shared" ref="D99:M99" si="7">D16/100*Weight_mortality+D95*Weight_diseases+D97*Weight_space+Slaughter_duration_class*Weight_slaughter_duration_class</f>
        <v>5.16</v>
      </c>
      <c r="E99" s="248">
        <f t="shared" si="7"/>
        <v>5.16</v>
      </c>
      <c r="F99" s="248">
        <f t="shared" si="7"/>
        <v>5.16</v>
      </c>
      <c r="G99" s="248">
        <f t="shared" si="7"/>
        <v>5.16</v>
      </c>
      <c r="H99" s="248">
        <f t="shared" si="7"/>
        <v>5.16</v>
      </c>
      <c r="I99" s="248">
        <f t="shared" si="7"/>
        <v>5.16</v>
      </c>
      <c r="J99" s="248">
        <f t="shared" si="7"/>
        <v>5.16</v>
      </c>
      <c r="K99" s="248">
        <f t="shared" si="7"/>
        <v>5.16</v>
      </c>
      <c r="L99" s="248">
        <f t="shared" si="7"/>
        <v>5.16</v>
      </c>
      <c r="M99" s="248">
        <f t="shared" si="7"/>
        <v>5.16</v>
      </c>
    </row>
    <row r="100" spans="1:18" x14ac:dyDescent="0.3">
      <c r="A100" s="3" t="s">
        <v>276</v>
      </c>
      <c r="B100" s="249"/>
      <c r="C100" s="249">
        <f>Ability_to_perceive_handling*(Weight_no_of_animal*Production!C47*'Parameters, country spec'!C98+Weight_no_of_animal*SUM(Production!C48:C51)*'Parameters, country spec'!C99)*100</f>
        <v>5.8561499973570941</v>
      </c>
      <c r="D100" s="249">
        <f>Ability_to_perceive_handling*(Weight_no_of_animal*Production!D47*'Parameters, country spec'!D98+Weight_no_of_animal*SUM(Production!D48:D51)*'Parameters, country spec'!D99)*100</f>
        <v>7.3409669103032869</v>
      </c>
      <c r="E100" s="249">
        <f>Ability_to_perceive_handling*(Weight_no_of_animal*Production!E47*'Parameters, country spec'!E98+Weight_no_of_animal*SUM(Production!E48:E51)*'Parameters, country spec'!E99)*100</f>
        <v>7.3409669103032869</v>
      </c>
      <c r="F100" s="249">
        <f>Ability_to_perceive_handling*(Weight_no_of_animal*Production!F47*'Parameters, country spec'!F98+Weight_no_of_animal*SUM(Production!F48:F51)*'Parameters, country spec'!F99)*100</f>
        <v>7.3409669103032869</v>
      </c>
      <c r="G100" s="249">
        <f>Ability_to_perceive_handling*(Weight_no_of_animal*Production!G47*'Parameters, country spec'!G98+Weight_no_of_animal*SUM(Production!G48:G51)*'Parameters, country spec'!G99)*100</f>
        <v>7.3409669103032869</v>
      </c>
      <c r="H100" s="249">
        <f>Ability_to_perceive_handling*(Weight_no_of_animal*Production!H47*'Parameters, country spec'!H98+Weight_no_of_animal*SUM(Production!H48:H51)*'Parameters, country spec'!H99)*100</f>
        <v>7.3409669103032869</v>
      </c>
      <c r="I100" s="249">
        <f>Ability_to_perceive_handling*(Weight_no_of_animal*Production!I47*'Parameters, country spec'!I98+Weight_no_of_animal*SUM(Production!I48:I51)*'Parameters, country spec'!I99)*100</f>
        <v>7.3409669103032869</v>
      </c>
      <c r="J100" s="249">
        <f>Ability_to_perceive_handling*(Weight_no_of_animal*Production!J47*'Parameters, country spec'!J98+Weight_no_of_animal*SUM(Production!J48:J51)*'Parameters, country spec'!J99)*100</f>
        <v>7.3409669103032869</v>
      </c>
      <c r="K100" s="249">
        <f>Ability_to_perceive_handling*(Weight_no_of_animal*Production!K47*'Parameters, country spec'!K98+Weight_no_of_animal*SUM(Production!K48:K51)*'Parameters, country spec'!K99)*100</f>
        <v>7.3409669103032869</v>
      </c>
      <c r="L100" s="249">
        <f>Ability_to_perceive_handling*(Weight_no_of_animal*Production!L47*'Parameters, country spec'!L98+Weight_no_of_animal*SUM(Production!L48:L51)*'Parameters, country spec'!L99)*100</f>
        <v>7.3409669103032869</v>
      </c>
      <c r="M100" s="249">
        <f>Ability_to_perceive_handling*(Weight_no_of_animal*Production!M47*'Parameters, country spec'!M98+Weight_no_of_animal*SUM(Production!M48:M51)*'Parameters, country spec'!M99)*100</f>
        <v>7.3409669103032869</v>
      </c>
    </row>
    <row r="101" spans="1:18" x14ac:dyDescent="0.3">
      <c r="G101" s="187"/>
      <c r="H101" s="188"/>
    </row>
    <row r="102" spans="1:18" x14ac:dyDescent="0.3">
      <c r="G102" s="187"/>
      <c r="H102" s="188"/>
    </row>
    <row r="103" spans="1:18" x14ac:dyDescent="0.3">
      <c r="A103" t="s">
        <v>277</v>
      </c>
    </row>
    <row r="105" spans="1:18" x14ac:dyDescent="0.3">
      <c r="A105" t="s">
        <v>278</v>
      </c>
    </row>
    <row r="109" spans="1:18" x14ac:dyDescent="0.3">
      <c r="A109" s="170" t="s">
        <v>148</v>
      </c>
      <c r="B109" s="170" t="s">
        <v>31</v>
      </c>
      <c r="C109" s="170" t="s">
        <v>35</v>
      </c>
      <c r="D109" s="170" t="s">
        <v>29</v>
      </c>
      <c r="E109" s="170" t="s">
        <v>32</v>
      </c>
      <c r="F109" s="170" t="s">
        <v>36</v>
      </c>
      <c r="G109" s="170" t="s">
        <v>27</v>
      </c>
      <c r="H109" s="170" t="s">
        <v>33</v>
      </c>
      <c r="I109" s="170" t="s">
        <v>30</v>
      </c>
      <c r="J109" s="170" t="s">
        <v>28</v>
      </c>
      <c r="K109" s="170" t="s">
        <v>37</v>
      </c>
      <c r="L109" s="170" t="s">
        <v>34</v>
      </c>
      <c r="M109" s="231" t="s">
        <v>26</v>
      </c>
      <c r="O109" s="170" t="s">
        <v>149</v>
      </c>
      <c r="P109" s="170" t="s">
        <v>150</v>
      </c>
      <c r="Q109" s="170" t="s">
        <v>151</v>
      </c>
      <c r="R109" s="170" t="s">
        <v>150</v>
      </c>
    </row>
  </sheetData>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tabColor theme="4" tint="0.79998168889431442"/>
  </sheetPr>
  <dimension ref="A1:S261"/>
  <sheetViews>
    <sheetView topLeftCell="B123" zoomScale="66" zoomScaleNormal="90" workbookViewId="0">
      <selection activeCell="G138" sqref="G138:N144"/>
    </sheetView>
  </sheetViews>
  <sheetFormatPr defaultColWidth="8.88671875" defaultRowHeight="14.4" x14ac:dyDescent="0.3"/>
  <cols>
    <col min="1" max="1" width="8.6640625" customWidth="1"/>
    <col min="2" max="2" width="30.44140625" customWidth="1"/>
    <col min="3" max="3" width="19" customWidth="1"/>
    <col min="4" max="4" width="12.88671875" customWidth="1"/>
    <col min="5" max="5" width="10.33203125" customWidth="1"/>
    <col min="6" max="11" width="12.6640625" customWidth="1"/>
    <col min="12" max="12" width="14.109375" customWidth="1"/>
    <col min="13" max="18" width="12.6640625" customWidth="1"/>
  </cols>
  <sheetData>
    <row r="1" spans="1:18" x14ac:dyDescent="0.3">
      <c r="F1" s="12"/>
      <c r="G1" s="12"/>
      <c r="H1" s="12"/>
      <c r="I1" s="12"/>
      <c r="J1" s="12"/>
      <c r="K1" s="12"/>
      <c r="L1" s="12"/>
      <c r="M1" s="12"/>
      <c r="N1" s="12"/>
      <c r="O1" s="12"/>
      <c r="P1" s="12"/>
      <c r="Q1" s="12"/>
    </row>
    <row r="2" spans="1:18" ht="21" x14ac:dyDescent="0.4">
      <c r="A2" s="2" t="s">
        <v>279</v>
      </c>
      <c r="G2" t="s">
        <v>280</v>
      </c>
      <c r="Q2" t="s">
        <v>281</v>
      </c>
    </row>
    <row r="3" spans="1:18" x14ac:dyDescent="0.3">
      <c r="I3" s="9"/>
      <c r="J3" s="9"/>
      <c r="K3" s="9"/>
      <c r="L3" s="9"/>
      <c r="M3" s="9"/>
      <c r="N3" s="9"/>
      <c r="O3" s="9"/>
      <c r="P3" s="9"/>
    </row>
    <row r="4" spans="1:18" ht="28.8" x14ac:dyDescent="0.3">
      <c r="A4" s="206" t="s">
        <v>282</v>
      </c>
      <c r="B4" s="189"/>
      <c r="C4" s="189"/>
      <c r="D4" s="189"/>
      <c r="E4" s="189"/>
      <c r="F4" s="190" t="s">
        <v>97</v>
      </c>
      <c r="G4" s="190" t="s">
        <v>98</v>
      </c>
      <c r="H4" s="191"/>
      <c r="I4" s="190" t="s">
        <v>99</v>
      </c>
      <c r="J4" s="104"/>
      <c r="K4" s="190" t="s">
        <v>100</v>
      </c>
      <c r="L4" s="104"/>
      <c r="M4" s="104"/>
      <c r="N4" s="104"/>
      <c r="O4" s="105" t="s">
        <v>101</v>
      </c>
      <c r="P4" s="105" t="s">
        <v>283</v>
      </c>
      <c r="Q4" s="192" t="s">
        <v>102</v>
      </c>
      <c r="R4" s="190" t="s">
        <v>284</v>
      </c>
    </row>
    <row r="5" spans="1:18" ht="47.25" customHeight="1" x14ac:dyDescent="0.3">
      <c r="A5" s="98" t="s">
        <v>52</v>
      </c>
      <c r="B5" s="98" t="s">
        <v>282</v>
      </c>
      <c r="C5" s="98" t="s">
        <v>285</v>
      </c>
      <c r="D5" s="98" t="s">
        <v>55</v>
      </c>
      <c r="E5" s="194" t="s">
        <v>56</v>
      </c>
      <c r="F5" s="193"/>
      <c r="G5" s="99" t="s">
        <v>14</v>
      </c>
      <c r="H5" s="99" t="s">
        <v>15</v>
      </c>
      <c r="I5" s="99" t="s">
        <v>286</v>
      </c>
      <c r="J5" s="99" t="s">
        <v>287</v>
      </c>
      <c r="K5" s="99" t="s">
        <v>111</v>
      </c>
      <c r="L5" s="99" t="s">
        <v>112</v>
      </c>
      <c r="M5" s="99" t="s">
        <v>113</v>
      </c>
      <c r="N5" s="99" t="s">
        <v>114</v>
      </c>
      <c r="O5" s="99" t="s">
        <v>115</v>
      </c>
      <c r="P5" s="99" t="s">
        <v>288</v>
      </c>
      <c r="Q5" s="194" t="s">
        <v>289</v>
      </c>
      <c r="R5" s="99"/>
    </row>
    <row r="6" spans="1:18" x14ac:dyDescent="0.3">
      <c r="A6" s="22" t="s">
        <v>290</v>
      </c>
      <c r="B6" s="17" t="s">
        <v>173</v>
      </c>
      <c r="C6" s="17" t="s">
        <v>291</v>
      </c>
      <c r="D6" s="23" t="s">
        <v>128</v>
      </c>
      <c r="E6" s="23" t="s">
        <v>75</v>
      </c>
      <c r="F6" s="120">
        <f>SUM(G6:Q6)</f>
        <v>0.16400000000000001</v>
      </c>
      <c r="G6" s="302">
        <v>6.4000000000000001E-2</v>
      </c>
      <c r="H6" s="302">
        <v>2.7E-2</v>
      </c>
      <c r="I6" s="302">
        <v>0</v>
      </c>
      <c r="J6" s="302"/>
      <c r="K6" s="302">
        <v>3.3000000000000002E-2</v>
      </c>
      <c r="L6" s="302"/>
      <c r="M6" s="302">
        <v>0</v>
      </c>
      <c r="N6" s="302">
        <v>0.04</v>
      </c>
      <c r="O6" s="14"/>
      <c r="P6" s="14"/>
      <c r="R6" s="197">
        <f>'Parameters, country spec'!B19</f>
        <v>0.3247662162385499</v>
      </c>
    </row>
    <row r="7" spans="1:18" x14ac:dyDescent="0.3">
      <c r="A7" s="22" t="s">
        <v>292</v>
      </c>
      <c r="B7" s="17" t="s">
        <v>176</v>
      </c>
      <c r="C7" s="17" t="s">
        <v>291</v>
      </c>
      <c r="D7" s="23" t="s">
        <v>128</v>
      </c>
      <c r="E7" s="23" t="s">
        <v>75</v>
      </c>
      <c r="F7" s="120">
        <f t="shared" ref="F7:F16" si="0">SUM(G7:Q7)</f>
        <v>0.161</v>
      </c>
      <c r="G7" s="302">
        <v>6.3E-2</v>
      </c>
      <c r="H7" s="302">
        <v>2.7E-2</v>
      </c>
      <c r="I7" s="302">
        <v>0</v>
      </c>
      <c r="J7" s="302"/>
      <c r="K7" s="302">
        <v>2.7E-2</v>
      </c>
      <c r="L7" s="302"/>
      <c r="M7" s="302">
        <v>4.0000000000000001E-3</v>
      </c>
      <c r="N7" s="302">
        <v>0.04</v>
      </c>
      <c r="O7" s="14"/>
      <c r="P7" s="14"/>
      <c r="R7" s="197">
        <f>'Parameters, country spec'!B20</f>
        <v>1.9544149435115246E-2</v>
      </c>
    </row>
    <row r="8" spans="1:18" x14ac:dyDescent="0.3">
      <c r="A8" s="22" t="s">
        <v>293</v>
      </c>
      <c r="B8" s="17" t="s">
        <v>180</v>
      </c>
      <c r="C8" s="17" t="s">
        <v>291</v>
      </c>
      <c r="D8" s="23" t="s">
        <v>128</v>
      </c>
      <c r="E8" s="23" t="s">
        <v>75</v>
      </c>
      <c r="F8" s="120">
        <f t="shared" si="0"/>
        <v>0.16200000000000001</v>
      </c>
      <c r="G8" s="302">
        <v>5.7000000000000002E-2</v>
      </c>
      <c r="H8" s="302">
        <v>2.7E-2</v>
      </c>
      <c r="I8" s="302">
        <v>0</v>
      </c>
      <c r="J8" s="302"/>
      <c r="K8" s="302">
        <v>3.7999999999999999E-2</v>
      </c>
      <c r="L8" s="302"/>
      <c r="M8" s="302">
        <v>0</v>
      </c>
      <c r="N8" s="302">
        <v>0.04</v>
      </c>
      <c r="O8" s="14"/>
      <c r="P8" s="14"/>
      <c r="R8" s="197">
        <f>'Parameters, country spec'!B21</f>
        <v>5.4547926099966608E-3</v>
      </c>
    </row>
    <row r="9" spans="1:18" x14ac:dyDescent="0.3">
      <c r="A9" s="22" t="s">
        <v>294</v>
      </c>
      <c r="B9" s="17" t="s">
        <v>181</v>
      </c>
      <c r="C9" s="17" t="s">
        <v>291</v>
      </c>
      <c r="D9" s="23" t="s">
        <v>128</v>
      </c>
      <c r="E9" s="23" t="s">
        <v>75</v>
      </c>
      <c r="F9" s="120">
        <f t="shared" si="0"/>
        <v>0.14799999999999999</v>
      </c>
      <c r="G9" s="302">
        <v>0.05</v>
      </c>
      <c r="H9" s="302">
        <v>2.7E-2</v>
      </c>
      <c r="I9" s="302">
        <v>0</v>
      </c>
      <c r="J9" s="302"/>
      <c r="K9" s="302">
        <v>3.1E-2</v>
      </c>
      <c r="L9" s="302"/>
      <c r="M9" s="302">
        <v>0</v>
      </c>
      <c r="N9" s="302">
        <v>0.04</v>
      </c>
      <c r="O9" s="14"/>
      <c r="P9" s="14"/>
      <c r="R9" s="197">
        <f>'Parameters, country spec'!B22</f>
        <v>3.9573904033440906E-3</v>
      </c>
    </row>
    <row r="10" spans="1:18" x14ac:dyDescent="0.3">
      <c r="A10" s="22" t="s">
        <v>295</v>
      </c>
      <c r="B10" s="17" t="s">
        <v>182</v>
      </c>
      <c r="C10" s="17" t="s">
        <v>291</v>
      </c>
      <c r="D10" s="23" t="s">
        <v>128</v>
      </c>
      <c r="E10" s="23" t="s">
        <v>75</v>
      </c>
      <c r="F10" s="120">
        <f t="shared" si="0"/>
        <v>0.16600000000000001</v>
      </c>
      <c r="G10" s="302">
        <v>7.3999999999999996E-2</v>
      </c>
      <c r="H10" s="302">
        <v>2.7E-2</v>
      </c>
      <c r="I10" s="302">
        <v>0</v>
      </c>
      <c r="J10" s="302"/>
      <c r="K10" s="302">
        <v>2.5000000000000001E-2</v>
      </c>
      <c r="L10" s="302"/>
      <c r="M10" s="302">
        <v>0</v>
      </c>
      <c r="N10" s="302">
        <v>0.04</v>
      </c>
      <c r="O10" s="14"/>
      <c r="P10" s="14"/>
      <c r="R10" s="197">
        <f>'Parameters, country spec'!B23</f>
        <v>0.33524969269006805</v>
      </c>
    </row>
    <row r="11" spans="1:18" x14ac:dyDescent="0.3">
      <c r="A11" s="22" t="s">
        <v>296</v>
      </c>
      <c r="B11" s="17" t="s">
        <v>183</v>
      </c>
      <c r="C11" s="17" t="s">
        <v>297</v>
      </c>
      <c r="D11" s="23" t="s">
        <v>128</v>
      </c>
      <c r="E11" s="23" t="s">
        <v>75</v>
      </c>
      <c r="F11" s="120">
        <f t="shared" si="0"/>
        <v>0.11199999999999999</v>
      </c>
      <c r="G11" s="302">
        <v>0</v>
      </c>
      <c r="H11" s="302">
        <v>2.7E-2</v>
      </c>
      <c r="I11" s="302">
        <v>0</v>
      </c>
      <c r="J11" s="302"/>
      <c r="K11" s="302">
        <v>4.4999999999999998E-2</v>
      </c>
      <c r="L11" s="302"/>
      <c r="M11" s="302">
        <v>0</v>
      </c>
      <c r="N11" s="302">
        <v>0.04</v>
      </c>
      <c r="O11" s="14"/>
      <c r="P11" s="14"/>
      <c r="R11" s="197">
        <f>'Parameters, country spec'!B24</f>
        <v>6.9591530195853583E-4</v>
      </c>
    </row>
    <row r="12" spans="1:18" x14ac:dyDescent="0.3">
      <c r="A12" s="22" t="s">
        <v>298</v>
      </c>
      <c r="B12" s="17" t="s">
        <v>184</v>
      </c>
      <c r="C12" s="17" t="s">
        <v>297</v>
      </c>
      <c r="D12" s="23" t="s">
        <v>128</v>
      </c>
      <c r="E12" s="23" t="s">
        <v>75</v>
      </c>
      <c r="F12" s="120">
        <f t="shared" si="0"/>
        <v>0.126</v>
      </c>
      <c r="G12" s="302">
        <v>3.0000000000000001E-3</v>
      </c>
      <c r="H12" s="302">
        <v>2.7E-2</v>
      </c>
      <c r="I12" s="302">
        <v>0</v>
      </c>
      <c r="J12" s="302"/>
      <c r="K12" s="302">
        <v>4.7E-2</v>
      </c>
      <c r="L12" s="302"/>
      <c r="M12" s="302">
        <v>8.9999999999999993E-3</v>
      </c>
      <c r="N12" s="302">
        <v>0.04</v>
      </c>
      <c r="O12" s="14"/>
      <c r="P12" s="14"/>
      <c r="R12" s="197">
        <f>'Parameters, country spec'!B25</f>
        <v>6.8361815808324494E-4</v>
      </c>
    </row>
    <row r="13" spans="1:18" x14ac:dyDescent="0.3">
      <c r="B13" s="18" t="s">
        <v>185</v>
      </c>
      <c r="C13" s="17" t="s">
        <v>299</v>
      </c>
      <c r="D13" s="23" t="str">
        <f>'Off-farm feed'!$D$74</f>
        <v>France, Germany, Poland</v>
      </c>
      <c r="E13" s="23"/>
      <c r="F13" s="120">
        <f>SUM(G13:Q13)</f>
        <v>0.27085685084992916</v>
      </c>
      <c r="G13" s="220">
        <f>'Off-farm feed'!$F$74</f>
        <v>0.11176753125767681</v>
      </c>
      <c r="H13" s="220">
        <f>'Off-farm feed'!$G$74</f>
        <v>1.3034482758620692E-2</v>
      </c>
      <c r="I13" s="220">
        <f>'Off-farm feed'!$H$74</f>
        <v>0</v>
      </c>
      <c r="J13" s="220">
        <f>'Off-farm feed'!$I$74</f>
        <v>0</v>
      </c>
      <c r="K13" s="220">
        <f>'Off-farm feed'!$J$74</f>
        <v>2.4688740026345454E-2</v>
      </c>
      <c r="L13" s="220">
        <f>'Off-farm feed'!$K$74</f>
        <v>0</v>
      </c>
      <c r="M13" s="220">
        <f>'Off-farm feed'!$L$74</f>
        <v>1.931759303794134E-4</v>
      </c>
      <c r="N13" s="220">
        <f>'Off-farm feed'!$M$74</f>
        <v>3.6802128767029069E-2</v>
      </c>
      <c r="O13" s="220">
        <f>'Off-farm feed'!$N$74</f>
        <v>0</v>
      </c>
      <c r="P13" s="220">
        <f>'Off-farm feed'!$O$74</f>
        <v>2.1170792109877701E-2</v>
      </c>
      <c r="Q13" s="220">
        <f>'Off-farm feed'!$P$74</f>
        <v>6.3200000000000006E-2</v>
      </c>
      <c r="R13" s="197">
        <f>'Parameters, country spec'!B26</f>
        <v>4.36899603839115E-2</v>
      </c>
    </row>
    <row r="14" spans="1:18" x14ac:dyDescent="0.3">
      <c r="B14" s="18" t="s">
        <v>300</v>
      </c>
      <c r="C14" s="17" t="s">
        <v>299</v>
      </c>
      <c r="D14" s="23" t="str">
        <f>'Off-farm feed'!$D$23</f>
        <v>Brazil, Argentina</v>
      </c>
      <c r="E14" s="23"/>
      <c r="F14" s="120">
        <f>SUM(G14:Q14)</f>
        <v>0.7061171705997602</v>
      </c>
      <c r="G14" s="220">
        <f>'Off-farm feed'!$F$23</f>
        <v>7.2632670993098931E-3</v>
      </c>
      <c r="H14" s="220">
        <f>'Off-farm feed'!$G$23</f>
        <v>2.1402439024390246E-2</v>
      </c>
      <c r="I14" s="220">
        <f>'Off-farm feed'!$H$23</f>
        <v>0</v>
      </c>
      <c r="J14" s="220">
        <f>'Off-farm feed'!$I$23</f>
        <v>0</v>
      </c>
      <c r="K14" s="220">
        <f>'Off-farm feed'!$J$23</f>
        <v>4.308361966433235E-2</v>
      </c>
      <c r="L14" s="220">
        <f>'Off-farm feed'!$K$23</f>
        <v>0</v>
      </c>
      <c r="M14" s="220">
        <f>'Off-farm feed'!$L$23</f>
        <v>1.7842060425123844E-4</v>
      </c>
      <c r="N14" s="220">
        <f>'Off-farm feed'!$M$23</f>
        <v>3.0432604948959403E-2</v>
      </c>
      <c r="O14" s="220">
        <f>'Off-farm feed'!$N$23</f>
        <v>0.31761120248475611</v>
      </c>
      <c r="P14" s="220">
        <f>'Off-farm feed'!$O$23</f>
        <v>3.5145616773760872E-2</v>
      </c>
      <c r="Q14" s="220">
        <f>'Off-farm feed'!$P$23</f>
        <v>0.251</v>
      </c>
      <c r="R14" s="197">
        <f>'Parameters, country spec'!B27</f>
        <v>0.1076444790964969</v>
      </c>
    </row>
    <row r="15" spans="1:18" x14ac:dyDescent="0.3">
      <c r="B15" s="17" t="s">
        <v>187</v>
      </c>
      <c r="C15" s="17" t="s">
        <v>301</v>
      </c>
      <c r="D15" s="23" t="s">
        <v>128</v>
      </c>
      <c r="E15" s="23" t="s">
        <v>75</v>
      </c>
      <c r="F15" s="120"/>
      <c r="G15" s="108"/>
      <c r="H15" s="8"/>
      <c r="I15" s="107"/>
      <c r="J15" s="8"/>
      <c r="K15" s="108"/>
      <c r="L15" s="8"/>
      <c r="M15" s="8"/>
      <c r="N15" s="108"/>
      <c r="O15" s="8"/>
      <c r="P15" s="8"/>
      <c r="Q15" s="8"/>
      <c r="R15" s="197">
        <f>'Parameters, country spec'!B28</f>
        <v>1.7669178559904096E-2</v>
      </c>
    </row>
    <row r="16" spans="1:18" x14ac:dyDescent="0.3">
      <c r="A16" s="83"/>
      <c r="B16" s="17" t="s">
        <v>302</v>
      </c>
      <c r="C16" s="84" t="s">
        <v>303</v>
      </c>
      <c r="D16" s="23" t="s">
        <v>128</v>
      </c>
      <c r="E16" s="23" t="s">
        <v>75</v>
      </c>
      <c r="F16" s="120">
        <f t="shared" si="0"/>
        <v>0.14243307734379471</v>
      </c>
      <c r="G16" s="81">
        <f t="shared" ref="G16:N16" si="1">SUMPRODUCT(G6:G14,$R$126:$R$134)</f>
        <v>5.7305159805993655E-2</v>
      </c>
      <c r="H16" s="81">
        <f t="shared" si="1"/>
        <v>2.2930198486122794E-2</v>
      </c>
      <c r="I16" s="81">
        <f t="shared" si="1"/>
        <v>0</v>
      </c>
      <c r="J16" s="81">
        <f t="shared" si="1"/>
        <v>0</v>
      </c>
      <c r="K16" s="81">
        <f t="shared" si="1"/>
        <v>2.7112387579357307E-2</v>
      </c>
      <c r="L16" s="81">
        <f t="shared" si="1"/>
        <v>0</v>
      </c>
      <c r="M16" s="81">
        <f t="shared" si="1"/>
        <v>1.6232219565653048E-4</v>
      </c>
      <c r="N16" s="81">
        <f t="shared" si="1"/>
        <v>3.4923009276664425E-2</v>
      </c>
      <c r="O16" s="81"/>
      <c r="P16" s="81"/>
      <c r="Q16" s="81"/>
      <c r="R16" s="197">
        <f>'Parameters, country spec'!B29</f>
        <v>0.14064460712257179</v>
      </c>
    </row>
    <row r="17" spans="1:18" x14ac:dyDescent="0.3">
      <c r="A17" s="195"/>
      <c r="B17" s="25" t="s">
        <v>304</v>
      </c>
      <c r="C17" s="26"/>
      <c r="D17" s="103"/>
      <c r="E17" s="103"/>
      <c r="F17" s="27">
        <f t="shared" ref="F17:O17" si="2">SUMPRODUCT(F6:F16,$R$6:$R$16)</f>
        <v>0.22156894939090402</v>
      </c>
      <c r="G17" s="27">
        <f t="shared" si="2"/>
        <v>6.1060271369465347E-2</v>
      </c>
      <c r="H17" s="27">
        <f t="shared" si="2"/>
        <v>2.4737837113449394E-2</v>
      </c>
      <c r="I17" s="27">
        <f t="shared" si="2"/>
        <v>0</v>
      </c>
      <c r="J17" s="27">
        <f t="shared" si="2"/>
        <v>0</v>
      </c>
      <c r="K17" s="27">
        <f t="shared" si="2"/>
        <v>2.954920192086552E-2</v>
      </c>
      <c r="L17" s="27">
        <f t="shared" si="2"/>
        <v>0</v>
      </c>
      <c r="M17" s="27">
        <f t="shared" si="2"/>
        <v>1.3480474434870475E-4</v>
      </c>
      <c r="N17" s="27">
        <f t="shared" si="2"/>
        <v>3.7409589367894347E-2</v>
      </c>
      <c r="O17" s="27">
        <f t="shared" si="2"/>
        <v>3.4189092446683569E-2</v>
      </c>
      <c r="P17" s="209">
        <f>SUMPRODUCT(P6:P16,R6:R16)</f>
        <v>4.7081826787131759E-3</v>
      </c>
      <c r="Q17" s="27">
        <f>SUMPRODUCT(Q6:Q16,$R$6:$R$16)</f>
        <v>2.9779969749483926E-2</v>
      </c>
      <c r="R17" s="198"/>
    </row>
    <row r="18" spans="1:18" x14ac:dyDescent="0.3">
      <c r="A18" s="22" t="s">
        <v>290</v>
      </c>
      <c r="B18" s="17" t="s">
        <v>173</v>
      </c>
      <c r="C18" s="17" t="s">
        <v>291</v>
      </c>
      <c r="D18" s="23" t="s">
        <v>35</v>
      </c>
      <c r="E18" s="23" t="s">
        <v>76</v>
      </c>
      <c r="F18" s="120">
        <f>SUM(G18:Q18)</f>
        <v>0.17100000000000001</v>
      </c>
      <c r="G18" s="80">
        <v>7.9000000000000001E-2</v>
      </c>
      <c r="H18" s="14">
        <v>2.7E-2</v>
      </c>
      <c r="I18" s="16">
        <v>0</v>
      </c>
      <c r="J18" s="14"/>
      <c r="K18" s="80">
        <v>0.03</v>
      </c>
      <c r="L18" s="14"/>
      <c r="M18" s="14">
        <v>0</v>
      </c>
      <c r="N18" s="80">
        <v>3.5000000000000003E-2</v>
      </c>
      <c r="O18" s="14"/>
      <c r="P18" s="14"/>
      <c r="R18" s="197">
        <f>'Parameters, country spec'!C19</f>
        <v>0.12938618407074468</v>
      </c>
    </row>
    <row r="19" spans="1:18" x14ac:dyDescent="0.3">
      <c r="A19" s="22" t="s">
        <v>292</v>
      </c>
      <c r="B19" s="17" t="s">
        <v>176</v>
      </c>
      <c r="C19" s="17" t="s">
        <v>291</v>
      </c>
      <c r="D19" s="23" t="s">
        <v>35</v>
      </c>
      <c r="E19" s="23" t="s">
        <v>76</v>
      </c>
      <c r="F19" s="120">
        <f t="shared" ref="F19:F28" si="3">SUM(G19:Q19)</f>
        <v>0.16600000000000001</v>
      </c>
      <c r="G19" s="80">
        <v>7.6999999999999999E-2</v>
      </c>
      <c r="H19" s="14">
        <v>2.7E-2</v>
      </c>
      <c r="I19" s="16">
        <v>0</v>
      </c>
      <c r="J19" s="14"/>
      <c r="K19" s="80">
        <v>0.02</v>
      </c>
      <c r="L19" s="14"/>
      <c r="M19" s="14">
        <v>7.0000000000000001E-3</v>
      </c>
      <c r="N19" s="80">
        <v>3.5000000000000003E-2</v>
      </c>
      <c r="O19" s="14"/>
      <c r="P19" s="14"/>
      <c r="R19" s="197">
        <f>'Parameters, country spec'!C20</f>
        <v>0.21280975376032865</v>
      </c>
    </row>
    <row r="20" spans="1:18" x14ac:dyDescent="0.3">
      <c r="A20" s="22" t="s">
        <v>293</v>
      </c>
      <c r="B20" s="17" t="s">
        <v>180</v>
      </c>
      <c r="C20" s="17" t="s">
        <v>291</v>
      </c>
      <c r="D20" s="23" t="s">
        <v>35</v>
      </c>
      <c r="E20" s="23" t="s">
        <v>76</v>
      </c>
      <c r="F20" s="120">
        <f t="shared" si="3"/>
        <v>0.17700000000000002</v>
      </c>
      <c r="G20" s="80">
        <v>7.0000000000000007E-2</v>
      </c>
      <c r="H20" s="14">
        <v>2.7E-2</v>
      </c>
      <c r="I20" s="16">
        <v>0</v>
      </c>
      <c r="J20" s="14"/>
      <c r="K20" s="80">
        <v>4.1000000000000002E-2</v>
      </c>
      <c r="L20" s="14"/>
      <c r="M20" s="14">
        <v>4.0000000000000001E-3</v>
      </c>
      <c r="N20" s="80">
        <v>3.5000000000000003E-2</v>
      </c>
      <c r="O20" s="14"/>
      <c r="P20" s="14"/>
      <c r="R20" s="197">
        <f>'Parameters, country spec'!C21</f>
        <v>1.4661663802605954E-2</v>
      </c>
    </row>
    <row r="21" spans="1:18" x14ac:dyDescent="0.3">
      <c r="A21" s="22" t="s">
        <v>294</v>
      </c>
      <c r="B21" s="17" t="s">
        <v>181</v>
      </c>
      <c r="C21" s="17" t="s">
        <v>291</v>
      </c>
      <c r="D21" s="23" t="s">
        <v>35</v>
      </c>
      <c r="E21" s="23" t="s">
        <v>76</v>
      </c>
      <c r="F21" s="120">
        <f t="shared" si="3"/>
        <v>0.16500000000000001</v>
      </c>
      <c r="G21" s="80">
        <v>6.2E-2</v>
      </c>
      <c r="H21" s="14">
        <v>2.7E-2</v>
      </c>
      <c r="I21" s="14">
        <v>0</v>
      </c>
      <c r="J21" s="14"/>
      <c r="K21" s="80">
        <v>4.1000000000000002E-2</v>
      </c>
      <c r="L21" s="14"/>
      <c r="M21" s="14">
        <v>0</v>
      </c>
      <c r="N21" s="80">
        <v>3.5000000000000003E-2</v>
      </c>
      <c r="O21" s="14"/>
      <c r="P21" s="14"/>
      <c r="R21" s="197">
        <f>'Parameters, country spec'!C22</f>
        <v>2.2515954502451301E-3</v>
      </c>
    </row>
    <row r="22" spans="1:18" x14ac:dyDescent="0.3">
      <c r="A22" s="22" t="s">
        <v>295</v>
      </c>
      <c r="B22" s="17" t="s">
        <v>182</v>
      </c>
      <c r="C22" s="17" t="s">
        <v>291</v>
      </c>
      <c r="D22" s="23" t="s">
        <v>35</v>
      </c>
      <c r="E22" s="23" t="s">
        <v>76</v>
      </c>
      <c r="F22" s="120">
        <f t="shared" si="3"/>
        <v>0.18</v>
      </c>
      <c r="G22" s="80">
        <v>9.0999999999999998E-2</v>
      </c>
      <c r="H22" s="14">
        <v>2.7E-2</v>
      </c>
      <c r="I22" s="14">
        <v>0</v>
      </c>
      <c r="J22" s="14"/>
      <c r="K22" s="80">
        <v>2.7E-2</v>
      </c>
      <c r="L22" s="14"/>
      <c r="M22" s="14">
        <v>0</v>
      </c>
      <c r="N22" s="80">
        <v>3.5000000000000003E-2</v>
      </c>
      <c r="O22" s="14"/>
      <c r="P22" s="14"/>
      <c r="R22" s="197">
        <f>'Parameters, country spec'!C23</f>
        <v>0.31521053769451607</v>
      </c>
    </row>
    <row r="23" spans="1:18" x14ac:dyDescent="0.3">
      <c r="A23" s="22" t="s">
        <v>296</v>
      </c>
      <c r="B23" s="17" t="s">
        <v>183</v>
      </c>
      <c r="C23" s="17" t="s">
        <v>297</v>
      </c>
      <c r="D23" s="23" t="s">
        <v>35</v>
      </c>
      <c r="E23" s="23" t="s">
        <v>76</v>
      </c>
      <c r="F23" s="120">
        <f t="shared" si="3"/>
        <v>0.115</v>
      </c>
      <c r="G23" s="80">
        <v>0</v>
      </c>
      <c r="H23" s="14">
        <v>2.7E-2</v>
      </c>
      <c r="I23" s="16">
        <v>0</v>
      </c>
      <c r="J23" s="14"/>
      <c r="K23" s="80">
        <v>5.0999999999999997E-2</v>
      </c>
      <c r="L23" s="16"/>
      <c r="M23" s="14">
        <v>2E-3</v>
      </c>
      <c r="N23" s="80">
        <v>3.5000000000000003E-2</v>
      </c>
      <c r="O23" s="14"/>
      <c r="P23" s="14"/>
      <c r="R23" s="197">
        <f>'Parameters, country spec'!C24</f>
        <v>0</v>
      </c>
    </row>
    <row r="24" spans="1:18" x14ac:dyDescent="0.3">
      <c r="A24" s="22" t="s">
        <v>298</v>
      </c>
      <c r="B24" s="17" t="s">
        <v>184</v>
      </c>
      <c r="C24" s="17" t="s">
        <v>297</v>
      </c>
      <c r="D24" s="23" t="s">
        <v>35</v>
      </c>
      <c r="E24" s="23" t="s">
        <v>76</v>
      </c>
      <c r="F24" s="120">
        <f t="shared" si="3"/>
        <v>0.13800000000000001</v>
      </c>
      <c r="G24" s="80">
        <v>4.0000000000000001E-3</v>
      </c>
      <c r="H24" s="14">
        <v>2.7E-2</v>
      </c>
      <c r="I24" s="16">
        <v>0</v>
      </c>
      <c r="J24" s="14"/>
      <c r="K24" s="80">
        <v>6.9000000000000006E-2</v>
      </c>
      <c r="L24" s="14"/>
      <c r="M24" s="14">
        <v>3.0000000000000001E-3</v>
      </c>
      <c r="N24" s="80">
        <v>3.5000000000000003E-2</v>
      </c>
      <c r="O24" s="14"/>
      <c r="P24" s="14"/>
      <c r="R24" s="197">
        <f>'Parameters, country spec'!C25</f>
        <v>0</v>
      </c>
    </row>
    <row r="25" spans="1:18" x14ac:dyDescent="0.3">
      <c r="B25" s="18" t="s">
        <v>185</v>
      </c>
      <c r="C25" s="17" t="s">
        <v>299</v>
      </c>
      <c r="D25" s="23" t="str">
        <f>'Off-farm feed'!$D$74</f>
        <v>France, Germany, Poland</v>
      </c>
      <c r="E25" s="23"/>
      <c r="F25" s="120">
        <f>SUM(G25:Q25)</f>
        <v>0.27085685084992916</v>
      </c>
      <c r="G25" s="220">
        <f>'Off-farm feed'!$F$74</f>
        <v>0.11176753125767681</v>
      </c>
      <c r="H25" s="220">
        <f>'Off-farm feed'!$G$74</f>
        <v>1.3034482758620692E-2</v>
      </c>
      <c r="I25" s="220">
        <f>'Off-farm feed'!$H$74</f>
        <v>0</v>
      </c>
      <c r="J25" s="220">
        <f>'Off-farm feed'!$I$74</f>
        <v>0</v>
      </c>
      <c r="K25" s="220">
        <f>'Off-farm feed'!$J$74</f>
        <v>2.4688740026345454E-2</v>
      </c>
      <c r="L25" s="220">
        <f>'Off-farm feed'!$K$74</f>
        <v>0</v>
      </c>
      <c r="M25" s="220">
        <f>'Off-farm feed'!$L$74</f>
        <v>1.931759303794134E-4</v>
      </c>
      <c r="N25" s="220">
        <f>'Off-farm feed'!$M$74</f>
        <v>3.6802128767029069E-2</v>
      </c>
      <c r="O25" s="220">
        <f>'Off-farm feed'!$N$74</f>
        <v>0</v>
      </c>
      <c r="P25" s="220">
        <f>'Off-farm feed'!$O$74</f>
        <v>2.1170792109877701E-2</v>
      </c>
      <c r="Q25" s="220">
        <f>'Off-farm feed'!$P$74</f>
        <v>6.3200000000000006E-2</v>
      </c>
      <c r="R25" s="197">
        <f>'Parameters, country spec'!C26</f>
        <v>9.7073458625180783E-2</v>
      </c>
    </row>
    <row r="26" spans="1:18" x14ac:dyDescent="0.3">
      <c r="B26" s="18" t="s">
        <v>300</v>
      </c>
      <c r="C26" s="17" t="s">
        <v>299</v>
      </c>
      <c r="D26" s="23" t="str">
        <f>'Off-farm feed'!$D$23</f>
        <v>Brazil, Argentina</v>
      </c>
      <c r="E26" s="23"/>
      <c r="F26" s="120">
        <f>SUM(G26:Q26)</f>
        <v>0.7061171705997602</v>
      </c>
      <c r="G26" s="220">
        <f>'Off-farm feed'!$F$23</f>
        <v>7.2632670993098931E-3</v>
      </c>
      <c r="H26" s="220">
        <f>'Off-farm feed'!$G$23</f>
        <v>2.1402439024390246E-2</v>
      </c>
      <c r="I26" s="220">
        <f>'Off-farm feed'!$H$23</f>
        <v>0</v>
      </c>
      <c r="J26" s="220">
        <f>'Off-farm feed'!$I$23</f>
        <v>0</v>
      </c>
      <c r="K26" s="220">
        <f>'Off-farm feed'!$J$23</f>
        <v>4.308361966433235E-2</v>
      </c>
      <c r="L26" s="220">
        <f>'Off-farm feed'!$K$23</f>
        <v>0</v>
      </c>
      <c r="M26" s="220">
        <f>'Off-farm feed'!$L$23</f>
        <v>1.7842060425123844E-4</v>
      </c>
      <c r="N26" s="220">
        <f>'Off-farm feed'!$M$23</f>
        <v>3.0432604948959403E-2</v>
      </c>
      <c r="O26" s="220">
        <f>'Off-farm feed'!$N$23</f>
        <v>0.31761120248475611</v>
      </c>
      <c r="P26" s="220">
        <f>'Off-farm feed'!$O$23</f>
        <v>3.5145616773760872E-2</v>
      </c>
      <c r="Q26" s="220">
        <f>'Off-farm feed'!$P$23</f>
        <v>0.251</v>
      </c>
      <c r="R26" s="197">
        <f>'Parameters, country spec'!C27</f>
        <v>8.7459166665531385E-2</v>
      </c>
    </row>
    <row r="27" spans="1:18" x14ac:dyDescent="0.3">
      <c r="B27" s="17" t="s">
        <v>187</v>
      </c>
      <c r="C27" s="17" t="s">
        <v>301</v>
      </c>
      <c r="D27" s="23" t="s">
        <v>35</v>
      </c>
      <c r="E27" s="23" t="s">
        <v>76</v>
      </c>
      <c r="F27" s="120"/>
      <c r="G27" s="108"/>
      <c r="H27" s="8"/>
      <c r="I27" s="107"/>
      <c r="J27" s="8"/>
      <c r="K27" s="108"/>
      <c r="L27" s="8"/>
      <c r="M27" s="8"/>
      <c r="N27" s="108"/>
      <c r="O27" s="8"/>
      <c r="P27" s="8"/>
      <c r="Q27" s="8"/>
      <c r="R27" s="197">
        <f>'Parameters, country spec'!C28</f>
        <v>8.0151207366747315E-2</v>
      </c>
    </row>
    <row r="28" spans="1:18" x14ac:dyDescent="0.3">
      <c r="A28" s="83"/>
      <c r="B28" s="17" t="s">
        <v>302</v>
      </c>
      <c r="C28" s="84" t="s">
        <v>303</v>
      </c>
      <c r="D28" s="23" t="s">
        <v>35</v>
      </c>
      <c r="E28" s="23" t="s">
        <v>76</v>
      </c>
      <c r="F28" s="120">
        <f t="shared" si="3"/>
        <v>0.15564960112014387</v>
      </c>
      <c r="G28" s="81">
        <f t="shared" ref="G28:N28" si="4">AVERAGE(G18:G26)</f>
        <v>5.5781199817442971E-2</v>
      </c>
      <c r="H28" s="81">
        <f t="shared" si="4"/>
        <v>2.4826324642556769E-2</v>
      </c>
      <c r="I28" s="81">
        <f t="shared" si="4"/>
        <v>0</v>
      </c>
      <c r="J28" s="81"/>
      <c r="K28" s="81">
        <f t="shared" si="4"/>
        <v>3.853026218785309E-2</v>
      </c>
      <c r="L28" s="81"/>
      <c r="M28" s="81">
        <f t="shared" si="4"/>
        <v>1.8190662816256278E-3</v>
      </c>
      <c r="N28" s="81">
        <f t="shared" si="4"/>
        <v>3.4692748190665389E-2</v>
      </c>
      <c r="O28" s="81"/>
      <c r="P28" s="81"/>
      <c r="Q28" s="81"/>
      <c r="R28" s="197">
        <f>'Parameters, country spec'!C29</f>
        <v>6.0996432564100048E-2</v>
      </c>
    </row>
    <row r="29" spans="1:18" x14ac:dyDescent="0.3">
      <c r="A29" s="195"/>
      <c r="B29" s="25" t="s">
        <v>304</v>
      </c>
      <c r="C29" s="26"/>
      <c r="D29" s="103"/>
      <c r="E29" s="103"/>
      <c r="F29" s="27">
        <f>SUMPRODUCT(F18:F28,$R$18:$R$28)</f>
        <v>0.21469948213923568</v>
      </c>
      <c r="G29" s="27">
        <f>SUMPRODUCT(G18:G28,$R$18:$R$28)</f>
        <v>7.1345288197397466E-2</v>
      </c>
      <c r="H29" s="27">
        <f>SUMPRODUCT(H18:H28,$R$18:$R$28)</f>
        <v>2.2858091880344683E-2</v>
      </c>
      <c r="I29" s="27">
        <f>SUMPRODUCT(I18:I28,$R$18:$R$28)</f>
        <v>0</v>
      </c>
      <c r="J29" s="27"/>
      <c r="K29" s="27">
        <f>SUMPRODUCT(K18:K28,$R$18:$R$28)</f>
        <v>2.5856796139898715E-2</v>
      </c>
      <c r="L29" s="27"/>
      <c r="M29" s="27">
        <f>SUMPRODUCT(M18:M28,$R$18:$R$28)</f>
        <v>1.6936282583583707E-3</v>
      </c>
      <c r="N29" s="27">
        <f>SUMPRODUCT(N18:N28,$R$18:$R$28)</f>
        <v>3.1951444785202732E-2</v>
      </c>
      <c r="O29" s="27">
        <f>SUMPRODUCT(O18:O28,$R$18:$R$28)</f>
        <v>2.7778011092954122E-2</v>
      </c>
      <c r="P29" s="209">
        <f>SUMPRODUCT(P18:P28,R18:R28)</f>
        <v>5.1289283669197641E-3</v>
      </c>
      <c r="Q29" s="27">
        <f>SUMPRODUCT(Q18:Q28,$R$18:$R$28)</f>
        <v>2.8087293418159801E-2</v>
      </c>
      <c r="R29" s="198"/>
    </row>
    <row r="30" spans="1:18" x14ac:dyDescent="0.3">
      <c r="A30" s="22" t="s">
        <v>290</v>
      </c>
      <c r="B30" s="17" t="s">
        <v>173</v>
      </c>
      <c r="C30" s="17" t="s">
        <v>291</v>
      </c>
      <c r="D30" s="23" t="s">
        <v>29</v>
      </c>
      <c r="E30" s="23" t="s">
        <v>77</v>
      </c>
      <c r="F30" s="120">
        <f>SUM(G30:Q30)</f>
        <v>0.17700000000000002</v>
      </c>
      <c r="G30" s="80">
        <v>7.9000000000000001E-2</v>
      </c>
      <c r="H30" s="14">
        <v>2.7E-2</v>
      </c>
      <c r="I30" s="16">
        <v>0</v>
      </c>
      <c r="J30" s="14"/>
      <c r="K30" s="80">
        <v>2.9000000000000001E-2</v>
      </c>
      <c r="L30" s="14"/>
      <c r="M30" s="14">
        <v>0</v>
      </c>
      <c r="N30" s="80">
        <v>4.2000000000000003E-2</v>
      </c>
      <c r="O30" s="14"/>
      <c r="P30" s="14"/>
      <c r="R30" s="197">
        <f>'Parameters, country spec'!D19</f>
        <v>0.12840126760243717</v>
      </c>
    </row>
    <row r="31" spans="1:18" x14ac:dyDescent="0.3">
      <c r="A31" s="22" t="s">
        <v>292</v>
      </c>
      <c r="B31" s="17" t="s">
        <v>176</v>
      </c>
      <c r="C31" s="17" t="s">
        <v>291</v>
      </c>
      <c r="D31" s="23" t="s">
        <v>29</v>
      </c>
      <c r="E31" s="23" t="s">
        <v>77</v>
      </c>
      <c r="F31" s="120">
        <f t="shared" ref="F31:F40" si="5">SUM(G31:Q31)</f>
        <v>0.16700000000000001</v>
      </c>
      <c r="G31" s="80">
        <v>7.6999999999999999E-2</v>
      </c>
      <c r="H31" s="14">
        <v>2.7E-2</v>
      </c>
      <c r="I31" s="16">
        <v>0</v>
      </c>
      <c r="J31" s="14"/>
      <c r="K31" s="80">
        <v>1.9E-2</v>
      </c>
      <c r="L31" s="14"/>
      <c r="M31" s="14">
        <v>2E-3</v>
      </c>
      <c r="N31" s="80">
        <v>4.2000000000000003E-2</v>
      </c>
      <c r="O31" s="14"/>
      <c r="P31" s="14"/>
      <c r="R31" s="197">
        <f>'Parameters, country spec'!D20</f>
        <v>0.19116633717197407</v>
      </c>
    </row>
    <row r="32" spans="1:18" x14ac:dyDescent="0.3">
      <c r="A32" s="22" t="s">
        <v>293</v>
      </c>
      <c r="B32" s="17" t="s">
        <v>180</v>
      </c>
      <c r="C32" s="17" t="s">
        <v>291</v>
      </c>
      <c r="D32" s="23" t="s">
        <v>29</v>
      </c>
      <c r="E32" s="23" t="s">
        <v>77</v>
      </c>
      <c r="F32" s="120">
        <f t="shared" si="5"/>
        <v>0.18100000000000002</v>
      </c>
      <c r="G32" s="80">
        <v>7.0000000000000007E-2</v>
      </c>
      <c r="H32" s="14">
        <v>2.7E-2</v>
      </c>
      <c r="I32" s="16">
        <v>0</v>
      </c>
      <c r="J32" s="14"/>
      <c r="K32" s="80">
        <v>4.2000000000000003E-2</v>
      </c>
      <c r="L32" s="14"/>
      <c r="M32" s="14">
        <v>0</v>
      </c>
      <c r="N32" s="80">
        <v>4.2000000000000003E-2</v>
      </c>
      <c r="O32" s="14"/>
      <c r="P32" s="14"/>
      <c r="R32" s="197">
        <f>'Parameters, country spec'!D21</f>
        <v>2.5558758775563904E-5</v>
      </c>
    </row>
    <row r="33" spans="1:18" x14ac:dyDescent="0.3">
      <c r="A33" s="22" t="s">
        <v>294</v>
      </c>
      <c r="B33" s="17" t="s">
        <v>181</v>
      </c>
      <c r="C33" s="17" t="s">
        <v>291</v>
      </c>
      <c r="D33" s="23" t="s">
        <v>29</v>
      </c>
      <c r="E33" s="23" t="s">
        <v>77</v>
      </c>
      <c r="F33" s="120">
        <f t="shared" si="5"/>
        <v>0.16700000000000001</v>
      </c>
      <c r="G33" s="80">
        <v>6.2E-2</v>
      </c>
      <c r="H33" s="14">
        <v>2.7E-2</v>
      </c>
      <c r="I33" s="14">
        <v>0</v>
      </c>
      <c r="J33" s="14"/>
      <c r="K33" s="80">
        <v>3.5999999999999997E-2</v>
      </c>
      <c r="L33" s="14"/>
      <c r="M33" s="14">
        <v>0</v>
      </c>
      <c r="N33" s="80">
        <v>4.2000000000000003E-2</v>
      </c>
      <c r="O33" s="14"/>
      <c r="P33" s="14"/>
      <c r="R33" s="197">
        <f>'Parameters, country spec'!D22</f>
        <v>2.0974185801992562E-2</v>
      </c>
    </row>
    <row r="34" spans="1:18" x14ac:dyDescent="0.3">
      <c r="A34" s="22" t="s">
        <v>295</v>
      </c>
      <c r="B34" s="17" t="s">
        <v>182</v>
      </c>
      <c r="C34" s="17" t="s">
        <v>291</v>
      </c>
      <c r="D34" s="23" t="s">
        <v>29</v>
      </c>
      <c r="E34" s="23" t="s">
        <v>77</v>
      </c>
      <c r="F34" s="120">
        <f t="shared" si="5"/>
        <v>0.186</v>
      </c>
      <c r="G34" s="80">
        <v>9.0999999999999998E-2</v>
      </c>
      <c r="H34" s="14">
        <v>2.7E-2</v>
      </c>
      <c r="I34" s="14">
        <v>0</v>
      </c>
      <c r="J34" s="14"/>
      <c r="K34" s="80">
        <v>2.5999999999999999E-2</v>
      </c>
      <c r="L34" s="14"/>
      <c r="M34" s="14">
        <v>0</v>
      </c>
      <c r="N34" s="80">
        <v>4.2000000000000003E-2</v>
      </c>
      <c r="O34" s="14"/>
      <c r="P34" s="14"/>
      <c r="R34" s="197">
        <f>'Parameters, country spec'!D23</f>
        <v>0.42888207443270587</v>
      </c>
    </row>
    <row r="35" spans="1:18" x14ac:dyDescent="0.3">
      <c r="A35" s="22" t="s">
        <v>296</v>
      </c>
      <c r="B35" s="17" t="s">
        <v>183</v>
      </c>
      <c r="C35" s="17" t="s">
        <v>297</v>
      </c>
      <c r="D35" s="23" t="s">
        <v>29</v>
      </c>
      <c r="E35" s="23" t="s">
        <v>77</v>
      </c>
      <c r="F35" s="120">
        <f t="shared" si="5"/>
        <v>0.122</v>
      </c>
      <c r="G35" s="80">
        <v>0</v>
      </c>
      <c r="H35" s="14">
        <v>2.7E-2</v>
      </c>
      <c r="I35" s="16">
        <v>0</v>
      </c>
      <c r="J35" s="14"/>
      <c r="K35" s="80">
        <v>5.2999999999999999E-2</v>
      </c>
      <c r="L35" s="16"/>
      <c r="M35" s="14">
        <v>0</v>
      </c>
      <c r="N35" s="80">
        <v>4.2000000000000003E-2</v>
      </c>
      <c r="O35" s="14"/>
      <c r="P35" s="14"/>
      <c r="R35" s="197">
        <f>'Parameters, country spec'!D24</f>
        <v>9.3450155108809542E-4</v>
      </c>
    </row>
    <row r="36" spans="1:18" x14ac:dyDescent="0.3">
      <c r="A36" s="22" t="s">
        <v>298</v>
      </c>
      <c r="B36" s="17" t="s">
        <v>184</v>
      </c>
      <c r="C36" s="17" t="s">
        <v>297</v>
      </c>
      <c r="D36" s="23" t="s">
        <v>29</v>
      </c>
      <c r="E36" s="23" t="s">
        <v>77</v>
      </c>
      <c r="F36" s="120">
        <f t="shared" si="5"/>
        <v>0.125</v>
      </c>
      <c r="G36" s="80">
        <v>4.0000000000000001E-3</v>
      </c>
      <c r="H36" s="14">
        <v>2.7E-2</v>
      </c>
      <c r="I36" s="16">
        <v>0</v>
      </c>
      <c r="J36" s="14"/>
      <c r="K36" s="80">
        <v>4.5999999999999999E-2</v>
      </c>
      <c r="L36" s="14"/>
      <c r="M36" s="14">
        <v>6.0000000000000001E-3</v>
      </c>
      <c r="N36" s="80">
        <v>4.2000000000000003E-2</v>
      </c>
      <c r="O36" s="14"/>
      <c r="P36" s="14"/>
      <c r="R36" s="197">
        <f>'Parameters, country spec'!D25</f>
        <v>9.1798847805104754E-4</v>
      </c>
    </row>
    <row r="37" spans="1:18" x14ac:dyDescent="0.3">
      <c r="B37" s="18" t="s">
        <v>185</v>
      </c>
      <c r="C37" s="17" t="s">
        <v>299</v>
      </c>
      <c r="D37" s="23" t="str">
        <f>'Off-farm feed'!$D$74</f>
        <v>France, Germany, Poland</v>
      </c>
      <c r="E37" s="23"/>
      <c r="F37" s="120">
        <f>SUM(G37:Q37)</f>
        <v>0.27085685084992916</v>
      </c>
      <c r="G37" s="220">
        <f>'Off-farm feed'!$F$74</f>
        <v>0.11176753125767681</v>
      </c>
      <c r="H37" s="220">
        <f>'Off-farm feed'!$G$74</f>
        <v>1.3034482758620692E-2</v>
      </c>
      <c r="I37" s="220">
        <f>'Off-farm feed'!$H$74</f>
        <v>0</v>
      </c>
      <c r="J37" s="220">
        <f>'Off-farm feed'!$I$74</f>
        <v>0</v>
      </c>
      <c r="K37" s="220">
        <f>'Off-farm feed'!$J$74</f>
        <v>2.4688740026345454E-2</v>
      </c>
      <c r="L37" s="220">
        <f>'Off-farm feed'!$K$74</f>
        <v>0</v>
      </c>
      <c r="M37" s="220">
        <f>'Off-farm feed'!$L$74</f>
        <v>1.931759303794134E-4</v>
      </c>
      <c r="N37" s="220">
        <f>'Off-farm feed'!$M$74</f>
        <v>3.6802128767029069E-2</v>
      </c>
      <c r="O37" s="220">
        <f>'Off-farm feed'!$N$74</f>
        <v>0</v>
      </c>
      <c r="P37" s="220">
        <f>'Off-farm feed'!$O$74</f>
        <v>2.1170792109877701E-2</v>
      </c>
      <c r="Q37" s="220">
        <f>'Off-farm feed'!$P$74</f>
        <v>6.3200000000000006E-2</v>
      </c>
      <c r="R37" s="197">
        <f>'Parameters, country spec'!D26</f>
        <v>9.4499576799197224E-2</v>
      </c>
    </row>
    <row r="38" spans="1:18" x14ac:dyDescent="0.3">
      <c r="B38" s="18" t="s">
        <v>300</v>
      </c>
      <c r="C38" s="17" t="s">
        <v>299</v>
      </c>
      <c r="D38" s="23" t="str">
        <f>'Off-farm feed'!$D$23</f>
        <v>Brazil, Argentina</v>
      </c>
      <c r="E38" s="23"/>
      <c r="F38" s="120">
        <f>SUM(G38:Q38)</f>
        <v>0.7061171705997602</v>
      </c>
      <c r="G38" s="220">
        <f>'Off-farm feed'!$F$23</f>
        <v>7.2632670993098931E-3</v>
      </c>
      <c r="H38" s="220">
        <f>'Off-farm feed'!$G$23</f>
        <v>2.1402439024390246E-2</v>
      </c>
      <c r="I38" s="220">
        <f>'Off-farm feed'!$H$23</f>
        <v>0</v>
      </c>
      <c r="J38" s="220">
        <f>'Off-farm feed'!$I$23</f>
        <v>0</v>
      </c>
      <c r="K38" s="220">
        <f>'Off-farm feed'!$J$23</f>
        <v>4.308361966433235E-2</v>
      </c>
      <c r="L38" s="220">
        <f>'Off-farm feed'!$K$23</f>
        <v>0</v>
      </c>
      <c r="M38" s="220">
        <f>'Off-farm feed'!$L$23</f>
        <v>1.7842060425123844E-4</v>
      </c>
      <c r="N38" s="220">
        <f>'Off-farm feed'!$M$23</f>
        <v>3.0432604948959403E-2</v>
      </c>
      <c r="O38" s="220">
        <f>'Off-farm feed'!$N$23</f>
        <v>0.31761120248475611</v>
      </c>
      <c r="P38" s="220">
        <f>'Off-farm feed'!$O$23</f>
        <v>3.5145616773760872E-2</v>
      </c>
      <c r="Q38" s="220">
        <f>'Off-farm feed'!$P$23</f>
        <v>0.251</v>
      </c>
      <c r="R38" s="197">
        <f>'Parameters, country spec'!D27</f>
        <v>9.0801007307611245E-2</v>
      </c>
    </row>
    <row r="39" spans="1:18" x14ac:dyDescent="0.3">
      <c r="B39" s="17" t="s">
        <v>187</v>
      </c>
      <c r="C39" s="17" t="s">
        <v>301</v>
      </c>
      <c r="D39" s="23" t="s">
        <v>29</v>
      </c>
      <c r="E39" s="23" t="s">
        <v>77</v>
      </c>
      <c r="F39" s="120"/>
      <c r="G39" s="108"/>
      <c r="H39" s="8"/>
      <c r="I39" s="107"/>
      <c r="J39" s="8"/>
      <c r="K39" s="108"/>
      <c r="L39" s="8"/>
      <c r="M39" s="8"/>
      <c r="N39" s="108"/>
      <c r="O39" s="8"/>
      <c r="P39" s="8"/>
      <c r="Q39" s="8"/>
      <c r="R39" s="197">
        <f>'Parameters, country spec'!D28</f>
        <v>1.8113105318221089E-2</v>
      </c>
    </row>
    <row r="40" spans="1:18" x14ac:dyDescent="0.3">
      <c r="A40" s="83"/>
      <c r="B40" s="17" t="s">
        <v>302</v>
      </c>
      <c r="C40" s="84" t="s">
        <v>303</v>
      </c>
      <c r="D40" s="23" t="s">
        <v>29</v>
      </c>
      <c r="E40" s="23" t="s">
        <v>77</v>
      </c>
      <c r="F40" s="120">
        <f t="shared" si="5"/>
        <v>0.15709404556458828</v>
      </c>
      <c r="G40" s="81">
        <f t="shared" ref="G40:N40" si="6">AVERAGE(G30:G38)</f>
        <v>5.5781199817442971E-2</v>
      </c>
      <c r="H40" s="81">
        <f t="shared" si="6"/>
        <v>2.4826324642556769E-2</v>
      </c>
      <c r="I40" s="81">
        <f t="shared" si="6"/>
        <v>0</v>
      </c>
      <c r="J40" s="81"/>
      <c r="K40" s="81">
        <f t="shared" si="6"/>
        <v>3.5419151076741977E-2</v>
      </c>
      <c r="L40" s="81"/>
      <c r="M40" s="81">
        <f t="shared" si="6"/>
        <v>9.3017739273673899E-4</v>
      </c>
      <c r="N40" s="81">
        <f t="shared" si="6"/>
        <v>4.0137192635109828E-2</v>
      </c>
      <c r="O40" s="81"/>
      <c r="P40" s="81"/>
      <c r="Q40" s="81"/>
      <c r="R40" s="197">
        <f>'Parameters, country spec'!D29</f>
        <v>2.5284396777946184E-2</v>
      </c>
    </row>
    <row r="41" spans="1:18" x14ac:dyDescent="0.3">
      <c r="A41" s="195"/>
      <c r="B41" s="25" t="s">
        <v>304</v>
      </c>
      <c r="C41" s="26"/>
      <c r="D41" s="103"/>
      <c r="E41" s="103"/>
      <c r="F41" s="27">
        <f>SUMPRODUCT(F30:F40,$R$30:$R$40)</f>
        <v>0.23184397775674262</v>
      </c>
      <c r="G41" s="27">
        <f>SUMPRODUCT(G30:G40,$R$30:$R$40)</f>
        <v>7.782952782459801E-2</v>
      </c>
      <c r="H41" s="27">
        <f>SUMPRODUCT(H30:H40,$R$30:$R$40)</f>
        <v>2.4627986442060615E-2</v>
      </c>
      <c r="I41" s="27">
        <f>SUMPRODUCT(I30:I40,$R$30:$R$40)</f>
        <v>0</v>
      </c>
      <c r="J41" s="27"/>
      <c r="K41" s="27">
        <f>SUMPRODUCT(K30:K40,$R$30:$R$40)</f>
        <v>2.6495294728463653E-2</v>
      </c>
      <c r="L41" s="27"/>
      <c r="M41" s="27">
        <f>SUMPRODUCT(M30:M40,$R$30:$R$40)</f>
        <v>4.4581539374317642E-4</v>
      </c>
      <c r="N41" s="27">
        <f>SUMPRODUCT(N30:N40,$R$30:$R$40)</f>
        <v>3.9650621861767918E-2</v>
      </c>
      <c r="O41" s="27">
        <f>SUMPRODUCT(O30:O40,$R$30:$R$40)</f>
        <v>2.8839417117797535E-2</v>
      </c>
      <c r="P41" s="209">
        <f>SUMPRODUCT(P30:P40,R30:R40)</f>
        <v>5.1918883003919921E-3</v>
      </c>
      <c r="Q41" s="27">
        <f>SUMPRODUCT(Q30:Q40,$R$30:$R$40)</f>
        <v>2.8763426087919687E-2</v>
      </c>
      <c r="R41" s="198"/>
    </row>
    <row r="42" spans="1:18" x14ac:dyDescent="0.3">
      <c r="A42" s="22" t="s">
        <v>290</v>
      </c>
      <c r="B42" s="17" t="s">
        <v>173</v>
      </c>
      <c r="C42" s="17" t="s">
        <v>291</v>
      </c>
      <c r="D42" s="23" t="s">
        <v>32</v>
      </c>
      <c r="E42" s="23" t="s">
        <v>78</v>
      </c>
      <c r="F42" s="120">
        <f>SUM(G42:Q42)</f>
        <v>0.21899999999999997</v>
      </c>
      <c r="G42" s="80">
        <v>7.9000000000000001E-2</v>
      </c>
      <c r="H42" s="14">
        <v>2.7E-2</v>
      </c>
      <c r="I42" s="16">
        <v>0</v>
      </c>
      <c r="J42" s="14"/>
      <c r="K42" s="80">
        <v>6.6000000000000003E-2</v>
      </c>
      <c r="L42" s="14"/>
      <c r="M42" s="14">
        <v>1E-3</v>
      </c>
      <c r="N42" s="80">
        <v>4.5999999999999999E-2</v>
      </c>
      <c r="O42" s="14"/>
      <c r="P42" s="14"/>
      <c r="R42" s="197">
        <f>'Parameters, country spec'!E19</f>
        <v>0.12227505038110943</v>
      </c>
    </row>
    <row r="43" spans="1:18" x14ac:dyDescent="0.3">
      <c r="A43" s="22" t="s">
        <v>292</v>
      </c>
      <c r="B43" s="17" t="s">
        <v>176</v>
      </c>
      <c r="C43" s="17" t="s">
        <v>291</v>
      </c>
      <c r="D43" s="23" t="s">
        <v>32</v>
      </c>
      <c r="E43" s="23" t="s">
        <v>78</v>
      </c>
      <c r="F43" s="120">
        <f t="shared" ref="F43:F52" si="7">SUM(G43:Q43)</f>
        <v>0.182</v>
      </c>
      <c r="G43" s="80">
        <v>7.6999999999999999E-2</v>
      </c>
      <c r="H43" s="14">
        <v>2.7E-2</v>
      </c>
      <c r="I43" s="16">
        <v>0</v>
      </c>
      <c r="J43" s="14"/>
      <c r="K43" s="80">
        <v>1.7000000000000001E-2</v>
      </c>
      <c r="L43" s="14"/>
      <c r="M43" s="14">
        <v>1.4999999999999999E-2</v>
      </c>
      <c r="N43" s="80">
        <v>4.5999999999999999E-2</v>
      </c>
      <c r="O43" s="14"/>
      <c r="P43" s="14"/>
      <c r="R43" s="197">
        <f>'Parameters, country spec'!E20</f>
        <v>0.36571383818682729</v>
      </c>
    </row>
    <row r="44" spans="1:18" x14ac:dyDescent="0.3">
      <c r="A44" s="22" t="s">
        <v>293</v>
      </c>
      <c r="B44" s="17" t="s">
        <v>180</v>
      </c>
      <c r="C44" s="17" t="s">
        <v>291</v>
      </c>
      <c r="D44" s="23" t="s">
        <v>32</v>
      </c>
      <c r="E44" s="23" t="s">
        <v>78</v>
      </c>
      <c r="F44" s="120">
        <f t="shared" si="7"/>
        <v>0.29500000000000004</v>
      </c>
      <c r="G44" s="80">
        <v>7.0000000000000007E-2</v>
      </c>
      <c r="H44" s="14">
        <v>2.7E-2</v>
      </c>
      <c r="I44" s="16">
        <v>0</v>
      </c>
      <c r="J44" s="14"/>
      <c r="K44" s="80">
        <v>0.13900000000000001</v>
      </c>
      <c r="L44" s="14"/>
      <c r="M44" s="14">
        <v>1.2999999999999999E-2</v>
      </c>
      <c r="N44" s="80">
        <v>4.5999999999999999E-2</v>
      </c>
      <c r="O44" s="14"/>
      <c r="P44" s="14"/>
      <c r="R44" s="197">
        <f>'Parameters, country spec'!E21</f>
        <v>3.3230481611398861E-2</v>
      </c>
    </row>
    <row r="45" spans="1:18" x14ac:dyDescent="0.3">
      <c r="A45" s="22" t="s">
        <v>294</v>
      </c>
      <c r="B45" s="17" t="s">
        <v>181</v>
      </c>
      <c r="C45" s="17" t="s">
        <v>291</v>
      </c>
      <c r="D45" s="23" t="s">
        <v>32</v>
      </c>
      <c r="E45" s="23" t="s">
        <v>78</v>
      </c>
      <c r="F45" s="120">
        <f t="shared" si="7"/>
        <v>0.22499999999999998</v>
      </c>
      <c r="G45" s="80">
        <v>6.2E-2</v>
      </c>
      <c r="H45" s="14">
        <v>2.7E-2</v>
      </c>
      <c r="I45" s="14">
        <v>0</v>
      </c>
      <c r="J45" s="14"/>
      <c r="K45" s="80">
        <v>0.09</v>
      </c>
      <c r="L45" s="14"/>
      <c r="M45" s="14">
        <v>0</v>
      </c>
      <c r="N45" s="80">
        <v>4.5999999999999999E-2</v>
      </c>
      <c r="O45" s="14"/>
      <c r="P45" s="14"/>
      <c r="R45" s="197">
        <f>'Parameters, country spec'!E22</f>
        <v>7.3294724625475594E-3</v>
      </c>
    </row>
    <row r="46" spans="1:18" x14ac:dyDescent="0.3">
      <c r="A46" s="22" t="s">
        <v>295</v>
      </c>
      <c r="B46" s="17" t="s">
        <v>182</v>
      </c>
      <c r="C46" s="17" t="s">
        <v>291</v>
      </c>
      <c r="D46" s="23" t="s">
        <v>32</v>
      </c>
      <c r="E46" s="23" t="s">
        <v>78</v>
      </c>
      <c r="F46" s="120">
        <f t="shared" si="7"/>
        <v>0.23199999999999998</v>
      </c>
      <c r="G46" s="80">
        <v>9.0999999999999998E-2</v>
      </c>
      <c r="H46" s="14">
        <v>2.7E-2</v>
      </c>
      <c r="I46" s="14">
        <v>0</v>
      </c>
      <c r="J46" s="14"/>
      <c r="K46" s="80">
        <v>6.6000000000000003E-2</v>
      </c>
      <c r="L46" s="14"/>
      <c r="M46" s="14">
        <v>2E-3</v>
      </c>
      <c r="N46" s="80">
        <v>4.5999999999999999E-2</v>
      </c>
      <c r="O46" s="14"/>
      <c r="P46" s="14"/>
      <c r="R46" s="197">
        <f>'Parameters, country spec'!E23</f>
        <v>5.256160625309033E-3</v>
      </c>
    </row>
    <row r="47" spans="1:18" x14ac:dyDescent="0.3">
      <c r="A47" s="22" t="s">
        <v>296</v>
      </c>
      <c r="B47" s="17" t="s">
        <v>183</v>
      </c>
      <c r="C47" s="17" t="s">
        <v>297</v>
      </c>
      <c r="D47" s="23" t="s">
        <v>32</v>
      </c>
      <c r="E47" s="23" t="s">
        <v>78</v>
      </c>
      <c r="F47" s="120">
        <f t="shared" si="7"/>
        <v>0.18</v>
      </c>
      <c r="G47" s="80">
        <v>0</v>
      </c>
      <c r="H47" s="14">
        <v>2.7E-2</v>
      </c>
      <c r="I47" s="16">
        <v>0</v>
      </c>
      <c r="J47" s="14"/>
      <c r="K47" s="80">
        <v>0.104</v>
      </c>
      <c r="L47" s="16"/>
      <c r="M47" s="14">
        <v>3.0000000000000001E-3</v>
      </c>
      <c r="N47" s="80">
        <v>4.5999999999999999E-2</v>
      </c>
      <c r="O47" s="14"/>
      <c r="P47" s="14"/>
      <c r="R47" s="197">
        <f>'Parameters, country spec'!E24</f>
        <v>1.0533673599513421E-3</v>
      </c>
    </row>
    <row r="48" spans="1:18" x14ac:dyDescent="0.3">
      <c r="A48" s="22" t="s">
        <v>298</v>
      </c>
      <c r="B48" s="17" t="s">
        <v>184</v>
      </c>
      <c r="C48" s="17" t="s">
        <v>297</v>
      </c>
      <c r="D48" s="23" t="s">
        <v>32</v>
      </c>
      <c r="E48" s="23" t="s">
        <v>78</v>
      </c>
      <c r="F48" s="120">
        <f t="shared" si="7"/>
        <v>0.16499999999999998</v>
      </c>
      <c r="G48" s="80">
        <v>4.0000000000000001E-3</v>
      </c>
      <c r="H48" s="14">
        <v>2.7E-2</v>
      </c>
      <c r="I48" s="16">
        <v>0</v>
      </c>
      <c r="J48" s="14"/>
      <c r="K48" s="80">
        <v>6.5000000000000002E-2</v>
      </c>
      <c r="L48" s="14"/>
      <c r="M48" s="14">
        <v>2.3E-2</v>
      </c>
      <c r="N48" s="80">
        <v>4.5999999999999999E-2</v>
      </c>
      <c r="O48" s="14"/>
      <c r="P48" s="14"/>
      <c r="R48" s="197">
        <f>'Parameters, country spec'!E25</f>
        <v>1.0347538734704405E-3</v>
      </c>
    </row>
    <row r="49" spans="1:18" x14ac:dyDescent="0.3">
      <c r="B49" s="18" t="s">
        <v>185</v>
      </c>
      <c r="C49" s="17" t="s">
        <v>299</v>
      </c>
      <c r="D49" s="23" t="str">
        <f>'Off-farm feed'!$D$74</f>
        <v>France, Germany, Poland</v>
      </c>
      <c r="E49" s="23"/>
      <c r="F49" s="120">
        <f>SUM(G49:Q49)</f>
        <v>0.27085685084992916</v>
      </c>
      <c r="G49" s="220">
        <f>'Off-farm feed'!$F$74</f>
        <v>0.11176753125767681</v>
      </c>
      <c r="H49" s="220">
        <f>'Off-farm feed'!$G$74</f>
        <v>1.3034482758620692E-2</v>
      </c>
      <c r="I49" s="220">
        <f>'Off-farm feed'!$H$74</f>
        <v>0</v>
      </c>
      <c r="J49" s="220">
        <f>'Off-farm feed'!$I$74</f>
        <v>0</v>
      </c>
      <c r="K49" s="220">
        <f>'Off-farm feed'!$J$74</f>
        <v>2.4688740026345454E-2</v>
      </c>
      <c r="L49" s="220">
        <f>'Off-farm feed'!$K$74</f>
        <v>0</v>
      </c>
      <c r="M49" s="220">
        <f>'Off-farm feed'!$L$74</f>
        <v>1.931759303794134E-4</v>
      </c>
      <c r="N49" s="220">
        <f>'Off-farm feed'!$M$74</f>
        <v>3.6802128767029069E-2</v>
      </c>
      <c r="O49" s="220">
        <f>'Off-farm feed'!$N$74</f>
        <v>0</v>
      </c>
      <c r="P49" s="220">
        <f>'Off-farm feed'!$O$74</f>
        <v>2.1170792109877701E-2</v>
      </c>
      <c r="Q49" s="220">
        <f>'Off-farm feed'!$P$74</f>
        <v>6.3200000000000006E-2</v>
      </c>
      <c r="R49" s="197">
        <f>'Parameters, country spec'!E26</f>
        <v>1.1495502598072803E-3</v>
      </c>
    </row>
    <row r="50" spans="1:18" x14ac:dyDescent="0.3">
      <c r="B50" s="18" t="s">
        <v>300</v>
      </c>
      <c r="C50" s="17" t="s">
        <v>299</v>
      </c>
      <c r="D50" s="23" t="str">
        <f>'Off-farm feed'!$D$23</f>
        <v>Brazil, Argentina</v>
      </c>
      <c r="E50" s="23"/>
      <c r="F50" s="120">
        <f>SUM(G50:Q50)</f>
        <v>0.7061171705997602</v>
      </c>
      <c r="G50" s="220">
        <f>'Off-farm feed'!$F$23</f>
        <v>7.2632670993098931E-3</v>
      </c>
      <c r="H50" s="220">
        <f>'Off-farm feed'!$G$23</f>
        <v>2.1402439024390246E-2</v>
      </c>
      <c r="I50" s="220">
        <f>'Off-farm feed'!$H$23</f>
        <v>0</v>
      </c>
      <c r="J50" s="220">
        <f>'Off-farm feed'!$I$23</f>
        <v>0</v>
      </c>
      <c r="K50" s="220">
        <f>'Off-farm feed'!$J$23</f>
        <v>4.308361966433235E-2</v>
      </c>
      <c r="L50" s="220">
        <f>'Off-farm feed'!$K$23</f>
        <v>0</v>
      </c>
      <c r="M50" s="220">
        <f>'Off-farm feed'!$L$23</f>
        <v>1.7842060425123844E-4</v>
      </c>
      <c r="N50" s="220">
        <f>'Off-farm feed'!$M$23</f>
        <v>3.0432604948959403E-2</v>
      </c>
      <c r="O50" s="220">
        <f>'Off-farm feed'!$N$23</f>
        <v>0.31761120248475611</v>
      </c>
      <c r="P50" s="220">
        <f>'Off-farm feed'!$O$23</f>
        <v>3.5145616773760872E-2</v>
      </c>
      <c r="Q50" s="220">
        <f>'Off-farm feed'!$P$23</f>
        <v>0.251</v>
      </c>
      <c r="R50" s="197">
        <f>'Parameters, country spec'!E27</f>
        <v>0.20255815802791313</v>
      </c>
    </row>
    <row r="51" spans="1:18" x14ac:dyDescent="0.3">
      <c r="B51" s="17" t="s">
        <v>187</v>
      </c>
      <c r="C51" s="17" t="s">
        <v>301</v>
      </c>
      <c r="D51" s="23" t="s">
        <v>32</v>
      </c>
      <c r="E51" s="23" t="s">
        <v>78</v>
      </c>
      <c r="F51" s="120"/>
      <c r="G51" s="108"/>
      <c r="H51" s="8"/>
      <c r="I51" s="107"/>
      <c r="J51" s="8"/>
      <c r="K51" s="108"/>
      <c r="L51" s="8"/>
      <c r="M51" s="8"/>
      <c r="N51" s="108"/>
      <c r="O51" s="8"/>
      <c r="P51" s="8"/>
      <c r="Q51" s="8"/>
      <c r="R51" s="197">
        <f>'Parameters, country spec'!E28</f>
        <v>0.12768205188630527</v>
      </c>
    </row>
    <row r="52" spans="1:18" x14ac:dyDescent="0.3">
      <c r="A52" s="83"/>
      <c r="B52" s="17" t="s">
        <v>302</v>
      </c>
      <c r="C52" s="84" t="s">
        <v>303</v>
      </c>
      <c r="D52" s="23" t="s">
        <v>32</v>
      </c>
      <c r="E52" s="23" t="s">
        <v>78</v>
      </c>
      <c r="F52" s="120">
        <f t="shared" si="7"/>
        <v>0.19853849000903276</v>
      </c>
      <c r="G52" s="81">
        <f t="shared" ref="G52:N52" si="8">AVERAGE(G42:G50)</f>
        <v>5.5781199817442971E-2</v>
      </c>
      <c r="H52" s="81">
        <f t="shared" si="8"/>
        <v>2.4826324642556769E-2</v>
      </c>
      <c r="I52" s="81">
        <f t="shared" si="8"/>
        <v>0</v>
      </c>
      <c r="J52" s="81"/>
      <c r="K52" s="81">
        <f t="shared" si="8"/>
        <v>6.8308039965630882E-2</v>
      </c>
      <c r="L52" s="81"/>
      <c r="M52" s="81">
        <f t="shared" si="8"/>
        <v>6.3746218371811842E-3</v>
      </c>
      <c r="N52" s="81">
        <f t="shared" si="8"/>
        <v>4.3248303746220934E-2</v>
      </c>
      <c r="O52" s="81"/>
      <c r="P52" s="81"/>
      <c r="Q52" s="81"/>
      <c r="R52" s="197">
        <f>'Parameters, country spec'!E29</f>
        <v>0.13271711532536037</v>
      </c>
    </row>
    <row r="53" spans="1:18" x14ac:dyDescent="0.3">
      <c r="A53" s="195"/>
      <c r="B53" s="25" t="s">
        <v>304</v>
      </c>
      <c r="C53" s="26"/>
      <c r="D53" s="103"/>
      <c r="E53" s="103"/>
      <c r="F53" s="27">
        <f>SUMPRODUCT(F42:F52,$R$42:$R$52)</f>
        <v>0.27606066040877292</v>
      </c>
      <c r="G53" s="27">
        <f>SUMPRODUCT(G42:G52,$R$42:$R$52)</f>
        <v>5.0085541487021004E-2</v>
      </c>
      <c r="H53" s="27">
        <f>SUMPRODUCT(H42:H52,$R$42:$R$52)</f>
        <v>2.2114214971334461E-2</v>
      </c>
      <c r="I53" s="27">
        <f>SUMPRODUCT(I42:I52,$R$42:$R$52)</f>
        <v>0</v>
      </c>
      <c r="J53" s="27"/>
      <c r="K53" s="27">
        <f>SUMPRODUCT(K42:K52,$R$42:$R$52)</f>
        <v>3.7910659454085824E-2</v>
      </c>
      <c r="L53" s="27"/>
      <c r="M53" s="27">
        <f>SUMPRODUCT(M42:M52,$R$42:$R$52)</f>
        <v>6.9598346824650461E-3</v>
      </c>
      <c r="N53" s="27">
        <f>SUMPRODUCT(N42:N52,$R$42:$R$52)</f>
        <v>3.6597552142079631E-2</v>
      </c>
      <c r="O53" s="27">
        <f>SUMPRODUCT(O42:O52,$R$42:$R$52)</f>
        <v>6.4334740144342747E-2</v>
      </c>
      <c r="P53" s="209">
        <f>SUMPRODUCT(P42:P52,R42:R52)</f>
        <v>7.1433682860181655E-3</v>
      </c>
      <c r="Q53" s="27">
        <f>SUMPRODUCT(Q42:Q52,$R$42:$R$52)</f>
        <v>5.091474924142602E-2</v>
      </c>
      <c r="R53" s="198"/>
    </row>
    <row r="54" spans="1:18" x14ac:dyDescent="0.3">
      <c r="A54" s="22" t="s">
        <v>290</v>
      </c>
      <c r="B54" s="17" t="s">
        <v>173</v>
      </c>
      <c r="C54" s="17" t="s">
        <v>291</v>
      </c>
      <c r="D54" s="23" t="s">
        <v>129</v>
      </c>
      <c r="E54" s="23" t="s">
        <v>79</v>
      </c>
      <c r="F54" s="120">
        <f>SUM(G54:Q54)</f>
        <v>0.18200000000000002</v>
      </c>
      <c r="G54" s="80">
        <v>7.9000000000000001E-2</v>
      </c>
      <c r="H54" s="14">
        <v>2.7E-2</v>
      </c>
      <c r="I54" s="16">
        <v>0</v>
      </c>
      <c r="J54" s="14"/>
      <c r="K54" s="80">
        <v>3.4000000000000002E-2</v>
      </c>
      <c r="L54" s="14"/>
      <c r="M54" s="14">
        <v>0</v>
      </c>
      <c r="N54" s="80">
        <v>4.2000000000000003E-2</v>
      </c>
      <c r="O54" s="14"/>
      <c r="P54" s="14"/>
      <c r="R54" s="197">
        <f>'Parameters, country spec'!F19</f>
        <v>8.7418005626499207E-2</v>
      </c>
    </row>
    <row r="55" spans="1:18" x14ac:dyDescent="0.3">
      <c r="A55" s="22" t="s">
        <v>292</v>
      </c>
      <c r="B55" s="17" t="s">
        <v>176</v>
      </c>
      <c r="C55" s="17" t="s">
        <v>291</v>
      </c>
      <c r="D55" s="23" t="s">
        <v>129</v>
      </c>
      <c r="E55" s="23" t="s">
        <v>79</v>
      </c>
      <c r="F55" s="120">
        <f t="shared" ref="F55:F64" si="9">SUM(G55:Q55)</f>
        <v>0.17</v>
      </c>
      <c r="G55" s="80">
        <v>7.6999999999999999E-2</v>
      </c>
      <c r="H55" s="14">
        <v>2.7E-2</v>
      </c>
      <c r="I55" s="16">
        <v>0</v>
      </c>
      <c r="J55" s="14"/>
      <c r="K55" s="80">
        <v>2.4E-2</v>
      </c>
      <c r="L55" s="14"/>
      <c r="M55" s="14">
        <v>0</v>
      </c>
      <c r="N55" s="80">
        <v>4.2000000000000003E-2</v>
      </c>
      <c r="O55" s="14"/>
      <c r="P55" s="14"/>
      <c r="R55" s="197">
        <f>'Parameters, country spec'!F20</f>
        <v>0.51851224834420662</v>
      </c>
    </row>
    <row r="56" spans="1:18" x14ac:dyDescent="0.3">
      <c r="A56" s="22" t="s">
        <v>293</v>
      </c>
      <c r="B56" s="17" t="s">
        <v>180</v>
      </c>
      <c r="C56" s="17" t="s">
        <v>291</v>
      </c>
      <c r="D56" s="23" t="s">
        <v>129</v>
      </c>
      <c r="E56" s="23" t="s">
        <v>79</v>
      </c>
      <c r="F56" s="120">
        <f t="shared" si="9"/>
        <v>0.20300000000000001</v>
      </c>
      <c r="G56" s="80">
        <v>7.0000000000000007E-2</v>
      </c>
      <c r="H56" s="14">
        <v>2.7E-2</v>
      </c>
      <c r="I56" s="16">
        <v>0</v>
      </c>
      <c r="J56" s="14"/>
      <c r="K56" s="80">
        <v>6.3E-2</v>
      </c>
      <c r="L56" s="14"/>
      <c r="M56" s="14">
        <v>1E-3</v>
      </c>
      <c r="N56" s="80">
        <v>4.2000000000000003E-2</v>
      </c>
      <c r="O56" s="14"/>
      <c r="P56" s="14"/>
      <c r="R56" s="197">
        <f>'Parameters, country spec'!F21</f>
        <v>4.6821690090770259E-2</v>
      </c>
    </row>
    <row r="57" spans="1:18" x14ac:dyDescent="0.3">
      <c r="A57" s="22" t="s">
        <v>294</v>
      </c>
      <c r="B57" s="17" t="s">
        <v>181</v>
      </c>
      <c r="C57" s="17" t="s">
        <v>291</v>
      </c>
      <c r="D57" s="23" t="s">
        <v>129</v>
      </c>
      <c r="E57" s="23" t="s">
        <v>79</v>
      </c>
      <c r="F57" s="120">
        <f t="shared" si="9"/>
        <v>0.186</v>
      </c>
      <c r="G57" s="80">
        <v>6.2E-2</v>
      </c>
      <c r="H57" s="14">
        <v>2.7E-2</v>
      </c>
      <c r="I57" s="14">
        <v>0</v>
      </c>
      <c r="J57" s="14"/>
      <c r="K57" s="80">
        <v>5.5E-2</v>
      </c>
      <c r="L57" s="14"/>
      <c r="M57" s="14">
        <v>0</v>
      </c>
      <c r="N57" s="80">
        <v>4.2000000000000003E-2</v>
      </c>
      <c r="O57" s="14"/>
      <c r="P57" s="14"/>
      <c r="R57" s="197">
        <f>'Parameters, country spec'!F22</f>
        <v>1.8197973513379373E-2</v>
      </c>
    </row>
    <row r="58" spans="1:18" x14ac:dyDescent="0.3">
      <c r="A58" s="22" t="s">
        <v>295</v>
      </c>
      <c r="B58" s="17" t="s">
        <v>182</v>
      </c>
      <c r="C58" s="17" t="s">
        <v>291</v>
      </c>
      <c r="D58" s="23" t="s">
        <v>129</v>
      </c>
      <c r="E58" s="23" t="s">
        <v>79</v>
      </c>
      <c r="F58" s="120">
        <f t="shared" si="9"/>
        <v>0.19500000000000001</v>
      </c>
      <c r="G58" s="80">
        <v>9.0999999999999998E-2</v>
      </c>
      <c r="H58" s="14">
        <v>2.7E-2</v>
      </c>
      <c r="I58" s="14">
        <v>0</v>
      </c>
      <c r="J58" s="14"/>
      <c r="K58" s="80">
        <v>3.5000000000000003E-2</v>
      </c>
      <c r="L58" s="14"/>
      <c r="M58" s="14">
        <v>0</v>
      </c>
      <c r="N58" s="80">
        <v>4.2000000000000003E-2</v>
      </c>
      <c r="O58" s="14"/>
      <c r="P58" s="14"/>
      <c r="R58" s="197">
        <f>'Parameters, country spec'!F23</f>
        <v>8.1866500320142158E-2</v>
      </c>
    </row>
    <row r="59" spans="1:18" x14ac:dyDescent="0.3">
      <c r="A59" s="22" t="s">
        <v>296</v>
      </c>
      <c r="B59" s="17" t="s">
        <v>183</v>
      </c>
      <c r="C59" s="17" t="s">
        <v>297</v>
      </c>
      <c r="D59" s="23" t="s">
        <v>129</v>
      </c>
      <c r="E59" s="23" t="s">
        <v>79</v>
      </c>
      <c r="F59" s="120">
        <f t="shared" si="9"/>
        <v>0.14599999999999999</v>
      </c>
      <c r="G59" s="80">
        <v>0</v>
      </c>
      <c r="H59" s="14">
        <v>2.7E-2</v>
      </c>
      <c r="I59" s="16">
        <v>0</v>
      </c>
      <c r="J59" s="14"/>
      <c r="K59" s="80">
        <v>7.0999999999999994E-2</v>
      </c>
      <c r="L59" s="16"/>
      <c r="M59" s="14">
        <v>6.0000000000000001E-3</v>
      </c>
      <c r="N59" s="80">
        <v>4.2000000000000003E-2</v>
      </c>
      <c r="O59" s="14"/>
      <c r="P59" s="14"/>
      <c r="R59" s="197">
        <f>'Parameters, country spec'!F24</f>
        <v>1.1994594385271529E-3</v>
      </c>
    </row>
    <row r="60" spans="1:18" x14ac:dyDescent="0.3">
      <c r="A60" s="22" t="s">
        <v>298</v>
      </c>
      <c r="B60" s="17" t="s">
        <v>184</v>
      </c>
      <c r="C60" s="17" t="s">
        <v>297</v>
      </c>
      <c r="D60" s="23" t="s">
        <v>129</v>
      </c>
      <c r="E60" s="23" t="s">
        <v>79</v>
      </c>
      <c r="F60" s="120">
        <f t="shared" si="9"/>
        <v>0.17</v>
      </c>
      <c r="G60" s="80">
        <v>4.0000000000000001E-3</v>
      </c>
      <c r="H60" s="14">
        <v>2.7E-2</v>
      </c>
      <c r="I60" s="16">
        <v>0</v>
      </c>
      <c r="J60" s="14"/>
      <c r="K60" s="80">
        <v>8.8999999999999996E-2</v>
      </c>
      <c r="L60" s="14"/>
      <c r="M60" s="14">
        <v>8.0000000000000002E-3</v>
      </c>
      <c r="N60" s="80">
        <v>4.2000000000000003E-2</v>
      </c>
      <c r="O60" s="14"/>
      <c r="P60" s="14"/>
      <c r="R60" s="197">
        <f>'Parameters, country spec'!F25</f>
        <v>1.1782644376318839E-3</v>
      </c>
    </row>
    <row r="61" spans="1:18" x14ac:dyDescent="0.3">
      <c r="B61" s="18" t="s">
        <v>185</v>
      </c>
      <c r="C61" s="17" t="s">
        <v>299</v>
      </c>
      <c r="D61" s="23" t="str">
        <f>'Off-farm feed'!$D$74</f>
        <v>France, Germany, Poland</v>
      </c>
      <c r="E61" s="23"/>
      <c r="F61" s="120">
        <f>SUM(G61:Q61)</f>
        <v>0.27085685084992916</v>
      </c>
      <c r="G61" s="220">
        <f>'Off-farm feed'!$F$74</f>
        <v>0.11176753125767681</v>
      </c>
      <c r="H61" s="220">
        <f>'Off-farm feed'!$G$74</f>
        <v>1.3034482758620692E-2</v>
      </c>
      <c r="I61" s="220">
        <f>'Off-farm feed'!$H$74</f>
        <v>0</v>
      </c>
      <c r="J61" s="220">
        <f>'Off-farm feed'!$I$74</f>
        <v>0</v>
      </c>
      <c r="K61" s="220">
        <f>'Off-farm feed'!$J$74</f>
        <v>2.4688740026345454E-2</v>
      </c>
      <c r="L61" s="220">
        <f>'Off-farm feed'!$K$74</f>
        <v>0</v>
      </c>
      <c r="M61" s="220">
        <f>'Off-farm feed'!$L$74</f>
        <v>1.931759303794134E-4</v>
      </c>
      <c r="N61" s="220">
        <f>'Off-farm feed'!$M$74</f>
        <v>3.6802128767029069E-2</v>
      </c>
      <c r="O61" s="220">
        <f>'Off-farm feed'!$N$74</f>
        <v>0</v>
      </c>
      <c r="P61" s="220">
        <f>'Off-farm feed'!$O$74</f>
        <v>2.1170792109877701E-2</v>
      </c>
      <c r="Q61" s="220">
        <f>'Off-farm feed'!$P$74</f>
        <v>6.3200000000000006E-2</v>
      </c>
      <c r="R61" s="197">
        <f>'Parameters, country spec'!F26</f>
        <v>5.1767642112223974E-4</v>
      </c>
    </row>
    <row r="62" spans="1:18" x14ac:dyDescent="0.3">
      <c r="B62" s="18" t="s">
        <v>300</v>
      </c>
      <c r="C62" s="17" t="s">
        <v>299</v>
      </c>
      <c r="D62" s="23" t="str">
        <f>'Off-farm feed'!$D$23</f>
        <v>Brazil, Argentina</v>
      </c>
      <c r="E62" s="23"/>
      <c r="F62" s="120">
        <f>SUM(G62:Q62)</f>
        <v>0.7061171705997602</v>
      </c>
      <c r="G62" s="220">
        <f>'Off-farm feed'!$F$23</f>
        <v>7.2632670993098931E-3</v>
      </c>
      <c r="H62" s="220">
        <f>'Off-farm feed'!$G$23</f>
        <v>2.1402439024390246E-2</v>
      </c>
      <c r="I62" s="220">
        <f>'Off-farm feed'!$H$23</f>
        <v>0</v>
      </c>
      <c r="J62" s="220">
        <f>'Off-farm feed'!$I$23</f>
        <v>0</v>
      </c>
      <c r="K62" s="220">
        <f>'Off-farm feed'!$J$23</f>
        <v>4.308361966433235E-2</v>
      </c>
      <c r="L62" s="220">
        <f>'Off-farm feed'!$K$23</f>
        <v>0</v>
      </c>
      <c r="M62" s="220">
        <f>'Off-farm feed'!$L$23</f>
        <v>1.7842060425123844E-4</v>
      </c>
      <c r="N62" s="220">
        <f>'Off-farm feed'!$M$23</f>
        <v>3.0432604948959403E-2</v>
      </c>
      <c r="O62" s="220">
        <f>'Off-farm feed'!$N$23</f>
        <v>0.31761120248475611</v>
      </c>
      <c r="P62" s="220">
        <f>'Off-farm feed'!$O$23</f>
        <v>3.5145616773760872E-2</v>
      </c>
      <c r="Q62" s="220">
        <f>'Off-farm feed'!$P$23</f>
        <v>0.251</v>
      </c>
      <c r="R62" s="197">
        <f>'Parameters, country spec'!F27</f>
        <v>9.8710786383614704E-2</v>
      </c>
    </row>
    <row r="63" spans="1:18" x14ac:dyDescent="0.3">
      <c r="B63" s="17" t="s">
        <v>187</v>
      </c>
      <c r="C63" s="17" t="s">
        <v>301</v>
      </c>
      <c r="D63" s="23" t="s">
        <v>129</v>
      </c>
      <c r="E63" s="23" t="s">
        <v>79</v>
      </c>
      <c r="F63" s="120"/>
      <c r="G63" s="108"/>
      <c r="H63" s="8"/>
      <c r="I63" s="107"/>
      <c r="J63" s="8"/>
      <c r="K63" s="108"/>
      <c r="L63" s="8"/>
      <c r="M63" s="8"/>
      <c r="N63" s="108"/>
      <c r="O63" s="8"/>
      <c r="P63" s="8"/>
      <c r="Q63" s="8"/>
      <c r="R63" s="197">
        <f>'Parameters, country spec'!F28</f>
        <v>7.7842176173985381E-2</v>
      </c>
    </row>
    <row r="64" spans="1:18" x14ac:dyDescent="0.3">
      <c r="A64" s="83"/>
      <c r="B64" s="17" t="s">
        <v>302</v>
      </c>
      <c r="C64" s="84" t="s">
        <v>303</v>
      </c>
      <c r="D64" s="23" t="s">
        <v>129</v>
      </c>
      <c r="E64" s="23" t="s">
        <v>79</v>
      </c>
      <c r="F64" s="120">
        <f t="shared" si="9"/>
        <v>0.17120515667569941</v>
      </c>
      <c r="G64" s="81">
        <f t="shared" ref="G64:N64" si="10">AVERAGE(G54:G62)</f>
        <v>5.5781199817442971E-2</v>
      </c>
      <c r="H64" s="81">
        <f t="shared" si="10"/>
        <v>2.4826324642556769E-2</v>
      </c>
      <c r="I64" s="81">
        <f t="shared" si="10"/>
        <v>0</v>
      </c>
      <c r="J64" s="81"/>
      <c r="K64" s="81">
        <f t="shared" si="10"/>
        <v>4.8752484410075313E-2</v>
      </c>
      <c r="L64" s="81"/>
      <c r="M64" s="81">
        <f t="shared" si="10"/>
        <v>1.7079551705145167E-3</v>
      </c>
      <c r="N64" s="81">
        <f t="shared" si="10"/>
        <v>4.0137192635109828E-2</v>
      </c>
      <c r="O64" s="81"/>
      <c r="P64" s="81"/>
      <c r="Q64" s="81"/>
      <c r="R64" s="197">
        <f>'Parameters, country spec'!F29</f>
        <v>6.7735219250121048E-2</v>
      </c>
    </row>
    <row r="65" spans="1:18" x14ac:dyDescent="0.3">
      <c r="A65" s="195"/>
      <c r="B65" s="25" t="s">
        <v>304</v>
      </c>
      <c r="C65" s="26"/>
      <c r="D65" s="103"/>
      <c r="E65" s="103"/>
      <c r="F65" s="27">
        <f>SUMPRODUCT(F54:F64,$R$54:$R$64)</f>
        <v>0.21472439521754261</v>
      </c>
      <c r="G65" s="27">
        <f>SUMPRODUCT(G54:G64,$R$54:$R$64)</f>
        <v>6.3244996840399831E-2</v>
      </c>
      <c r="H65" s="27">
        <f>SUMPRODUCT(H54:H64,$R$54:$R$64)</f>
        <v>2.4191257601670083E-2</v>
      </c>
      <c r="I65" s="27">
        <f>SUMPRODUCT(I54:I64,$R$54:$R$64)</f>
        <v>0</v>
      </c>
      <c r="J65" s="27"/>
      <c r="K65" s="27">
        <f>SUMPRODUCT(K54:K64,$R$54:$R$64)</f>
        <v>2.9990374813208192E-2</v>
      </c>
      <c r="L65" s="27"/>
      <c r="M65" s="27">
        <f>SUMPRODUCT(M54:M64,$R$54:$R$64)</f>
        <v>1.9684532094413215E-4</v>
      </c>
      <c r="N65" s="27">
        <f>SUMPRODUCT(N54:N64,$R$54:$R$64)</f>
        <v>3.7459933458135544E-2</v>
      </c>
      <c r="O65" s="27">
        <f>SUMPRODUCT(O54:O64,$R$54:$R$64)</f>
        <v>3.1351651561515759E-2</v>
      </c>
      <c r="P65" s="209">
        <f>SUMPRODUCT(P54:P64,R54:R64)</f>
        <v>3.4802110895668596E-3</v>
      </c>
      <c r="Q65" s="27">
        <f>SUMPRODUCT(Q54:Q64,$R$54:$R$64)</f>
        <v>2.4809124532102218E-2</v>
      </c>
      <c r="R65" s="198"/>
    </row>
    <row r="66" spans="1:18" x14ac:dyDescent="0.3">
      <c r="A66" s="22" t="s">
        <v>290</v>
      </c>
      <c r="B66" s="17" t="s">
        <v>173</v>
      </c>
      <c r="C66" s="17" t="s">
        <v>291</v>
      </c>
      <c r="D66" s="23" t="s">
        <v>27</v>
      </c>
      <c r="E66" s="23" t="s">
        <v>80</v>
      </c>
      <c r="F66" s="120">
        <f>SUM(G66:Q66)</f>
        <v>0.17200000000000001</v>
      </c>
      <c r="G66" s="80">
        <v>7.9000000000000001E-2</v>
      </c>
      <c r="H66" s="14">
        <v>2.7E-2</v>
      </c>
      <c r="I66" s="16">
        <v>0</v>
      </c>
      <c r="J66" s="14"/>
      <c r="K66" s="80">
        <v>2.5000000000000001E-2</v>
      </c>
      <c r="L66" s="14"/>
      <c r="M66" s="14">
        <v>0</v>
      </c>
      <c r="N66" s="80">
        <v>4.1000000000000002E-2</v>
      </c>
      <c r="O66" s="14"/>
      <c r="P66" s="14"/>
      <c r="R66" s="197">
        <f>'Parameters, country spec'!G19</f>
        <v>0.30763475488022607</v>
      </c>
    </row>
    <row r="67" spans="1:18" x14ac:dyDescent="0.3">
      <c r="A67" s="22" t="s">
        <v>292</v>
      </c>
      <c r="B67" s="17" t="s">
        <v>176</v>
      </c>
      <c r="C67" s="17" t="s">
        <v>291</v>
      </c>
      <c r="D67" s="23" t="s">
        <v>27</v>
      </c>
      <c r="E67" s="23" t="s">
        <v>80</v>
      </c>
      <c r="F67" s="120">
        <f t="shared" ref="F67:F76" si="11">SUM(G67:Q67)</f>
        <v>0</v>
      </c>
      <c r="G67" s="80"/>
      <c r="H67" s="14"/>
      <c r="I67" s="16"/>
      <c r="J67" s="14"/>
      <c r="K67" s="80"/>
      <c r="L67" s="14"/>
      <c r="M67" s="14"/>
      <c r="N67" s="80"/>
      <c r="O67" s="14"/>
      <c r="P67" s="14"/>
      <c r="R67" s="197">
        <f>'Parameters, country spec'!G20</f>
        <v>8.4790139584359644E-2</v>
      </c>
    </row>
    <row r="68" spans="1:18" x14ac:dyDescent="0.3">
      <c r="A68" s="22" t="s">
        <v>293</v>
      </c>
      <c r="B68" s="17" t="s">
        <v>180</v>
      </c>
      <c r="C68" s="17" t="s">
        <v>291</v>
      </c>
      <c r="D68" s="23" t="s">
        <v>27</v>
      </c>
      <c r="E68" s="23" t="s">
        <v>80</v>
      </c>
      <c r="F68" s="120">
        <f t="shared" si="11"/>
        <v>0.16200000000000001</v>
      </c>
      <c r="G68" s="80">
        <v>7.0000000000000007E-2</v>
      </c>
      <c r="H68" s="14">
        <v>2.7E-2</v>
      </c>
      <c r="I68" s="16">
        <v>0</v>
      </c>
      <c r="J68" s="14"/>
      <c r="K68" s="80">
        <v>2.4E-2</v>
      </c>
      <c r="L68" s="14"/>
      <c r="M68" s="14">
        <v>0</v>
      </c>
      <c r="N68" s="80">
        <v>4.1000000000000002E-2</v>
      </c>
      <c r="O68" s="14"/>
      <c r="P68" s="14"/>
      <c r="R68" s="197">
        <f>'Parameters, country spec'!G21</f>
        <v>1.77320656507646E-2</v>
      </c>
    </row>
    <row r="69" spans="1:18" x14ac:dyDescent="0.3">
      <c r="A69" s="22" t="s">
        <v>294</v>
      </c>
      <c r="B69" s="17" t="s">
        <v>181</v>
      </c>
      <c r="C69" s="17" t="s">
        <v>291</v>
      </c>
      <c r="D69" s="23" t="s">
        <v>27</v>
      </c>
      <c r="E69" s="23" t="s">
        <v>80</v>
      </c>
      <c r="F69" s="120">
        <f t="shared" si="11"/>
        <v>0.185</v>
      </c>
      <c r="G69" s="80">
        <v>6.2E-2</v>
      </c>
      <c r="H69" s="14">
        <v>2.7E-2</v>
      </c>
      <c r="I69" s="14">
        <v>0</v>
      </c>
      <c r="J69" s="14"/>
      <c r="K69" s="80">
        <v>5.5E-2</v>
      </c>
      <c r="L69" s="14"/>
      <c r="M69" s="14">
        <v>0</v>
      </c>
      <c r="N69" s="80">
        <v>4.1000000000000002E-2</v>
      </c>
      <c r="O69" s="14"/>
      <c r="P69" s="14"/>
      <c r="R69" s="197">
        <f>'Parameters, country spec'!G22</f>
        <v>0</v>
      </c>
    </row>
    <row r="70" spans="1:18" x14ac:dyDescent="0.3">
      <c r="A70" s="22" t="s">
        <v>295</v>
      </c>
      <c r="B70" s="17" t="s">
        <v>182</v>
      </c>
      <c r="C70" s="17" t="s">
        <v>291</v>
      </c>
      <c r="D70" s="23" t="s">
        <v>27</v>
      </c>
      <c r="E70" s="23" t="s">
        <v>80</v>
      </c>
      <c r="F70" s="120">
        <f t="shared" si="11"/>
        <v>0.18</v>
      </c>
      <c r="G70" s="80">
        <v>9.0999999999999998E-2</v>
      </c>
      <c r="H70" s="14">
        <v>2.7E-2</v>
      </c>
      <c r="I70" s="14">
        <v>0</v>
      </c>
      <c r="J70" s="14"/>
      <c r="K70" s="80">
        <v>2.1000000000000001E-2</v>
      </c>
      <c r="L70" s="14"/>
      <c r="M70" s="14">
        <v>0</v>
      </c>
      <c r="N70" s="80">
        <v>4.1000000000000002E-2</v>
      </c>
      <c r="O70" s="14"/>
      <c r="P70" s="14"/>
      <c r="R70" s="197">
        <f>'Parameters, country spec'!G23</f>
        <v>0.13212925363733041</v>
      </c>
    </row>
    <row r="71" spans="1:18" x14ac:dyDescent="0.3">
      <c r="A71" s="22" t="s">
        <v>296</v>
      </c>
      <c r="B71" s="17" t="s">
        <v>183</v>
      </c>
      <c r="C71" s="17" t="s">
        <v>297</v>
      </c>
      <c r="D71" s="23" t="s">
        <v>27</v>
      </c>
      <c r="E71" s="23" t="s">
        <v>80</v>
      </c>
      <c r="F71" s="120">
        <f t="shared" si="11"/>
        <v>0.11399999999999999</v>
      </c>
      <c r="G71" s="80">
        <v>0</v>
      </c>
      <c r="H71" s="14">
        <v>2.7E-2</v>
      </c>
      <c r="I71" s="16">
        <v>0</v>
      </c>
      <c r="J71" s="14"/>
      <c r="K71" s="80">
        <v>4.4999999999999998E-2</v>
      </c>
      <c r="L71" s="16"/>
      <c r="M71" s="14">
        <v>1E-3</v>
      </c>
      <c r="N71" s="80">
        <v>4.1000000000000002E-2</v>
      </c>
      <c r="O71" s="14"/>
      <c r="P71" s="14"/>
      <c r="R71" s="197">
        <f>'Parameters, country spec'!G24</f>
        <v>1.3715568697676599E-3</v>
      </c>
    </row>
    <row r="72" spans="1:18" x14ac:dyDescent="0.3">
      <c r="A72" s="22" t="s">
        <v>298</v>
      </c>
      <c r="B72" s="17" t="s">
        <v>184</v>
      </c>
      <c r="C72" s="17" t="s">
        <v>297</v>
      </c>
      <c r="D72" s="23" t="s">
        <v>27</v>
      </c>
      <c r="E72" s="23" t="s">
        <v>80</v>
      </c>
      <c r="F72" s="120">
        <f t="shared" si="11"/>
        <v>0.10700000000000001</v>
      </c>
      <c r="G72" s="80">
        <v>4.0000000000000001E-3</v>
      </c>
      <c r="H72" s="14">
        <v>2.7E-2</v>
      </c>
      <c r="I72" s="16">
        <v>0</v>
      </c>
      <c r="J72" s="14"/>
      <c r="K72" s="80">
        <v>3.5000000000000003E-2</v>
      </c>
      <c r="L72" s="14"/>
      <c r="M72" s="14">
        <v>0</v>
      </c>
      <c r="N72" s="80">
        <v>4.1000000000000002E-2</v>
      </c>
      <c r="O72" s="14"/>
      <c r="P72" s="14"/>
      <c r="R72" s="197">
        <f>'Parameters, country spec'!G25</f>
        <v>1.3473208286461219E-3</v>
      </c>
    </row>
    <row r="73" spans="1:18" x14ac:dyDescent="0.3">
      <c r="B73" s="18" t="s">
        <v>185</v>
      </c>
      <c r="C73" s="17" t="s">
        <v>299</v>
      </c>
      <c r="D73" s="23" t="str">
        <f>'Off-farm feed'!$D$74</f>
        <v>France, Germany, Poland</v>
      </c>
      <c r="E73" s="23"/>
      <c r="F73" s="120">
        <f>SUM(G73:Q73)</f>
        <v>0.27085685084992916</v>
      </c>
      <c r="G73" s="220">
        <f>'Off-farm feed'!$F$74</f>
        <v>0.11176753125767681</v>
      </c>
      <c r="H73" s="220">
        <f>'Off-farm feed'!$G$74</f>
        <v>1.3034482758620692E-2</v>
      </c>
      <c r="I73" s="220">
        <f>'Off-farm feed'!$H$74</f>
        <v>0</v>
      </c>
      <c r="J73" s="220">
        <f>'Off-farm feed'!$I$74</f>
        <v>0</v>
      </c>
      <c r="K73" s="220">
        <f>'Off-farm feed'!$J$74</f>
        <v>2.4688740026345454E-2</v>
      </c>
      <c r="L73" s="220">
        <f>'Off-farm feed'!$K$74</f>
        <v>0</v>
      </c>
      <c r="M73" s="220">
        <f>'Off-farm feed'!$L$74</f>
        <v>1.931759303794134E-4</v>
      </c>
      <c r="N73" s="220">
        <f>'Off-farm feed'!$M$74</f>
        <v>3.6802128767029069E-2</v>
      </c>
      <c r="O73" s="220">
        <f>'Off-farm feed'!$N$74</f>
        <v>0</v>
      </c>
      <c r="P73" s="220">
        <f>'Off-farm feed'!$O$74</f>
        <v>2.1170792109877701E-2</v>
      </c>
      <c r="Q73" s="220">
        <f>'Off-farm feed'!$P$74</f>
        <v>6.3200000000000006E-2</v>
      </c>
      <c r="R73" s="197">
        <f>'Parameters, country spec'!G26</f>
        <v>7.3430139783317777E-2</v>
      </c>
    </row>
    <row r="74" spans="1:18" x14ac:dyDescent="0.3">
      <c r="B74" s="18" t="s">
        <v>300</v>
      </c>
      <c r="C74" s="17" t="s">
        <v>299</v>
      </c>
      <c r="D74" s="23" t="str">
        <f>'Off-farm feed'!$D$23</f>
        <v>Brazil, Argentina</v>
      </c>
      <c r="E74" s="23"/>
      <c r="F74" s="120">
        <f>SUM(G74:Q74)</f>
        <v>0.7061171705997602</v>
      </c>
      <c r="G74" s="220">
        <f>'Off-farm feed'!$F$23</f>
        <v>7.2632670993098931E-3</v>
      </c>
      <c r="H74" s="220">
        <f>'Off-farm feed'!$G$23</f>
        <v>2.1402439024390246E-2</v>
      </c>
      <c r="I74" s="220">
        <f>'Off-farm feed'!$H$23</f>
        <v>0</v>
      </c>
      <c r="J74" s="220">
        <f>'Off-farm feed'!$I$23</f>
        <v>0</v>
      </c>
      <c r="K74" s="220">
        <f>'Off-farm feed'!$J$23</f>
        <v>4.308361966433235E-2</v>
      </c>
      <c r="L74" s="220">
        <f>'Off-farm feed'!$K$23</f>
        <v>0</v>
      </c>
      <c r="M74" s="220">
        <f>'Off-farm feed'!$L$23</f>
        <v>1.7842060425123844E-4</v>
      </c>
      <c r="N74" s="220">
        <f>'Off-farm feed'!$M$23</f>
        <v>3.0432604948959403E-2</v>
      </c>
      <c r="O74" s="220">
        <f>'Off-farm feed'!$N$23</f>
        <v>0.31761120248475611</v>
      </c>
      <c r="P74" s="220">
        <f>'Off-farm feed'!$O$23</f>
        <v>3.5145616773760872E-2</v>
      </c>
      <c r="Q74" s="220">
        <f>'Off-farm feed'!$P$23</f>
        <v>0.251</v>
      </c>
      <c r="R74" s="197">
        <f>'Parameters, country spec'!G27</f>
        <v>0.13973103889626368</v>
      </c>
    </row>
    <row r="75" spans="1:18" x14ac:dyDescent="0.3">
      <c r="B75" s="17" t="s">
        <v>187</v>
      </c>
      <c r="C75" s="17" t="s">
        <v>301</v>
      </c>
      <c r="D75" s="23" t="s">
        <v>27</v>
      </c>
      <c r="E75" s="23" t="s">
        <v>80</v>
      </c>
      <c r="F75" s="120"/>
      <c r="G75" s="108"/>
      <c r="H75" s="8"/>
      <c r="I75" s="107"/>
      <c r="J75" s="8"/>
      <c r="K75" s="108"/>
      <c r="L75" s="8"/>
      <c r="M75" s="8"/>
      <c r="N75" s="108"/>
      <c r="O75" s="8"/>
      <c r="P75" s="8"/>
      <c r="Q75" s="8"/>
      <c r="R75" s="197">
        <f>'Parameters, country spec'!G28</f>
        <v>0.13800716313225697</v>
      </c>
    </row>
    <row r="76" spans="1:18" x14ac:dyDescent="0.3">
      <c r="A76" s="83"/>
      <c r="B76" s="17" t="s">
        <v>302</v>
      </c>
      <c r="C76" s="84" t="s">
        <v>303</v>
      </c>
      <c r="D76" s="23" t="s">
        <v>27</v>
      </c>
      <c r="E76" s="23" t="s">
        <v>80</v>
      </c>
      <c r="F76" s="120">
        <f t="shared" si="11"/>
        <v>0.15110580126016182</v>
      </c>
      <c r="G76" s="81">
        <f t="shared" ref="G76:N76" si="12">AVERAGE(G66:G74)</f>
        <v>5.3128849794623345E-2</v>
      </c>
      <c r="H76" s="81">
        <f t="shared" si="12"/>
        <v>2.4554615222876365E-2</v>
      </c>
      <c r="I76" s="81">
        <f t="shared" si="12"/>
        <v>0</v>
      </c>
      <c r="J76" s="81"/>
      <c r="K76" s="81">
        <f t="shared" si="12"/>
        <v>3.409654496133472E-2</v>
      </c>
      <c r="L76" s="81"/>
      <c r="M76" s="81">
        <f t="shared" si="12"/>
        <v>1.7144956682883149E-4</v>
      </c>
      <c r="N76" s="81">
        <f t="shared" si="12"/>
        <v>3.915434171449856E-2</v>
      </c>
      <c r="O76" s="81"/>
      <c r="P76" s="81"/>
      <c r="Q76" s="81"/>
      <c r="R76" s="197">
        <f>'Parameters, country spec'!G29</f>
        <v>0.1038265667370671</v>
      </c>
    </row>
    <row r="77" spans="1:18" x14ac:dyDescent="0.3">
      <c r="A77" s="195"/>
      <c r="B77" s="25" t="s">
        <v>304</v>
      </c>
      <c r="C77" s="26"/>
      <c r="D77" s="103"/>
      <c r="E77" s="103"/>
      <c r="F77" s="27">
        <f>SUMPRODUCT(F66:F76,$R$66:$R$76)</f>
        <v>0.21411389774983139</v>
      </c>
      <c r="G77" s="27">
        <f>SUMPRODUCT(G66:G76,$R$66:$R$76)</f>
        <v>5.2311736965323277E-2</v>
      </c>
      <c r="H77" s="27">
        <f>SUMPRODUCT(H66:H76,$R$66:$R$76)</f>
        <v>1.8922934027303565E-2</v>
      </c>
      <c r="I77" s="27">
        <f>SUMPRODUCT(I66:I76,$R$66:$R$76)</f>
        <v>0</v>
      </c>
      <c r="J77" s="27"/>
      <c r="K77" s="27">
        <f>SUMPRODUCT(K66:K76,$R$66:$R$76)</f>
        <v>2.2373172829398724E-2</v>
      </c>
      <c r="L77" s="27"/>
      <c r="M77" s="27">
        <f>SUMPRODUCT(M66:M76,$R$66:$R$76)</f>
        <v>5.8288408725220032E-5</v>
      </c>
      <c r="N77" s="27">
        <f>SUMPRODUCT(N66:N76,$R$66:$R$76)</f>
        <v>2.9888838865126721E-2</v>
      </c>
      <c r="O77" s="27">
        <f>SUMPRODUCT(O66:O76,$R$66:$R$76)</f>
        <v>4.438014328828653E-2</v>
      </c>
      <c r="P77" s="209">
        <f>SUMPRODUCT(P66:P76,R66:R76)</f>
        <v>6.4655077683994384E-3</v>
      </c>
      <c r="Q77" s="27">
        <f>SUMPRODUCT(Q66:Q76,$R$66:$R$76)</f>
        <v>3.9713275597267866E-2</v>
      </c>
      <c r="R77" s="198"/>
    </row>
    <row r="78" spans="1:18" x14ac:dyDescent="0.3">
      <c r="A78" s="22" t="s">
        <v>290</v>
      </c>
      <c r="B78" s="17" t="s">
        <v>173</v>
      </c>
      <c r="C78" s="17" t="s">
        <v>291</v>
      </c>
      <c r="D78" s="23" t="s">
        <v>33</v>
      </c>
      <c r="E78" s="23" t="s">
        <v>81</v>
      </c>
      <c r="F78" s="120">
        <f>SUM(G78:Q78)</f>
        <v>0.192</v>
      </c>
      <c r="G78" s="80">
        <v>7.9000000000000001E-2</v>
      </c>
      <c r="H78" s="14">
        <v>2.7E-2</v>
      </c>
      <c r="I78" s="16">
        <v>0</v>
      </c>
      <c r="J78" s="14"/>
      <c r="K78" s="80">
        <v>4.4999999999999998E-2</v>
      </c>
      <c r="L78" s="14"/>
      <c r="M78" s="14">
        <v>0</v>
      </c>
      <c r="N78" s="80">
        <v>4.1000000000000002E-2</v>
      </c>
      <c r="O78" s="14"/>
      <c r="P78" s="14"/>
      <c r="R78" s="197">
        <f>'Parameters, country spec'!H19</f>
        <v>6.9755357742184998E-2</v>
      </c>
    </row>
    <row r="79" spans="1:18" x14ac:dyDescent="0.3">
      <c r="A79" s="22" t="s">
        <v>292</v>
      </c>
      <c r="B79" s="17" t="s">
        <v>176</v>
      </c>
      <c r="C79" s="17" t="s">
        <v>291</v>
      </c>
      <c r="D79" s="23" t="s">
        <v>33</v>
      </c>
      <c r="E79" s="23" t="s">
        <v>81</v>
      </c>
      <c r="F79" s="120">
        <f t="shared" ref="F79:F88" si="13">SUM(G79:Q79)</f>
        <v>0.17100000000000001</v>
      </c>
      <c r="G79" s="80">
        <v>7.6999999999999999E-2</v>
      </c>
      <c r="H79" s="14">
        <v>2.7E-2</v>
      </c>
      <c r="I79" s="16">
        <v>0</v>
      </c>
      <c r="J79" s="14"/>
      <c r="K79" s="80">
        <v>1.7999999999999999E-2</v>
      </c>
      <c r="L79" s="14"/>
      <c r="M79" s="14">
        <v>8.0000000000000002E-3</v>
      </c>
      <c r="N79" s="80">
        <v>4.1000000000000002E-2</v>
      </c>
      <c r="O79" s="14"/>
      <c r="P79" s="14"/>
      <c r="R79" s="197">
        <f>'Parameters, country spec'!H20</f>
        <v>0.45612129266564322</v>
      </c>
    </row>
    <row r="80" spans="1:18" x14ac:dyDescent="0.3">
      <c r="A80" s="22" t="s">
        <v>293</v>
      </c>
      <c r="B80" s="17" t="s">
        <v>180</v>
      </c>
      <c r="C80" s="17" t="s">
        <v>291</v>
      </c>
      <c r="D80" s="23" t="s">
        <v>33</v>
      </c>
      <c r="E80" s="23" t="s">
        <v>81</v>
      </c>
      <c r="F80" s="120">
        <f t="shared" si="13"/>
        <v>0.22500000000000001</v>
      </c>
      <c r="G80" s="80">
        <v>7.0000000000000007E-2</v>
      </c>
      <c r="H80" s="14">
        <v>2.7E-2</v>
      </c>
      <c r="I80" s="16">
        <v>0</v>
      </c>
      <c r="J80" s="14"/>
      <c r="K80" s="80">
        <v>7.9000000000000001E-2</v>
      </c>
      <c r="L80" s="14"/>
      <c r="M80" s="14">
        <v>8.0000000000000002E-3</v>
      </c>
      <c r="N80" s="80">
        <v>4.1000000000000002E-2</v>
      </c>
      <c r="O80" s="14"/>
      <c r="P80" s="14"/>
      <c r="R80" s="197">
        <f>'Parameters, country spec'!H21</f>
        <v>1.4486341810785938E-2</v>
      </c>
    </row>
    <row r="81" spans="1:18" x14ac:dyDescent="0.3">
      <c r="A81" s="22" t="s">
        <v>294</v>
      </c>
      <c r="B81" s="17" t="s">
        <v>181</v>
      </c>
      <c r="C81" s="17" t="s">
        <v>291</v>
      </c>
      <c r="D81" s="23" t="s">
        <v>33</v>
      </c>
      <c r="E81" s="23" t="s">
        <v>81</v>
      </c>
      <c r="F81" s="120">
        <f t="shared" si="13"/>
        <v>0.187</v>
      </c>
      <c r="G81" s="80">
        <v>6.2E-2</v>
      </c>
      <c r="H81" s="14">
        <v>2.7E-2</v>
      </c>
      <c r="I81" s="14">
        <v>0</v>
      </c>
      <c r="J81" s="14"/>
      <c r="K81" s="80">
        <v>5.7000000000000002E-2</v>
      </c>
      <c r="L81" s="14"/>
      <c r="M81" s="14">
        <v>0</v>
      </c>
      <c r="N81" s="80">
        <v>4.1000000000000002E-2</v>
      </c>
      <c r="O81" s="14"/>
      <c r="P81" s="14"/>
      <c r="R81" s="197">
        <f>'Parameters, country spec'!H22</f>
        <v>1.154218810875446E-3</v>
      </c>
    </row>
    <row r="82" spans="1:18" x14ac:dyDescent="0.3">
      <c r="A82" s="22" t="s">
        <v>295</v>
      </c>
      <c r="B82" s="17" t="s">
        <v>182</v>
      </c>
      <c r="C82" s="17" t="s">
        <v>291</v>
      </c>
      <c r="D82" s="23" t="s">
        <v>33</v>
      </c>
      <c r="E82" s="23" t="s">
        <v>81</v>
      </c>
      <c r="F82" s="120">
        <f t="shared" si="13"/>
        <v>0.20899999999999999</v>
      </c>
      <c r="G82" s="80">
        <v>9.0999999999999998E-2</v>
      </c>
      <c r="H82" s="14">
        <v>2.7E-2</v>
      </c>
      <c r="I82" s="14">
        <v>0</v>
      </c>
      <c r="J82" s="14"/>
      <c r="K82" s="80">
        <v>4.8000000000000001E-2</v>
      </c>
      <c r="L82" s="14"/>
      <c r="M82" s="14">
        <v>2E-3</v>
      </c>
      <c r="N82" s="80">
        <v>4.1000000000000002E-2</v>
      </c>
      <c r="O82" s="14"/>
      <c r="P82" s="14"/>
      <c r="R82" s="197">
        <f>'Parameters, country spec'!H23</f>
        <v>6.607302843520492E-2</v>
      </c>
    </row>
    <row r="83" spans="1:18" x14ac:dyDescent="0.3">
      <c r="A83" s="22" t="s">
        <v>296</v>
      </c>
      <c r="B83" s="17" t="s">
        <v>183</v>
      </c>
      <c r="C83" s="17" t="s">
        <v>297</v>
      </c>
      <c r="D83" s="23" t="s">
        <v>33</v>
      </c>
      <c r="E83" s="23" t="s">
        <v>81</v>
      </c>
      <c r="F83" s="120">
        <f t="shared" si="13"/>
        <v>0.127</v>
      </c>
      <c r="G83" s="80">
        <v>0</v>
      </c>
      <c r="H83" s="14">
        <v>2.7E-2</v>
      </c>
      <c r="I83" s="16">
        <v>0</v>
      </c>
      <c r="J83" s="14"/>
      <c r="K83" s="80">
        <v>5.8000000000000003E-2</v>
      </c>
      <c r="L83" s="16"/>
      <c r="M83" s="14">
        <v>1E-3</v>
      </c>
      <c r="N83" s="80">
        <v>4.1000000000000002E-2</v>
      </c>
      <c r="O83" s="14"/>
      <c r="P83" s="14"/>
      <c r="R83" s="197">
        <f>'Parameters, country spec'!H24</f>
        <v>2.8132125343424525E-3</v>
      </c>
    </row>
    <row r="84" spans="1:18" x14ac:dyDescent="0.3">
      <c r="A84" s="22" t="s">
        <v>298</v>
      </c>
      <c r="B84" s="17" t="s">
        <v>184</v>
      </c>
      <c r="C84" s="17" t="s">
        <v>297</v>
      </c>
      <c r="D84" s="23" t="s">
        <v>33</v>
      </c>
      <c r="E84" s="23" t="s">
        <v>81</v>
      </c>
      <c r="F84" s="120">
        <f t="shared" si="13"/>
        <v>0.159</v>
      </c>
      <c r="G84" s="80">
        <v>4.0000000000000001E-3</v>
      </c>
      <c r="H84" s="14">
        <v>2.7E-2</v>
      </c>
      <c r="I84" s="16">
        <v>0</v>
      </c>
      <c r="J84" s="14"/>
      <c r="K84" s="80">
        <v>8.6999999999999994E-2</v>
      </c>
      <c r="L84" s="14"/>
      <c r="M84" s="14">
        <v>0</v>
      </c>
      <c r="N84" s="80">
        <v>4.1000000000000002E-2</v>
      </c>
      <c r="O84" s="14"/>
      <c r="P84" s="14"/>
      <c r="R84" s="197">
        <f>'Parameters, country spec'!H25</f>
        <v>2.763501773404974E-3</v>
      </c>
    </row>
    <row r="85" spans="1:18" x14ac:dyDescent="0.3">
      <c r="B85" s="18" t="s">
        <v>185</v>
      </c>
      <c r="C85" s="17" t="s">
        <v>299</v>
      </c>
      <c r="D85" s="23" t="str">
        <f>'Off-farm feed'!$D$74</f>
        <v>France, Germany, Poland</v>
      </c>
      <c r="E85" s="23"/>
      <c r="F85" s="120">
        <f>SUM(G85:Q85)</f>
        <v>0.27085685084992916</v>
      </c>
      <c r="G85" s="220">
        <f>'Off-farm feed'!$F$74</f>
        <v>0.11176753125767681</v>
      </c>
      <c r="H85" s="220">
        <f>'Off-farm feed'!$G$74</f>
        <v>1.3034482758620692E-2</v>
      </c>
      <c r="I85" s="220">
        <f>'Off-farm feed'!$H$74</f>
        <v>0</v>
      </c>
      <c r="J85" s="220">
        <f>'Off-farm feed'!$I$74</f>
        <v>0</v>
      </c>
      <c r="K85" s="220">
        <f>'Off-farm feed'!$J$74</f>
        <v>2.4688740026345454E-2</v>
      </c>
      <c r="L85" s="220">
        <f>'Off-farm feed'!$K$74</f>
        <v>0</v>
      </c>
      <c r="M85" s="220">
        <f>'Off-farm feed'!$L$74</f>
        <v>1.931759303794134E-4</v>
      </c>
      <c r="N85" s="220">
        <f>'Off-farm feed'!$M$74</f>
        <v>3.6802128767029069E-2</v>
      </c>
      <c r="O85" s="220">
        <f>'Off-farm feed'!$N$74</f>
        <v>0</v>
      </c>
      <c r="P85" s="220">
        <f>'Off-farm feed'!$O$74</f>
        <v>2.1170792109877701E-2</v>
      </c>
      <c r="Q85" s="220">
        <f>'Off-farm feed'!$P$74</f>
        <v>6.3200000000000006E-2</v>
      </c>
      <c r="R85" s="197">
        <f>'Parameters, country spec'!H26</f>
        <v>4.7386628229038642E-3</v>
      </c>
    </row>
    <row r="86" spans="1:18" x14ac:dyDescent="0.3">
      <c r="B86" s="18" t="s">
        <v>300</v>
      </c>
      <c r="C86" s="17" t="s">
        <v>299</v>
      </c>
      <c r="D86" s="23" t="str">
        <f>'Off-farm feed'!$D$23</f>
        <v>Brazil, Argentina</v>
      </c>
      <c r="E86" s="23"/>
      <c r="F86" s="120">
        <f>SUM(G86:Q86)</f>
        <v>0.7061171705997602</v>
      </c>
      <c r="G86" s="220">
        <f>'Off-farm feed'!$F$23</f>
        <v>7.2632670993098931E-3</v>
      </c>
      <c r="H86" s="220">
        <f>'Off-farm feed'!$G$23</f>
        <v>2.1402439024390246E-2</v>
      </c>
      <c r="I86" s="220">
        <f>'Off-farm feed'!$H$23</f>
        <v>0</v>
      </c>
      <c r="J86" s="220">
        <f>'Off-farm feed'!$I$23</f>
        <v>0</v>
      </c>
      <c r="K86" s="220">
        <f>'Off-farm feed'!$J$23</f>
        <v>4.308361966433235E-2</v>
      </c>
      <c r="L86" s="220">
        <f>'Off-farm feed'!$K$23</f>
        <v>0</v>
      </c>
      <c r="M86" s="220">
        <f>'Off-farm feed'!$L$23</f>
        <v>1.7842060425123844E-4</v>
      </c>
      <c r="N86" s="220">
        <f>'Off-farm feed'!$M$23</f>
        <v>3.0432604948959403E-2</v>
      </c>
      <c r="O86" s="220">
        <f>'Off-farm feed'!$N$23</f>
        <v>0.31761120248475611</v>
      </c>
      <c r="P86" s="220">
        <f>'Off-farm feed'!$O$23</f>
        <v>3.5145616773760872E-2</v>
      </c>
      <c r="Q86" s="220">
        <f>'Off-farm feed'!$P$23</f>
        <v>0.251</v>
      </c>
      <c r="R86" s="197">
        <f>'Parameters, country spec'!H27</f>
        <v>0.11699211590575154</v>
      </c>
    </row>
    <row r="87" spans="1:18" x14ac:dyDescent="0.3">
      <c r="B87" s="17" t="s">
        <v>187</v>
      </c>
      <c r="C87" s="17" t="s">
        <v>301</v>
      </c>
      <c r="D87" s="23" t="s">
        <v>33</v>
      </c>
      <c r="E87" s="23" t="s">
        <v>81</v>
      </c>
      <c r="F87" s="120"/>
      <c r="G87" s="108"/>
      <c r="H87" s="8"/>
      <c r="I87" s="107"/>
      <c r="J87" s="8"/>
      <c r="K87" s="108"/>
      <c r="L87" s="8"/>
      <c r="M87" s="8"/>
      <c r="N87" s="108"/>
      <c r="O87" s="8"/>
      <c r="P87" s="8"/>
      <c r="Q87" s="8"/>
      <c r="R87" s="197">
        <f>'Parameters, country spec'!H28</f>
        <v>0.12350411469968688</v>
      </c>
    </row>
    <row r="88" spans="1:18" x14ac:dyDescent="0.3">
      <c r="A88" s="83"/>
      <c r="B88" s="17" t="s">
        <v>302</v>
      </c>
      <c r="C88" s="84" t="s">
        <v>303</v>
      </c>
      <c r="D88" s="23" t="s">
        <v>33</v>
      </c>
      <c r="E88" s="23" t="s">
        <v>81</v>
      </c>
      <c r="F88" s="120">
        <f t="shared" si="13"/>
        <v>0.17320515667569941</v>
      </c>
      <c r="G88" s="81">
        <f t="shared" ref="G88:N88" si="14">AVERAGE(G78:G86)</f>
        <v>5.5781199817442971E-2</v>
      </c>
      <c r="H88" s="81">
        <f t="shared" si="14"/>
        <v>2.4826324642556769E-2</v>
      </c>
      <c r="I88" s="81">
        <f t="shared" si="14"/>
        <v>0</v>
      </c>
      <c r="J88" s="81"/>
      <c r="K88" s="81">
        <f t="shared" si="14"/>
        <v>5.1085817743408646E-2</v>
      </c>
      <c r="L88" s="81"/>
      <c r="M88" s="81">
        <f t="shared" si="14"/>
        <v>2.1523996149589615E-3</v>
      </c>
      <c r="N88" s="81">
        <f t="shared" si="14"/>
        <v>3.9359414857332048E-2</v>
      </c>
      <c r="O88" s="81"/>
      <c r="P88" s="81"/>
      <c r="Q88" s="81"/>
      <c r="R88" s="197">
        <f>'Parameters, country spec'!H29</f>
        <v>0.14159815279921578</v>
      </c>
    </row>
    <row r="89" spans="1:18" x14ac:dyDescent="0.3">
      <c r="A89" s="195"/>
      <c r="B89" s="25" t="s">
        <v>304</v>
      </c>
      <c r="C89" s="26"/>
      <c r="D89" s="103"/>
      <c r="E89" s="103"/>
      <c r="F89" s="27">
        <f>SUMPRODUCT(F78:F88,$R$78:$R$88)</f>
        <v>0.21789014467005341</v>
      </c>
      <c r="G89" s="27">
        <f>SUMPRODUCT(G78:G88,$R$78:$R$88)</f>
        <v>5.7019206371202974E-2</v>
      </c>
      <c r="H89" s="27">
        <f>SUMPRODUCT(H78:H88,$R$78:$R$88)</f>
        <v>2.2636552107906924E-2</v>
      </c>
      <c r="I89" s="27">
        <f>SUMPRODUCT(I78:I88,$R$78:$R$88)</f>
        <v>0</v>
      </c>
      <c r="J89" s="27"/>
      <c r="K89" s="27">
        <f>SUMPRODUCT(K78:K88,$R$78:$R$88)</f>
        <v>2.8525575054439957E-2</v>
      </c>
      <c r="L89" s="27"/>
      <c r="M89" s="27">
        <f>SUMPRODUCT(M78:M88,$R$78:$R$88)</f>
        <v>4.2263853543922222E-3</v>
      </c>
      <c r="N89" s="27">
        <f>SUMPRODUCT(N78:N88,$R$78:$R$88)</f>
        <v>3.4447833268620991E-2</v>
      </c>
      <c r="O89" s="27">
        <f>SUMPRODUCT(O78:O88,$R$78:$R$88)</f>
        <v>3.7158006614061705E-2</v>
      </c>
      <c r="P89" s="209">
        <f>SUMPRODUCT(P78:P88,R78:R88)</f>
        <v>4.2120813166774615E-3</v>
      </c>
      <c r="Q89" s="27">
        <f>SUMPRODUCT(Q78:Q88,$R$78:$R$88)</f>
        <v>2.9664504582751158E-2</v>
      </c>
      <c r="R89" s="198"/>
    </row>
    <row r="90" spans="1:18" x14ac:dyDescent="0.3">
      <c r="A90" s="22" t="s">
        <v>290</v>
      </c>
      <c r="B90" s="17" t="s">
        <v>173</v>
      </c>
      <c r="C90" s="17" t="s">
        <v>291</v>
      </c>
      <c r="D90" s="23" t="s">
        <v>30</v>
      </c>
      <c r="E90" s="23" t="s">
        <v>82</v>
      </c>
      <c r="F90" s="120">
        <f>SUM(G90:Q90)</f>
        <v>0.17699999999999999</v>
      </c>
      <c r="G90" s="80">
        <v>7.9000000000000001E-2</v>
      </c>
      <c r="H90" s="14">
        <v>2.7E-2</v>
      </c>
      <c r="I90" s="16">
        <v>0</v>
      </c>
      <c r="J90" s="14"/>
      <c r="K90" s="80">
        <v>2.7E-2</v>
      </c>
      <c r="L90" s="14"/>
      <c r="M90" s="14">
        <v>1E-3</v>
      </c>
      <c r="N90" s="80">
        <v>4.2999999999999997E-2</v>
      </c>
      <c r="O90" s="14"/>
      <c r="P90" s="14"/>
      <c r="R90" s="197">
        <f>'Parameters, country spec'!I19</f>
        <v>6.5976692624369268E-2</v>
      </c>
    </row>
    <row r="91" spans="1:18" x14ac:dyDescent="0.3">
      <c r="A91" s="22" t="s">
        <v>292</v>
      </c>
      <c r="B91" s="17" t="s">
        <v>176</v>
      </c>
      <c r="C91" s="17" t="s">
        <v>291</v>
      </c>
      <c r="D91" s="23" t="s">
        <v>30</v>
      </c>
      <c r="E91" s="23" t="s">
        <v>82</v>
      </c>
      <c r="F91" s="120">
        <f t="shared" ref="F91:F100" si="15">SUM(G91:Q91)</f>
        <v>0.17199999999999999</v>
      </c>
      <c r="G91" s="80">
        <v>7.6999999999999999E-2</v>
      </c>
      <c r="H91" s="14">
        <v>2.7E-2</v>
      </c>
      <c r="I91" s="16">
        <v>0</v>
      </c>
      <c r="J91" s="14"/>
      <c r="K91" s="80">
        <v>0.02</v>
      </c>
      <c r="L91" s="14"/>
      <c r="M91" s="14">
        <v>5.0000000000000001E-3</v>
      </c>
      <c r="N91" s="80">
        <v>4.2999999999999997E-2</v>
      </c>
      <c r="O91" s="14"/>
      <c r="P91" s="14"/>
      <c r="R91" s="197">
        <f>'Parameters, country spec'!I20</f>
        <v>0.19814107333385653</v>
      </c>
    </row>
    <row r="92" spans="1:18" x14ac:dyDescent="0.3">
      <c r="A92" s="22" t="s">
        <v>293</v>
      </c>
      <c r="B92" s="17" t="s">
        <v>180</v>
      </c>
      <c r="C92" s="17" t="s">
        <v>291</v>
      </c>
      <c r="D92" s="23" t="s">
        <v>30</v>
      </c>
      <c r="E92" s="23" t="s">
        <v>82</v>
      </c>
      <c r="F92" s="120">
        <f t="shared" si="15"/>
        <v>0.17899999999999999</v>
      </c>
      <c r="G92" s="80">
        <v>7.0000000000000007E-2</v>
      </c>
      <c r="H92" s="14">
        <v>2.7E-2</v>
      </c>
      <c r="I92" s="16">
        <v>0</v>
      </c>
      <c r="J92" s="14"/>
      <c r="K92" s="80">
        <v>3.5999999999999997E-2</v>
      </c>
      <c r="L92" s="14"/>
      <c r="M92" s="14">
        <v>3.0000000000000001E-3</v>
      </c>
      <c r="N92" s="80">
        <v>4.2999999999999997E-2</v>
      </c>
      <c r="O92" s="14"/>
      <c r="P92" s="14"/>
      <c r="R92" s="197">
        <f>'Parameters, country spec'!I21</f>
        <v>2.1671841623166059E-3</v>
      </c>
    </row>
    <row r="93" spans="1:18" x14ac:dyDescent="0.3">
      <c r="A93" s="22" t="s">
        <v>294</v>
      </c>
      <c r="B93" s="17" t="s">
        <v>181</v>
      </c>
      <c r="C93" s="17" t="s">
        <v>291</v>
      </c>
      <c r="D93" s="23" t="s">
        <v>30</v>
      </c>
      <c r="E93" s="23" t="s">
        <v>82</v>
      </c>
      <c r="F93" s="120">
        <f t="shared" si="15"/>
        <v>0.184</v>
      </c>
      <c r="G93" s="80">
        <v>6.2E-2</v>
      </c>
      <c r="H93" s="14">
        <v>2.7E-2</v>
      </c>
      <c r="I93" s="14">
        <v>0</v>
      </c>
      <c r="J93" s="14"/>
      <c r="K93" s="80">
        <v>5.1999999999999998E-2</v>
      </c>
      <c r="L93" s="14"/>
      <c r="M93" s="14">
        <v>0</v>
      </c>
      <c r="N93" s="80">
        <v>4.2999999999999997E-2</v>
      </c>
      <c r="O93" s="14"/>
      <c r="P93" s="14"/>
      <c r="R93" s="197">
        <f>'Parameters, country spec'!I22</f>
        <v>8.1550834411767848E-3</v>
      </c>
    </row>
    <row r="94" spans="1:18" x14ac:dyDescent="0.3">
      <c r="A94" s="22" t="s">
        <v>295</v>
      </c>
      <c r="B94" s="17" t="s">
        <v>182</v>
      </c>
      <c r="C94" s="17" t="s">
        <v>291</v>
      </c>
      <c r="D94" s="23" t="s">
        <v>30</v>
      </c>
      <c r="E94" s="23" t="s">
        <v>82</v>
      </c>
      <c r="F94" s="120">
        <f t="shared" si="15"/>
        <v>0.184</v>
      </c>
      <c r="G94" s="80">
        <v>9.0999999999999998E-2</v>
      </c>
      <c r="H94" s="14">
        <v>2.7E-2</v>
      </c>
      <c r="I94" s="14">
        <v>0</v>
      </c>
      <c r="J94" s="14"/>
      <c r="K94" s="80">
        <v>2.1999999999999999E-2</v>
      </c>
      <c r="L94" s="14"/>
      <c r="M94" s="14">
        <v>1E-3</v>
      </c>
      <c r="N94" s="80">
        <v>4.2999999999999997E-2</v>
      </c>
      <c r="O94" s="14"/>
      <c r="P94" s="14"/>
      <c r="R94" s="197">
        <f>'Parameters, country spec'!I23</f>
        <v>0.22324493125110034</v>
      </c>
    </row>
    <row r="95" spans="1:18" x14ac:dyDescent="0.3">
      <c r="A95" s="22" t="s">
        <v>296</v>
      </c>
      <c r="B95" s="17" t="s">
        <v>183</v>
      </c>
      <c r="C95" s="17" t="s">
        <v>297</v>
      </c>
      <c r="D95" s="23" t="s">
        <v>30</v>
      </c>
      <c r="E95" s="23" t="s">
        <v>82</v>
      </c>
      <c r="F95" s="120">
        <f t="shared" si="15"/>
        <v>0.105</v>
      </c>
      <c r="G95" s="80">
        <v>0</v>
      </c>
      <c r="H95" s="14">
        <v>2.7E-2</v>
      </c>
      <c r="I95" s="16">
        <v>0</v>
      </c>
      <c r="J95" s="14"/>
      <c r="K95" s="80">
        <v>3.4000000000000002E-2</v>
      </c>
      <c r="L95" s="16"/>
      <c r="M95" s="14">
        <v>1E-3</v>
      </c>
      <c r="N95" s="80">
        <v>4.2999999999999997E-2</v>
      </c>
      <c r="O95" s="14"/>
      <c r="P95" s="14"/>
      <c r="R95" s="197">
        <f>'Parameters, country spec'!I24</f>
        <v>0</v>
      </c>
    </row>
    <row r="96" spans="1:18" x14ac:dyDescent="0.3">
      <c r="A96" s="22" t="s">
        <v>298</v>
      </c>
      <c r="B96" s="17" t="s">
        <v>184</v>
      </c>
      <c r="C96" s="17" t="s">
        <v>297</v>
      </c>
      <c r="D96" s="23" t="s">
        <v>30</v>
      </c>
      <c r="E96" s="23" t="s">
        <v>82</v>
      </c>
      <c r="F96" s="120">
        <f t="shared" si="15"/>
        <v>0.109</v>
      </c>
      <c r="G96" s="80">
        <v>4.0000000000000001E-3</v>
      </c>
      <c r="H96" s="14">
        <v>2.7E-2</v>
      </c>
      <c r="I96" s="16">
        <v>0</v>
      </c>
      <c r="J96" s="14"/>
      <c r="K96" s="80">
        <v>3.4000000000000002E-2</v>
      </c>
      <c r="L96" s="14"/>
      <c r="M96" s="14">
        <v>1E-3</v>
      </c>
      <c r="N96" s="80">
        <v>4.2999999999999997E-2</v>
      </c>
      <c r="O96" s="14"/>
      <c r="P96" s="14"/>
      <c r="R96" s="197">
        <f>'Parameters, country spec'!I25</f>
        <v>0</v>
      </c>
    </row>
    <row r="97" spans="1:18" x14ac:dyDescent="0.3">
      <c r="B97" s="18" t="s">
        <v>185</v>
      </c>
      <c r="C97" s="17" t="s">
        <v>299</v>
      </c>
      <c r="D97" s="23" t="str">
        <f>'Off-farm feed'!$D$74</f>
        <v>France, Germany, Poland</v>
      </c>
      <c r="E97" s="23"/>
      <c r="F97" s="120">
        <f>SUM(G97:Q97)</f>
        <v>0.27085685084992916</v>
      </c>
      <c r="G97" s="220">
        <f>'Off-farm feed'!$F$74</f>
        <v>0.11176753125767681</v>
      </c>
      <c r="H97" s="220">
        <f>'Off-farm feed'!$G$74</f>
        <v>1.3034482758620692E-2</v>
      </c>
      <c r="I97" s="220">
        <f>'Off-farm feed'!$H$74</f>
        <v>0</v>
      </c>
      <c r="J97" s="220">
        <f>'Off-farm feed'!$I$74</f>
        <v>0</v>
      </c>
      <c r="K97" s="220">
        <f>'Off-farm feed'!$J$74</f>
        <v>2.4688740026345454E-2</v>
      </c>
      <c r="L97" s="220">
        <f>'Off-farm feed'!$K$74</f>
        <v>0</v>
      </c>
      <c r="M97" s="220">
        <f>'Off-farm feed'!$L$74</f>
        <v>1.931759303794134E-4</v>
      </c>
      <c r="N97" s="220">
        <f>'Off-farm feed'!$M$74</f>
        <v>3.6802128767029069E-2</v>
      </c>
      <c r="O97" s="220">
        <f>'Off-farm feed'!$N$74</f>
        <v>0</v>
      </c>
      <c r="P97" s="220">
        <f>'Off-farm feed'!$O$74</f>
        <v>2.1170792109877701E-2</v>
      </c>
      <c r="Q97" s="220">
        <f>'Off-farm feed'!$P$74</f>
        <v>6.3200000000000006E-2</v>
      </c>
      <c r="R97" s="197">
        <f>'Parameters, country spec'!I26</f>
        <v>0.12320054874364431</v>
      </c>
    </row>
    <row r="98" spans="1:18" x14ac:dyDescent="0.3">
      <c r="B98" s="18" t="s">
        <v>300</v>
      </c>
      <c r="C98" s="17" t="s">
        <v>299</v>
      </c>
      <c r="D98" s="23" t="str">
        <f>'Off-farm feed'!$D$23</f>
        <v>Brazil, Argentina</v>
      </c>
      <c r="E98" s="23"/>
      <c r="F98" s="120">
        <f>SUM(G98:Q98)</f>
        <v>0.7061171705997602</v>
      </c>
      <c r="G98" s="220">
        <f>'Off-farm feed'!$F$23</f>
        <v>7.2632670993098931E-3</v>
      </c>
      <c r="H98" s="220">
        <f>'Off-farm feed'!$G$23</f>
        <v>2.1402439024390246E-2</v>
      </c>
      <c r="I98" s="220">
        <f>'Off-farm feed'!$H$23</f>
        <v>0</v>
      </c>
      <c r="J98" s="220">
        <f>'Off-farm feed'!$I$23</f>
        <v>0</v>
      </c>
      <c r="K98" s="220">
        <f>'Off-farm feed'!$J$23</f>
        <v>4.308361966433235E-2</v>
      </c>
      <c r="L98" s="220">
        <f>'Off-farm feed'!$K$23</f>
        <v>0</v>
      </c>
      <c r="M98" s="220">
        <f>'Off-farm feed'!$L$23</f>
        <v>1.7842060425123844E-4</v>
      </c>
      <c r="N98" s="220">
        <f>'Off-farm feed'!$M$23</f>
        <v>3.0432604948959403E-2</v>
      </c>
      <c r="O98" s="220">
        <f>'Off-farm feed'!$N$23</f>
        <v>0.31761120248475611</v>
      </c>
      <c r="P98" s="220">
        <f>'Off-farm feed'!$O$23</f>
        <v>3.5145616773760872E-2</v>
      </c>
      <c r="Q98" s="220">
        <f>'Off-farm feed'!$P$23</f>
        <v>0.251</v>
      </c>
      <c r="R98" s="197">
        <f>'Parameters, country spec'!I27</f>
        <v>0.15910748774892908</v>
      </c>
    </row>
    <row r="99" spans="1:18" x14ac:dyDescent="0.3">
      <c r="B99" s="17" t="s">
        <v>187</v>
      </c>
      <c r="C99" s="17" t="s">
        <v>301</v>
      </c>
      <c r="D99" s="23" t="s">
        <v>30</v>
      </c>
      <c r="E99" s="23" t="s">
        <v>82</v>
      </c>
      <c r="F99" s="120"/>
      <c r="G99" s="108"/>
      <c r="H99" s="8"/>
      <c r="I99" s="107"/>
      <c r="J99" s="8"/>
      <c r="K99" s="108"/>
      <c r="L99" s="8"/>
      <c r="M99" s="8"/>
      <c r="N99" s="108"/>
      <c r="O99" s="8"/>
      <c r="P99" s="8"/>
      <c r="Q99" s="8"/>
      <c r="R99" s="197">
        <f>'Parameters, country spec'!I28</f>
        <v>1.7335418632101657E-2</v>
      </c>
    </row>
    <row r="100" spans="1:18" x14ac:dyDescent="0.3">
      <c r="A100" s="83"/>
      <c r="B100" s="17" t="s">
        <v>302</v>
      </c>
      <c r="C100" s="84" t="s">
        <v>303</v>
      </c>
      <c r="D100" s="23" t="s">
        <v>30</v>
      </c>
      <c r="E100" s="23" t="s">
        <v>82</v>
      </c>
      <c r="F100" s="120">
        <f t="shared" si="15"/>
        <v>0.1554273788979216</v>
      </c>
      <c r="G100" s="81">
        <f t="shared" ref="G100:N100" si="16">AVERAGE(G90:G98)</f>
        <v>5.5781199817442971E-2</v>
      </c>
      <c r="H100" s="81">
        <f t="shared" si="16"/>
        <v>2.4826324642556769E-2</v>
      </c>
      <c r="I100" s="81">
        <f t="shared" si="16"/>
        <v>0</v>
      </c>
      <c r="J100" s="81"/>
      <c r="K100" s="81">
        <f t="shared" si="16"/>
        <v>3.2530262187853085E-2</v>
      </c>
      <c r="L100" s="81"/>
      <c r="M100" s="81">
        <f t="shared" si="16"/>
        <v>1.3746218371811839E-3</v>
      </c>
      <c r="N100" s="81">
        <f t="shared" si="16"/>
        <v>4.0914970412887594E-2</v>
      </c>
      <c r="O100" s="81"/>
      <c r="P100" s="81"/>
      <c r="Q100" s="81"/>
      <c r="R100" s="197">
        <f>'Parameters, country spec'!I29</f>
        <v>0.20267158006250544</v>
      </c>
    </row>
    <row r="101" spans="1:18" x14ac:dyDescent="0.3">
      <c r="A101" s="195"/>
      <c r="B101" s="25" t="s">
        <v>304</v>
      </c>
      <c r="C101" s="26"/>
      <c r="D101" s="103"/>
      <c r="E101" s="103"/>
      <c r="F101" s="27">
        <f>SUMPRODUCT(F90:F100,$R$90:$R$100)</f>
        <v>0.26594262206878233</v>
      </c>
      <c r="G101" s="27">
        <f>SUMPRODUCT(G90:G100,$R$90:$R$100)</f>
        <v>6.7672353441069727E-2</v>
      </c>
      <c r="H101" s="27">
        <f>SUMPRODUCT(H90:H100,$R$90:$R$100)</f>
        <v>2.3480228225719834E-2</v>
      </c>
      <c r="I101" s="27">
        <f>SUMPRODUCT(I90:I100,$R$90:$R$100)</f>
        <v>0</v>
      </c>
      <c r="J101" s="27"/>
      <c r="K101" s="27">
        <f>SUMPRODUCT(K90:K100,$R$90:$R$100)</f>
        <v>2.7647216068260871E-2</v>
      </c>
      <c r="L101" s="27"/>
      <c r="M101" s="27">
        <f t="shared" ref="M101" si="17">SUMPRODUCT(M90:M100,$R$90:$R$100)</f>
        <v>1.6172127574935048E-3</v>
      </c>
      <c r="N101" s="27">
        <f>SUMPRODUCT(N90:N100,$R$90:$R$100)</f>
        <v>3.9068852966858622E-2</v>
      </c>
      <c r="O101" s="27">
        <f>SUMPRODUCT(O90:O100,$R$90:$R$100)</f>
        <v>5.0534320508265965E-2</v>
      </c>
      <c r="P101" s="209">
        <f>SUMPRODUCT(P90:P100,R90:R100)</f>
        <v>8.2001839955342624E-3</v>
      </c>
      <c r="Q101" s="27">
        <f>SUMPRODUCT(Q90:Q100,$R$90:$R$100)</f>
        <v>4.7722254105579523E-2</v>
      </c>
      <c r="R101" s="198"/>
    </row>
    <row r="102" spans="1:18" x14ac:dyDescent="0.3">
      <c r="A102" s="22" t="s">
        <v>290</v>
      </c>
      <c r="B102" s="17" t="s">
        <v>173</v>
      </c>
      <c r="C102" s="17" t="s">
        <v>291</v>
      </c>
      <c r="D102" s="23" t="s">
        <v>28</v>
      </c>
      <c r="E102" s="23" t="s">
        <v>83</v>
      </c>
      <c r="F102" s="120">
        <f>SUM(G102:Q102)</f>
        <v>0.20799999999999999</v>
      </c>
      <c r="G102" s="80">
        <v>7.9000000000000001E-2</v>
      </c>
      <c r="H102" s="14">
        <v>2.7E-2</v>
      </c>
      <c r="I102" s="16">
        <v>0</v>
      </c>
      <c r="J102" s="14"/>
      <c r="K102" s="80">
        <v>4.9000000000000002E-2</v>
      </c>
      <c r="L102" s="14"/>
      <c r="M102" s="14">
        <v>0</v>
      </c>
      <c r="N102" s="80">
        <v>5.2999999999999999E-2</v>
      </c>
      <c r="O102" s="14"/>
      <c r="P102" s="14"/>
      <c r="R102" s="197">
        <f>'Parameters, country spec'!J19</f>
        <v>0.16996898787594733</v>
      </c>
    </row>
    <row r="103" spans="1:18" x14ac:dyDescent="0.3">
      <c r="A103" s="22" t="s">
        <v>292</v>
      </c>
      <c r="B103" s="17" t="s">
        <v>176</v>
      </c>
      <c r="C103" s="17" t="s">
        <v>291</v>
      </c>
      <c r="D103" s="23" t="s">
        <v>28</v>
      </c>
      <c r="E103" s="23" t="s">
        <v>83</v>
      </c>
      <c r="F103" s="120">
        <f t="shared" ref="F103:F112" si="18">SUM(G103:Q103)</f>
        <v>0.186</v>
      </c>
      <c r="G103" s="80">
        <v>7.6999999999999999E-2</v>
      </c>
      <c r="H103" s="14">
        <v>2.7E-2</v>
      </c>
      <c r="I103" s="16">
        <v>0</v>
      </c>
      <c r="J103" s="14"/>
      <c r="K103" s="80">
        <v>2.8000000000000001E-2</v>
      </c>
      <c r="L103" s="14"/>
      <c r="M103" s="14">
        <v>1E-3</v>
      </c>
      <c r="N103" s="80">
        <v>5.2999999999999999E-2</v>
      </c>
      <c r="O103" s="14"/>
      <c r="P103" s="14"/>
      <c r="R103" s="197">
        <f>'Parameters, country spec'!J20</f>
        <v>0.23283885034476093</v>
      </c>
    </row>
    <row r="104" spans="1:18" x14ac:dyDescent="0.3">
      <c r="A104" s="22" t="s">
        <v>293</v>
      </c>
      <c r="B104" s="17" t="s">
        <v>180</v>
      </c>
      <c r="C104" s="17" t="s">
        <v>291</v>
      </c>
      <c r="D104" s="23" t="s">
        <v>28</v>
      </c>
      <c r="E104" s="23" t="s">
        <v>83</v>
      </c>
      <c r="F104" s="120">
        <f t="shared" si="18"/>
        <v>0.215</v>
      </c>
      <c r="G104" s="80">
        <v>7.0000000000000007E-2</v>
      </c>
      <c r="H104" s="14">
        <v>2.7E-2</v>
      </c>
      <c r="I104" s="16">
        <v>0</v>
      </c>
      <c r="J104" s="14"/>
      <c r="K104" s="80">
        <v>6.5000000000000002E-2</v>
      </c>
      <c r="L104" s="14"/>
      <c r="M104" s="14">
        <v>0</v>
      </c>
      <c r="N104" s="80">
        <v>5.2999999999999999E-2</v>
      </c>
      <c r="O104" s="14"/>
      <c r="P104" s="14"/>
      <c r="R104" s="197">
        <f>'Parameters, country spec'!J21</f>
        <v>5.0904696791723991E-3</v>
      </c>
    </row>
    <row r="105" spans="1:18" x14ac:dyDescent="0.3">
      <c r="A105" s="22" t="s">
        <v>294</v>
      </c>
      <c r="B105" s="17" t="s">
        <v>181</v>
      </c>
      <c r="C105" s="17" t="s">
        <v>291</v>
      </c>
      <c r="D105" s="23" t="s">
        <v>28</v>
      </c>
      <c r="E105" s="23" t="s">
        <v>83</v>
      </c>
      <c r="F105" s="120">
        <f t="shared" si="18"/>
        <v>0.20399999999999999</v>
      </c>
      <c r="G105" s="80">
        <v>6.2E-2</v>
      </c>
      <c r="H105" s="14">
        <v>2.7E-2</v>
      </c>
      <c r="I105" s="14">
        <v>0</v>
      </c>
      <c r="J105" s="14"/>
      <c r="K105" s="80">
        <v>6.2E-2</v>
      </c>
      <c r="L105" s="14"/>
      <c r="M105" s="14">
        <v>0</v>
      </c>
      <c r="N105" s="80">
        <v>5.2999999999999999E-2</v>
      </c>
      <c r="O105" s="14"/>
      <c r="P105" s="14"/>
      <c r="R105" s="197">
        <f>'Parameters, country spec'!J22</f>
        <v>6.6462863913214348E-2</v>
      </c>
    </row>
    <row r="106" spans="1:18" x14ac:dyDescent="0.3">
      <c r="A106" s="22" t="s">
        <v>295</v>
      </c>
      <c r="B106" s="17" t="s">
        <v>182</v>
      </c>
      <c r="C106" s="17" t="s">
        <v>291</v>
      </c>
      <c r="D106" s="23" t="s">
        <v>28</v>
      </c>
      <c r="E106" s="23" t="s">
        <v>83</v>
      </c>
      <c r="F106" s="120">
        <f t="shared" si="18"/>
        <v>0.21199999999999999</v>
      </c>
      <c r="G106" s="80">
        <v>9.0999999999999998E-2</v>
      </c>
      <c r="H106" s="14">
        <v>2.7E-2</v>
      </c>
      <c r="I106" s="14">
        <v>0</v>
      </c>
      <c r="J106" s="14"/>
      <c r="K106" s="80">
        <v>4.1000000000000002E-2</v>
      </c>
      <c r="L106" s="14"/>
      <c r="M106" s="14">
        <v>0</v>
      </c>
      <c r="N106" s="80">
        <v>5.2999999999999999E-2</v>
      </c>
      <c r="O106" s="14"/>
      <c r="P106" s="14"/>
      <c r="R106" s="197">
        <f>'Parameters, country spec'!J23</f>
        <v>0.26723420141656068</v>
      </c>
    </row>
    <row r="107" spans="1:18" x14ac:dyDescent="0.3">
      <c r="A107" s="22" t="s">
        <v>296</v>
      </c>
      <c r="B107" s="17" t="s">
        <v>183</v>
      </c>
      <c r="C107" s="17" t="s">
        <v>297</v>
      </c>
      <c r="D107" s="23" t="s">
        <v>28</v>
      </c>
      <c r="E107" s="23" t="s">
        <v>83</v>
      </c>
      <c r="F107" s="120">
        <f t="shared" si="18"/>
        <v>0.16200000000000001</v>
      </c>
      <c r="G107" s="80">
        <v>0</v>
      </c>
      <c r="H107" s="14">
        <v>2.7E-2</v>
      </c>
      <c r="I107" s="16">
        <v>0</v>
      </c>
      <c r="J107" s="14"/>
      <c r="K107" s="80">
        <v>8.2000000000000003E-2</v>
      </c>
      <c r="L107" s="16"/>
      <c r="M107" s="14">
        <v>0</v>
      </c>
      <c r="N107" s="80">
        <v>5.2999999999999999E-2</v>
      </c>
      <c r="O107" s="14"/>
      <c r="P107" s="14"/>
      <c r="R107" s="197">
        <f>'Parameters, country spec'!J24</f>
        <v>4.1789296546899217E-3</v>
      </c>
    </row>
    <row r="108" spans="1:18" x14ac:dyDescent="0.3">
      <c r="A108" s="22" t="s">
        <v>298</v>
      </c>
      <c r="B108" s="17" t="s">
        <v>184</v>
      </c>
      <c r="C108" s="17" t="s">
        <v>297</v>
      </c>
      <c r="D108" s="23" t="s">
        <v>28</v>
      </c>
      <c r="E108" s="23" t="s">
        <v>83</v>
      </c>
      <c r="F108" s="120">
        <f t="shared" si="18"/>
        <v>0.15</v>
      </c>
      <c r="G108" s="80">
        <v>4.0000000000000001E-3</v>
      </c>
      <c r="H108" s="14">
        <v>2.7E-2</v>
      </c>
      <c r="I108" s="16">
        <v>0</v>
      </c>
      <c r="J108" s="14"/>
      <c r="K108" s="80">
        <v>6.6000000000000003E-2</v>
      </c>
      <c r="L108" s="14"/>
      <c r="M108" s="14">
        <v>0</v>
      </c>
      <c r="N108" s="80">
        <v>5.2999999999999999E-2</v>
      </c>
      <c r="O108" s="14"/>
      <c r="P108" s="14"/>
      <c r="R108" s="197">
        <f>'Parameters, country spec'!J25</f>
        <v>4.1050860427910675E-3</v>
      </c>
    </row>
    <row r="109" spans="1:18" x14ac:dyDescent="0.3">
      <c r="B109" s="18" t="s">
        <v>185</v>
      </c>
      <c r="C109" s="17" t="s">
        <v>299</v>
      </c>
      <c r="D109" s="23" t="str">
        <f>'Off-farm feed'!$D$74</f>
        <v>France, Germany, Poland</v>
      </c>
      <c r="E109" s="23"/>
      <c r="F109" s="120">
        <f>SUM(G109:Q109)</f>
        <v>0.27085685084992916</v>
      </c>
      <c r="G109" s="220">
        <f>'Off-farm feed'!$F$74</f>
        <v>0.11176753125767681</v>
      </c>
      <c r="H109" s="220">
        <f>'Off-farm feed'!$G$74</f>
        <v>1.3034482758620692E-2</v>
      </c>
      <c r="I109" s="220">
        <f>'Off-farm feed'!$H$74</f>
        <v>0</v>
      </c>
      <c r="J109" s="220">
        <f>'Off-farm feed'!$I$74</f>
        <v>0</v>
      </c>
      <c r="K109" s="220">
        <f>'Off-farm feed'!$J$74</f>
        <v>2.4688740026345454E-2</v>
      </c>
      <c r="L109" s="220">
        <f>'Off-farm feed'!$K$74</f>
        <v>0</v>
      </c>
      <c r="M109" s="220">
        <f>'Off-farm feed'!$L$74</f>
        <v>1.931759303794134E-4</v>
      </c>
      <c r="N109" s="220">
        <f>'Off-farm feed'!$M$74</f>
        <v>3.6802128767029069E-2</v>
      </c>
      <c r="O109" s="220">
        <f>'Off-farm feed'!$N$74</f>
        <v>0</v>
      </c>
      <c r="P109" s="220">
        <f>'Off-farm feed'!$O$74</f>
        <v>2.1170792109877701E-2</v>
      </c>
      <c r="Q109" s="220">
        <f>'Off-farm feed'!$P$74</f>
        <v>6.3200000000000006E-2</v>
      </c>
      <c r="R109" s="197">
        <f>'Parameters, country spec'!J26</f>
        <v>3.0119810543340508E-2</v>
      </c>
    </row>
    <row r="110" spans="1:18" x14ac:dyDescent="0.3">
      <c r="B110" s="18" t="s">
        <v>300</v>
      </c>
      <c r="C110" s="17" t="s">
        <v>299</v>
      </c>
      <c r="D110" s="23" t="str">
        <f>'Off-farm feed'!$D$23</f>
        <v>Brazil, Argentina</v>
      </c>
      <c r="E110" s="23"/>
      <c r="F110" s="120">
        <f>SUM(G110:Q110)</f>
        <v>0.7061171705997602</v>
      </c>
      <c r="G110" s="220">
        <f>'Off-farm feed'!$F$23</f>
        <v>7.2632670993098931E-3</v>
      </c>
      <c r="H110" s="220">
        <f>'Off-farm feed'!$G$23</f>
        <v>2.1402439024390246E-2</v>
      </c>
      <c r="I110" s="220">
        <f>'Off-farm feed'!$H$23</f>
        <v>0</v>
      </c>
      <c r="J110" s="220">
        <f>'Off-farm feed'!$I$23</f>
        <v>0</v>
      </c>
      <c r="K110" s="220">
        <f>'Off-farm feed'!$J$23</f>
        <v>4.308361966433235E-2</v>
      </c>
      <c r="L110" s="220">
        <f>'Off-farm feed'!$K$23</f>
        <v>0</v>
      </c>
      <c r="M110" s="220">
        <f>'Off-farm feed'!$L$23</f>
        <v>1.7842060425123844E-4</v>
      </c>
      <c r="N110" s="220">
        <f>'Off-farm feed'!$M$23</f>
        <v>3.0432604948959403E-2</v>
      </c>
      <c r="O110" s="220">
        <f>'Off-farm feed'!$N$23</f>
        <v>0.31761120248475611</v>
      </c>
      <c r="P110" s="220">
        <f>'Off-farm feed'!$O$23</f>
        <v>3.5145616773760872E-2</v>
      </c>
      <c r="Q110" s="220">
        <f>'Off-farm feed'!$P$23</f>
        <v>0.251</v>
      </c>
      <c r="R110" s="197">
        <f>'Parameters, country spec'!J27</f>
        <v>0.1050568603152183</v>
      </c>
    </row>
    <row r="111" spans="1:18" x14ac:dyDescent="0.3">
      <c r="B111" s="17" t="s">
        <v>187</v>
      </c>
      <c r="C111" s="17" t="s">
        <v>301</v>
      </c>
      <c r="D111" s="23" t="s">
        <v>28</v>
      </c>
      <c r="E111" s="23" t="s">
        <v>83</v>
      </c>
      <c r="F111" s="120"/>
      <c r="G111" s="108"/>
      <c r="H111" s="8"/>
      <c r="I111" s="107"/>
      <c r="J111" s="8"/>
      <c r="K111" s="108"/>
      <c r="L111" s="8"/>
      <c r="M111" s="8"/>
      <c r="N111" s="108"/>
      <c r="O111" s="8"/>
      <c r="P111" s="8"/>
      <c r="Q111" s="8"/>
      <c r="R111" s="197">
        <f>'Parameters, country spec'!J28</f>
        <v>5.1412336687770274E-2</v>
      </c>
    </row>
    <row r="112" spans="1:18" x14ac:dyDescent="0.3">
      <c r="A112" s="83"/>
      <c r="B112" s="17" t="s">
        <v>302</v>
      </c>
      <c r="C112" s="84" t="s">
        <v>303</v>
      </c>
      <c r="D112" s="23" t="s">
        <v>28</v>
      </c>
      <c r="E112" s="23" t="s">
        <v>83</v>
      </c>
      <c r="F112" s="120">
        <f t="shared" si="18"/>
        <v>0.18064960112014386</v>
      </c>
      <c r="G112" s="81">
        <f t="shared" ref="G112:N112" si="19">AVERAGE(G102:G110)</f>
        <v>5.5781199817442971E-2</v>
      </c>
      <c r="H112" s="81">
        <f t="shared" si="19"/>
        <v>2.4826324642556769E-2</v>
      </c>
      <c r="I112" s="81">
        <f t="shared" si="19"/>
        <v>0</v>
      </c>
      <c r="J112" s="81"/>
      <c r="K112" s="81">
        <f t="shared" si="19"/>
        <v>5.1196928854519756E-2</v>
      </c>
      <c r="L112" s="81"/>
      <c r="M112" s="81">
        <f t="shared" si="19"/>
        <v>1.5239961495896133E-4</v>
      </c>
      <c r="N112" s="81">
        <f t="shared" si="19"/>
        <v>4.869274819066538E-2</v>
      </c>
      <c r="O112" s="81"/>
      <c r="P112" s="81"/>
      <c r="Q112" s="81"/>
      <c r="R112" s="197">
        <f>'Parameters, country spec'!J29</f>
        <v>6.3531603526534211E-2</v>
      </c>
    </row>
    <row r="113" spans="1:18" x14ac:dyDescent="0.3">
      <c r="A113" s="195"/>
      <c r="B113" s="25" t="s">
        <v>304</v>
      </c>
      <c r="C113" s="26"/>
      <c r="D113" s="103"/>
      <c r="E113" s="103"/>
      <c r="F113" s="27">
        <f>SUMPRODUCT(F102:F112,$R$102:$R$112)</f>
        <v>0.24507841989786305</v>
      </c>
      <c r="G113" s="27">
        <f>SUMPRODUCT(G102:G112,$R$102:$R$112)</f>
        <v>6.7841246606484579E-2</v>
      </c>
      <c r="H113" s="27">
        <f>SUMPRODUCT(H102:H112,$R$102:$R$112)</f>
        <v>2.4465068913455068E-2</v>
      </c>
      <c r="I113" s="27">
        <f>SUMPRODUCT(I102:I112,$R$102:$R$112)</f>
        <v>0</v>
      </c>
      <c r="J113" s="27"/>
      <c r="K113" s="27">
        <f>SUMPRODUCT(K102:K112,$R$102:$R$112)</f>
        <v>3.9392229446786595E-2</v>
      </c>
      <c r="L113" s="27"/>
      <c r="M113" s="27">
        <f>SUMPRODUCT(M102:M112,$R$102:$R$112)</f>
        <v>2.6708377318267082E-4</v>
      </c>
      <c r="N113" s="27">
        <f>SUMPRODUCT(N102:N112,$R$102:$R$112)</f>
        <v>4.7142763059010544E-2</v>
      </c>
      <c r="O113" s="27">
        <f>SUMPRODUCT(O102:O112,$R$102:$R$112)</f>
        <v>3.3367235733989538E-2</v>
      </c>
      <c r="P113" s="209">
        <f>SUMPRODUCT(P102:P112,R102:R112)</f>
        <v>4.3299483994951541E-3</v>
      </c>
      <c r="Q113" s="27">
        <f>SUMPRODUCT(Q102:Q112,$R$102:$R$112)</f>
        <v>2.8272843965458913E-2</v>
      </c>
      <c r="R113" s="198"/>
    </row>
    <row r="114" spans="1:18" x14ac:dyDescent="0.3">
      <c r="A114" s="22" t="s">
        <v>290</v>
      </c>
      <c r="B114" s="17" t="s">
        <v>173</v>
      </c>
      <c r="C114" s="17" t="s">
        <v>291</v>
      </c>
      <c r="D114" s="23" t="s">
        <v>37</v>
      </c>
      <c r="E114" s="23" t="s">
        <v>84</v>
      </c>
      <c r="F114" s="120">
        <f>SUM(G114:Q114)</f>
        <v>0.20600000000000002</v>
      </c>
      <c r="G114" s="80">
        <v>7.9000000000000001E-2</v>
      </c>
      <c r="H114" s="14">
        <v>2.7E-2</v>
      </c>
      <c r="I114" s="16">
        <v>0</v>
      </c>
      <c r="J114" s="14"/>
      <c r="K114" s="80">
        <v>5.6000000000000001E-2</v>
      </c>
      <c r="L114" s="14"/>
      <c r="M114" s="14">
        <v>6.0000000000000001E-3</v>
      </c>
      <c r="N114" s="80">
        <v>3.7999999999999999E-2</v>
      </c>
      <c r="O114" s="14"/>
      <c r="P114" s="14"/>
      <c r="R114" s="197">
        <f>'Parameters, country spec'!K19</f>
        <v>0.21894700375858384</v>
      </c>
    </row>
    <row r="115" spans="1:18" x14ac:dyDescent="0.3">
      <c r="A115" s="22" t="s">
        <v>292</v>
      </c>
      <c r="B115" s="17" t="s">
        <v>176</v>
      </c>
      <c r="C115" s="17" t="s">
        <v>291</v>
      </c>
      <c r="D115" s="23" t="s">
        <v>37</v>
      </c>
      <c r="E115" s="23" t="s">
        <v>84</v>
      </c>
      <c r="F115" s="120">
        <f t="shared" ref="F115:F124" si="20">SUM(G115:Q115)</f>
        <v>0.17499999999999999</v>
      </c>
      <c r="G115" s="80">
        <v>7.6999999999999999E-2</v>
      </c>
      <c r="H115" s="14">
        <v>2.7E-2</v>
      </c>
      <c r="I115" s="16">
        <v>0</v>
      </c>
      <c r="J115" s="14"/>
      <c r="K115" s="80">
        <v>1.4999999999999999E-2</v>
      </c>
      <c r="L115" s="14"/>
      <c r="M115" s="14">
        <v>1.7999999999999999E-2</v>
      </c>
      <c r="N115" s="80">
        <v>3.7999999999999999E-2</v>
      </c>
      <c r="O115" s="14"/>
      <c r="P115" s="14"/>
      <c r="R115" s="197">
        <f>'Parameters, country spec'!K20</f>
        <v>0.28877148486086363</v>
      </c>
    </row>
    <row r="116" spans="1:18" x14ac:dyDescent="0.3">
      <c r="A116" s="22" t="s">
        <v>293</v>
      </c>
      <c r="B116" s="17" t="s">
        <v>180</v>
      </c>
      <c r="C116" s="17" t="s">
        <v>291</v>
      </c>
      <c r="D116" s="23" t="s">
        <v>37</v>
      </c>
      <c r="E116" s="23" t="s">
        <v>84</v>
      </c>
      <c r="F116" s="120">
        <f t="shared" si="20"/>
        <v>0.30299999999999999</v>
      </c>
      <c r="G116" s="80">
        <v>7.0000000000000007E-2</v>
      </c>
      <c r="H116" s="14">
        <v>2.7E-2</v>
      </c>
      <c r="I116" s="16">
        <v>0</v>
      </c>
      <c r="J116" s="14"/>
      <c r="K116" s="80">
        <v>8.2000000000000003E-2</v>
      </c>
      <c r="L116" s="14"/>
      <c r="M116" s="14">
        <v>8.5999999999999993E-2</v>
      </c>
      <c r="N116" s="80">
        <v>3.7999999999999999E-2</v>
      </c>
      <c r="O116" s="14"/>
      <c r="P116" s="14"/>
      <c r="R116" s="197">
        <f>'Parameters, country spec'!K21</f>
        <v>3.4137674118133308E-2</v>
      </c>
    </row>
    <row r="117" spans="1:18" x14ac:dyDescent="0.3">
      <c r="A117" s="22" t="s">
        <v>294</v>
      </c>
      <c r="B117" s="17" t="s">
        <v>181</v>
      </c>
      <c r="C117" s="17" t="s">
        <v>291</v>
      </c>
      <c r="D117" s="23" t="s">
        <v>37</v>
      </c>
      <c r="E117" s="23" t="s">
        <v>84</v>
      </c>
      <c r="F117" s="120">
        <f t="shared" si="20"/>
        <v>0.20499999999999999</v>
      </c>
      <c r="G117" s="80">
        <v>6.2E-2</v>
      </c>
      <c r="H117" s="14">
        <v>2.7E-2</v>
      </c>
      <c r="I117" s="14">
        <v>0</v>
      </c>
      <c r="J117" s="14"/>
      <c r="K117" s="80">
        <v>7.8E-2</v>
      </c>
      <c r="L117" s="14"/>
      <c r="M117" s="14">
        <v>0</v>
      </c>
      <c r="N117" s="80">
        <v>3.7999999999999999E-2</v>
      </c>
      <c r="O117" s="14"/>
      <c r="P117" s="14"/>
      <c r="R117" s="197">
        <f>'Parameters, country spec'!K22</f>
        <v>9.0108782601985467E-3</v>
      </c>
    </row>
    <row r="118" spans="1:18" x14ac:dyDescent="0.3">
      <c r="A118" s="22" t="s">
        <v>295</v>
      </c>
      <c r="B118" s="17" t="s">
        <v>182</v>
      </c>
      <c r="C118" s="17" t="s">
        <v>291</v>
      </c>
      <c r="D118" s="23" t="s">
        <v>37</v>
      </c>
      <c r="E118" s="23" t="s">
        <v>84</v>
      </c>
      <c r="F118" s="120">
        <f t="shared" si="20"/>
        <v>0.21199999999999999</v>
      </c>
      <c r="G118" s="80">
        <v>9.0999999999999998E-2</v>
      </c>
      <c r="H118" s="14">
        <v>2.7E-2</v>
      </c>
      <c r="I118" s="14">
        <v>0</v>
      </c>
      <c r="J118" s="14"/>
      <c r="K118" s="80">
        <v>5.2999999999999999E-2</v>
      </c>
      <c r="L118" s="14"/>
      <c r="M118" s="14">
        <v>3.0000000000000001E-3</v>
      </c>
      <c r="N118" s="80">
        <v>3.7999999999999999E-2</v>
      </c>
      <c r="O118" s="14"/>
      <c r="P118" s="14"/>
      <c r="R118" s="197">
        <f>'Parameters, country spec'!K23</f>
        <v>0.18547053507474909</v>
      </c>
    </row>
    <row r="119" spans="1:18" x14ac:dyDescent="0.3">
      <c r="A119" s="22" t="s">
        <v>296</v>
      </c>
      <c r="B119" s="17" t="s">
        <v>183</v>
      </c>
      <c r="C119" s="17" t="s">
        <v>297</v>
      </c>
      <c r="D119" s="23" t="s">
        <v>37</v>
      </c>
      <c r="E119" s="23" t="s">
        <v>84</v>
      </c>
      <c r="F119" s="120">
        <f t="shared" si="20"/>
        <v>0.17900000000000002</v>
      </c>
      <c r="G119" s="80">
        <v>0</v>
      </c>
      <c r="H119" s="14">
        <v>2.7E-2</v>
      </c>
      <c r="I119" s="16">
        <v>0</v>
      </c>
      <c r="J119" s="14"/>
      <c r="K119" s="80">
        <v>0.113</v>
      </c>
      <c r="L119" s="16"/>
      <c r="M119" s="14">
        <v>1E-3</v>
      </c>
      <c r="N119" s="80">
        <v>3.7999999999999999E-2</v>
      </c>
      <c r="O119" s="14"/>
      <c r="P119" s="14"/>
      <c r="R119" s="197">
        <f>'Parameters, country spec'!K24</f>
        <v>6.9661330661395359E-3</v>
      </c>
    </row>
    <row r="120" spans="1:18" x14ac:dyDescent="0.3">
      <c r="A120" s="22" t="s">
        <v>298</v>
      </c>
      <c r="B120" s="17" t="s">
        <v>184</v>
      </c>
      <c r="C120" s="17" t="s">
        <v>297</v>
      </c>
      <c r="D120" s="23" t="s">
        <v>37</v>
      </c>
      <c r="E120" s="23" t="s">
        <v>84</v>
      </c>
      <c r="F120" s="120">
        <f t="shared" si="20"/>
        <v>0.216</v>
      </c>
      <c r="G120" s="80">
        <v>4.0000000000000001E-3</v>
      </c>
      <c r="H120" s="14">
        <v>2.7E-2</v>
      </c>
      <c r="I120" s="16">
        <v>0</v>
      </c>
      <c r="J120" s="14"/>
      <c r="K120" s="80">
        <v>0.13100000000000001</v>
      </c>
      <c r="L120" s="14"/>
      <c r="M120" s="14">
        <v>1.6E-2</v>
      </c>
      <c r="N120" s="80">
        <v>3.7999999999999999E-2</v>
      </c>
      <c r="O120" s="14"/>
      <c r="P120" s="14"/>
      <c r="R120" s="197">
        <f>'Parameters, country spec'!K25</f>
        <v>6.843038286368717E-3</v>
      </c>
    </row>
    <row r="121" spans="1:18" x14ac:dyDescent="0.3">
      <c r="B121" s="18" t="s">
        <v>185</v>
      </c>
      <c r="C121" s="17" t="s">
        <v>299</v>
      </c>
      <c r="D121" s="23" t="str">
        <f>'Off-farm feed'!$D$74</f>
        <v>France, Germany, Poland</v>
      </c>
      <c r="E121" s="23"/>
      <c r="F121" s="120">
        <f>SUM(G121:Q121)</f>
        <v>0.27085685084992916</v>
      </c>
      <c r="G121" s="220">
        <f>'Off-farm feed'!$F$74</f>
        <v>0.11176753125767681</v>
      </c>
      <c r="H121" s="220">
        <f>'Off-farm feed'!$G$74</f>
        <v>1.3034482758620692E-2</v>
      </c>
      <c r="I121" s="220">
        <f>'Off-farm feed'!$H$74</f>
        <v>0</v>
      </c>
      <c r="J121" s="220">
        <f>'Off-farm feed'!$I$74</f>
        <v>0</v>
      </c>
      <c r="K121" s="220">
        <f>'Off-farm feed'!$J$74</f>
        <v>2.4688740026345454E-2</v>
      </c>
      <c r="L121" s="220">
        <f>'Off-farm feed'!$K$74</f>
        <v>0</v>
      </c>
      <c r="M121" s="220">
        <f>'Off-farm feed'!$L$74</f>
        <v>1.931759303794134E-4</v>
      </c>
      <c r="N121" s="220">
        <f>'Off-farm feed'!$M$74</f>
        <v>3.6802128767029069E-2</v>
      </c>
      <c r="O121" s="220">
        <f>'Off-farm feed'!$N$74</f>
        <v>0</v>
      </c>
      <c r="P121" s="220">
        <f>'Off-farm feed'!$O$74</f>
        <v>2.1170792109877701E-2</v>
      </c>
      <c r="Q121" s="220">
        <f>'Off-farm feed'!$P$74</f>
        <v>6.3200000000000006E-2</v>
      </c>
      <c r="R121" s="197">
        <f>'Parameters, country spec'!K26</f>
        <v>2.017458178365223E-2</v>
      </c>
    </row>
    <row r="122" spans="1:18" x14ac:dyDescent="0.3">
      <c r="B122" s="18" t="s">
        <v>300</v>
      </c>
      <c r="C122" s="17" t="s">
        <v>299</v>
      </c>
      <c r="D122" s="23" t="str">
        <f>'Off-farm feed'!$D$23</f>
        <v>Brazil, Argentina</v>
      </c>
      <c r="E122" s="23"/>
      <c r="F122" s="120">
        <f>SUM(G122:Q122)</f>
        <v>0.7061171705997602</v>
      </c>
      <c r="G122" s="220">
        <f>'Off-farm feed'!$F$23</f>
        <v>7.2632670993098931E-3</v>
      </c>
      <c r="H122" s="220">
        <f>'Off-farm feed'!$G$23</f>
        <v>2.1402439024390246E-2</v>
      </c>
      <c r="I122" s="220">
        <f>'Off-farm feed'!$H$23</f>
        <v>0</v>
      </c>
      <c r="J122" s="220">
        <f>'Off-farm feed'!$I$23</f>
        <v>0</v>
      </c>
      <c r="K122" s="220">
        <f>'Off-farm feed'!$J$23</f>
        <v>4.308361966433235E-2</v>
      </c>
      <c r="L122" s="220">
        <f>'Off-farm feed'!$K$23</f>
        <v>0</v>
      </c>
      <c r="M122" s="220">
        <f>'Off-farm feed'!$L$23</f>
        <v>1.7842060425123844E-4</v>
      </c>
      <c r="N122" s="220">
        <f>'Off-farm feed'!$M$23</f>
        <v>3.0432604948959403E-2</v>
      </c>
      <c r="O122" s="220">
        <f>'Off-farm feed'!$N$23</f>
        <v>0.31761120248475611</v>
      </c>
      <c r="P122" s="220">
        <f>'Off-farm feed'!$O$23</f>
        <v>3.5145616773760872E-2</v>
      </c>
      <c r="Q122" s="220">
        <f>'Off-farm feed'!$P$23</f>
        <v>0.251</v>
      </c>
      <c r="R122" s="197">
        <f>'Parameters, country spec'!K27</f>
        <v>0.1724593547162262</v>
      </c>
    </row>
    <row r="123" spans="1:18" x14ac:dyDescent="0.3">
      <c r="B123" s="17" t="s">
        <v>187</v>
      </c>
      <c r="C123" s="17" t="s">
        <v>301</v>
      </c>
      <c r="D123" s="23" t="s">
        <v>37</v>
      </c>
      <c r="E123" s="23" t="s">
        <v>84</v>
      </c>
      <c r="F123" s="120"/>
      <c r="G123" s="108"/>
      <c r="H123" s="8"/>
      <c r="I123" s="107"/>
      <c r="J123" s="8"/>
      <c r="K123" s="108"/>
      <c r="L123" s="8"/>
      <c r="M123" s="8"/>
      <c r="N123" s="108"/>
      <c r="O123" s="8"/>
      <c r="P123" s="8"/>
      <c r="Q123" s="8"/>
      <c r="R123" s="197">
        <f>'Parameters, country spec'!K28</f>
        <v>2.6495909583274708E-2</v>
      </c>
    </row>
    <row r="124" spans="1:18" x14ac:dyDescent="0.3">
      <c r="A124" s="83"/>
      <c r="B124" s="17" t="s">
        <v>302</v>
      </c>
      <c r="C124" s="84" t="s">
        <v>303</v>
      </c>
      <c r="D124" s="23" t="s">
        <v>37</v>
      </c>
      <c r="E124" s="23" t="s">
        <v>84</v>
      </c>
      <c r="F124" s="120">
        <f t="shared" si="20"/>
        <v>0.19831626778681055</v>
      </c>
      <c r="G124" s="81">
        <f t="shared" ref="G124:N124" si="21">AVERAGE(G114:G122)</f>
        <v>5.5781199817442971E-2</v>
      </c>
      <c r="H124" s="81">
        <f t="shared" si="21"/>
        <v>2.4826324642556769E-2</v>
      </c>
      <c r="I124" s="81">
        <f t="shared" si="21"/>
        <v>0</v>
      </c>
      <c r="J124" s="81"/>
      <c r="K124" s="81">
        <f t="shared" si="21"/>
        <v>6.6196928854519763E-2</v>
      </c>
      <c r="L124" s="81"/>
      <c r="M124" s="81">
        <f t="shared" si="21"/>
        <v>1.4485732948292295E-2</v>
      </c>
      <c r="N124" s="81">
        <f t="shared" si="21"/>
        <v>3.7026081523998715E-2</v>
      </c>
      <c r="O124" s="81"/>
      <c r="P124" s="81"/>
      <c r="Q124" s="81"/>
      <c r="R124" s="197">
        <f>'Parameters, country spec'!K29</f>
        <v>3.0723406491810091E-2</v>
      </c>
    </row>
    <row r="125" spans="1:18" x14ac:dyDescent="0.3">
      <c r="A125" s="195"/>
      <c r="B125" s="25" t="s">
        <v>304</v>
      </c>
      <c r="C125" s="26"/>
      <c r="D125" s="103"/>
      <c r="E125" s="103"/>
      <c r="F125" s="27">
        <f>SUMPRODUCT(F114:F124,$R$114:$R$124)</f>
        <v>0.28320771204456519</v>
      </c>
      <c r="G125" s="27">
        <f>SUMPRODUCT(G114:G124,$R$114:$R$124)</f>
        <v>6.4606990150349569E-2</v>
      </c>
      <c r="H125" s="27">
        <f>SUMPRODUCT(H114:H124,$R$114:$R$124)</f>
        <v>2.497072750608802E-2</v>
      </c>
      <c r="I125" s="27">
        <f>SUMPRODUCT(I114:I124,$R$114:$R$124)</f>
        <v>0</v>
      </c>
      <c r="J125" s="27"/>
      <c r="K125" s="27">
        <f>SUMPRODUCT(K114:K124,$R$114:$R$124)</f>
        <v>4.1570345080979586E-2</v>
      </c>
      <c r="L125" s="27"/>
      <c r="M125" s="27">
        <f>SUMPRODUCT(M114:M124,$R$114:$R$124)</f>
        <v>1.0599993682664311E-2</v>
      </c>
      <c r="N125" s="27">
        <f>SUMPRODUCT(N114:N124,$R$114:$R$124)</f>
        <v>3.5633998724066404E-2</v>
      </c>
      <c r="O125" s="27">
        <f>SUMPRODUCT(O114:O124,$R$114:$R$124)</f>
        <v>5.4775023031165694E-2</v>
      </c>
      <c r="P125" s="209">
        <f>SUMPRODUCT(P114:P124,R114:R124)</f>
        <v>6.4883022667520029E-3</v>
      </c>
      <c r="Q125" s="27">
        <f>SUMPRODUCT(Q114:Q124,$R$114:$R$124)</f>
        <v>4.4562331602499602E-2</v>
      </c>
      <c r="R125" s="198"/>
    </row>
    <row r="126" spans="1:18" x14ac:dyDescent="0.3">
      <c r="A126" s="22" t="s">
        <v>290</v>
      </c>
      <c r="B126" s="17" t="s">
        <v>173</v>
      </c>
      <c r="C126" s="17" t="s">
        <v>291</v>
      </c>
      <c r="D126" s="23" t="s">
        <v>34</v>
      </c>
      <c r="E126" s="23" t="s">
        <v>85</v>
      </c>
      <c r="F126" s="120">
        <f>SUM(G126:Q126)</f>
        <v>0.16700000000000001</v>
      </c>
      <c r="G126" s="80">
        <v>6.4000000000000001E-2</v>
      </c>
      <c r="H126" s="14">
        <v>2.7E-2</v>
      </c>
      <c r="I126" s="16">
        <v>0</v>
      </c>
      <c r="J126" s="14"/>
      <c r="K126" s="80">
        <v>4.1000000000000002E-2</v>
      </c>
      <c r="L126" s="14"/>
      <c r="M126" s="14">
        <v>0</v>
      </c>
      <c r="N126" s="80">
        <v>3.5000000000000003E-2</v>
      </c>
      <c r="O126" s="14"/>
      <c r="P126" s="14"/>
      <c r="R126" s="197">
        <f>'Parameters, country spec'!L19</f>
        <v>0</v>
      </c>
    </row>
    <row r="127" spans="1:18" x14ac:dyDescent="0.3">
      <c r="A127" s="22" t="s">
        <v>292</v>
      </c>
      <c r="B127" s="17" t="s">
        <v>176</v>
      </c>
      <c r="C127" s="17" t="s">
        <v>291</v>
      </c>
      <c r="D127" s="23" t="s">
        <v>34</v>
      </c>
      <c r="E127" s="23" t="s">
        <v>85</v>
      </c>
      <c r="F127" s="120">
        <f t="shared" ref="F127:F132" si="22">SUM(G127:Q127)</f>
        <v>0.157</v>
      </c>
      <c r="G127" s="80">
        <v>6.3E-2</v>
      </c>
      <c r="H127" s="14">
        <v>2.7E-2</v>
      </c>
      <c r="I127" s="16">
        <v>0</v>
      </c>
      <c r="J127" s="14"/>
      <c r="K127" s="80">
        <v>2.8000000000000001E-2</v>
      </c>
      <c r="L127" s="14"/>
      <c r="M127" s="14">
        <v>4.0000000000000001E-3</v>
      </c>
      <c r="N127" s="80">
        <v>3.5000000000000003E-2</v>
      </c>
      <c r="O127" s="14"/>
      <c r="P127" s="14"/>
      <c r="R127" s="197">
        <f>'Parameters, country spec'!L20</f>
        <v>2.9000000000000001E-2</v>
      </c>
    </row>
    <row r="128" spans="1:18" x14ac:dyDescent="0.3">
      <c r="A128" s="22" t="s">
        <v>293</v>
      </c>
      <c r="B128" s="17" t="s">
        <v>180</v>
      </c>
      <c r="C128" s="17" t="s">
        <v>291</v>
      </c>
      <c r="D128" s="23" t="s">
        <v>34</v>
      </c>
      <c r="E128" s="23" t="s">
        <v>85</v>
      </c>
      <c r="F128" s="120">
        <f t="shared" si="22"/>
        <v>0.16600000000000001</v>
      </c>
      <c r="G128" s="80">
        <v>5.7000000000000002E-2</v>
      </c>
      <c r="H128" s="14">
        <v>2.7E-2</v>
      </c>
      <c r="I128" s="16">
        <v>0</v>
      </c>
      <c r="J128" s="14"/>
      <c r="K128" s="80">
        <v>4.7E-2</v>
      </c>
      <c r="L128" s="14"/>
      <c r="M128" s="14">
        <v>0</v>
      </c>
      <c r="N128" s="80">
        <v>3.5000000000000003E-2</v>
      </c>
      <c r="O128" s="14"/>
      <c r="P128" s="14"/>
      <c r="R128" s="197">
        <f>'Parameters, country spec'!L21</f>
        <v>4.9000000000000002E-2</v>
      </c>
    </row>
    <row r="129" spans="1:19" x14ac:dyDescent="0.3">
      <c r="A129" s="22" t="s">
        <v>294</v>
      </c>
      <c r="B129" s="17" t="s">
        <v>181</v>
      </c>
      <c r="C129" s="17" t="s">
        <v>291</v>
      </c>
      <c r="D129" s="23" t="s">
        <v>34</v>
      </c>
      <c r="E129" s="23" t="s">
        <v>85</v>
      </c>
      <c r="F129" s="120">
        <f t="shared" si="22"/>
        <v>0.14300000000000002</v>
      </c>
      <c r="G129" s="80">
        <v>0.05</v>
      </c>
      <c r="H129" s="14">
        <v>2.7E-2</v>
      </c>
      <c r="I129" s="14">
        <v>0</v>
      </c>
      <c r="J129" s="14"/>
      <c r="K129" s="80">
        <v>3.1E-2</v>
      </c>
      <c r="L129" s="14"/>
      <c r="M129" s="14">
        <v>0</v>
      </c>
      <c r="N129" s="80">
        <v>3.5000000000000003E-2</v>
      </c>
      <c r="O129" s="14"/>
      <c r="P129" s="14"/>
      <c r="R129" s="197">
        <f>'Parameters, country spec'!L22</f>
        <v>0</v>
      </c>
    </row>
    <row r="130" spans="1:19" x14ac:dyDescent="0.3">
      <c r="A130" s="22" t="s">
        <v>295</v>
      </c>
      <c r="B130" s="17" t="s">
        <v>182</v>
      </c>
      <c r="C130" s="17" t="s">
        <v>291</v>
      </c>
      <c r="D130" s="23" t="s">
        <v>34</v>
      </c>
      <c r="E130" s="23" t="s">
        <v>85</v>
      </c>
      <c r="F130" s="120">
        <f>SUM(G130:Q130)</f>
        <v>0.16500000000000001</v>
      </c>
      <c r="G130" s="80">
        <v>7.3999999999999996E-2</v>
      </c>
      <c r="H130" s="14">
        <v>2.7E-2</v>
      </c>
      <c r="I130" s="14">
        <v>0</v>
      </c>
      <c r="J130" s="14"/>
      <c r="K130" s="80">
        <v>2.9000000000000001E-2</v>
      </c>
      <c r="L130" s="14"/>
      <c r="M130" s="14">
        <v>0</v>
      </c>
      <c r="N130" s="80">
        <v>3.5000000000000003E-2</v>
      </c>
      <c r="O130" s="14"/>
      <c r="P130" s="14"/>
      <c r="R130" s="197">
        <f>'Parameters, country spec'!L23</f>
        <v>0.59099999999999997</v>
      </c>
    </row>
    <row r="131" spans="1:19" x14ac:dyDescent="0.3">
      <c r="A131" s="22" t="s">
        <v>296</v>
      </c>
      <c r="B131" s="17" t="s">
        <v>183</v>
      </c>
      <c r="C131" s="17" t="s">
        <v>297</v>
      </c>
      <c r="D131" s="23" t="s">
        <v>34</v>
      </c>
      <c r="E131" s="23" t="s">
        <v>85</v>
      </c>
      <c r="F131" s="120">
        <f t="shared" si="22"/>
        <v>0.11900000000000001</v>
      </c>
      <c r="G131" s="80">
        <v>0</v>
      </c>
      <c r="H131" s="14">
        <v>2.7E-2</v>
      </c>
      <c r="I131" s="16">
        <v>0</v>
      </c>
      <c r="J131" s="14"/>
      <c r="K131" s="80">
        <v>5.7000000000000002E-2</v>
      </c>
      <c r="L131" s="16"/>
      <c r="M131" s="14">
        <v>0</v>
      </c>
      <c r="N131" s="80">
        <v>3.5000000000000003E-2</v>
      </c>
      <c r="O131" s="14"/>
      <c r="P131" s="14"/>
      <c r="R131" s="197">
        <f>'Parameters, country spec'!L24</f>
        <v>0</v>
      </c>
    </row>
    <row r="132" spans="1:19" x14ac:dyDescent="0.3">
      <c r="A132" s="22" t="s">
        <v>298</v>
      </c>
      <c r="B132" s="17" t="s">
        <v>184</v>
      </c>
      <c r="C132" s="17" t="s">
        <v>297</v>
      </c>
      <c r="D132" s="23" t="s">
        <v>34</v>
      </c>
      <c r="E132" s="23" t="s">
        <v>85</v>
      </c>
      <c r="F132" s="120">
        <f t="shared" si="22"/>
        <v>0.15000000000000002</v>
      </c>
      <c r="G132" s="80">
        <v>3.0000000000000001E-3</v>
      </c>
      <c r="H132" s="14">
        <v>2.7E-2</v>
      </c>
      <c r="I132" s="16">
        <v>0</v>
      </c>
      <c r="J132" s="14"/>
      <c r="K132" s="80">
        <v>8.5000000000000006E-2</v>
      </c>
      <c r="L132" s="14"/>
      <c r="M132" s="14">
        <v>0</v>
      </c>
      <c r="N132" s="80">
        <v>3.5000000000000003E-2</v>
      </c>
      <c r="O132" s="14"/>
      <c r="P132" s="14"/>
      <c r="R132" s="197">
        <f>'Parameters, country spec'!L25</f>
        <v>0</v>
      </c>
    </row>
    <row r="133" spans="1:19" x14ac:dyDescent="0.3">
      <c r="B133" s="18" t="s">
        <v>185</v>
      </c>
      <c r="C133" s="17" t="s">
        <v>299</v>
      </c>
      <c r="D133" s="23" t="str">
        <f>'Off-farm feed'!$D$74</f>
        <v>France, Germany, Poland</v>
      </c>
      <c r="E133" s="23"/>
      <c r="F133" s="120">
        <f>SUM(G133:Q133)</f>
        <v>0.27085685084992916</v>
      </c>
      <c r="G133" s="220">
        <f>'Off-farm feed'!$F$74</f>
        <v>0.11176753125767681</v>
      </c>
      <c r="H133" s="220">
        <f>'Off-farm feed'!$G$74</f>
        <v>1.3034482758620692E-2</v>
      </c>
      <c r="I133" s="220">
        <f>'Off-farm feed'!$H$74</f>
        <v>0</v>
      </c>
      <c r="J133" s="220">
        <f>'Off-farm feed'!$I$74</f>
        <v>0</v>
      </c>
      <c r="K133" s="220">
        <f>'Off-farm feed'!$J$74</f>
        <v>2.4688740026345454E-2</v>
      </c>
      <c r="L133" s="220">
        <f>'Off-farm feed'!$K$74</f>
        <v>0</v>
      </c>
      <c r="M133" s="220">
        <f>'Off-farm feed'!$L$74</f>
        <v>1.931759303794134E-4</v>
      </c>
      <c r="N133" s="220">
        <f>'Off-farm feed'!$M$74</f>
        <v>3.6802128767029069E-2</v>
      </c>
      <c r="O133" s="220">
        <f>'Off-farm feed'!$N$74</f>
        <v>0</v>
      </c>
      <c r="P133" s="220">
        <f>'Off-farm feed'!$O$74</f>
        <v>2.1170792109877701E-2</v>
      </c>
      <c r="Q133" s="220">
        <f>'Off-farm feed'!$P$74</f>
        <v>6.3200000000000006E-2</v>
      </c>
      <c r="R133" s="197">
        <f>'Parameters, country spec'!L26</f>
        <v>6.8000000000000005E-2</v>
      </c>
    </row>
    <row r="134" spans="1:19" x14ac:dyDescent="0.3">
      <c r="B134" s="18" t="s">
        <v>300</v>
      </c>
      <c r="C134" s="17" t="s">
        <v>299</v>
      </c>
      <c r="D134" s="23" t="str">
        <f>'Off-farm feed'!$D$23</f>
        <v>Brazil, Argentina</v>
      </c>
      <c r="E134" s="23"/>
      <c r="F134" s="120">
        <f>SUM(G134:Q134)</f>
        <v>0.7061171705997602</v>
      </c>
      <c r="G134" s="220">
        <f>'Off-farm feed'!$F$23</f>
        <v>7.2632670993098931E-3</v>
      </c>
      <c r="H134" s="220">
        <f>'Off-farm feed'!$G$23</f>
        <v>2.1402439024390246E-2</v>
      </c>
      <c r="I134" s="220">
        <f>'Off-farm feed'!$H$23</f>
        <v>0</v>
      </c>
      <c r="J134" s="220">
        <f>'Off-farm feed'!$I$23</f>
        <v>0</v>
      </c>
      <c r="K134" s="220">
        <f>'Off-farm feed'!$J$23</f>
        <v>4.308361966433235E-2</v>
      </c>
      <c r="L134" s="220">
        <f>'Off-farm feed'!$K$23</f>
        <v>0</v>
      </c>
      <c r="M134" s="220">
        <f>'Off-farm feed'!$L$23</f>
        <v>1.7842060425123844E-4</v>
      </c>
      <c r="N134" s="220">
        <f>'Off-farm feed'!$M$23</f>
        <v>3.0432604948959403E-2</v>
      </c>
      <c r="O134" s="220">
        <f>'Off-farm feed'!$N$23</f>
        <v>0.31761120248475611</v>
      </c>
      <c r="P134" s="220">
        <f>'Off-farm feed'!$O$23</f>
        <v>3.5145616773760872E-2</v>
      </c>
      <c r="Q134" s="220">
        <f>'Off-farm feed'!$P$23</f>
        <v>0.251</v>
      </c>
      <c r="R134" s="197">
        <f>'Parameters, country spec'!L27</f>
        <v>0.186</v>
      </c>
    </row>
    <row r="135" spans="1:19" x14ac:dyDescent="0.3">
      <c r="B135" s="17" t="s">
        <v>187</v>
      </c>
      <c r="C135" s="17" t="s">
        <v>301</v>
      </c>
      <c r="D135" s="23" t="s">
        <v>34</v>
      </c>
      <c r="E135" s="23" t="s">
        <v>85</v>
      </c>
      <c r="F135" s="120"/>
      <c r="G135" s="108"/>
      <c r="H135" s="8"/>
      <c r="I135" s="107"/>
      <c r="J135" s="8"/>
      <c r="K135" s="108"/>
      <c r="L135" s="8"/>
      <c r="M135" s="8"/>
      <c r="N135" s="108"/>
      <c r="O135" s="8"/>
      <c r="P135" s="8"/>
      <c r="Q135" s="8"/>
      <c r="R135" s="197">
        <f>'Parameters, country spec'!L28</f>
        <v>0</v>
      </c>
    </row>
    <row r="136" spans="1:19" x14ac:dyDescent="0.3">
      <c r="A136" s="83"/>
      <c r="B136" s="17" t="s">
        <v>302</v>
      </c>
      <c r="C136" s="84" t="s">
        <v>303</v>
      </c>
      <c r="D136" s="23" t="s">
        <v>34</v>
      </c>
      <c r="E136" s="23" t="s">
        <v>85</v>
      </c>
      <c r="F136" s="120">
        <f>SUM(G136:Q136)</f>
        <v>0.15064960112014386</v>
      </c>
      <c r="G136" s="81">
        <f>AVERAGE(G126:G134)</f>
        <v>4.7781199817442971E-2</v>
      </c>
      <c r="H136" s="81">
        <f>AVERAGE(H126:H134)</f>
        <v>2.4826324642556769E-2</v>
      </c>
      <c r="I136" s="81">
        <f t="shared" ref="I136:N136" si="23">AVERAGE(I126:I134)</f>
        <v>0</v>
      </c>
      <c r="J136" s="81"/>
      <c r="K136" s="81">
        <f t="shared" si="23"/>
        <v>4.2863595521186425E-2</v>
      </c>
      <c r="L136" s="81"/>
      <c r="M136" s="81">
        <f t="shared" si="23"/>
        <v>4.8573294829229474E-4</v>
      </c>
      <c r="N136" s="81">
        <f t="shared" si="23"/>
        <v>3.4692748190665389E-2</v>
      </c>
      <c r="O136" s="81"/>
      <c r="P136" s="81"/>
      <c r="Q136" s="81"/>
      <c r="R136" s="197">
        <f>'Parameters, country spec'!L29</f>
        <v>7.7000000000000179E-2</v>
      </c>
    </row>
    <row r="137" spans="1:19" x14ac:dyDescent="0.3">
      <c r="A137" s="195"/>
      <c r="B137" s="25" t="s">
        <v>304</v>
      </c>
      <c r="C137" s="26"/>
      <c r="D137" s="103"/>
      <c r="E137" s="103"/>
      <c r="F137" s="27">
        <f>SUMPRODUCT(F126:F136,$R$126:$R$136)</f>
        <v>0.27155807887560168</v>
      </c>
      <c r="G137" s="27">
        <f>SUMPRODUCT(G126:G136,$R$126:$R$136)</f>
        <v>6.0984312191936771E-2</v>
      </c>
      <c r="H137" s="27">
        <f>SUMPRODUCT(H126:H136,$R$126:$R$136)</f>
        <v>2.4841825483599669E-2</v>
      </c>
      <c r="I137" s="27">
        <f>SUMPRODUCT(I126:I136,$R$126:$R$136)</f>
        <v>0</v>
      </c>
      <c r="J137" s="27"/>
      <c r="K137" s="27">
        <f>SUMPRODUCT(K126:K136,$R$126:$R$136)</f>
        <v>3.3246884434488672E-2</v>
      </c>
      <c r="L137" s="27"/>
      <c r="M137" s="27">
        <f>SUMPRODUCT(M126:M136,$R$126:$R$136)</f>
        <v>1.9972363267503726E-4</v>
      </c>
      <c r="N137" s="27">
        <f>SUMPRODUCT(N126:N136,$R$126:$R$136)</f>
        <v>3.4249350887345667E-2</v>
      </c>
      <c r="O137" s="27">
        <f>SUMPRODUCT(O126:O136,$R$126:$R$136)</f>
        <v>5.9075683662164633E-2</v>
      </c>
      <c r="P137" s="209">
        <f>SUMPRODUCT(P126:P136,R126:R136)</f>
        <v>7.976698583391206E-3</v>
      </c>
      <c r="Q137" s="27">
        <f>SUMPRODUCT(Q126:Q136,$R$126:$R$136)</f>
        <v>5.0983599999999997E-2</v>
      </c>
      <c r="R137" s="198"/>
    </row>
    <row r="138" spans="1:19" x14ac:dyDescent="0.3">
      <c r="A138" s="22" t="s">
        <v>290</v>
      </c>
      <c r="B138" s="17" t="s">
        <v>173</v>
      </c>
      <c r="C138" s="17" t="s">
        <v>291</v>
      </c>
      <c r="D138" s="23" t="s">
        <v>26</v>
      </c>
      <c r="E138" s="23" t="s">
        <v>86</v>
      </c>
      <c r="F138" s="120">
        <f>SUM(G138:Q138)</f>
        <v>0.17779054290660856</v>
      </c>
      <c r="G138" s="80">
        <v>7.9350764789664241E-2</v>
      </c>
      <c r="H138" s="14">
        <v>2.7E-2</v>
      </c>
      <c r="I138" s="16">
        <v>0</v>
      </c>
      <c r="J138" s="14"/>
      <c r="K138" s="80">
        <v>3.0528074155066337E-2</v>
      </c>
      <c r="L138" s="14"/>
      <c r="M138" s="14">
        <v>2.830225711974277E-6</v>
      </c>
      <c r="N138" s="80">
        <v>4.0908873736166002E-2</v>
      </c>
      <c r="O138" s="14"/>
      <c r="P138" s="14"/>
      <c r="R138" s="197">
        <f>'Parameters, country spec'!M19</f>
        <v>0.24290688316534448</v>
      </c>
    </row>
    <row r="139" spans="1:19" x14ac:dyDescent="0.3">
      <c r="A139" s="22" t="s">
        <v>292</v>
      </c>
      <c r="B139" s="17" t="s">
        <v>176</v>
      </c>
      <c r="C139" s="17" t="s">
        <v>291</v>
      </c>
      <c r="D139" s="23" t="s">
        <v>26</v>
      </c>
      <c r="E139" s="23" t="s">
        <v>86</v>
      </c>
      <c r="F139" s="120">
        <f t="shared" ref="F139:F144" si="24">SUM(G139:Q139)</f>
        <v>0.1828115024633224</v>
      </c>
      <c r="G139" s="80">
        <v>9.0958864790748981E-2</v>
      </c>
      <c r="H139" s="14">
        <v>2.7E-2</v>
      </c>
      <c r="I139" s="14">
        <v>0</v>
      </c>
      <c r="J139" s="14"/>
      <c r="K139" s="80">
        <v>2.3868735784876118E-2</v>
      </c>
      <c r="L139" s="14"/>
      <c r="M139" s="14">
        <v>7.5028151531290012E-5</v>
      </c>
      <c r="N139" s="80">
        <v>4.0908873736166002E-2</v>
      </c>
      <c r="O139" s="14"/>
      <c r="P139" s="14"/>
      <c r="R139" s="197">
        <f>'Parameters, country spec'!M20</f>
        <v>1.1405036092928852E-2</v>
      </c>
      <c r="S139" t="s">
        <v>449</v>
      </c>
    </row>
    <row r="140" spans="1:19" x14ac:dyDescent="0.3">
      <c r="A140" s="22" t="s">
        <v>293</v>
      </c>
      <c r="B140" s="17" t="s">
        <v>180</v>
      </c>
      <c r="C140" s="17" t="s">
        <v>291</v>
      </c>
      <c r="D140" s="23" t="s">
        <v>26</v>
      </c>
      <c r="E140" s="23" t="s">
        <v>86</v>
      </c>
      <c r="F140" s="120">
        <f t="shared" si="24"/>
        <v>0.17225592942667178</v>
      </c>
      <c r="G140" s="80">
        <v>6.9944688736358923E-2</v>
      </c>
      <c r="H140" s="14">
        <v>2.7E-2</v>
      </c>
      <c r="I140" s="16">
        <v>0</v>
      </c>
      <c r="J140" s="14"/>
      <c r="K140" s="80">
        <v>3.4148755020080315E-2</v>
      </c>
      <c r="L140" s="14"/>
      <c r="M140" s="14">
        <v>2.5361193406655912E-4</v>
      </c>
      <c r="N140" s="80">
        <v>4.0908873736166002E-2</v>
      </c>
      <c r="O140" s="14"/>
      <c r="P140" s="14"/>
      <c r="R140" s="197">
        <f>'Parameters, country spec'!M21</f>
        <v>2.6784717007595302E-2</v>
      </c>
    </row>
    <row r="141" spans="1:19" x14ac:dyDescent="0.3">
      <c r="A141" s="22" t="s">
        <v>294</v>
      </c>
      <c r="B141" s="17" t="s">
        <v>181</v>
      </c>
      <c r="C141" s="17" t="s">
        <v>291</v>
      </c>
      <c r="D141" s="23" t="s">
        <v>26</v>
      </c>
      <c r="E141" s="23" t="s">
        <v>86</v>
      </c>
      <c r="F141" s="120">
        <f t="shared" si="24"/>
        <v>0.19764639983207027</v>
      </c>
      <c r="G141" s="80">
        <v>6.1618089476185953E-2</v>
      </c>
      <c r="H141" s="14">
        <v>2.7E-2</v>
      </c>
      <c r="I141" s="14">
        <v>0</v>
      </c>
      <c r="J141" s="14"/>
      <c r="K141" s="80">
        <v>6.8119436619718324E-2</v>
      </c>
      <c r="L141" s="14"/>
      <c r="M141" s="14">
        <v>0</v>
      </c>
      <c r="N141" s="80">
        <v>4.0908873736166002E-2</v>
      </c>
      <c r="O141" s="14"/>
      <c r="P141" s="14"/>
      <c r="R141" s="197">
        <f>'Parameters, country spec'!M22</f>
        <v>1.2703483591450424E-3</v>
      </c>
    </row>
    <row r="142" spans="1:19" x14ac:dyDescent="0.3">
      <c r="A142" s="22" t="s">
        <v>295</v>
      </c>
      <c r="B142" s="17" t="s">
        <v>182</v>
      </c>
      <c r="C142" s="17" t="s">
        <v>291</v>
      </c>
      <c r="D142" s="23" t="s">
        <v>26</v>
      </c>
      <c r="E142" s="23" t="s">
        <v>86</v>
      </c>
      <c r="F142" s="120">
        <f t="shared" si="24"/>
        <v>0.1828115024633224</v>
      </c>
      <c r="G142" s="80">
        <v>9.0958864790748981E-2</v>
      </c>
      <c r="H142" s="14">
        <v>2.7E-2</v>
      </c>
      <c r="I142" s="14">
        <v>0</v>
      </c>
      <c r="J142" s="14"/>
      <c r="K142" s="80">
        <v>2.3868735784876118E-2</v>
      </c>
      <c r="L142" s="14"/>
      <c r="M142" s="14">
        <v>7.5028151531290012E-5</v>
      </c>
      <c r="N142" s="80">
        <v>4.0908873736166002E-2</v>
      </c>
      <c r="O142" s="14"/>
      <c r="P142" s="14"/>
      <c r="R142" s="197">
        <f>'Parameters, country spec'!M23</f>
        <v>0.36306225085662319</v>
      </c>
    </row>
    <row r="143" spans="1:19" x14ac:dyDescent="0.3">
      <c r="A143" s="22" t="s">
        <v>296</v>
      </c>
      <c r="B143" s="17" t="s">
        <v>183</v>
      </c>
      <c r="C143" s="17" t="s">
        <v>297</v>
      </c>
      <c r="D143" s="23" t="s">
        <v>26</v>
      </c>
      <c r="E143" s="23" t="s">
        <v>86</v>
      </c>
      <c r="F143" s="120">
        <f t="shared" si="24"/>
        <v>0.11760102242306324</v>
      </c>
      <c r="G143" s="80">
        <v>0</v>
      </c>
      <c r="H143" s="14">
        <v>2.7E-2</v>
      </c>
      <c r="I143" s="16">
        <v>0</v>
      </c>
      <c r="J143" s="14"/>
      <c r="K143" s="80">
        <v>4.9692148686897232E-2</v>
      </c>
      <c r="L143" s="16"/>
      <c r="M143" s="14">
        <v>0</v>
      </c>
      <c r="N143" s="80">
        <v>4.0908873736166002E-2</v>
      </c>
      <c r="O143" s="14"/>
      <c r="P143" s="14"/>
      <c r="R143" s="197">
        <f>'Parameters, country spec'!M24</f>
        <v>6.0909129056991628E-3</v>
      </c>
    </row>
    <row r="144" spans="1:19" x14ac:dyDescent="0.3">
      <c r="A144" s="22" t="s">
        <v>298</v>
      </c>
      <c r="B144" s="17" t="s">
        <v>184</v>
      </c>
      <c r="C144" s="17" t="s">
        <v>297</v>
      </c>
      <c r="D144" s="23" t="s">
        <v>26</v>
      </c>
      <c r="E144" s="23" t="s">
        <v>86</v>
      </c>
      <c r="F144" s="120">
        <f t="shared" si="24"/>
        <v>0.12047749081432377</v>
      </c>
      <c r="G144" s="80">
        <v>3.9087030496004829E-3</v>
      </c>
      <c r="H144" s="14">
        <v>2.7E-2</v>
      </c>
      <c r="I144" s="16">
        <v>0</v>
      </c>
      <c r="J144" s="14"/>
      <c r="K144" s="80">
        <v>4.8659914028557287E-2</v>
      </c>
      <c r="L144" s="14"/>
      <c r="M144" s="14">
        <v>0</v>
      </c>
      <c r="N144" s="80">
        <v>4.0908873736166002E-2</v>
      </c>
      <c r="O144" s="14"/>
      <c r="P144" s="14"/>
      <c r="R144" s="197">
        <f>'Parameters, country spec'!M25</f>
        <v>5.9832836689627722E-3</v>
      </c>
    </row>
    <row r="145" spans="1:18" x14ac:dyDescent="0.3">
      <c r="B145" s="18" t="s">
        <v>185</v>
      </c>
      <c r="C145" s="17" t="s">
        <v>299</v>
      </c>
      <c r="D145" s="23" t="str">
        <f>'Off-farm feed'!$D$74</f>
        <v>France, Germany, Poland</v>
      </c>
      <c r="E145" s="23"/>
      <c r="F145" s="120">
        <f>SUM(G145:Q145)</f>
        <v>0.27085685084992916</v>
      </c>
      <c r="G145" s="220">
        <f>'Off-farm feed'!$F$74</f>
        <v>0.11176753125767681</v>
      </c>
      <c r="H145" s="220">
        <f>'Off-farm feed'!$G$74</f>
        <v>1.3034482758620692E-2</v>
      </c>
      <c r="I145" s="220">
        <f>'Off-farm feed'!$H$74</f>
        <v>0</v>
      </c>
      <c r="J145" s="220">
        <f>'Off-farm feed'!$I$74</f>
        <v>0</v>
      </c>
      <c r="K145" s="220">
        <f>'Off-farm feed'!$J$74</f>
        <v>2.4688740026345454E-2</v>
      </c>
      <c r="L145" s="220">
        <f>'Off-farm feed'!$K$74</f>
        <v>0</v>
      </c>
      <c r="M145" s="220">
        <f>'Off-farm feed'!$L$74</f>
        <v>1.931759303794134E-4</v>
      </c>
      <c r="N145" s="220">
        <f>'Off-farm feed'!$M$74</f>
        <v>3.6802128767029069E-2</v>
      </c>
      <c r="O145" s="220">
        <f>'Off-farm feed'!$N$74</f>
        <v>0</v>
      </c>
      <c r="P145" s="220">
        <f>'Off-farm feed'!$O$74</f>
        <v>2.1170792109877701E-2</v>
      </c>
      <c r="Q145" s="220">
        <f>'Off-farm feed'!$P$74</f>
        <v>6.3200000000000006E-2</v>
      </c>
      <c r="R145" s="197">
        <f>'Parameters, country spec'!M26</f>
        <v>9.4633897453147445E-2</v>
      </c>
    </row>
    <row r="146" spans="1:18" x14ac:dyDescent="0.3">
      <c r="B146" s="18" t="s">
        <v>300</v>
      </c>
      <c r="C146" s="17" t="s">
        <v>299</v>
      </c>
      <c r="D146" s="23" t="str">
        <f>'Off-farm feed'!$D$23</f>
        <v>Brazil, Argentina</v>
      </c>
      <c r="E146" s="23"/>
      <c r="F146" s="120">
        <f>SUM(G146:Q146)</f>
        <v>0.7061171705997602</v>
      </c>
      <c r="G146" s="220">
        <f>'Off-farm feed'!$F$23</f>
        <v>7.2632670993098931E-3</v>
      </c>
      <c r="H146" s="220">
        <f>'Off-farm feed'!$G$23</f>
        <v>2.1402439024390246E-2</v>
      </c>
      <c r="I146" s="220">
        <f>'Off-farm feed'!$H$23</f>
        <v>0</v>
      </c>
      <c r="J146" s="220">
        <f>'Off-farm feed'!$I$23</f>
        <v>0</v>
      </c>
      <c r="K146" s="220">
        <f>'Off-farm feed'!$J$23</f>
        <v>4.308361966433235E-2</v>
      </c>
      <c r="L146" s="220">
        <f>'Off-farm feed'!$K$23</f>
        <v>0</v>
      </c>
      <c r="M146" s="220">
        <f>'Off-farm feed'!$L$23</f>
        <v>1.7842060425123844E-4</v>
      </c>
      <c r="N146" s="220">
        <f>'Off-farm feed'!$M$23</f>
        <v>3.0432604948959403E-2</v>
      </c>
      <c r="O146" s="220">
        <f>'Off-farm feed'!$N$23</f>
        <v>0.31761120248475611</v>
      </c>
      <c r="P146" s="220">
        <f>'Off-farm feed'!$O$23</f>
        <v>3.5145616773760872E-2</v>
      </c>
      <c r="Q146" s="220">
        <f>'Off-farm feed'!$P$23</f>
        <v>0.251</v>
      </c>
      <c r="R146" s="197">
        <f>'Parameters, country spec'!M27</f>
        <v>0.1863493678947572</v>
      </c>
    </row>
    <row r="147" spans="1:18" x14ac:dyDescent="0.3">
      <c r="B147" s="17" t="s">
        <v>187</v>
      </c>
      <c r="C147" s="17" t="s">
        <v>301</v>
      </c>
      <c r="D147" s="23" t="s">
        <v>26</v>
      </c>
      <c r="E147" s="23" t="s">
        <v>86</v>
      </c>
      <c r="F147" s="120"/>
      <c r="G147" s="108"/>
      <c r="H147" s="8"/>
      <c r="I147" s="107"/>
      <c r="J147" s="8"/>
      <c r="K147" s="108"/>
      <c r="L147" s="8"/>
      <c r="M147" s="8"/>
      <c r="N147" s="108"/>
      <c r="O147" s="8"/>
      <c r="P147" s="8"/>
      <c r="Q147" s="8"/>
      <c r="R147" s="197">
        <f>'Parameters, country spec'!M28</f>
        <v>1.2143080899157416E-2</v>
      </c>
    </row>
    <row r="148" spans="1:18" x14ac:dyDescent="0.3">
      <c r="A148" s="83"/>
      <c r="B148" s="17" t="s">
        <v>302</v>
      </c>
      <c r="C148" s="84" t="s">
        <v>303</v>
      </c>
      <c r="D148" s="23" t="s">
        <v>26</v>
      </c>
      <c r="E148" s="23" t="s">
        <v>86</v>
      </c>
      <c r="F148" s="120">
        <f>SUM(G148:Q148)</f>
        <v>0.16002675560118634</v>
      </c>
      <c r="G148" s="81">
        <f t="shared" ref="G148:N148" si="25">AVERAGE(G138:G146)</f>
        <v>5.7307863776699372E-2</v>
      </c>
      <c r="H148" s="81">
        <f t="shared" si="25"/>
        <v>2.4826324642556769E-2</v>
      </c>
      <c r="I148" s="81">
        <f t="shared" si="25"/>
        <v>0</v>
      </c>
      <c r="J148" s="81"/>
      <c r="K148" s="81">
        <f t="shared" si="25"/>
        <v>3.8517573307861062E-2</v>
      </c>
      <c r="L148" s="81"/>
      <c r="M148" s="81">
        <f t="shared" si="25"/>
        <v>8.6454999719085031E-5</v>
      </c>
      <c r="N148" s="81">
        <f t="shared" si="25"/>
        <v>3.9288538874350049E-2</v>
      </c>
      <c r="O148" s="81"/>
      <c r="P148" s="81"/>
      <c r="Q148" s="81"/>
      <c r="R148" s="197">
        <f>'Parameters, country spec'!M29</f>
        <v>4.9370221696639315E-2</v>
      </c>
    </row>
    <row r="149" spans="1:18" x14ac:dyDescent="0.3">
      <c r="A149" s="195"/>
      <c r="B149" s="25" t="s">
        <v>304</v>
      </c>
      <c r="C149" s="26"/>
      <c r="D149" s="103"/>
      <c r="E149" s="103"/>
      <c r="F149" s="27">
        <f>SUMPRODUCT(F138:F148,$R$138:$R$148)</f>
        <v>0.28306281292522761</v>
      </c>
      <c r="G149" s="27">
        <f>SUMPRODUCT(G138:G148,$R$138:$R$148)</f>
        <v>7.0070882550071628E-2</v>
      </c>
      <c r="H149" s="27">
        <f>SUMPRODUCT(H138:H148,$R$138:$R$148)</f>
        <v>2.4200108705371169E-2</v>
      </c>
      <c r="I149" s="27">
        <f>SUMPRODUCT(I138:I148,$R$138:$R$148)</f>
        <v>0</v>
      </c>
      <c r="J149" s="27"/>
      <c r="K149" s="27">
        <f>SUMPRODUCT(K138:K148,$R$138:$R$148)</f>
        <v>3.0215174963318076E-2</v>
      </c>
      <c r="L149" s="27"/>
      <c r="M149" s="27">
        <f>SUMPRODUCT(M138:M148,$R$138:$R$148)</f>
        <v>9.1373854049308644E-5</v>
      </c>
      <c r="N149" s="27">
        <f>SUMPRODUCT(N138:N148,$R$138:$R$148)</f>
        <v>3.7991234332876628E-2</v>
      </c>
      <c r="O149" s="27">
        <f>SUMPRODUCT(O138:O148,$R$138:$R$148)</f>
        <v>5.9186646819328038E-2</v>
      </c>
      <c r="P149" s="209">
        <f>SUMPRODUCT(P138:P148,R138:R148)</f>
        <v>8.5528380395897829E-3</v>
      </c>
      <c r="Q149" s="27">
        <f>SUMPRODUCT(Q138:Q148,$R$138:$R$148)</f>
        <v>5.2754553660622976E-2</v>
      </c>
      <c r="R149" s="198"/>
    </row>
    <row r="150" spans="1:18" x14ac:dyDescent="0.3">
      <c r="F150" s="17"/>
    </row>
    <row r="151" spans="1:18" x14ac:dyDescent="0.3">
      <c r="F151" s="17"/>
    </row>
    <row r="152" spans="1:18" x14ac:dyDescent="0.3">
      <c r="F152" s="17"/>
    </row>
    <row r="153" spans="1:18" x14ac:dyDescent="0.3">
      <c r="F153" s="17"/>
    </row>
    <row r="154" spans="1:18" x14ac:dyDescent="0.3">
      <c r="F154" s="17"/>
    </row>
    <row r="155" spans="1:18" x14ac:dyDescent="0.3">
      <c r="F155" s="17"/>
    </row>
    <row r="156" spans="1:18" x14ac:dyDescent="0.3">
      <c r="F156" s="17"/>
    </row>
    <row r="157" spans="1:18" x14ac:dyDescent="0.3">
      <c r="F157" s="17"/>
    </row>
    <row r="158" spans="1:18" x14ac:dyDescent="0.3">
      <c r="F158" s="17"/>
    </row>
    <row r="159" spans="1:18" x14ac:dyDescent="0.3">
      <c r="F159" s="17"/>
    </row>
    <row r="160" spans="1:18" x14ac:dyDescent="0.3">
      <c r="F160" s="17"/>
    </row>
    <row r="161" spans="6:6" x14ac:dyDescent="0.3">
      <c r="F161" s="17"/>
    </row>
    <row r="162" spans="6:6" x14ac:dyDescent="0.3">
      <c r="F162" s="17"/>
    </row>
    <row r="163" spans="6:6" x14ac:dyDescent="0.3">
      <c r="F163" s="17"/>
    </row>
    <row r="164" spans="6:6" x14ac:dyDescent="0.3">
      <c r="F164" s="17"/>
    </row>
    <row r="165" spans="6:6" x14ac:dyDescent="0.3">
      <c r="F165" s="17"/>
    </row>
    <row r="166" spans="6:6" x14ac:dyDescent="0.3">
      <c r="F166" s="17"/>
    </row>
    <row r="167" spans="6:6" x14ac:dyDescent="0.3">
      <c r="F167" s="17"/>
    </row>
    <row r="168" spans="6:6" x14ac:dyDescent="0.3">
      <c r="F168" s="17"/>
    </row>
    <row r="169" spans="6:6" x14ac:dyDescent="0.3">
      <c r="F169" s="17"/>
    </row>
    <row r="170" spans="6:6" x14ac:dyDescent="0.3">
      <c r="F170" s="17"/>
    </row>
    <row r="171" spans="6:6" x14ac:dyDescent="0.3">
      <c r="F171" s="17"/>
    </row>
    <row r="172" spans="6:6" x14ac:dyDescent="0.3">
      <c r="F172" s="17"/>
    </row>
    <row r="173" spans="6:6" x14ac:dyDescent="0.3">
      <c r="F173" s="17"/>
    </row>
    <row r="174" spans="6:6" x14ac:dyDescent="0.3">
      <c r="F174" s="17"/>
    </row>
    <row r="175" spans="6:6" x14ac:dyDescent="0.3">
      <c r="F175" s="17"/>
    </row>
    <row r="176" spans="6:6" x14ac:dyDescent="0.3">
      <c r="F176" s="17"/>
    </row>
    <row r="177" spans="6:6" x14ac:dyDescent="0.3">
      <c r="F177" s="17"/>
    </row>
    <row r="178" spans="6:6" x14ac:dyDescent="0.3">
      <c r="F178" s="17"/>
    </row>
    <row r="179" spans="6:6" x14ac:dyDescent="0.3">
      <c r="F179" s="17"/>
    </row>
    <row r="180" spans="6:6" x14ac:dyDescent="0.3">
      <c r="F180" s="17"/>
    </row>
    <row r="181" spans="6:6" x14ac:dyDescent="0.3">
      <c r="F181" s="17"/>
    </row>
    <row r="182" spans="6:6" x14ac:dyDescent="0.3">
      <c r="F182" s="17"/>
    </row>
    <row r="183" spans="6:6" x14ac:dyDescent="0.3">
      <c r="F183" s="17"/>
    </row>
    <row r="184" spans="6:6" x14ac:dyDescent="0.3">
      <c r="F184" s="17"/>
    </row>
    <row r="185" spans="6:6" x14ac:dyDescent="0.3">
      <c r="F185" s="17"/>
    </row>
    <row r="186" spans="6:6" x14ac:dyDescent="0.3">
      <c r="F186" s="17"/>
    </row>
    <row r="187" spans="6:6" x14ac:dyDescent="0.3">
      <c r="F187" s="17"/>
    </row>
    <row r="188" spans="6:6" x14ac:dyDescent="0.3">
      <c r="F188" s="17"/>
    </row>
    <row r="189" spans="6:6" x14ac:dyDescent="0.3">
      <c r="F189" s="17"/>
    </row>
    <row r="190" spans="6:6" x14ac:dyDescent="0.3">
      <c r="F190" s="17"/>
    </row>
    <row r="191" spans="6:6" x14ac:dyDescent="0.3">
      <c r="F191" s="17"/>
    </row>
    <row r="192" spans="6:6" x14ac:dyDescent="0.3">
      <c r="F192" s="17"/>
    </row>
    <row r="193" spans="6:6" x14ac:dyDescent="0.3">
      <c r="F193" s="17"/>
    </row>
    <row r="194" spans="6:6" x14ac:dyDescent="0.3">
      <c r="F194" s="17"/>
    </row>
    <row r="195" spans="6:6" x14ac:dyDescent="0.3">
      <c r="F195" s="17"/>
    </row>
    <row r="196" spans="6:6" x14ac:dyDescent="0.3">
      <c r="F196" s="17"/>
    </row>
    <row r="197" spans="6:6" x14ac:dyDescent="0.3">
      <c r="F197" s="17"/>
    </row>
    <row r="198" spans="6:6" x14ac:dyDescent="0.3">
      <c r="F198" s="17"/>
    </row>
    <row r="199" spans="6:6" x14ac:dyDescent="0.3">
      <c r="F199" s="17"/>
    </row>
    <row r="200" spans="6:6" x14ac:dyDescent="0.3">
      <c r="F200" s="17"/>
    </row>
    <row r="201" spans="6:6" x14ac:dyDescent="0.3">
      <c r="F201" s="17"/>
    </row>
    <row r="202" spans="6:6" x14ac:dyDescent="0.3">
      <c r="F202" s="17"/>
    </row>
    <row r="203" spans="6:6" x14ac:dyDescent="0.3">
      <c r="F203" s="17"/>
    </row>
    <row r="204" spans="6:6" x14ac:dyDescent="0.3">
      <c r="F204" s="17"/>
    </row>
    <row r="205" spans="6:6" x14ac:dyDescent="0.3">
      <c r="F205" s="17"/>
    </row>
    <row r="206" spans="6:6" x14ac:dyDescent="0.3">
      <c r="F206" s="17"/>
    </row>
    <row r="207" spans="6:6" x14ac:dyDescent="0.3">
      <c r="F207" s="17"/>
    </row>
    <row r="208" spans="6:6" x14ac:dyDescent="0.3">
      <c r="F208" s="17"/>
    </row>
    <row r="209" spans="6:6" x14ac:dyDescent="0.3">
      <c r="F209" s="17"/>
    </row>
    <row r="210" spans="6:6" x14ac:dyDescent="0.3">
      <c r="F210" s="17"/>
    </row>
    <row r="211" spans="6:6" x14ac:dyDescent="0.3">
      <c r="F211" s="17"/>
    </row>
    <row r="212" spans="6:6" x14ac:dyDescent="0.3">
      <c r="F212" s="17"/>
    </row>
    <row r="213" spans="6:6" x14ac:dyDescent="0.3">
      <c r="F213" s="17"/>
    </row>
    <row r="214" spans="6:6" x14ac:dyDescent="0.3">
      <c r="F214" s="17"/>
    </row>
    <row r="215" spans="6:6" x14ac:dyDescent="0.3">
      <c r="F215" s="17"/>
    </row>
    <row r="216" spans="6:6" x14ac:dyDescent="0.3">
      <c r="F216" s="17"/>
    </row>
    <row r="217" spans="6:6" x14ac:dyDescent="0.3">
      <c r="F217" s="17"/>
    </row>
    <row r="218" spans="6:6" x14ac:dyDescent="0.3">
      <c r="F218" s="17"/>
    </row>
    <row r="219" spans="6:6" x14ac:dyDescent="0.3">
      <c r="F219" s="17"/>
    </row>
    <row r="220" spans="6:6" x14ac:dyDescent="0.3">
      <c r="F220" s="17"/>
    </row>
    <row r="221" spans="6:6" x14ac:dyDescent="0.3">
      <c r="F221" s="17"/>
    </row>
    <row r="222" spans="6:6" x14ac:dyDescent="0.3">
      <c r="F222" s="17"/>
    </row>
    <row r="223" spans="6:6" x14ac:dyDescent="0.3">
      <c r="F223" s="17"/>
    </row>
    <row r="224" spans="6:6" x14ac:dyDescent="0.3">
      <c r="F224" s="17"/>
    </row>
    <row r="225" spans="6:6" x14ac:dyDescent="0.3">
      <c r="F225" s="17"/>
    </row>
    <row r="226" spans="6:6" x14ac:dyDescent="0.3">
      <c r="F226" s="17"/>
    </row>
    <row r="227" spans="6:6" x14ac:dyDescent="0.3">
      <c r="F227" s="17"/>
    </row>
    <row r="228" spans="6:6" x14ac:dyDescent="0.3">
      <c r="F228" s="17"/>
    </row>
    <row r="229" spans="6:6" x14ac:dyDescent="0.3">
      <c r="F229" s="17"/>
    </row>
    <row r="230" spans="6:6" x14ac:dyDescent="0.3">
      <c r="F230" s="17"/>
    </row>
    <row r="231" spans="6:6" x14ac:dyDescent="0.3">
      <c r="F231" s="17"/>
    </row>
    <row r="232" spans="6:6" x14ac:dyDescent="0.3">
      <c r="F232" s="17"/>
    </row>
    <row r="233" spans="6:6" x14ac:dyDescent="0.3">
      <c r="F233" s="17"/>
    </row>
    <row r="234" spans="6:6" x14ac:dyDescent="0.3">
      <c r="F234" s="17"/>
    </row>
    <row r="235" spans="6:6" x14ac:dyDescent="0.3">
      <c r="F235" s="17"/>
    </row>
    <row r="236" spans="6:6" x14ac:dyDescent="0.3">
      <c r="F236" s="17"/>
    </row>
    <row r="237" spans="6:6" x14ac:dyDescent="0.3">
      <c r="F237" s="17"/>
    </row>
    <row r="238" spans="6:6" x14ac:dyDescent="0.3">
      <c r="F238" s="17"/>
    </row>
    <row r="239" spans="6:6" x14ac:dyDescent="0.3">
      <c r="F239" s="17"/>
    </row>
    <row r="240" spans="6:6" x14ac:dyDescent="0.3">
      <c r="F240" s="17"/>
    </row>
    <row r="241" spans="6:6" x14ac:dyDescent="0.3">
      <c r="F241" s="17"/>
    </row>
    <row r="242" spans="6:6" x14ac:dyDescent="0.3">
      <c r="F242" s="17"/>
    </row>
    <row r="243" spans="6:6" x14ac:dyDescent="0.3">
      <c r="F243" s="17"/>
    </row>
    <row r="244" spans="6:6" x14ac:dyDescent="0.3">
      <c r="F244" s="17"/>
    </row>
    <row r="245" spans="6:6" x14ac:dyDescent="0.3">
      <c r="F245" s="17"/>
    </row>
    <row r="246" spans="6:6" x14ac:dyDescent="0.3">
      <c r="F246" s="17"/>
    </row>
    <row r="247" spans="6:6" x14ac:dyDescent="0.3">
      <c r="F247" s="17"/>
    </row>
    <row r="248" spans="6:6" x14ac:dyDescent="0.3">
      <c r="F248" s="17"/>
    </row>
    <row r="249" spans="6:6" x14ac:dyDescent="0.3">
      <c r="F249" s="17"/>
    </row>
    <row r="250" spans="6:6" x14ac:dyDescent="0.3">
      <c r="F250" s="17"/>
    </row>
    <row r="251" spans="6:6" x14ac:dyDescent="0.3">
      <c r="F251" s="17"/>
    </row>
    <row r="252" spans="6:6" x14ac:dyDescent="0.3">
      <c r="F252" s="17"/>
    </row>
    <row r="253" spans="6:6" x14ac:dyDescent="0.3">
      <c r="F253" s="17"/>
    </row>
    <row r="254" spans="6:6" x14ac:dyDescent="0.3">
      <c r="F254" s="17"/>
    </row>
    <row r="255" spans="6:6" x14ac:dyDescent="0.3">
      <c r="F255" s="17"/>
    </row>
    <row r="256" spans="6:6" x14ac:dyDescent="0.3">
      <c r="F256" s="17"/>
    </row>
    <row r="257" spans="6:6" x14ac:dyDescent="0.3">
      <c r="F257" s="17"/>
    </row>
    <row r="258" spans="6:6" x14ac:dyDescent="0.3">
      <c r="F258" s="17"/>
    </row>
    <row r="259" spans="6:6" x14ac:dyDescent="0.3">
      <c r="F259" s="17"/>
    </row>
    <row r="260" spans="6:6" x14ac:dyDescent="0.3">
      <c r="F260" s="17"/>
    </row>
    <row r="261" spans="6:6" x14ac:dyDescent="0.3">
      <c r="F261" s="17"/>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theme="4" tint="0.79998168889431442"/>
  </sheetPr>
  <dimension ref="A2:S149"/>
  <sheetViews>
    <sheetView topLeftCell="A121" zoomScale="74" zoomScaleNormal="80" workbookViewId="0">
      <selection activeCell="F138" sqref="F138:N144"/>
    </sheetView>
  </sheetViews>
  <sheetFormatPr defaultColWidth="8.88671875" defaultRowHeight="14.4" x14ac:dyDescent="0.3"/>
  <cols>
    <col min="1" max="1" width="8.6640625" customWidth="1"/>
    <col min="2" max="2" width="30.44140625" customWidth="1"/>
    <col min="3" max="3" width="19" customWidth="1"/>
    <col min="4" max="4" width="12.88671875" customWidth="1"/>
    <col min="5" max="5" width="11.33203125" customWidth="1"/>
    <col min="6" max="10" width="12.6640625" customWidth="1"/>
    <col min="11" max="11" width="14.33203125" customWidth="1"/>
    <col min="12" max="17" width="12.6640625" customWidth="1"/>
  </cols>
  <sheetData>
    <row r="2" spans="1:18" ht="21" x14ac:dyDescent="0.4">
      <c r="A2" s="2" t="s">
        <v>305</v>
      </c>
      <c r="F2" t="s">
        <v>280</v>
      </c>
      <c r="O2" t="s">
        <v>281</v>
      </c>
    </row>
    <row r="3" spans="1:18" x14ac:dyDescent="0.3">
      <c r="H3" s="9"/>
      <c r="I3" s="9"/>
      <c r="J3" s="9"/>
      <c r="K3" s="9"/>
      <c r="L3" s="9"/>
      <c r="M3" s="9"/>
      <c r="N3" s="9"/>
      <c r="P3" s="9"/>
    </row>
    <row r="4" spans="1:18" ht="28.8" x14ac:dyDescent="0.3">
      <c r="A4" s="206" t="s">
        <v>282</v>
      </c>
      <c r="B4" s="189"/>
      <c r="C4" s="189"/>
      <c r="D4" s="189"/>
      <c r="E4" s="189"/>
      <c r="F4" s="190" t="s">
        <v>97</v>
      </c>
      <c r="G4" s="190" t="s">
        <v>98</v>
      </c>
      <c r="H4" s="191"/>
      <c r="I4" s="190" t="s">
        <v>99</v>
      </c>
      <c r="J4" s="104"/>
      <c r="K4" s="190" t="s">
        <v>100</v>
      </c>
      <c r="L4" s="104"/>
      <c r="M4" s="104"/>
      <c r="N4" s="104"/>
      <c r="O4" s="105" t="s">
        <v>101</v>
      </c>
      <c r="P4" s="105" t="s">
        <v>283</v>
      </c>
      <c r="Q4" s="192" t="s">
        <v>102</v>
      </c>
      <c r="R4" s="190" t="s">
        <v>284</v>
      </c>
    </row>
    <row r="5" spans="1:18" ht="57" customHeight="1" x14ac:dyDescent="0.3">
      <c r="A5" s="98" t="s">
        <v>52</v>
      </c>
      <c r="B5" s="98" t="s">
        <v>282</v>
      </c>
      <c r="C5" s="98" t="s">
        <v>285</v>
      </c>
      <c r="D5" s="98" t="s">
        <v>55</v>
      </c>
      <c r="E5" s="194" t="s">
        <v>56</v>
      </c>
      <c r="F5" s="193"/>
      <c r="G5" s="99" t="s">
        <v>14</v>
      </c>
      <c r="H5" s="99" t="s">
        <v>15</v>
      </c>
      <c r="I5" s="99" t="s">
        <v>286</v>
      </c>
      <c r="J5" s="99" t="s">
        <v>287</v>
      </c>
      <c r="K5" s="99" t="s">
        <v>111</v>
      </c>
      <c r="L5" s="99" t="s">
        <v>112</v>
      </c>
      <c r="M5" s="99" t="s">
        <v>113</v>
      </c>
      <c r="N5" s="99" t="s">
        <v>114</v>
      </c>
      <c r="O5" s="99" t="s">
        <v>115</v>
      </c>
      <c r="P5" s="99" t="s">
        <v>288</v>
      </c>
      <c r="Q5" s="194" t="s">
        <v>289</v>
      </c>
      <c r="R5" s="99"/>
    </row>
    <row r="6" spans="1:18" x14ac:dyDescent="0.3">
      <c r="A6" s="22" t="s">
        <v>290</v>
      </c>
      <c r="B6" s="17" t="s">
        <v>173</v>
      </c>
      <c r="C6" s="17" t="s">
        <v>291</v>
      </c>
      <c r="D6" s="23" t="s">
        <v>128</v>
      </c>
      <c r="E6" s="23" t="s">
        <v>75</v>
      </c>
      <c r="F6" s="223">
        <f>SUM(G6:Q6)</f>
        <v>2.1829999999999999E-4</v>
      </c>
      <c r="G6" s="201">
        <v>8.1000000000000004E-5</v>
      </c>
      <c r="H6" s="202">
        <v>1E-4</v>
      </c>
      <c r="I6" s="203"/>
      <c r="J6" s="204"/>
      <c r="K6" s="205">
        <v>1.45E-5</v>
      </c>
      <c r="L6" s="205"/>
      <c r="M6" s="205">
        <v>0</v>
      </c>
      <c r="N6" s="205">
        <v>2.2799999999999999E-5</v>
      </c>
      <c r="O6" s="205"/>
      <c r="P6" s="14"/>
      <c r="Q6" s="204"/>
      <c r="R6" s="208">
        <f>'Parameters, country spec'!B19</f>
        <v>0.3247662162385499</v>
      </c>
    </row>
    <row r="7" spans="1:18" x14ac:dyDescent="0.3">
      <c r="A7" s="22" t="s">
        <v>292</v>
      </c>
      <c r="B7" s="17" t="s">
        <v>176</v>
      </c>
      <c r="C7" s="17" t="s">
        <v>291</v>
      </c>
      <c r="D7" s="23" t="s">
        <v>128</v>
      </c>
      <c r="E7" s="23" t="s">
        <v>75</v>
      </c>
      <c r="F7" s="221">
        <f t="shared" ref="F7:F16" si="0">SUM(G7:Q7)</f>
        <v>2.2610000000000002E-4</v>
      </c>
      <c r="G7" s="100">
        <v>7.8999999999999996E-5</v>
      </c>
      <c r="H7" s="101">
        <v>1E-4</v>
      </c>
      <c r="I7" s="16"/>
      <c r="J7" s="14"/>
      <c r="K7" s="102">
        <v>1.2E-5</v>
      </c>
      <c r="L7" s="102"/>
      <c r="M7" s="102">
        <v>1.2300000000000001E-5</v>
      </c>
      <c r="N7" s="102">
        <v>2.2799999999999999E-5</v>
      </c>
      <c r="O7" s="102"/>
      <c r="P7" s="14"/>
      <c r="Q7" s="14"/>
      <c r="R7" s="197">
        <f>'Parameters, country spec'!B20</f>
        <v>1.9544149435115246E-2</v>
      </c>
    </row>
    <row r="8" spans="1:18" x14ac:dyDescent="0.3">
      <c r="A8" s="22" t="s">
        <v>293</v>
      </c>
      <c r="B8" s="17" t="s">
        <v>180</v>
      </c>
      <c r="C8" s="17" t="s">
        <v>291</v>
      </c>
      <c r="D8" s="23" t="s">
        <v>128</v>
      </c>
      <c r="E8" s="23" t="s">
        <v>75</v>
      </c>
      <c r="F8" s="221">
        <f t="shared" si="0"/>
        <v>2.1040000000000002E-4</v>
      </c>
      <c r="G8" s="100">
        <v>7.1000000000000005E-5</v>
      </c>
      <c r="H8" s="101">
        <v>1E-4</v>
      </c>
      <c r="I8" s="16"/>
      <c r="J8" s="14"/>
      <c r="K8" s="102">
        <v>1.66E-5</v>
      </c>
      <c r="L8" s="102"/>
      <c r="M8" s="102">
        <v>0</v>
      </c>
      <c r="N8" s="102">
        <v>2.2799999999999999E-5</v>
      </c>
      <c r="O8" s="102"/>
      <c r="P8" s="14"/>
      <c r="Q8" s="14"/>
      <c r="R8" s="197">
        <f>'Parameters, country spec'!B21</f>
        <v>5.4547926099966608E-3</v>
      </c>
    </row>
    <row r="9" spans="1:18" x14ac:dyDescent="0.3">
      <c r="A9" s="22" t="s">
        <v>294</v>
      </c>
      <c r="B9" s="17" t="s">
        <v>181</v>
      </c>
      <c r="C9" s="17" t="s">
        <v>291</v>
      </c>
      <c r="D9" s="23" t="s">
        <v>128</v>
      </c>
      <c r="E9" s="23" t="s">
        <v>75</v>
      </c>
      <c r="F9" s="221">
        <f t="shared" si="0"/>
        <v>1.9940000000000002E-4</v>
      </c>
      <c r="G9" s="100">
        <v>6.3E-5</v>
      </c>
      <c r="H9" s="101">
        <v>1E-4</v>
      </c>
      <c r="I9" s="14"/>
      <c r="J9" s="14"/>
      <c r="K9" s="102">
        <v>1.36E-5</v>
      </c>
      <c r="L9" s="102"/>
      <c r="M9" s="102">
        <v>0</v>
      </c>
      <c r="N9" s="102">
        <v>2.2799999999999999E-5</v>
      </c>
      <c r="O9" s="102"/>
      <c r="P9" s="14"/>
      <c r="Q9" s="14"/>
      <c r="R9" s="197">
        <f>'Parameters, country spec'!B22</f>
        <v>3.9573904033440906E-3</v>
      </c>
    </row>
    <row r="10" spans="1:18" x14ac:dyDescent="0.3">
      <c r="A10" s="22" t="s">
        <v>295</v>
      </c>
      <c r="B10" s="17" t="s">
        <v>182</v>
      </c>
      <c r="C10" s="17" t="s">
        <v>291</v>
      </c>
      <c r="D10" s="23" t="s">
        <v>128</v>
      </c>
      <c r="E10" s="23" t="s">
        <v>75</v>
      </c>
      <c r="F10" s="221">
        <f t="shared" si="0"/>
        <v>2.2831000000000001E-4</v>
      </c>
      <c r="G10" s="100">
        <v>9.2999999999999997E-5</v>
      </c>
      <c r="H10" s="101">
        <v>1E-4</v>
      </c>
      <c r="I10" s="14"/>
      <c r="J10" s="14"/>
      <c r="K10" s="102">
        <v>1.1E-5</v>
      </c>
      <c r="L10" s="102"/>
      <c r="M10" s="102">
        <v>1.5099999999999999E-6</v>
      </c>
      <c r="N10" s="102">
        <v>2.2799999999999999E-5</v>
      </c>
      <c r="O10" s="102"/>
      <c r="P10" s="14"/>
      <c r="Q10" s="14"/>
      <c r="R10" s="197">
        <f>'Parameters, country spec'!B23</f>
        <v>0.33524969269006805</v>
      </c>
    </row>
    <row r="11" spans="1:18" x14ac:dyDescent="0.3">
      <c r="A11" s="22" t="s">
        <v>296</v>
      </c>
      <c r="B11" s="17" t="s">
        <v>183</v>
      </c>
      <c r="C11" s="17" t="s">
        <v>297</v>
      </c>
      <c r="D11" s="23" t="s">
        <v>128</v>
      </c>
      <c r="E11" s="23" t="s">
        <v>75</v>
      </c>
      <c r="F11" s="221">
        <f t="shared" si="0"/>
        <v>1.4275099999999999E-4</v>
      </c>
      <c r="G11" s="100">
        <v>0</v>
      </c>
      <c r="H11" s="101">
        <v>1E-4</v>
      </c>
      <c r="I11" s="16"/>
      <c r="J11" s="14"/>
      <c r="K11" s="102">
        <v>1.9700000000000001E-5</v>
      </c>
      <c r="L11" s="102"/>
      <c r="M11" s="102">
        <v>2.5100000000000001E-7</v>
      </c>
      <c r="N11" s="102">
        <v>2.2799999999999999E-5</v>
      </c>
      <c r="O11" s="102"/>
      <c r="P11" s="14"/>
      <c r="Q11" s="14"/>
      <c r="R11" s="197">
        <f>'Parameters, country spec'!B24</f>
        <v>6.9591530195853583E-4</v>
      </c>
    </row>
    <row r="12" spans="1:18" x14ac:dyDescent="0.3">
      <c r="A12" s="22" t="s">
        <v>298</v>
      </c>
      <c r="B12" s="17" t="s">
        <v>184</v>
      </c>
      <c r="C12" s="17" t="s">
        <v>297</v>
      </c>
      <c r="D12" s="23" t="s">
        <v>128</v>
      </c>
      <c r="E12" s="23" t="s">
        <v>75</v>
      </c>
      <c r="F12" s="221">
        <f t="shared" si="0"/>
        <v>1.7640000000000001E-4</v>
      </c>
      <c r="G12" s="100">
        <v>3.9999999999999998E-6</v>
      </c>
      <c r="H12" s="101">
        <v>1E-4</v>
      </c>
      <c r="I12" s="16"/>
      <c r="J12" s="14"/>
      <c r="K12" s="102">
        <v>2.0999999999999999E-5</v>
      </c>
      <c r="L12" s="102"/>
      <c r="M12" s="102">
        <v>2.8600000000000001E-5</v>
      </c>
      <c r="N12" s="102">
        <v>2.2799999999999999E-5</v>
      </c>
      <c r="O12" s="102"/>
      <c r="P12" s="14"/>
      <c r="Q12" s="14"/>
      <c r="R12" s="197">
        <f>'Parameters, country spec'!B25</f>
        <v>6.8361815808324494E-4</v>
      </c>
    </row>
    <row r="13" spans="1:18" x14ac:dyDescent="0.3">
      <c r="B13" s="18" t="s">
        <v>185</v>
      </c>
      <c r="C13" s="17" t="s">
        <v>299</v>
      </c>
      <c r="D13" s="23" t="str">
        <f>'Off-farm feed'!$D$75</f>
        <v>France, Germany, Poland</v>
      </c>
      <c r="E13" s="23" t="s">
        <v>74</v>
      </c>
      <c r="F13" s="222">
        <f>'Off-farm feed'!$E$75</f>
        <v>3.8246443678729497E-4</v>
      </c>
      <c r="G13" s="222">
        <f>'Off-farm feed'!$F$75</f>
        <v>1.684774766302073E-4</v>
      </c>
      <c r="H13" s="222">
        <f>'Off-farm feed'!$G$75</f>
        <v>4.5862068965517246E-5</v>
      </c>
      <c r="I13" s="222">
        <f>'Off-farm feed'!$H$75</f>
        <v>0</v>
      </c>
      <c r="J13" s="222">
        <f>'Off-farm feed'!$I$75</f>
        <v>0</v>
      </c>
      <c r="K13" s="222">
        <f>'Off-farm feed'!$J$75</f>
        <v>1.0936279334641699E-5</v>
      </c>
      <c r="L13" s="222">
        <f>'Off-farm feed'!$K$75</f>
        <v>0</v>
      </c>
      <c r="M13" s="222">
        <f>'Off-farm feed'!$L$75</f>
        <v>6.4606960551724142E-7</v>
      </c>
      <c r="N13" s="222">
        <f>'Off-farm feed'!$M$75</f>
        <v>2.1884761697575221E-5</v>
      </c>
      <c r="O13" s="222">
        <f>'Off-farm feed'!$N$75</f>
        <v>0</v>
      </c>
      <c r="P13" s="222">
        <f>'Off-farm feed'!$O$75</f>
        <v>4.5962128379923281E-5</v>
      </c>
      <c r="Q13" s="222">
        <f>'Off-farm feed'!$P$75</f>
        <v>8.8695652173913049E-5</v>
      </c>
      <c r="R13" s="197">
        <f>'Parameters, country spec'!B26</f>
        <v>4.36899603839115E-2</v>
      </c>
    </row>
    <row r="14" spans="1:18" x14ac:dyDescent="0.3">
      <c r="B14" s="18" t="s">
        <v>300</v>
      </c>
      <c r="C14" s="17" t="s">
        <v>299</v>
      </c>
      <c r="D14" s="23" t="str">
        <f>'Off-farm feed'!$D$24</f>
        <v>Brazil, Argentina</v>
      </c>
      <c r="E14" s="23"/>
      <c r="F14" s="222">
        <f>'Off-farm feed'!$E$24</f>
        <v>4.7266553697523981E-4</v>
      </c>
      <c r="G14" s="222">
        <f>'Off-farm feed'!$F$24</f>
        <v>1.5603516238625262E-5</v>
      </c>
      <c r="H14" s="222">
        <f>'Off-farm feed'!$G$24</f>
        <v>7.5304878048780503E-5</v>
      </c>
      <c r="I14" s="222">
        <f>'Off-farm feed'!$H$24</f>
        <v>0</v>
      </c>
      <c r="J14" s="222">
        <f>'Off-farm feed'!$I$24</f>
        <v>0</v>
      </c>
      <c r="K14" s="222">
        <f>'Off-farm feed'!$J$24</f>
        <v>1.908459074435586E-5</v>
      </c>
      <c r="L14" s="222">
        <f>'Off-farm feed'!$K$24</f>
        <v>0</v>
      </c>
      <c r="M14" s="222">
        <f>'Off-farm feed'!$L$24</f>
        <v>5.9672097439024396E-7</v>
      </c>
      <c r="N14" s="222">
        <f>'Off-farm feed'!$M$24</f>
        <v>2.3084271612619523E-5</v>
      </c>
      <c r="O14" s="222">
        <f>'Off-farm feed'!$N$24</f>
        <v>0</v>
      </c>
      <c r="P14" s="222">
        <f>'Off-farm feed'!$O$24</f>
        <v>1.2899155935646844E-4</v>
      </c>
      <c r="Q14" s="222">
        <f>'Off-farm feed'!$P$24</f>
        <v>2.1000000000000001E-4</v>
      </c>
      <c r="R14" s="197">
        <f>'Parameters, country spec'!B27</f>
        <v>0.1076444790964969</v>
      </c>
    </row>
    <row r="15" spans="1:18" x14ac:dyDescent="0.3">
      <c r="B15" s="17" t="s">
        <v>187</v>
      </c>
      <c r="C15" s="17" t="s">
        <v>301</v>
      </c>
      <c r="D15" s="23" t="s">
        <v>128</v>
      </c>
      <c r="E15" s="23" t="s">
        <v>75</v>
      </c>
      <c r="F15" s="222"/>
      <c r="G15" s="14"/>
      <c r="H15" s="14"/>
      <c r="I15" s="14"/>
      <c r="J15" s="14"/>
      <c r="K15" s="14"/>
      <c r="L15" s="14"/>
      <c r="M15" s="14"/>
      <c r="N15" s="14"/>
      <c r="O15" s="14"/>
      <c r="P15" s="8"/>
      <c r="Q15" s="14"/>
      <c r="R15" s="197">
        <f>'Parameters, country spec'!B28</f>
        <v>1.7669178559904096E-2</v>
      </c>
    </row>
    <row r="16" spans="1:18" x14ac:dyDescent="0.3">
      <c r="A16" s="83"/>
      <c r="B16" s="17" t="s">
        <v>302</v>
      </c>
      <c r="C16" s="84" t="s">
        <v>303</v>
      </c>
      <c r="D16" s="23" t="s">
        <v>128</v>
      </c>
      <c r="E16" s="23" t="s">
        <v>75</v>
      </c>
      <c r="F16" s="222">
        <f t="shared" si="0"/>
        <v>1.981268482058033E-4</v>
      </c>
      <c r="G16" s="82">
        <f t="shared" ref="G16:N16" si="1">AVERAGE(G6:G14)</f>
        <v>6.3897888096536945E-5</v>
      </c>
      <c r="H16" s="82">
        <f t="shared" si="1"/>
        <v>9.1240771890477534E-5</v>
      </c>
      <c r="I16" s="82">
        <f t="shared" si="1"/>
        <v>0</v>
      </c>
      <c r="J16" s="82">
        <f t="shared" si="1"/>
        <v>0</v>
      </c>
      <c r="K16" s="82">
        <f t="shared" si="1"/>
        <v>1.5380096675444172E-5</v>
      </c>
      <c r="L16" s="82">
        <f t="shared" si="1"/>
        <v>0</v>
      </c>
      <c r="M16" s="82">
        <f t="shared" si="1"/>
        <v>4.8781989533230542E-6</v>
      </c>
      <c r="N16" s="82">
        <f t="shared" si="1"/>
        <v>2.2729892590021635E-5</v>
      </c>
      <c r="O16" s="82"/>
      <c r="P16" s="81"/>
      <c r="Q16" s="82"/>
      <c r="R16" s="197">
        <f>'Parameters, country spec'!B29</f>
        <v>0.14064460712257179</v>
      </c>
    </row>
    <row r="17" spans="1:18" x14ac:dyDescent="0.3">
      <c r="A17" s="195"/>
      <c r="B17" s="25" t="s">
        <v>304</v>
      </c>
      <c r="C17" s="26"/>
      <c r="D17" s="103"/>
      <c r="E17" s="103"/>
      <c r="F17" s="46">
        <f t="shared" ref="F17:O17" si="2">SUMPRODUCT(F6:F16,$R$6:$R$16)</f>
        <v>2.4946814372254654E-4</v>
      </c>
      <c r="G17" s="46">
        <f>SUMPRODUCT(G6:G16,$R$6:$R$16)</f>
        <v>7.769491310866094E-5</v>
      </c>
      <c r="H17" s="46">
        <f t="shared" si="2"/>
        <v>9.1977566347021842E-5</v>
      </c>
      <c r="I17" s="46">
        <f t="shared" si="2"/>
        <v>0</v>
      </c>
      <c r="J17" s="46">
        <f t="shared" si="2"/>
        <v>0</v>
      </c>
      <c r="K17" s="46">
        <f t="shared" si="2"/>
        <v>1.3499106222599776E-5</v>
      </c>
      <c r="L17" s="46">
        <f t="shared" si="2"/>
        <v>0</v>
      </c>
      <c r="M17" s="46">
        <f t="shared" si="2"/>
        <v>1.5448990772562442E-6</v>
      </c>
      <c r="N17" s="46">
        <f t="shared" si="2"/>
        <v>2.2377896044188967E-5</v>
      </c>
      <c r="O17" s="46">
        <f t="shared" si="2"/>
        <v>0</v>
      </c>
      <c r="P17" s="30">
        <f>SUMPRODUCT(P6:P16,R6:R16)</f>
        <v>1.589331278285101E-5</v>
      </c>
      <c r="Q17" s="46">
        <f>SUMPRODUCT(Q6:Q16,$R$6:$R$16)</f>
        <v>2.6480450139967805E-5</v>
      </c>
      <c r="R17" s="207"/>
    </row>
    <row r="18" spans="1:18" x14ac:dyDescent="0.3">
      <c r="A18" s="22" t="s">
        <v>290</v>
      </c>
      <c r="B18" s="17" t="s">
        <v>173</v>
      </c>
      <c r="C18" s="17" t="s">
        <v>291</v>
      </c>
      <c r="D18" s="23" t="s">
        <v>35</v>
      </c>
      <c r="E18" s="23" t="s">
        <v>76</v>
      </c>
      <c r="F18" s="223">
        <f>SUM(G18:Q18)</f>
        <v>2.8210000000000003E-4</v>
      </c>
      <c r="G18" s="201">
        <v>1.4999999999999999E-4</v>
      </c>
      <c r="H18" s="202">
        <v>1E-4</v>
      </c>
      <c r="I18" s="203"/>
      <c r="J18" s="204"/>
      <c r="K18" s="205">
        <v>1.3200000000000001E-5</v>
      </c>
      <c r="L18" s="205"/>
      <c r="M18" s="205">
        <v>9.9999999999999995E-7</v>
      </c>
      <c r="N18" s="205">
        <v>1.7900000000000001E-5</v>
      </c>
      <c r="O18" s="205"/>
      <c r="P18" s="14"/>
      <c r="Q18" s="204"/>
      <c r="R18" s="208">
        <f>'Parameters, country spec'!C19</f>
        <v>0.12938618407074468</v>
      </c>
    </row>
    <row r="19" spans="1:18" x14ac:dyDescent="0.3">
      <c r="A19" s="22" t="s">
        <v>292</v>
      </c>
      <c r="B19" s="17" t="s">
        <v>176</v>
      </c>
      <c r="C19" s="17" t="s">
        <v>291</v>
      </c>
      <c r="D19" s="23" t="s">
        <v>35</v>
      </c>
      <c r="E19" s="23" t="s">
        <v>76</v>
      </c>
      <c r="F19" s="221">
        <f t="shared" ref="F19:F28" si="3">SUM(G19:Q19)</f>
        <v>2.9971000000000002E-4</v>
      </c>
      <c r="G19" s="100">
        <v>1.4999999999999999E-4</v>
      </c>
      <c r="H19" s="101">
        <v>1E-4</v>
      </c>
      <c r="I19" s="16"/>
      <c r="J19" s="14"/>
      <c r="K19" s="102">
        <v>9.0100000000000001E-6</v>
      </c>
      <c r="L19" s="102"/>
      <c r="M19" s="102">
        <v>2.2799999999999999E-5</v>
      </c>
      <c r="N19" s="102">
        <v>1.7900000000000001E-5</v>
      </c>
      <c r="O19" s="102"/>
      <c r="P19" s="14"/>
      <c r="Q19" s="14"/>
      <c r="R19" s="197">
        <f>'Parameters, country spec'!C20</f>
        <v>0.21280975376032865</v>
      </c>
    </row>
    <row r="20" spans="1:18" x14ac:dyDescent="0.3">
      <c r="A20" s="22" t="s">
        <v>293</v>
      </c>
      <c r="B20" s="17" t="s">
        <v>180</v>
      </c>
      <c r="C20" s="17" t="s">
        <v>291</v>
      </c>
      <c r="D20" s="23" t="s">
        <v>35</v>
      </c>
      <c r="E20" s="23" t="s">
        <v>76</v>
      </c>
      <c r="F20" s="221">
        <f t="shared" si="3"/>
        <v>2.7940000000000002E-4</v>
      </c>
      <c r="G20" s="100">
        <v>1.2999999999999999E-4</v>
      </c>
      <c r="H20" s="101">
        <v>1E-4</v>
      </c>
      <c r="I20" s="16"/>
      <c r="J20" s="14"/>
      <c r="K20" s="102">
        <v>1.8199999999999999E-5</v>
      </c>
      <c r="L20" s="102"/>
      <c r="M20" s="102">
        <v>1.33E-5</v>
      </c>
      <c r="N20" s="102">
        <v>1.7900000000000001E-5</v>
      </c>
      <c r="O20" s="102"/>
      <c r="P20" s="14"/>
      <c r="Q20" s="14"/>
      <c r="R20" s="197">
        <f>'Parameters, country spec'!C21</f>
        <v>1.4661663802605954E-2</v>
      </c>
    </row>
    <row r="21" spans="1:18" x14ac:dyDescent="0.3">
      <c r="A21" s="22" t="s">
        <v>294</v>
      </c>
      <c r="B21" s="17" t="s">
        <v>181</v>
      </c>
      <c r="C21" s="17" t="s">
        <v>291</v>
      </c>
      <c r="D21" s="23" t="s">
        <v>35</v>
      </c>
      <c r="E21" s="23" t="s">
        <v>76</v>
      </c>
      <c r="F21" s="221">
        <f t="shared" si="3"/>
        <v>2.5635100000000004E-4</v>
      </c>
      <c r="G21" s="100">
        <v>1.2E-4</v>
      </c>
      <c r="H21" s="101">
        <v>1E-4</v>
      </c>
      <c r="I21" s="14"/>
      <c r="J21" s="14"/>
      <c r="K21" s="102">
        <v>1.8199999999999999E-5</v>
      </c>
      <c r="L21" s="102"/>
      <c r="M21" s="102">
        <v>2.5100000000000001E-7</v>
      </c>
      <c r="N21" s="102">
        <v>1.7900000000000001E-5</v>
      </c>
      <c r="O21" s="102"/>
      <c r="P21" s="14"/>
      <c r="Q21" s="14"/>
      <c r="R21" s="197">
        <f>'Parameters, country spec'!C22</f>
        <v>2.2515954502451301E-3</v>
      </c>
    </row>
    <row r="22" spans="1:18" x14ac:dyDescent="0.3">
      <c r="A22" s="22" t="s">
        <v>295</v>
      </c>
      <c r="B22" s="17" t="s">
        <v>182</v>
      </c>
      <c r="C22" s="17" t="s">
        <v>291</v>
      </c>
      <c r="D22" s="23" t="s">
        <v>35</v>
      </c>
      <c r="E22" s="23" t="s">
        <v>76</v>
      </c>
      <c r="F22" s="221">
        <f t="shared" si="3"/>
        <v>3.0055300000000001E-4</v>
      </c>
      <c r="G22" s="100">
        <v>1.7000000000000001E-4</v>
      </c>
      <c r="H22" s="101">
        <v>1E-4</v>
      </c>
      <c r="I22" s="14"/>
      <c r="J22" s="14"/>
      <c r="K22" s="102">
        <v>1.19E-5</v>
      </c>
      <c r="L22" s="102"/>
      <c r="M22" s="102">
        <v>7.5300000000000003E-7</v>
      </c>
      <c r="N22" s="102">
        <v>1.7900000000000001E-5</v>
      </c>
      <c r="O22" s="102"/>
      <c r="P22" s="14"/>
      <c r="Q22" s="14"/>
      <c r="R22" s="197">
        <f>'Parameters, country spec'!C23</f>
        <v>0.31521053769451607</v>
      </c>
    </row>
    <row r="23" spans="1:18" x14ac:dyDescent="0.3">
      <c r="A23" s="22" t="s">
        <v>296</v>
      </c>
      <c r="B23" s="17" t="s">
        <v>183</v>
      </c>
      <c r="C23" s="17" t="s">
        <v>297</v>
      </c>
      <c r="D23" s="23" t="s">
        <v>35</v>
      </c>
      <c r="E23" s="23" t="s">
        <v>76</v>
      </c>
      <c r="F23" s="221">
        <f t="shared" si="3"/>
        <v>1.4692000000000001E-4</v>
      </c>
      <c r="G23" s="100">
        <v>0</v>
      </c>
      <c r="H23" s="101">
        <v>1E-4</v>
      </c>
      <c r="I23" s="16"/>
      <c r="J23" s="14"/>
      <c r="K23" s="102">
        <v>2.2500000000000001E-5</v>
      </c>
      <c r="L23" s="102"/>
      <c r="M23" s="102">
        <v>6.5200000000000003E-6</v>
      </c>
      <c r="N23" s="102">
        <v>1.7900000000000001E-5</v>
      </c>
      <c r="O23" s="102"/>
      <c r="P23" s="14"/>
      <c r="Q23" s="14"/>
      <c r="R23" s="197">
        <f>'Parameters, country spec'!C24</f>
        <v>0</v>
      </c>
    </row>
    <row r="24" spans="1:18" x14ac:dyDescent="0.3">
      <c r="A24" s="22" t="s">
        <v>298</v>
      </c>
      <c r="B24" s="17" t="s">
        <v>184</v>
      </c>
      <c r="C24" s="17" t="s">
        <v>297</v>
      </c>
      <c r="D24" s="23" t="s">
        <v>35</v>
      </c>
      <c r="E24" s="23" t="s">
        <v>76</v>
      </c>
      <c r="F24" s="221">
        <f t="shared" si="3"/>
        <v>1.674E-4</v>
      </c>
      <c r="G24" s="100">
        <v>7.5000000000000002E-6</v>
      </c>
      <c r="H24" s="101">
        <v>1E-4</v>
      </c>
      <c r="I24" s="16"/>
      <c r="J24" s="14"/>
      <c r="K24" s="102">
        <v>3.0700000000000001E-5</v>
      </c>
      <c r="L24" s="102"/>
      <c r="M24" s="102">
        <v>1.13E-5</v>
      </c>
      <c r="N24" s="102">
        <v>1.7900000000000001E-5</v>
      </c>
      <c r="O24" s="102"/>
      <c r="P24" s="14"/>
      <c r="Q24" s="14"/>
      <c r="R24" s="197">
        <f>'Parameters, country spec'!C25</f>
        <v>0</v>
      </c>
    </row>
    <row r="25" spans="1:18" x14ac:dyDescent="0.3">
      <c r="B25" s="18" t="s">
        <v>185</v>
      </c>
      <c r="C25" s="17" t="s">
        <v>299</v>
      </c>
      <c r="D25" s="23" t="str">
        <f>'Off-farm feed'!$D$75</f>
        <v>France, Germany, Poland</v>
      </c>
      <c r="E25" s="23" t="s">
        <v>74</v>
      </c>
      <c r="F25" s="222">
        <f>'Off-farm feed'!$E$75</f>
        <v>3.8246443678729497E-4</v>
      </c>
      <c r="G25" s="222">
        <f>'Off-farm feed'!$F$75</f>
        <v>1.684774766302073E-4</v>
      </c>
      <c r="H25" s="222">
        <f>'Off-farm feed'!$G$75</f>
        <v>4.5862068965517246E-5</v>
      </c>
      <c r="I25" s="222">
        <f>'Off-farm feed'!$H$75</f>
        <v>0</v>
      </c>
      <c r="J25" s="222">
        <f>'Off-farm feed'!$I$75</f>
        <v>0</v>
      </c>
      <c r="K25" s="222">
        <f>'Off-farm feed'!$J$75</f>
        <v>1.0936279334641699E-5</v>
      </c>
      <c r="L25" s="222">
        <f>'Off-farm feed'!$K$75</f>
        <v>0</v>
      </c>
      <c r="M25" s="222">
        <f>'Off-farm feed'!$L$75</f>
        <v>6.4606960551724142E-7</v>
      </c>
      <c r="N25" s="222">
        <f>'Off-farm feed'!$M$75</f>
        <v>2.1884761697575221E-5</v>
      </c>
      <c r="O25" s="222">
        <f>'Off-farm feed'!$N$75</f>
        <v>0</v>
      </c>
      <c r="P25" s="222">
        <f>'Off-farm feed'!$O$75</f>
        <v>4.5962128379923281E-5</v>
      </c>
      <c r="Q25" s="222">
        <f>'Off-farm feed'!$P$75</f>
        <v>8.8695652173913049E-5</v>
      </c>
      <c r="R25" s="197">
        <f>'Parameters, country spec'!C26</f>
        <v>9.7073458625180783E-2</v>
      </c>
    </row>
    <row r="26" spans="1:18" x14ac:dyDescent="0.3">
      <c r="B26" s="18" t="s">
        <v>300</v>
      </c>
      <c r="C26" s="17" t="s">
        <v>299</v>
      </c>
      <c r="D26" s="23" t="str">
        <f>'Off-farm feed'!$D$24</f>
        <v>Brazil, Argentina</v>
      </c>
      <c r="E26" s="23"/>
      <c r="F26" s="222">
        <f>'Off-farm feed'!$E$24</f>
        <v>4.7266553697523981E-4</v>
      </c>
      <c r="G26" s="222">
        <f>'Off-farm feed'!$F$24</f>
        <v>1.5603516238625262E-5</v>
      </c>
      <c r="H26" s="222">
        <f>'Off-farm feed'!$G$24</f>
        <v>7.5304878048780503E-5</v>
      </c>
      <c r="I26" s="222">
        <f>'Off-farm feed'!$H$24</f>
        <v>0</v>
      </c>
      <c r="J26" s="222">
        <f>'Off-farm feed'!$I$24</f>
        <v>0</v>
      </c>
      <c r="K26" s="222">
        <f>'Off-farm feed'!$J$24</f>
        <v>1.908459074435586E-5</v>
      </c>
      <c r="L26" s="222">
        <f>'Off-farm feed'!$K$24</f>
        <v>0</v>
      </c>
      <c r="M26" s="222">
        <f>'Off-farm feed'!$L$24</f>
        <v>5.9672097439024396E-7</v>
      </c>
      <c r="N26" s="222">
        <f>'Off-farm feed'!$M$24</f>
        <v>2.3084271612619523E-5</v>
      </c>
      <c r="O26" s="222">
        <f>'Off-farm feed'!$N$24</f>
        <v>0</v>
      </c>
      <c r="P26" s="222">
        <f>'Off-farm feed'!$O$24</f>
        <v>1.2899155935646844E-4</v>
      </c>
      <c r="Q26" s="222">
        <f>'Off-farm feed'!$P$24</f>
        <v>2.1000000000000001E-4</v>
      </c>
      <c r="R26" s="197">
        <f>'Parameters, country spec'!C27</f>
        <v>8.7459166665531385E-2</v>
      </c>
    </row>
    <row r="27" spans="1:18" x14ac:dyDescent="0.3">
      <c r="B27" s="17" t="s">
        <v>187</v>
      </c>
      <c r="C27" s="17" t="s">
        <v>301</v>
      </c>
      <c r="D27" s="23" t="s">
        <v>35</v>
      </c>
      <c r="E27" s="23" t="s">
        <v>76</v>
      </c>
      <c r="F27" s="222"/>
      <c r="G27" s="14"/>
      <c r="H27" s="14"/>
      <c r="I27" s="14"/>
      <c r="J27" s="14"/>
      <c r="K27" s="14"/>
      <c r="L27" s="14"/>
      <c r="M27" s="14"/>
      <c r="N27" s="14"/>
      <c r="O27" s="14"/>
      <c r="P27" s="8"/>
      <c r="Q27" s="14"/>
      <c r="R27" s="197">
        <f>'Parameters, country spec'!C28</f>
        <v>8.0151207366747315E-2</v>
      </c>
    </row>
    <row r="28" spans="1:18" x14ac:dyDescent="0.3">
      <c r="A28" s="83"/>
      <c r="B28" s="17" t="s">
        <v>302</v>
      </c>
      <c r="C28" s="84" t="s">
        <v>303</v>
      </c>
      <c r="D28" s="23" t="s">
        <v>35</v>
      </c>
      <c r="E28" s="23" t="s">
        <v>76</v>
      </c>
      <c r="F28" s="222">
        <f t="shared" si="3"/>
        <v>2.3487940376135891E-4</v>
      </c>
      <c r="G28" s="82">
        <f t="shared" ref="G28:N28" si="4">AVERAGE(G18:G26)</f>
        <v>1.0128677698542583E-4</v>
      </c>
      <c r="H28" s="82">
        <f t="shared" si="4"/>
        <v>9.1240771890477534E-5</v>
      </c>
      <c r="I28" s="82">
        <f t="shared" si="4"/>
        <v>0</v>
      </c>
      <c r="J28" s="82">
        <f t="shared" si="4"/>
        <v>0</v>
      </c>
      <c r="K28" s="82">
        <f t="shared" si="4"/>
        <v>1.7081207786555287E-5</v>
      </c>
      <c r="L28" s="82">
        <f t="shared" si="4"/>
        <v>0</v>
      </c>
      <c r="M28" s="82">
        <f t="shared" si="4"/>
        <v>6.3518656199897199E-6</v>
      </c>
      <c r="N28" s="82">
        <f t="shared" si="4"/>
        <v>1.8918781478910528E-5</v>
      </c>
      <c r="O28" s="82"/>
      <c r="P28" s="81"/>
      <c r="Q28" s="82"/>
      <c r="R28" s="197">
        <f>'Parameters, country spec'!C29</f>
        <v>6.0996432564100048E-2</v>
      </c>
    </row>
    <row r="29" spans="1:18" x14ac:dyDescent="0.3">
      <c r="A29" s="195"/>
      <c r="B29" s="25" t="s">
        <v>304</v>
      </c>
      <c r="C29" s="26"/>
      <c r="D29" s="103"/>
      <c r="E29" s="103"/>
      <c r="F29" s="46">
        <f t="shared" ref="F29:O29" si="5">SUMPRODUCT(F18:F28,$R$18:$R$28)</f>
        <v>2.9248507954094972E-4</v>
      </c>
      <c r="G29" s="46">
        <f>SUMPRODUCT(G18:G28,$R$18:$R$28)</f>
        <v>1.3098888377734304E-4</v>
      </c>
      <c r="H29" s="46">
        <f t="shared" si="5"/>
        <v>8.4035426601743139E-5</v>
      </c>
      <c r="I29" s="46">
        <f t="shared" si="5"/>
        <v>0</v>
      </c>
      <c r="J29" s="46">
        <f t="shared" si="5"/>
        <v>0</v>
      </c>
      <c r="K29" s="46">
        <f t="shared" si="5"/>
        <v>1.145677782910586E-5</v>
      </c>
      <c r="L29" s="46">
        <f t="shared" si="5"/>
        <v>0</v>
      </c>
      <c r="M29" s="46">
        <f t="shared" si="5"/>
        <v>5.9167134569409868E-6</v>
      </c>
      <c r="N29" s="46">
        <f t="shared" si="5"/>
        <v>1.7367662098699395E-5</v>
      </c>
      <c r="O29" s="46">
        <f t="shared" si="5"/>
        <v>0</v>
      </c>
      <c r="P29" s="30">
        <f>SUMPRODUCT(P18:P28,R18:R28)</f>
        <v>1.5743197055817886E-5</v>
      </c>
      <c r="Q29" s="46">
        <f>SUMPRODUCT(Q18:Q28,$R$18:$R$28)</f>
        <v>2.6976418721299364E-5</v>
      </c>
      <c r="R29" s="198"/>
    </row>
    <row r="30" spans="1:18" x14ac:dyDescent="0.3">
      <c r="A30" s="22" t="s">
        <v>290</v>
      </c>
      <c r="B30" s="17" t="s">
        <v>173</v>
      </c>
      <c r="C30" s="17" t="s">
        <v>291</v>
      </c>
      <c r="D30" s="23" t="s">
        <v>29</v>
      </c>
      <c r="E30" s="23" t="s">
        <v>77</v>
      </c>
      <c r="F30" s="223">
        <f>SUM(G30:Q30)</f>
        <v>2.9299999999999997E-4</v>
      </c>
      <c r="G30" s="201">
        <v>1.4999999999999999E-4</v>
      </c>
      <c r="H30" s="202">
        <v>1E-4</v>
      </c>
      <c r="I30" s="203"/>
      <c r="J30" s="204"/>
      <c r="K30" s="205">
        <v>1.27E-5</v>
      </c>
      <c r="L30" s="205"/>
      <c r="M30" s="205">
        <v>0</v>
      </c>
      <c r="N30" s="205">
        <v>3.0300000000000001E-5</v>
      </c>
      <c r="O30" s="205"/>
      <c r="P30" s="14"/>
      <c r="Q30" s="204"/>
      <c r="R30" s="208">
        <f>'Parameters, country spec'!D19</f>
        <v>0.12840126760243717</v>
      </c>
    </row>
    <row r="31" spans="1:18" x14ac:dyDescent="0.3">
      <c r="A31" s="22" t="s">
        <v>292</v>
      </c>
      <c r="B31" s="17" t="s">
        <v>176</v>
      </c>
      <c r="C31" s="17" t="s">
        <v>291</v>
      </c>
      <c r="D31" s="23" t="s">
        <v>29</v>
      </c>
      <c r="E31" s="23" t="s">
        <v>77</v>
      </c>
      <c r="F31" s="221">
        <f t="shared" ref="F31:F40" si="6">SUM(G31:Q31)</f>
        <v>2.9417999999999995E-4</v>
      </c>
      <c r="G31" s="100">
        <v>1.4999999999999999E-4</v>
      </c>
      <c r="H31" s="101">
        <v>1E-4</v>
      </c>
      <c r="I31" s="16"/>
      <c r="J31" s="14"/>
      <c r="K31" s="102">
        <v>8.6100000000000006E-6</v>
      </c>
      <c r="L31" s="102"/>
      <c r="M31" s="102">
        <v>5.2700000000000004E-6</v>
      </c>
      <c r="N31" s="102">
        <v>3.0300000000000001E-5</v>
      </c>
      <c r="O31" s="102"/>
      <c r="P31" s="14"/>
      <c r="Q31" s="14"/>
      <c r="R31" s="197">
        <f>'Parameters, country spec'!D20</f>
        <v>0.19116633717197407</v>
      </c>
    </row>
    <row r="32" spans="1:18" x14ac:dyDescent="0.3">
      <c r="A32" s="22" t="s">
        <v>293</v>
      </c>
      <c r="B32" s="17" t="s">
        <v>180</v>
      </c>
      <c r="C32" s="17" t="s">
        <v>291</v>
      </c>
      <c r="D32" s="23" t="s">
        <v>29</v>
      </c>
      <c r="E32" s="23" t="s">
        <v>77</v>
      </c>
      <c r="F32" s="221">
        <f t="shared" si="6"/>
        <v>2.8010000000000003E-4</v>
      </c>
      <c r="G32" s="100">
        <v>1.2999999999999999E-4</v>
      </c>
      <c r="H32" s="101">
        <v>1E-4</v>
      </c>
      <c r="I32" s="16"/>
      <c r="J32" s="14"/>
      <c r="K32" s="102">
        <v>1.88E-5</v>
      </c>
      <c r="L32" s="102"/>
      <c r="M32" s="102">
        <v>9.9999999999999995E-7</v>
      </c>
      <c r="N32" s="102">
        <v>3.0300000000000001E-5</v>
      </c>
      <c r="O32" s="102"/>
      <c r="P32" s="14"/>
      <c r="Q32" s="14"/>
      <c r="R32" s="197">
        <f>'Parameters, country spec'!D21</f>
        <v>2.5558758775563904E-5</v>
      </c>
    </row>
    <row r="33" spans="1:18" x14ac:dyDescent="0.3">
      <c r="A33" s="22" t="s">
        <v>294</v>
      </c>
      <c r="B33" s="17" t="s">
        <v>181</v>
      </c>
      <c r="C33" s="17" t="s">
        <v>291</v>
      </c>
      <c r="D33" s="23" t="s">
        <v>29</v>
      </c>
      <c r="E33" s="23" t="s">
        <v>77</v>
      </c>
      <c r="F33" s="221">
        <f t="shared" si="6"/>
        <v>2.6639999999999997E-4</v>
      </c>
      <c r="G33" s="100">
        <v>1.2E-4</v>
      </c>
      <c r="H33" s="101">
        <v>1E-4</v>
      </c>
      <c r="I33" s="14"/>
      <c r="J33" s="14"/>
      <c r="K33" s="102">
        <v>1.6099999999999998E-5</v>
      </c>
      <c r="L33" s="102"/>
      <c r="M33" s="102">
        <v>0</v>
      </c>
      <c r="N33" s="102">
        <v>3.0300000000000001E-5</v>
      </c>
      <c r="O33" s="102"/>
      <c r="P33" s="14"/>
      <c r="Q33" s="14"/>
      <c r="R33" s="197">
        <f>'Parameters, country spec'!D22</f>
        <v>2.0974185801992562E-2</v>
      </c>
    </row>
    <row r="34" spans="1:18" x14ac:dyDescent="0.3">
      <c r="A34" s="22" t="s">
        <v>295</v>
      </c>
      <c r="B34" s="17" t="s">
        <v>182</v>
      </c>
      <c r="C34" s="17" t="s">
        <v>291</v>
      </c>
      <c r="D34" s="23" t="s">
        <v>29</v>
      </c>
      <c r="E34" s="23" t="s">
        <v>77</v>
      </c>
      <c r="F34" s="221">
        <f t="shared" si="6"/>
        <v>3.1195099999999998E-4</v>
      </c>
      <c r="G34" s="100">
        <v>1.7000000000000001E-4</v>
      </c>
      <c r="H34" s="101">
        <v>1E-4</v>
      </c>
      <c r="I34" s="14"/>
      <c r="J34" s="14"/>
      <c r="K34" s="102">
        <v>1.1399999999999999E-5</v>
      </c>
      <c r="L34" s="102"/>
      <c r="M34" s="102">
        <v>2.5100000000000001E-7</v>
      </c>
      <c r="N34" s="102">
        <v>3.0300000000000001E-5</v>
      </c>
      <c r="O34" s="102"/>
      <c r="P34" s="14"/>
      <c r="Q34" s="14"/>
      <c r="R34" s="197">
        <f>'Parameters, country spec'!D23</f>
        <v>0.42888207443270587</v>
      </c>
    </row>
    <row r="35" spans="1:18" x14ac:dyDescent="0.3">
      <c r="A35" s="22" t="s">
        <v>296</v>
      </c>
      <c r="B35" s="17" t="s">
        <v>183</v>
      </c>
      <c r="C35" s="17" t="s">
        <v>297</v>
      </c>
      <c r="D35" s="23" t="s">
        <v>29</v>
      </c>
      <c r="E35" s="23" t="s">
        <v>77</v>
      </c>
      <c r="F35" s="221">
        <f t="shared" si="6"/>
        <v>1.5420200000000001E-4</v>
      </c>
      <c r="G35" s="100">
        <v>0</v>
      </c>
      <c r="H35" s="101">
        <v>1E-4</v>
      </c>
      <c r="I35" s="16"/>
      <c r="J35" s="14"/>
      <c r="K35" s="102">
        <v>2.34E-5</v>
      </c>
      <c r="L35" s="102"/>
      <c r="M35" s="102">
        <v>5.0200000000000002E-7</v>
      </c>
      <c r="N35" s="102">
        <v>3.0300000000000001E-5</v>
      </c>
      <c r="O35" s="102"/>
      <c r="P35" s="14"/>
      <c r="Q35" s="14"/>
      <c r="R35" s="197">
        <f>'Parameters, country spec'!D24</f>
        <v>9.3450155108809542E-4</v>
      </c>
    </row>
    <row r="36" spans="1:18" x14ac:dyDescent="0.3">
      <c r="A36" s="22" t="s">
        <v>298</v>
      </c>
      <c r="B36" s="17" t="s">
        <v>184</v>
      </c>
      <c r="C36" s="17" t="s">
        <v>297</v>
      </c>
      <c r="D36" s="23" t="s">
        <v>29</v>
      </c>
      <c r="E36" s="23" t="s">
        <v>77</v>
      </c>
      <c r="F36" s="221">
        <f t="shared" si="6"/>
        <v>1.7880000000000004E-4</v>
      </c>
      <c r="G36" s="100">
        <v>7.5000000000000002E-6</v>
      </c>
      <c r="H36" s="101">
        <v>1E-4</v>
      </c>
      <c r="I36" s="16"/>
      <c r="J36" s="14"/>
      <c r="K36" s="102">
        <v>2.0400000000000001E-5</v>
      </c>
      <c r="L36" s="102"/>
      <c r="M36" s="102">
        <v>2.0599999999999999E-5</v>
      </c>
      <c r="N36" s="102">
        <v>3.0300000000000001E-5</v>
      </c>
      <c r="O36" s="102"/>
      <c r="P36" s="14"/>
      <c r="Q36" s="14"/>
      <c r="R36" s="197">
        <f>'Parameters, country spec'!D25</f>
        <v>9.1798847805104754E-4</v>
      </c>
    </row>
    <row r="37" spans="1:18" x14ac:dyDescent="0.3">
      <c r="B37" s="18" t="s">
        <v>185</v>
      </c>
      <c r="C37" s="17" t="s">
        <v>299</v>
      </c>
      <c r="D37" s="23" t="str">
        <f>'Off-farm feed'!$D$75</f>
        <v>France, Germany, Poland</v>
      </c>
      <c r="E37" s="23" t="s">
        <v>74</v>
      </c>
      <c r="F37" s="222">
        <f>'Off-farm feed'!$E$75</f>
        <v>3.8246443678729497E-4</v>
      </c>
      <c r="G37" s="222">
        <f>'Off-farm feed'!$F$75</f>
        <v>1.684774766302073E-4</v>
      </c>
      <c r="H37" s="222">
        <f>'Off-farm feed'!$G$75</f>
        <v>4.5862068965517246E-5</v>
      </c>
      <c r="I37" s="222">
        <f>'Off-farm feed'!$H$75</f>
        <v>0</v>
      </c>
      <c r="J37" s="222">
        <f>'Off-farm feed'!$I$75</f>
        <v>0</v>
      </c>
      <c r="K37" s="222">
        <f>'Off-farm feed'!$J$75</f>
        <v>1.0936279334641699E-5</v>
      </c>
      <c r="L37" s="222">
        <f>'Off-farm feed'!$K$75</f>
        <v>0</v>
      </c>
      <c r="M37" s="222">
        <f>'Off-farm feed'!$L$75</f>
        <v>6.4606960551724142E-7</v>
      </c>
      <c r="N37" s="222">
        <f>'Off-farm feed'!$M$75</f>
        <v>2.1884761697575221E-5</v>
      </c>
      <c r="O37" s="222">
        <f>'Off-farm feed'!$N$75</f>
        <v>0</v>
      </c>
      <c r="P37" s="222">
        <f>'Off-farm feed'!$O$75</f>
        <v>4.5962128379923281E-5</v>
      </c>
      <c r="Q37" s="222">
        <f>'Off-farm feed'!$P$75</f>
        <v>8.8695652173913049E-5</v>
      </c>
      <c r="R37" s="197">
        <f>'Parameters, country spec'!D26</f>
        <v>9.4499576799197224E-2</v>
      </c>
    </row>
    <row r="38" spans="1:18" x14ac:dyDescent="0.3">
      <c r="B38" s="18" t="s">
        <v>300</v>
      </c>
      <c r="C38" s="17" t="s">
        <v>299</v>
      </c>
      <c r="D38" s="23" t="str">
        <f>'Off-farm feed'!$D$24</f>
        <v>Brazil, Argentina</v>
      </c>
      <c r="E38" s="23"/>
      <c r="F38" s="222">
        <f>'Off-farm feed'!$E$24</f>
        <v>4.7266553697523981E-4</v>
      </c>
      <c r="G38" s="222">
        <f>'Off-farm feed'!$F$24</f>
        <v>1.5603516238625262E-5</v>
      </c>
      <c r="H38" s="222">
        <f>'Off-farm feed'!$G$24</f>
        <v>7.5304878048780503E-5</v>
      </c>
      <c r="I38" s="222">
        <f>'Off-farm feed'!$H$24</f>
        <v>0</v>
      </c>
      <c r="J38" s="222">
        <f>'Off-farm feed'!$I$24</f>
        <v>0</v>
      </c>
      <c r="K38" s="222">
        <f>'Off-farm feed'!$J$24</f>
        <v>1.908459074435586E-5</v>
      </c>
      <c r="L38" s="222">
        <f>'Off-farm feed'!$K$24</f>
        <v>0</v>
      </c>
      <c r="M38" s="222">
        <f>'Off-farm feed'!$L$24</f>
        <v>5.9672097439024396E-7</v>
      </c>
      <c r="N38" s="222">
        <f>'Off-farm feed'!$M$24</f>
        <v>2.3084271612619523E-5</v>
      </c>
      <c r="O38" s="222">
        <f>'Off-farm feed'!$N$24</f>
        <v>0</v>
      </c>
      <c r="P38" s="222">
        <f>'Off-farm feed'!$O$24</f>
        <v>1.2899155935646844E-4</v>
      </c>
      <c r="Q38" s="222">
        <f>'Off-farm feed'!$P$24</f>
        <v>2.1000000000000001E-4</v>
      </c>
      <c r="R38" s="197">
        <f>'Parameters, country spec'!D27</f>
        <v>9.0801007307611245E-2</v>
      </c>
    </row>
    <row r="39" spans="1:18" x14ac:dyDescent="0.3">
      <c r="B39" s="17" t="s">
        <v>187</v>
      </c>
      <c r="C39" s="17" t="s">
        <v>301</v>
      </c>
      <c r="D39" s="23" t="s">
        <v>29</v>
      </c>
      <c r="E39" s="23" t="s">
        <v>77</v>
      </c>
      <c r="F39" s="222"/>
      <c r="G39" s="14"/>
      <c r="H39" s="14"/>
      <c r="I39" s="14"/>
      <c r="J39" s="14"/>
      <c r="K39" s="14"/>
      <c r="L39" s="14"/>
      <c r="M39" s="14"/>
      <c r="N39" s="14"/>
      <c r="O39" s="14"/>
      <c r="P39" s="8"/>
      <c r="Q39" s="14"/>
      <c r="R39" s="197">
        <f>'Parameters, country spec'!D28</f>
        <v>1.8113105318221089E-2</v>
      </c>
    </row>
    <row r="40" spans="1:18" x14ac:dyDescent="0.3">
      <c r="A40" s="83"/>
      <c r="B40" s="17" t="s">
        <v>302</v>
      </c>
      <c r="C40" s="84" t="s">
        <v>303</v>
      </c>
      <c r="D40" s="23" t="s">
        <v>29</v>
      </c>
      <c r="E40" s="23" t="s">
        <v>77</v>
      </c>
      <c r="F40" s="222">
        <f t="shared" si="6"/>
        <v>2.4001262598358114E-4</v>
      </c>
      <c r="G40" s="82">
        <f t="shared" ref="G40:N40" si="7">AVERAGE(G30:G38)</f>
        <v>1.0128677698542583E-4</v>
      </c>
      <c r="H40" s="82">
        <f t="shared" si="7"/>
        <v>9.1240771890477534E-5</v>
      </c>
      <c r="I40" s="82">
        <f t="shared" si="7"/>
        <v>0</v>
      </c>
      <c r="J40" s="82">
        <f t="shared" si="7"/>
        <v>0</v>
      </c>
      <c r="K40" s="82">
        <f t="shared" si="7"/>
        <v>1.5714541119888615E-5</v>
      </c>
      <c r="L40" s="82">
        <f t="shared" si="7"/>
        <v>0</v>
      </c>
      <c r="M40" s="82">
        <f t="shared" si="7"/>
        <v>3.2073100644341652E-6</v>
      </c>
      <c r="N40" s="82">
        <f t="shared" si="7"/>
        <v>2.8563225923354969E-5</v>
      </c>
      <c r="O40" s="82"/>
      <c r="P40" s="81"/>
      <c r="Q40" s="82"/>
      <c r="R40" s="197">
        <f>'Parameters, country spec'!D29</f>
        <v>2.5284396777946184E-2</v>
      </c>
    </row>
    <row r="41" spans="1:18" x14ac:dyDescent="0.3">
      <c r="A41" s="195"/>
      <c r="B41" s="25" t="s">
        <v>304</v>
      </c>
      <c r="C41" s="26"/>
      <c r="D41" s="103"/>
      <c r="E41" s="103"/>
      <c r="F41" s="46">
        <f t="shared" ref="F41:O41" si="8">SUMPRODUCT(F30:F40,$R$30:$R$40)</f>
        <v>3.186818056933358E-4</v>
      </c>
      <c r="G41" s="46">
        <f>SUMPRODUCT(G30:G40,$R$30:$R$40)</f>
        <v>1.4327104350960493E-4</v>
      </c>
      <c r="H41" s="46">
        <f t="shared" si="8"/>
        <v>9.0608864148890422E-5</v>
      </c>
      <c r="I41" s="46">
        <f t="shared" si="8"/>
        <v>0</v>
      </c>
      <c r="J41" s="46">
        <f t="shared" si="8"/>
        <v>0</v>
      </c>
      <c r="K41" s="46">
        <f t="shared" si="8"/>
        <v>1.1708359632840347E-5</v>
      </c>
      <c r="L41" s="46">
        <f t="shared" si="8"/>
        <v>0</v>
      </c>
      <c r="M41" s="46">
        <f t="shared" si="8"/>
        <v>1.3308323088836564E-6</v>
      </c>
      <c r="N41" s="46">
        <f t="shared" si="8"/>
        <v>2.8256827759714547E-5</v>
      </c>
      <c r="O41" s="46">
        <f t="shared" si="8"/>
        <v>0</v>
      </c>
      <c r="P41" s="30">
        <f>SUMPRODUCT(P30:P40,R30:R40)</f>
        <v>1.6055965204439982E-5</v>
      </c>
      <c r="Q41" s="46">
        <f>SUMPRODUCT(Q30:Q40,$R$30:$R$40)</f>
        <v>2.7449913128961944E-5</v>
      </c>
      <c r="R41" s="198"/>
    </row>
    <row r="42" spans="1:18" x14ac:dyDescent="0.3">
      <c r="A42" s="22" t="s">
        <v>290</v>
      </c>
      <c r="B42" s="17" t="s">
        <v>173</v>
      </c>
      <c r="C42" s="17" t="s">
        <v>291</v>
      </c>
      <c r="D42" s="23" t="s">
        <v>32</v>
      </c>
      <c r="E42" s="23" t="s">
        <v>78</v>
      </c>
      <c r="F42" s="223">
        <f>SUM(G42:Q42)</f>
        <v>3.1946000000000003E-4</v>
      </c>
      <c r="G42" s="201">
        <v>1.4999999999999999E-4</v>
      </c>
      <c r="H42" s="202">
        <v>1E-4</v>
      </c>
      <c r="I42" s="203"/>
      <c r="J42" s="204"/>
      <c r="K42" s="205">
        <v>2.9200000000000002E-5</v>
      </c>
      <c r="L42" s="205"/>
      <c r="M42" s="205">
        <v>2.26E-6</v>
      </c>
      <c r="N42" s="205">
        <v>3.8000000000000002E-5</v>
      </c>
      <c r="O42" s="205"/>
      <c r="P42" s="14"/>
      <c r="Q42" s="204"/>
      <c r="R42" s="208">
        <f>'Parameters, country spec'!E19</f>
        <v>0.12227505038110943</v>
      </c>
    </row>
    <row r="43" spans="1:18" x14ac:dyDescent="0.3">
      <c r="A43" s="22" t="s">
        <v>292</v>
      </c>
      <c r="B43" s="17" t="s">
        <v>176</v>
      </c>
      <c r="C43" s="17" t="s">
        <v>291</v>
      </c>
      <c r="D43" s="23" t="s">
        <v>32</v>
      </c>
      <c r="E43" s="23" t="s">
        <v>78</v>
      </c>
      <c r="F43" s="221">
        <f t="shared" ref="F43:F52" si="9">SUM(G43:Q43)</f>
        <v>3.4726000000000001E-4</v>
      </c>
      <c r="G43" s="100">
        <v>1.4999999999999999E-4</v>
      </c>
      <c r="H43" s="101">
        <v>1E-4</v>
      </c>
      <c r="I43" s="16"/>
      <c r="J43" s="14"/>
      <c r="K43" s="102">
        <v>7.5599999999999996E-6</v>
      </c>
      <c r="L43" s="102"/>
      <c r="M43" s="102">
        <v>5.1700000000000003E-5</v>
      </c>
      <c r="N43" s="102">
        <v>3.8000000000000002E-5</v>
      </c>
      <c r="O43" s="102"/>
      <c r="P43" s="14"/>
      <c r="Q43" s="14"/>
      <c r="R43" s="197">
        <f>'Parameters, country spec'!E20</f>
        <v>0.36571383818682729</v>
      </c>
    </row>
    <row r="44" spans="1:18" x14ac:dyDescent="0.3">
      <c r="A44" s="22" t="s">
        <v>293</v>
      </c>
      <c r="B44" s="17" t="s">
        <v>180</v>
      </c>
      <c r="C44" s="17" t="s">
        <v>291</v>
      </c>
      <c r="D44" s="23" t="s">
        <v>32</v>
      </c>
      <c r="E44" s="23" t="s">
        <v>78</v>
      </c>
      <c r="F44" s="221">
        <f t="shared" si="9"/>
        <v>3.7189999999999999E-4</v>
      </c>
      <c r="G44" s="100">
        <v>1.2999999999999999E-4</v>
      </c>
      <c r="H44" s="101">
        <v>1E-4</v>
      </c>
      <c r="I44" s="16"/>
      <c r="J44" s="14"/>
      <c r="K44" s="102">
        <v>6.1500000000000004E-5</v>
      </c>
      <c r="L44" s="102"/>
      <c r="M44" s="102">
        <v>4.2400000000000001E-5</v>
      </c>
      <c r="N44" s="102">
        <v>3.8000000000000002E-5</v>
      </c>
      <c r="O44" s="102"/>
      <c r="P44" s="14"/>
      <c r="Q44" s="14"/>
      <c r="R44" s="197">
        <f>'Parameters, country spec'!E21</f>
        <v>3.3230481611398861E-2</v>
      </c>
    </row>
    <row r="45" spans="1:18" x14ac:dyDescent="0.3">
      <c r="A45" s="22" t="s">
        <v>294</v>
      </c>
      <c r="B45" s="17" t="s">
        <v>181</v>
      </c>
      <c r="C45" s="17" t="s">
        <v>291</v>
      </c>
      <c r="D45" s="23" t="s">
        <v>32</v>
      </c>
      <c r="E45" s="23" t="s">
        <v>78</v>
      </c>
      <c r="F45" s="221">
        <f t="shared" si="9"/>
        <v>2.9825100000000003E-4</v>
      </c>
      <c r="G45" s="100">
        <v>1.2E-4</v>
      </c>
      <c r="H45" s="101">
        <v>1E-4</v>
      </c>
      <c r="I45" s="14"/>
      <c r="J45" s="14"/>
      <c r="K45" s="102">
        <v>4.0000000000000003E-5</v>
      </c>
      <c r="L45" s="102"/>
      <c r="M45" s="102">
        <v>2.5100000000000001E-7</v>
      </c>
      <c r="N45" s="102">
        <v>3.8000000000000002E-5</v>
      </c>
      <c r="O45" s="102"/>
      <c r="P45" s="14"/>
      <c r="Q45" s="14"/>
      <c r="R45" s="197">
        <f>'Parameters, country spec'!E22</f>
        <v>7.3294724625475594E-3</v>
      </c>
    </row>
    <row r="46" spans="1:18" x14ac:dyDescent="0.3">
      <c r="A46" s="22" t="s">
        <v>295</v>
      </c>
      <c r="B46" s="17" t="s">
        <v>182</v>
      </c>
      <c r="C46" s="17" t="s">
        <v>291</v>
      </c>
      <c r="D46" s="23" t="s">
        <v>32</v>
      </c>
      <c r="E46" s="23" t="s">
        <v>78</v>
      </c>
      <c r="F46" s="221">
        <f t="shared" si="9"/>
        <v>3.4382E-4</v>
      </c>
      <c r="G46" s="100">
        <v>1.7000000000000001E-4</v>
      </c>
      <c r="H46" s="101">
        <v>1E-4</v>
      </c>
      <c r="I46" s="14"/>
      <c r="J46" s="14"/>
      <c r="K46" s="102">
        <v>2.9300000000000001E-5</v>
      </c>
      <c r="L46" s="102"/>
      <c r="M46" s="102">
        <v>6.5200000000000003E-6</v>
      </c>
      <c r="N46" s="102">
        <v>3.8000000000000002E-5</v>
      </c>
      <c r="O46" s="102"/>
      <c r="P46" s="14"/>
      <c r="Q46" s="14"/>
      <c r="R46" s="197">
        <f>'Parameters, country spec'!E23</f>
        <v>5.256160625309033E-3</v>
      </c>
    </row>
    <row r="47" spans="1:18" x14ac:dyDescent="0.3">
      <c r="A47" s="22" t="s">
        <v>296</v>
      </c>
      <c r="B47" s="17" t="s">
        <v>183</v>
      </c>
      <c r="C47" s="17" t="s">
        <v>297</v>
      </c>
      <c r="D47" s="23" t="s">
        <v>32</v>
      </c>
      <c r="E47" s="23" t="s">
        <v>78</v>
      </c>
      <c r="F47" s="221">
        <f t="shared" si="9"/>
        <v>1.9450000000000001E-4</v>
      </c>
      <c r="G47" s="100">
        <v>0</v>
      </c>
      <c r="H47" s="101">
        <v>1E-4</v>
      </c>
      <c r="I47" s="16"/>
      <c r="J47" s="14"/>
      <c r="K47" s="102">
        <v>4.6199999999999998E-5</v>
      </c>
      <c r="L47" s="102"/>
      <c r="M47" s="102">
        <v>1.03E-5</v>
      </c>
      <c r="N47" s="102">
        <v>3.8000000000000002E-5</v>
      </c>
      <c r="O47" s="102"/>
      <c r="P47" s="14"/>
      <c r="Q47" s="14"/>
      <c r="R47" s="197">
        <f>'Parameters, country spec'!E24</f>
        <v>1.0533673599513421E-3</v>
      </c>
    </row>
    <row r="48" spans="1:18" x14ac:dyDescent="0.3">
      <c r="A48" s="22" t="s">
        <v>298</v>
      </c>
      <c r="B48" s="17" t="s">
        <v>184</v>
      </c>
      <c r="C48" s="17" t="s">
        <v>297</v>
      </c>
      <c r="D48" s="23" t="s">
        <v>32</v>
      </c>
      <c r="E48" s="23" t="s">
        <v>78</v>
      </c>
      <c r="F48" s="221">
        <f t="shared" si="9"/>
        <v>2.496E-4</v>
      </c>
      <c r="G48" s="100">
        <v>7.5000000000000002E-6</v>
      </c>
      <c r="H48" s="101">
        <v>1E-4</v>
      </c>
      <c r="I48" s="16"/>
      <c r="J48" s="14"/>
      <c r="K48" s="102">
        <v>2.8600000000000001E-5</v>
      </c>
      <c r="L48" s="102"/>
      <c r="M48" s="102">
        <v>7.5500000000000006E-5</v>
      </c>
      <c r="N48" s="102">
        <v>3.8000000000000002E-5</v>
      </c>
      <c r="O48" s="102"/>
      <c r="P48" s="14"/>
      <c r="Q48" s="14"/>
      <c r="R48" s="197">
        <f>'Parameters, country spec'!E25</f>
        <v>1.0347538734704405E-3</v>
      </c>
    </row>
    <row r="49" spans="1:18" x14ac:dyDescent="0.3">
      <c r="B49" s="18" t="s">
        <v>185</v>
      </c>
      <c r="C49" s="17" t="s">
        <v>299</v>
      </c>
      <c r="D49" s="23" t="str">
        <f>'Off-farm feed'!$D$75</f>
        <v>France, Germany, Poland</v>
      </c>
      <c r="E49" s="23" t="s">
        <v>74</v>
      </c>
      <c r="F49" s="222">
        <f>'Off-farm feed'!$E$75</f>
        <v>3.8246443678729497E-4</v>
      </c>
      <c r="G49" s="222">
        <f>'Off-farm feed'!$F$75</f>
        <v>1.684774766302073E-4</v>
      </c>
      <c r="H49" s="222">
        <f>'Off-farm feed'!$G$75</f>
        <v>4.5862068965517246E-5</v>
      </c>
      <c r="I49" s="222">
        <f>'Off-farm feed'!$H$75</f>
        <v>0</v>
      </c>
      <c r="J49" s="222">
        <f>'Off-farm feed'!$I$75</f>
        <v>0</v>
      </c>
      <c r="K49" s="222">
        <f>'Off-farm feed'!$J$75</f>
        <v>1.0936279334641699E-5</v>
      </c>
      <c r="L49" s="222">
        <f>'Off-farm feed'!$K$75</f>
        <v>0</v>
      </c>
      <c r="M49" s="222">
        <f>'Off-farm feed'!$L$75</f>
        <v>6.4606960551724142E-7</v>
      </c>
      <c r="N49" s="222">
        <f>'Off-farm feed'!$M$75</f>
        <v>2.1884761697575221E-5</v>
      </c>
      <c r="O49" s="222">
        <f>'Off-farm feed'!$N$75</f>
        <v>0</v>
      </c>
      <c r="P49" s="222">
        <f>'Off-farm feed'!$O$75</f>
        <v>4.5962128379923281E-5</v>
      </c>
      <c r="Q49" s="222">
        <f>'Off-farm feed'!$P$75</f>
        <v>8.8695652173913049E-5</v>
      </c>
      <c r="R49" s="197">
        <f>'Parameters, country spec'!E26</f>
        <v>1.1495502598072803E-3</v>
      </c>
    </row>
    <row r="50" spans="1:18" x14ac:dyDescent="0.3">
      <c r="B50" s="18" t="s">
        <v>300</v>
      </c>
      <c r="C50" s="17" t="s">
        <v>299</v>
      </c>
      <c r="D50" s="23" t="str">
        <f>'Off-farm feed'!$D$24</f>
        <v>Brazil, Argentina</v>
      </c>
      <c r="E50" s="23"/>
      <c r="F50" s="222">
        <f>'Off-farm feed'!$E$24</f>
        <v>4.7266553697523981E-4</v>
      </c>
      <c r="G50" s="222">
        <f>'Off-farm feed'!$F$24</f>
        <v>1.5603516238625262E-5</v>
      </c>
      <c r="H50" s="222">
        <f>'Off-farm feed'!$G$24</f>
        <v>7.5304878048780503E-5</v>
      </c>
      <c r="I50" s="222">
        <f>'Off-farm feed'!$H$24</f>
        <v>0</v>
      </c>
      <c r="J50" s="222">
        <f>'Off-farm feed'!$I$24</f>
        <v>0</v>
      </c>
      <c r="K50" s="222">
        <f>'Off-farm feed'!$J$24</f>
        <v>1.908459074435586E-5</v>
      </c>
      <c r="L50" s="222">
        <f>'Off-farm feed'!$K$24</f>
        <v>0</v>
      </c>
      <c r="M50" s="222">
        <f>'Off-farm feed'!$L$24</f>
        <v>5.9672097439024396E-7</v>
      </c>
      <c r="N50" s="222">
        <f>'Off-farm feed'!$M$24</f>
        <v>2.3084271612619523E-5</v>
      </c>
      <c r="O50" s="222">
        <f>'Off-farm feed'!$N$24</f>
        <v>0</v>
      </c>
      <c r="P50" s="222">
        <f>'Off-farm feed'!$O$24</f>
        <v>1.2899155935646844E-4</v>
      </c>
      <c r="Q50" s="222">
        <f>'Off-farm feed'!$P$24</f>
        <v>2.1000000000000001E-4</v>
      </c>
      <c r="R50" s="197">
        <f>'Parameters, country spec'!E27</f>
        <v>0.20255815802791313</v>
      </c>
    </row>
    <row r="51" spans="1:18" x14ac:dyDescent="0.3">
      <c r="B51" s="17" t="s">
        <v>187</v>
      </c>
      <c r="C51" s="17" t="s">
        <v>301</v>
      </c>
      <c r="D51" s="23" t="s">
        <v>32</v>
      </c>
      <c r="E51" s="23" t="s">
        <v>78</v>
      </c>
      <c r="F51" s="222"/>
      <c r="G51" s="14"/>
      <c r="H51" s="14"/>
      <c r="I51" s="14"/>
      <c r="J51" s="14"/>
      <c r="K51" s="14"/>
      <c r="L51" s="14"/>
      <c r="M51" s="14"/>
      <c r="N51" s="14"/>
      <c r="O51" s="14"/>
      <c r="P51" s="8"/>
      <c r="Q51" s="14"/>
      <c r="R51" s="197">
        <f>'Parameters, country spec'!E28</f>
        <v>0.12768205188630527</v>
      </c>
    </row>
    <row r="52" spans="1:18" x14ac:dyDescent="0.3">
      <c r="A52" s="83"/>
      <c r="B52" s="17" t="s">
        <v>302</v>
      </c>
      <c r="C52" s="84" t="s">
        <v>303</v>
      </c>
      <c r="D52" s="23" t="s">
        <v>32</v>
      </c>
      <c r="E52" s="23" t="s">
        <v>78</v>
      </c>
      <c r="F52" s="222">
        <f t="shared" si="9"/>
        <v>4.2782245207053765E-4</v>
      </c>
      <c r="G52" s="82">
        <f t="shared" ref="G52:Q52" si="10">AVERAGE(G42:G50)</f>
        <v>1.0128677698542583E-4</v>
      </c>
      <c r="H52" s="82">
        <f t="shared" si="10"/>
        <v>9.1240771890477534E-5</v>
      </c>
      <c r="I52" s="82">
        <f t="shared" si="10"/>
        <v>0</v>
      </c>
      <c r="J52" s="82">
        <f t="shared" si="10"/>
        <v>0</v>
      </c>
      <c r="K52" s="82">
        <f t="shared" si="10"/>
        <v>3.026454111988862E-5</v>
      </c>
      <c r="L52" s="82">
        <f t="shared" si="10"/>
        <v>0</v>
      </c>
      <c r="M52" s="82">
        <f t="shared" si="10"/>
        <v>2.1130421175545275E-5</v>
      </c>
      <c r="N52" s="82">
        <f t="shared" si="10"/>
        <v>3.4552114812243863E-5</v>
      </c>
      <c r="O52" s="82">
        <f t="shared" si="10"/>
        <v>0</v>
      </c>
      <c r="P52" s="81"/>
      <c r="Q52" s="82">
        <f t="shared" si="10"/>
        <v>1.4934782608695652E-4</v>
      </c>
      <c r="R52" s="197">
        <f>'Parameters, country spec'!E29</f>
        <v>0.13271711532536037</v>
      </c>
    </row>
    <row r="53" spans="1:18" x14ac:dyDescent="0.3">
      <c r="A53" s="195"/>
      <c r="B53" s="25" t="s">
        <v>304</v>
      </c>
      <c r="C53" s="26"/>
      <c r="D53" s="103"/>
      <c r="E53" s="103"/>
      <c r="F53" s="46">
        <f t="shared" ref="F53:O53" si="11">SUMPRODUCT(F42:F52,$R$42:$R$52)</f>
        <v>3.3583582564661486E-4</v>
      </c>
      <c r="G53" s="46">
        <f>SUMPRODUCT(G42:G52,$R$42:$R$52)</f>
        <v>9.6095922247726938E-5</v>
      </c>
      <c r="H53" s="46">
        <f t="shared" si="11"/>
        <v>8.1004862636797022E-5</v>
      </c>
      <c r="I53" s="46">
        <f t="shared" si="11"/>
        <v>0</v>
      </c>
      <c r="J53" s="46">
        <f t="shared" si="11"/>
        <v>0</v>
      </c>
      <c r="K53" s="46">
        <f t="shared" si="11"/>
        <v>1.6799280589277419E-5</v>
      </c>
      <c r="L53" s="46">
        <f t="shared" si="11"/>
        <v>0</v>
      </c>
      <c r="M53" s="46">
        <f t="shared" si="11"/>
        <v>2.3643784869503486E-5</v>
      </c>
      <c r="N53" s="46">
        <f t="shared" si="11"/>
        <v>2.9650660908058511E-5</v>
      </c>
      <c r="O53" s="46">
        <f t="shared" si="11"/>
        <v>0</v>
      </c>
      <c r="P53" s="30">
        <f>SUMPRODUCT(P42:P52,R42:R52)</f>
        <v>2.6181128441014906E-5</v>
      </c>
      <c r="Q53" s="46">
        <f>SUMPRODUCT(Q42:Q52,$R$42:$R$52)</f>
        <v>6.2460185954236528E-5</v>
      </c>
      <c r="R53" s="198"/>
    </row>
    <row r="54" spans="1:18" x14ac:dyDescent="0.3">
      <c r="A54" s="22" t="s">
        <v>290</v>
      </c>
      <c r="B54" s="17" t="s">
        <v>173</v>
      </c>
      <c r="C54" s="17" t="s">
        <v>291</v>
      </c>
      <c r="D54" s="23" t="s">
        <v>129</v>
      </c>
      <c r="E54" s="23" t="s">
        <v>79</v>
      </c>
      <c r="F54" s="223">
        <f>SUM(G54:Q54)</f>
        <v>2.9985099999999996E-4</v>
      </c>
      <c r="G54" s="201">
        <v>1.4999999999999999E-4</v>
      </c>
      <c r="H54" s="202">
        <v>1E-4</v>
      </c>
      <c r="I54" s="203"/>
      <c r="J54" s="204"/>
      <c r="K54" s="205">
        <v>1.5E-5</v>
      </c>
      <c r="L54" s="205"/>
      <c r="M54" s="205">
        <v>2.5100000000000001E-7</v>
      </c>
      <c r="N54" s="205">
        <v>3.4600000000000001E-5</v>
      </c>
      <c r="O54" s="205"/>
      <c r="P54" s="14"/>
      <c r="Q54" s="204"/>
      <c r="R54" s="208">
        <f>'Parameters, country spec'!F19</f>
        <v>8.7418005626499207E-2</v>
      </c>
    </row>
    <row r="55" spans="1:18" x14ac:dyDescent="0.3">
      <c r="A55" s="22" t="s">
        <v>292</v>
      </c>
      <c r="B55" s="17" t="s">
        <v>176</v>
      </c>
      <c r="C55" s="17" t="s">
        <v>291</v>
      </c>
      <c r="D55" s="23" t="s">
        <v>129</v>
      </c>
      <c r="E55" s="23" t="s">
        <v>79</v>
      </c>
      <c r="F55" s="221">
        <f t="shared" ref="F55:F64" si="12">SUM(G55:Q55)</f>
        <v>2.9590200000000001E-4</v>
      </c>
      <c r="G55" s="100">
        <v>1.4999999999999999E-4</v>
      </c>
      <c r="H55" s="101">
        <v>1E-4</v>
      </c>
      <c r="I55" s="16"/>
      <c r="J55" s="14"/>
      <c r="K55" s="102">
        <v>1.08E-5</v>
      </c>
      <c r="L55" s="102"/>
      <c r="M55" s="102">
        <v>5.0200000000000002E-7</v>
      </c>
      <c r="N55" s="102">
        <v>3.4600000000000001E-5</v>
      </c>
      <c r="O55" s="102"/>
      <c r="P55" s="14"/>
      <c r="Q55" s="14"/>
      <c r="R55" s="197">
        <f>'Parameters, country spec'!F20</f>
        <v>0.51851224834420662</v>
      </c>
    </row>
    <row r="56" spans="1:18" x14ac:dyDescent="0.3">
      <c r="A56" s="22" t="s">
        <v>293</v>
      </c>
      <c r="B56" s="17" t="s">
        <v>180</v>
      </c>
      <c r="C56" s="17" t="s">
        <v>291</v>
      </c>
      <c r="D56" s="23" t="s">
        <v>129</v>
      </c>
      <c r="E56" s="23" t="s">
        <v>79</v>
      </c>
      <c r="F56" s="221">
        <f t="shared" si="12"/>
        <v>2.9496000000000004E-4</v>
      </c>
      <c r="G56" s="100">
        <v>1.2999999999999999E-4</v>
      </c>
      <c r="H56" s="101">
        <v>1E-4</v>
      </c>
      <c r="I56" s="16"/>
      <c r="J56" s="14"/>
      <c r="K56" s="102">
        <v>2.8099999999999999E-5</v>
      </c>
      <c r="L56" s="102"/>
      <c r="M56" s="102">
        <v>2.26E-6</v>
      </c>
      <c r="N56" s="102">
        <v>3.4600000000000001E-5</v>
      </c>
      <c r="O56" s="102"/>
      <c r="P56" s="14"/>
      <c r="Q56" s="14"/>
      <c r="R56" s="197">
        <f>'Parameters, country spec'!F21</f>
        <v>4.6821690090770259E-2</v>
      </c>
    </row>
    <row r="57" spans="1:18" x14ac:dyDescent="0.3">
      <c r="A57" s="22" t="s">
        <v>294</v>
      </c>
      <c r="B57" s="17" t="s">
        <v>181</v>
      </c>
      <c r="C57" s="17" t="s">
        <v>291</v>
      </c>
      <c r="D57" s="23" t="s">
        <v>129</v>
      </c>
      <c r="E57" s="23" t="s">
        <v>79</v>
      </c>
      <c r="F57" s="221">
        <f t="shared" si="12"/>
        <v>2.7900000000000006E-4</v>
      </c>
      <c r="G57" s="100">
        <v>1.2E-4</v>
      </c>
      <c r="H57" s="101">
        <v>1E-4</v>
      </c>
      <c r="I57" s="14"/>
      <c r="J57" s="14"/>
      <c r="K57" s="102">
        <v>2.44E-5</v>
      </c>
      <c r="L57" s="102"/>
      <c r="M57" s="102">
        <v>0</v>
      </c>
      <c r="N57" s="102">
        <v>3.4600000000000001E-5</v>
      </c>
      <c r="O57" s="102"/>
      <c r="P57" s="14"/>
      <c r="Q57" s="14"/>
      <c r="R57" s="197">
        <f>'Parameters, country spec'!F22</f>
        <v>1.8197973513379373E-2</v>
      </c>
    </row>
    <row r="58" spans="1:18" x14ac:dyDescent="0.3">
      <c r="A58" s="22" t="s">
        <v>295</v>
      </c>
      <c r="B58" s="17" t="s">
        <v>182</v>
      </c>
      <c r="C58" s="17" t="s">
        <v>291</v>
      </c>
      <c r="D58" s="23" t="s">
        <v>129</v>
      </c>
      <c r="E58" s="23" t="s">
        <v>79</v>
      </c>
      <c r="F58" s="221">
        <f t="shared" si="12"/>
        <v>3.2050199999999996E-4</v>
      </c>
      <c r="G58" s="100">
        <v>1.7000000000000001E-4</v>
      </c>
      <c r="H58" s="101">
        <v>1E-4</v>
      </c>
      <c r="I58" s="14"/>
      <c r="J58" s="14"/>
      <c r="K58" s="102">
        <v>1.5400000000000002E-5</v>
      </c>
      <c r="L58" s="102"/>
      <c r="M58" s="102">
        <v>5.0200000000000002E-7</v>
      </c>
      <c r="N58" s="102">
        <v>3.4600000000000001E-5</v>
      </c>
      <c r="O58" s="102"/>
      <c r="P58" s="14"/>
      <c r="Q58" s="14"/>
      <c r="R58" s="197">
        <f>'Parameters, country spec'!F23</f>
        <v>8.1866500320142158E-2</v>
      </c>
    </row>
    <row r="59" spans="1:18" x14ac:dyDescent="0.3">
      <c r="A59" s="22" t="s">
        <v>296</v>
      </c>
      <c r="B59" s="17" t="s">
        <v>183</v>
      </c>
      <c r="C59" s="17" t="s">
        <v>297</v>
      </c>
      <c r="D59" s="23" t="s">
        <v>129</v>
      </c>
      <c r="E59" s="23" t="s">
        <v>79</v>
      </c>
      <c r="F59" s="221">
        <f t="shared" si="12"/>
        <v>1.8469999999999999E-4</v>
      </c>
      <c r="G59" s="100">
        <v>0</v>
      </c>
      <c r="H59" s="101">
        <v>1E-4</v>
      </c>
      <c r="I59" s="16"/>
      <c r="J59" s="14"/>
      <c r="K59" s="102">
        <v>3.15E-5</v>
      </c>
      <c r="L59" s="102"/>
      <c r="M59" s="102">
        <v>1.8600000000000001E-5</v>
      </c>
      <c r="N59" s="102">
        <v>3.4600000000000001E-5</v>
      </c>
      <c r="O59" s="102"/>
      <c r="P59" s="14"/>
      <c r="Q59" s="14"/>
      <c r="R59" s="197">
        <f>'Parameters, country spec'!F24</f>
        <v>1.1994594385271529E-3</v>
      </c>
    </row>
    <row r="60" spans="1:18" x14ac:dyDescent="0.3">
      <c r="A60" s="22" t="s">
        <v>298</v>
      </c>
      <c r="B60" s="17" t="s">
        <v>184</v>
      </c>
      <c r="C60" s="17" t="s">
        <v>297</v>
      </c>
      <c r="D60" s="23" t="s">
        <v>129</v>
      </c>
      <c r="E60" s="23" t="s">
        <v>79</v>
      </c>
      <c r="F60" s="221">
        <f t="shared" si="12"/>
        <v>2.0880000000000001E-4</v>
      </c>
      <c r="G60" s="100">
        <v>7.5000000000000002E-6</v>
      </c>
      <c r="H60" s="101">
        <v>1E-4</v>
      </c>
      <c r="I60" s="16"/>
      <c r="J60" s="14"/>
      <c r="K60" s="102">
        <v>3.93E-5</v>
      </c>
      <c r="L60" s="102"/>
      <c r="M60" s="102">
        <v>2.7399999999999999E-5</v>
      </c>
      <c r="N60" s="102">
        <v>3.4600000000000001E-5</v>
      </c>
      <c r="O60" s="102"/>
      <c r="P60" s="14"/>
      <c r="Q60" s="14"/>
      <c r="R60" s="197">
        <f>'Parameters, country spec'!F25</f>
        <v>1.1782644376318839E-3</v>
      </c>
    </row>
    <row r="61" spans="1:18" x14ac:dyDescent="0.3">
      <c r="B61" s="18" t="s">
        <v>185</v>
      </c>
      <c r="C61" s="17" t="s">
        <v>299</v>
      </c>
      <c r="D61" s="23" t="str">
        <f>'Off-farm feed'!$D$75</f>
        <v>France, Germany, Poland</v>
      </c>
      <c r="E61" s="23" t="s">
        <v>74</v>
      </c>
      <c r="F61" s="222">
        <f>'Off-farm feed'!$E$75</f>
        <v>3.8246443678729497E-4</v>
      </c>
      <c r="G61" s="222">
        <f>'Off-farm feed'!$F$75</f>
        <v>1.684774766302073E-4</v>
      </c>
      <c r="H61" s="222">
        <f>'Off-farm feed'!$G$75</f>
        <v>4.5862068965517246E-5</v>
      </c>
      <c r="I61" s="222">
        <f>'Off-farm feed'!$H$75</f>
        <v>0</v>
      </c>
      <c r="J61" s="222">
        <f>'Off-farm feed'!$I$75</f>
        <v>0</v>
      </c>
      <c r="K61" s="222">
        <f>'Off-farm feed'!$J$75</f>
        <v>1.0936279334641699E-5</v>
      </c>
      <c r="L61" s="222">
        <f>'Off-farm feed'!$K$75</f>
        <v>0</v>
      </c>
      <c r="M61" s="222">
        <f>'Off-farm feed'!$L$75</f>
        <v>6.4606960551724142E-7</v>
      </c>
      <c r="N61" s="222">
        <f>'Off-farm feed'!$M$75</f>
        <v>2.1884761697575221E-5</v>
      </c>
      <c r="O61" s="222">
        <f>'Off-farm feed'!$N$75</f>
        <v>0</v>
      </c>
      <c r="P61" s="222">
        <f>'Off-farm feed'!$O$75</f>
        <v>4.5962128379923281E-5</v>
      </c>
      <c r="Q61" s="222">
        <f>'Off-farm feed'!$P$75</f>
        <v>8.8695652173913049E-5</v>
      </c>
      <c r="R61" s="197">
        <f>'Parameters, country spec'!F26</f>
        <v>5.1767642112223974E-4</v>
      </c>
    </row>
    <row r="62" spans="1:18" x14ac:dyDescent="0.3">
      <c r="B62" s="18" t="s">
        <v>300</v>
      </c>
      <c r="C62" s="17" t="s">
        <v>299</v>
      </c>
      <c r="D62" s="23" t="str">
        <f>'Off-farm feed'!$D$24</f>
        <v>Brazil, Argentina</v>
      </c>
      <c r="E62" s="23"/>
      <c r="F62" s="222">
        <f>'Off-farm feed'!$E$24</f>
        <v>4.7266553697523981E-4</v>
      </c>
      <c r="G62" s="222">
        <f>'Off-farm feed'!$F$24</f>
        <v>1.5603516238625262E-5</v>
      </c>
      <c r="H62" s="222">
        <f>'Off-farm feed'!$G$24</f>
        <v>7.5304878048780503E-5</v>
      </c>
      <c r="I62" s="222">
        <f>'Off-farm feed'!$H$24</f>
        <v>0</v>
      </c>
      <c r="J62" s="222">
        <f>'Off-farm feed'!$I$24</f>
        <v>0</v>
      </c>
      <c r="K62" s="222">
        <f>'Off-farm feed'!$J$24</f>
        <v>1.908459074435586E-5</v>
      </c>
      <c r="L62" s="222">
        <f>'Off-farm feed'!$K$24</f>
        <v>0</v>
      </c>
      <c r="M62" s="222">
        <f>'Off-farm feed'!$L$24</f>
        <v>5.9672097439024396E-7</v>
      </c>
      <c r="N62" s="222">
        <f>'Off-farm feed'!$M$24</f>
        <v>2.3084271612619523E-5</v>
      </c>
      <c r="O62" s="222">
        <f>'Off-farm feed'!$N$24</f>
        <v>0</v>
      </c>
      <c r="P62" s="222">
        <f>'Off-farm feed'!$O$24</f>
        <v>1.2899155935646844E-4</v>
      </c>
      <c r="Q62" s="222">
        <f>'Off-farm feed'!$P$24</f>
        <v>2.1000000000000001E-4</v>
      </c>
      <c r="R62" s="197">
        <f>'Parameters, country spec'!F27</f>
        <v>9.8710786383614704E-2</v>
      </c>
    </row>
    <row r="63" spans="1:18" x14ac:dyDescent="0.3">
      <c r="B63" s="17" t="s">
        <v>187</v>
      </c>
      <c r="C63" s="17" t="s">
        <v>301</v>
      </c>
      <c r="D63" s="23" t="s">
        <v>129</v>
      </c>
      <c r="E63" s="23" t="s">
        <v>79</v>
      </c>
      <c r="F63" s="222"/>
      <c r="G63" s="14"/>
      <c r="H63" s="14"/>
      <c r="I63" s="14"/>
      <c r="J63" s="14"/>
      <c r="K63" s="14"/>
      <c r="L63" s="14"/>
      <c r="M63" s="14"/>
      <c r="N63" s="14"/>
      <c r="O63" s="14"/>
      <c r="P63" s="8"/>
      <c r="Q63" s="14"/>
      <c r="R63" s="197">
        <f>'Parameters, country spec'!F28</f>
        <v>7.7842176173985381E-2</v>
      </c>
    </row>
    <row r="64" spans="1:18" x14ac:dyDescent="0.3">
      <c r="A64" s="83"/>
      <c r="B64" s="17" t="s">
        <v>302</v>
      </c>
      <c r="C64" s="84" t="s">
        <v>303</v>
      </c>
      <c r="D64" s="23" t="s">
        <v>129</v>
      </c>
      <c r="E64" s="23" t="s">
        <v>79</v>
      </c>
      <c r="F64" s="222">
        <f t="shared" si="12"/>
        <v>2.5168840376135889E-4</v>
      </c>
      <c r="G64" s="82">
        <f t="shared" ref="G64:N64" si="13">AVERAGE(G54:G62)</f>
        <v>1.0128677698542583E-4</v>
      </c>
      <c r="H64" s="82">
        <f t="shared" si="13"/>
        <v>9.1240771890477534E-5</v>
      </c>
      <c r="I64" s="82">
        <f t="shared" si="13"/>
        <v>0</v>
      </c>
      <c r="J64" s="82">
        <f t="shared" si="13"/>
        <v>0</v>
      </c>
      <c r="K64" s="82">
        <f t="shared" si="13"/>
        <v>2.1613430008777509E-5</v>
      </c>
      <c r="L64" s="82">
        <f t="shared" si="13"/>
        <v>0</v>
      </c>
      <c r="M64" s="82">
        <f t="shared" si="13"/>
        <v>5.639754508878609E-6</v>
      </c>
      <c r="N64" s="82">
        <f t="shared" si="13"/>
        <v>3.1907670367799416E-5</v>
      </c>
      <c r="O64" s="82"/>
      <c r="P64" s="81"/>
      <c r="Q64" s="82"/>
      <c r="R64" s="197">
        <f>'Parameters, country spec'!F29</f>
        <v>6.7735219250121048E-2</v>
      </c>
    </row>
    <row r="65" spans="1:18" x14ac:dyDescent="0.3">
      <c r="A65" s="195"/>
      <c r="B65" s="25" t="s">
        <v>304</v>
      </c>
      <c r="C65" s="26"/>
      <c r="D65" s="103"/>
      <c r="E65" s="103"/>
      <c r="F65" s="46">
        <f t="shared" ref="F65:O65" si="14">SUMPRODUCT(F54:F64,$R$54:$R$64)</f>
        <v>2.8913823577613568E-4</v>
      </c>
      <c r="G65" s="46">
        <f>SUMPRODUCT(G54:G64,$R$54:$R$64)</f>
        <v>1.2157439088836969E-4</v>
      </c>
      <c r="H65" s="46">
        <f t="shared" si="14"/>
        <v>8.9156773308112083E-5</v>
      </c>
      <c r="I65" s="46">
        <f t="shared" si="14"/>
        <v>0</v>
      </c>
      <c r="J65" s="46">
        <f t="shared" si="14"/>
        <v>0</v>
      </c>
      <c r="K65" s="46">
        <f t="shared" si="14"/>
        <v>1.336926211595761E-5</v>
      </c>
      <c r="L65" s="46">
        <f t="shared" si="14"/>
        <v>0</v>
      </c>
      <c r="M65" s="46">
        <f t="shared" si="14"/>
        <v>9.2499072180520301E-7</v>
      </c>
      <c r="N65" s="46">
        <f t="shared" si="14"/>
        <v>3.0580986182492848E-5</v>
      </c>
      <c r="O65" s="46">
        <f t="shared" si="14"/>
        <v>0</v>
      </c>
      <c r="P65" s="30">
        <f>SUMPRODUCT(P54:P64,R54:R64)</f>
        <v>1.2756651771052591E-5</v>
      </c>
      <c r="Q65" s="46">
        <f>SUMPRODUCT(Q54:Q64,$R$54:$R$64)</f>
        <v>2.0775180788345584E-5</v>
      </c>
      <c r="R65" s="198"/>
    </row>
    <row r="66" spans="1:18" x14ac:dyDescent="0.3">
      <c r="A66" s="22" t="s">
        <v>290</v>
      </c>
      <c r="B66" s="17" t="s">
        <v>173</v>
      </c>
      <c r="C66" s="17" t="s">
        <v>291</v>
      </c>
      <c r="D66" s="23" t="s">
        <v>27</v>
      </c>
      <c r="E66" s="23" t="s">
        <v>80</v>
      </c>
      <c r="F66" s="223">
        <f>SUM(G66:Q66)</f>
        <v>2.8265300000000001E-4</v>
      </c>
      <c r="G66" s="201">
        <v>1.4999999999999999E-4</v>
      </c>
      <c r="H66" s="202">
        <v>1E-4</v>
      </c>
      <c r="I66" s="203"/>
      <c r="J66" s="204"/>
      <c r="K66" s="205">
        <v>1.0900000000000001E-5</v>
      </c>
      <c r="L66" s="205"/>
      <c r="M66" s="205">
        <v>7.5300000000000003E-7</v>
      </c>
      <c r="N66" s="205">
        <v>2.0999999999999999E-5</v>
      </c>
      <c r="O66" s="205"/>
      <c r="P66" s="14"/>
      <c r="Q66" s="204"/>
      <c r="R66" s="208">
        <f>'Parameters, country spec'!G19</f>
        <v>0.30763475488022607</v>
      </c>
    </row>
    <row r="67" spans="1:18" x14ac:dyDescent="0.3">
      <c r="A67" s="22" t="s">
        <v>292</v>
      </c>
      <c r="B67" s="17" t="s">
        <v>176</v>
      </c>
      <c r="C67" s="17" t="s">
        <v>291</v>
      </c>
      <c r="D67" s="23" t="s">
        <v>27</v>
      </c>
      <c r="E67" s="23" t="s">
        <v>80</v>
      </c>
      <c r="F67" s="221">
        <f t="shared" ref="F67:F76" si="15">SUM(G67:Q67)</f>
        <v>0</v>
      </c>
      <c r="G67" s="100"/>
      <c r="H67" s="101"/>
      <c r="I67" s="16"/>
      <c r="J67" s="14"/>
      <c r="K67" s="102"/>
      <c r="L67" s="102"/>
      <c r="M67" s="102"/>
      <c r="N67" s="102"/>
      <c r="O67" s="102"/>
      <c r="P67" s="14"/>
      <c r="Q67" s="14"/>
      <c r="R67" s="197">
        <f>'Parameters, country spec'!G20</f>
        <v>8.4790139584359644E-2</v>
      </c>
    </row>
    <row r="68" spans="1:18" x14ac:dyDescent="0.3">
      <c r="A68" s="22" t="s">
        <v>293</v>
      </c>
      <c r="B68" s="17" t="s">
        <v>180</v>
      </c>
      <c r="C68" s="17" t="s">
        <v>291</v>
      </c>
      <c r="D68" s="23" t="s">
        <v>27</v>
      </c>
      <c r="E68" s="23" t="s">
        <v>80</v>
      </c>
      <c r="F68" s="221">
        <f t="shared" si="15"/>
        <v>2.6160000000000002E-4</v>
      </c>
      <c r="G68" s="100">
        <v>1.2999999999999999E-4</v>
      </c>
      <c r="H68" s="101">
        <v>1E-4</v>
      </c>
      <c r="I68" s="16"/>
      <c r="J68" s="14"/>
      <c r="K68" s="102">
        <v>1.06E-5</v>
      </c>
      <c r="L68" s="102"/>
      <c r="M68" s="102">
        <v>0</v>
      </c>
      <c r="N68" s="102">
        <v>2.0999999999999999E-5</v>
      </c>
      <c r="O68" s="102"/>
      <c r="P68" s="14"/>
      <c r="Q68" s="14"/>
      <c r="R68" s="197">
        <f>'Parameters, country spec'!G21</f>
        <v>1.77320656507646E-2</v>
      </c>
    </row>
    <row r="69" spans="1:18" x14ac:dyDescent="0.3">
      <c r="A69" s="22" t="s">
        <v>294</v>
      </c>
      <c r="B69" s="17" t="s">
        <v>181</v>
      </c>
      <c r="C69" s="17" t="s">
        <v>291</v>
      </c>
      <c r="D69" s="23" t="s">
        <v>27</v>
      </c>
      <c r="E69" s="23" t="s">
        <v>80</v>
      </c>
      <c r="F69" s="221">
        <f t="shared" si="15"/>
        <v>2.6615300000000004E-4</v>
      </c>
      <c r="G69" s="100">
        <v>1.2E-4</v>
      </c>
      <c r="H69" s="101">
        <v>1E-4</v>
      </c>
      <c r="I69" s="14"/>
      <c r="J69" s="14"/>
      <c r="K69" s="102">
        <v>2.44E-5</v>
      </c>
      <c r="L69" s="102"/>
      <c r="M69" s="102">
        <v>7.5300000000000003E-7</v>
      </c>
      <c r="N69" s="102">
        <v>2.0999999999999999E-5</v>
      </c>
      <c r="O69" s="102"/>
      <c r="P69" s="14"/>
      <c r="Q69" s="14"/>
      <c r="R69" s="197">
        <f>'Parameters, country spec'!G22</f>
        <v>0</v>
      </c>
    </row>
    <row r="70" spans="1:18" x14ac:dyDescent="0.3">
      <c r="A70" s="22" t="s">
        <v>295</v>
      </c>
      <c r="B70" s="17" t="s">
        <v>182</v>
      </c>
      <c r="C70" s="17" t="s">
        <v>291</v>
      </c>
      <c r="D70" s="23" t="s">
        <v>27</v>
      </c>
      <c r="E70" s="23" t="s">
        <v>80</v>
      </c>
      <c r="F70" s="221">
        <f t="shared" si="15"/>
        <v>3.0043100000000004E-4</v>
      </c>
      <c r="G70" s="100">
        <v>1.7000000000000001E-4</v>
      </c>
      <c r="H70" s="101">
        <v>1E-4</v>
      </c>
      <c r="I70" s="14"/>
      <c r="J70" s="14"/>
      <c r="K70" s="102">
        <v>9.1800000000000002E-6</v>
      </c>
      <c r="L70" s="102"/>
      <c r="M70" s="102">
        <v>2.5100000000000001E-7</v>
      </c>
      <c r="N70" s="102">
        <v>2.0999999999999999E-5</v>
      </c>
      <c r="O70" s="102"/>
      <c r="P70" s="14"/>
      <c r="Q70" s="14"/>
      <c r="R70" s="197">
        <f>'Parameters, country spec'!G23</f>
        <v>0.13212925363733041</v>
      </c>
    </row>
    <row r="71" spans="1:18" x14ac:dyDescent="0.3">
      <c r="A71" s="22" t="s">
        <v>296</v>
      </c>
      <c r="B71" s="17" t="s">
        <v>183</v>
      </c>
      <c r="C71" s="17" t="s">
        <v>297</v>
      </c>
      <c r="D71" s="23" t="s">
        <v>27</v>
      </c>
      <c r="E71" s="23" t="s">
        <v>80</v>
      </c>
      <c r="F71" s="221">
        <f t="shared" si="15"/>
        <v>1.4256000000000002E-4</v>
      </c>
      <c r="G71" s="100">
        <v>0</v>
      </c>
      <c r="H71" s="101">
        <v>1E-4</v>
      </c>
      <c r="I71" s="16"/>
      <c r="J71" s="14"/>
      <c r="K71" s="102">
        <v>1.98E-5</v>
      </c>
      <c r="L71" s="102"/>
      <c r="M71" s="102">
        <v>1.7600000000000001E-6</v>
      </c>
      <c r="N71" s="102">
        <v>2.0999999999999999E-5</v>
      </c>
      <c r="O71" s="102"/>
      <c r="P71" s="14"/>
      <c r="Q71" s="14"/>
      <c r="R71" s="197">
        <f>'Parameters, country spec'!G24</f>
        <v>1.3715568697676599E-3</v>
      </c>
    </row>
    <row r="72" spans="1:18" x14ac:dyDescent="0.3">
      <c r="A72" s="22" t="s">
        <v>298</v>
      </c>
      <c r="B72" s="17" t="s">
        <v>184</v>
      </c>
      <c r="C72" s="17" t="s">
        <v>297</v>
      </c>
      <c r="D72" s="23" t="s">
        <v>27</v>
      </c>
      <c r="E72" s="23" t="s">
        <v>80</v>
      </c>
      <c r="F72" s="221">
        <f t="shared" si="15"/>
        <v>1.4410000000000001E-4</v>
      </c>
      <c r="G72" s="100">
        <v>7.5000000000000002E-6</v>
      </c>
      <c r="H72" s="101">
        <v>1E-4</v>
      </c>
      <c r="I72" s="16"/>
      <c r="J72" s="14"/>
      <c r="K72" s="102">
        <v>1.56E-5</v>
      </c>
      <c r="L72" s="102"/>
      <c r="M72" s="102">
        <v>0</v>
      </c>
      <c r="N72" s="102">
        <v>2.0999999999999999E-5</v>
      </c>
      <c r="O72" s="102"/>
      <c r="P72" s="14"/>
      <c r="Q72" s="14"/>
      <c r="R72" s="197">
        <f>'Parameters, country spec'!G25</f>
        <v>1.3473208286461219E-3</v>
      </c>
    </row>
    <row r="73" spans="1:18" x14ac:dyDescent="0.3">
      <c r="B73" s="18" t="s">
        <v>185</v>
      </c>
      <c r="C73" s="17" t="s">
        <v>299</v>
      </c>
      <c r="D73" s="23" t="str">
        <f>'Off-farm feed'!$D$75</f>
        <v>France, Germany, Poland</v>
      </c>
      <c r="E73" s="23" t="s">
        <v>74</v>
      </c>
      <c r="F73" s="222">
        <f>'Off-farm feed'!$E$75</f>
        <v>3.8246443678729497E-4</v>
      </c>
      <c r="G73" s="222">
        <f>'Off-farm feed'!$F$75</f>
        <v>1.684774766302073E-4</v>
      </c>
      <c r="H73" s="222">
        <f>'Off-farm feed'!$G$75</f>
        <v>4.5862068965517246E-5</v>
      </c>
      <c r="I73" s="222">
        <f>'Off-farm feed'!$H$75</f>
        <v>0</v>
      </c>
      <c r="J73" s="222">
        <f>'Off-farm feed'!$I$75</f>
        <v>0</v>
      </c>
      <c r="K73" s="222">
        <f>'Off-farm feed'!$J$75</f>
        <v>1.0936279334641699E-5</v>
      </c>
      <c r="L73" s="222">
        <f>'Off-farm feed'!$K$75</f>
        <v>0</v>
      </c>
      <c r="M73" s="222">
        <f>'Off-farm feed'!$L$75</f>
        <v>6.4606960551724142E-7</v>
      </c>
      <c r="N73" s="222">
        <f>'Off-farm feed'!$M$75</f>
        <v>2.1884761697575221E-5</v>
      </c>
      <c r="O73" s="222">
        <f>'Off-farm feed'!$N$75</f>
        <v>0</v>
      </c>
      <c r="P73" s="222">
        <f>'Off-farm feed'!$O$75</f>
        <v>4.5962128379923281E-5</v>
      </c>
      <c r="Q73" s="222">
        <f>'Off-farm feed'!$P$75</f>
        <v>8.8695652173913049E-5</v>
      </c>
      <c r="R73" s="197">
        <f>'Parameters, country spec'!G26</f>
        <v>7.3430139783317777E-2</v>
      </c>
    </row>
    <row r="74" spans="1:18" x14ac:dyDescent="0.3">
      <c r="B74" s="18" t="s">
        <v>300</v>
      </c>
      <c r="C74" s="17" t="s">
        <v>299</v>
      </c>
      <c r="D74" s="23" t="str">
        <f>'Off-farm feed'!$D$24</f>
        <v>Brazil, Argentina</v>
      </c>
      <c r="E74" s="23"/>
      <c r="F74" s="222">
        <f>'Off-farm feed'!$E$24</f>
        <v>4.7266553697523981E-4</v>
      </c>
      <c r="G74" s="222">
        <f>'Off-farm feed'!$F$24</f>
        <v>1.5603516238625262E-5</v>
      </c>
      <c r="H74" s="222">
        <f>'Off-farm feed'!$G$24</f>
        <v>7.5304878048780503E-5</v>
      </c>
      <c r="I74" s="222">
        <f>'Off-farm feed'!$H$24</f>
        <v>0</v>
      </c>
      <c r="J74" s="222">
        <f>'Off-farm feed'!$I$24</f>
        <v>0</v>
      </c>
      <c r="K74" s="222">
        <f>'Off-farm feed'!$J$24</f>
        <v>1.908459074435586E-5</v>
      </c>
      <c r="L74" s="222">
        <f>'Off-farm feed'!$K$24</f>
        <v>0</v>
      </c>
      <c r="M74" s="222">
        <f>'Off-farm feed'!$L$24</f>
        <v>5.9672097439024396E-7</v>
      </c>
      <c r="N74" s="222">
        <f>'Off-farm feed'!$M$24</f>
        <v>2.3084271612619523E-5</v>
      </c>
      <c r="O74" s="222">
        <f>'Off-farm feed'!$N$24</f>
        <v>0</v>
      </c>
      <c r="P74" s="222">
        <f>'Off-farm feed'!$O$24</f>
        <v>1.2899155935646844E-4</v>
      </c>
      <c r="Q74" s="222">
        <f>'Off-farm feed'!$P$24</f>
        <v>2.1000000000000001E-4</v>
      </c>
      <c r="R74" s="197">
        <f>'Parameters, country spec'!G27</f>
        <v>0.13973103889626368</v>
      </c>
    </row>
    <row r="75" spans="1:18" x14ac:dyDescent="0.3">
      <c r="B75" s="17" t="s">
        <v>187</v>
      </c>
      <c r="C75" s="17" t="s">
        <v>301</v>
      </c>
      <c r="D75" s="23" t="s">
        <v>27</v>
      </c>
      <c r="E75" s="23" t="s">
        <v>80</v>
      </c>
      <c r="F75" s="222"/>
      <c r="G75" s="14"/>
      <c r="H75" s="14"/>
      <c r="I75" s="14"/>
      <c r="J75" s="14"/>
      <c r="K75" s="14"/>
      <c r="L75" s="14"/>
      <c r="M75" s="14"/>
      <c r="N75" s="14"/>
      <c r="O75" s="14"/>
      <c r="P75" s="8"/>
      <c r="Q75" s="14"/>
      <c r="R75" s="197">
        <f>'Parameters, country spec'!G28</f>
        <v>0.13800716313225697</v>
      </c>
    </row>
    <row r="76" spans="1:18" x14ac:dyDescent="0.3">
      <c r="A76" s="83"/>
      <c r="B76" s="17" t="s">
        <v>302</v>
      </c>
      <c r="C76" s="84" t="s">
        <v>303</v>
      </c>
      <c r="D76" s="23" t="s">
        <v>27</v>
      </c>
      <c r="E76" s="23" t="s">
        <v>80</v>
      </c>
      <c r="F76" s="222">
        <f t="shared" si="15"/>
        <v>2.223722042315288E-4</v>
      </c>
      <c r="G76" s="82">
        <f t="shared" ref="G76:N76" si="16">AVERAGE(G66:G74)</f>
        <v>9.5197624108604075E-5</v>
      </c>
      <c r="H76" s="82">
        <f t="shared" si="16"/>
        <v>9.0145868376787224E-5</v>
      </c>
      <c r="I76" s="82">
        <f t="shared" si="16"/>
        <v>0</v>
      </c>
      <c r="J76" s="82">
        <f t="shared" si="16"/>
        <v>0</v>
      </c>
      <c r="K76" s="82">
        <f t="shared" si="16"/>
        <v>1.5062608759874696E-5</v>
      </c>
      <c r="L76" s="82">
        <f t="shared" si="16"/>
        <v>0</v>
      </c>
      <c r="M76" s="82">
        <f t="shared" si="16"/>
        <v>5.9497382248843576E-7</v>
      </c>
      <c r="N76" s="82">
        <f t="shared" si="16"/>
        <v>2.1371129163774344E-5</v>
      </c>
      <c r="O76" s="82"/>
      <c r="P76" s="81"/>
      <c r="Q76" s="82"/>
      <c r="R76" s="197">
        <f>'Parameters, country spec'!G29</f>
        <v>0.1038265667370671</v>
      </c>
    </row>
    <row r="77" spans="1:18" x14ac:dyDescent="0.3">
      <c r="A77" s="195"/>
      <c r="B77" s="25" t="s">
        <v>304</v>
      </c>
      <c r="C77" s="26"/>
      <c r="D77" s="103"/>
      <c r="E77" s="103"/>
      <c r="F77" s="46">
        <f t="shared" ref="F77:O77" si="17">SUMPRODUCT(F66:F76,$R$66:$R$76)</f>
        <v>2.4889660271424247E-4</v>
      </c>
      <c r="G77" s="46">
        <f>SUMPRODUCT(G66:G76,$R$66:$R$76)</f>
        <v>9.5358122457671123E-5</v>
      </c>
      <c r="H77" s="46">
        <f t="shared" si="17"/>
        <v>6.9271118184369498E-5</v>
      </c>
      <c r="I77" s="46">
        <f t="shared" si="17"/>
        <v>0</v>
      </c>
      <c r="J77" s="46">
        <f t="shared" si="17"/>
        <v>0</v>
      </c>
      <c r="K77" s="46">
        <f t="shared" si="17"/>
        <v>9.8359614689440147E-6</v>
      </c>
      <c r="L77" s="46">
        <f t="shared" si="17"/>
        <v>0</v>
      </c>
      <c r="M77" s="46">
        <f t="shared" si="17"/>
        <v>4.5982286559159826E-7</v>
      </c>
      <c r="N77" s="46">
        <f t="shared" si="17"/>
        <v>1.6715995322742931E-5</v>
      </c>
      <c r="O77" s="46">
        <f t="shared" si="17"/>
        <v>0</v>
      </c>
      <c r="P77" s="30">
        <f>SUMPRODUCT(P66:P76,R66:R76)</f>
        <v>2.1399130109404956E-5</v>
      </c>
      <c r="Q77" s="46">
        <f>SUMPRODUCT(Q66:Q76,$R$66:$R$76)</f>
        <v>3.585645230551834E-5</v>
      </c>
      <c r="R77" s="198"/>
    </row>
    <row r="78" spans="1:18" x14ac:dyDescent="0.3">
      <c r="A78" s="22" t="s">
        <v>290</v>
      </c>
      <c r="B78" s="17" t="s">
        <v>173</v>
      </c>
      <c r="C78" s="17" t="s">
        <v>291</v>
      </c>
      <c r="D78" s="23" t="s">
        <v>33</v>
      </c>
      <c r="E78" s="23" t="s">
        <v>81</v>
      </c>
      <c r="F78" s="223">
        <f>SUM(G78:Q78)</f>
        <v>3.1615300000000001E-4</v>
      </c>
      <c r="G78" s="201">
        <v>1.4999999999999999E-4</v>
      </c>
      <c r="H78" s="202">
        <v>1E-4</v>
      </c>
      <c r="I78" s="203"/>
      <c r="J78" s="204"/>
      <c r="K78" s="205">
        <v>2.0000000000000002E-5</v>
      </c>
      <c r="L78" s="205"/>
      <c r="M78" s="205">
        <v>7.5300000000000003E-7</v>
      </c>
      <c r="N78" s="205">
        <v>4.5399999999999999E-5</v>
      </c>
      <c r="O78" s="205"/>
      <c r="P78" s="14"/>
      <c r="Q78" s="204"/>
      <c r="R78" s="208">
        <f>'Parameters, country spec'!H19</f>
        <v>6.9755357742184998E-2</v>
      </c>
    </row>
    <row r="79" spans="1:18" x14ac:dyDescent="0.3">
      <c r="A79" s="22" t="s">
        <v>292</v>
      </c>
      <c r="B79" s="17" t="s">
        <v>176</v>
      </c>
      <c r="C79" s="17" t="s">
        <v>291</v>
      </c>
      <c r="D79" s="23" t="s">
        <v>33</v>
      </c>
      <c r="E79" s="23" t="s">
        <v>81</v>
      </c>
      <c r="F79" s="221">
        <f t="shared" ref="F79:F88" si="18">SUM(G79:Q79)</f>
        <v>3.2844000000000005E-4</v>
      </c>
      <c r="G79" s="100">
        <v>1.4999999999999999E-4</v>
      </c>
      <c r="H79" s="101">
        <v>1E-4</v>
      </c>
      <c r="I79" s="16"/>
      <c r="J79" s="14"/>
      <c r="K79" s="102">
        <v>7.9400000000000002E-6</v>
      </c>
      <c r="L79" s="102"/>
      <c r="M79" s="102">
        <v>2.51E-5</v>
      </c>
      <c r="N79" s="102">
        <v>4.5399999999999999E-5</v>
      </c>
      <c r="O79" s="102"/>
      <c r="P79" s="14"/>
      <c r="Q79" s="14"/>
      <c r="R79" s="197">
        <f>'Parameters, country spec'!H20</f>
        <v>0.45612129266564322</v>
      </c>
    </row>
    <row r="80" spans="1:18" x14ac:dyDescent="0.3">
      <c r="A80" s="22" t="s">
        <v>293</v>
      </c>
      <c r="B80" s="17" t="s">
        <v>180</v>
      </c>
      <c r="C80" s="17" t="s">
        <v>291</v>
      </c>
      <c r="D80" s="23" t="s">
        <v>33</v>
      </c>
      <c r="E80" s="23" t="s">
        <v>81</v>
      </c>
      <c r="F80" s="221">
        <f t="shared" si="18"/>
        <v>3.3830000000000004E-4</v>
      </c>
      <c r="G80" s="100">
        <v>1.2999999999999999E-4</v>
      </c>
      <c r="H80" s="101">
        <v>1E-4</v>
      </c>
      <c r="I80" s="16"/>
      <c r="J80" s="14"/>
      <c r="K80" s="102">
        <v>3.4999999999999997E-5</v>
      </c>
      <c r="L80" s="102"/>
      <c r="M80" s="102">
        <v>2.7900000000000001E-5</v>
      </c>
      <c r="N80" s="102">
        <v>4.5399999999999999E-5</v>
      </c>
      <c r="O80" s="102"/>
      <c r="P80" s="14"/>
      <c r="Q80" s="14"/>
      <c r="R80" s="197">
        <f>'Parameters, country spec'!H21</f>
        <v>1.4486341810785938E-2</v>
      </c>
    </row>
    <row r="81" spans="1:18" x14ac:dyDescent="0.3">
      <c r="A81" s="22" t="s">
        <v>294</v>
      </c>
      <c r="B81" s="17" t="s">
        <v>181</v>
      </c>
      <c r="C81" s="17" t="s">
        <v>291</v>
      </c>
      <c r="D81" s="23" t="s">
        <v>33</v>
      </c>
      <c r="E81" s="23" t="s">
        <v>81</v>
      </c>
      <c r="F81" s="221">
        <f t="shared" si="18"/>
        <v>2.9170000000000004E-4</v>
      </c>
      <c r="G81" s="100">
        <v>1.2E-4</v>
      </c>
      <c r="H81" s="101">
        <v>1E-4</v>
      </c>
      <c r="I81" s="14"/>
      <c r="J81" s="14"/>
      <c r="K81" s="102">
        <v>2.5299999999999998E-5</v>
      </c>
      <c r="L81" s="102"/>
      <c r="M81" s="102">
        <v>9.9999999999999995E-7</v>
      </c>
      <c r="N81" s="102">
        <v>4.5399999999999999E-5</v>
      </c>
      <c r="O81" s="102"/>
      <c r="P81" s="14"/>
      <c r="Q81" s="14"/>
      <c r="R81" s="197">
        <f>'Parameters, country spec'!H22</f>
        <v>1.154218810875446E-3</v>
      </c>
    </row>
    <row r="82" spans="1:18" x14ac:dyDescent="0.3">
      <c r="A82" s="22" t="s">
        <v>295</v>
      </c>
      <c r="B82" s="17" t="s">
        <v>182</v>
      </c>
      <c r="C82" s="17" t="s">
        <v>291</v>
      </c>
      <c r="D82" s="23" t="s">
        <v>33</v>
      </c>
      <c r="E82" s="23" t="s">
        <v>81</v>
      </c>
      <c r="F82" s="221">
        <f t="shared" si="18"/>
        <v>3.4172E-4</v>
      </c>
      <c r="G82" s="100">
        <v>1.7000000000000001E-4</v>
      </c>
      <c r="H82" s="101">
        <v>1E-4</v>
      </c>
      <c r="I82" s="14"/>
      <c r="J82" s="14"/>
      <c r="K82" s="102">
        <v>2.1299999999999999E-5</v>
      </c>
      <c r="L82" s="102"/>
      <c r="M82" s="102">
        <v>5.0200000000000002E-6</v>
      </c>
      <c r="N82" s="102">
        <v>4.5399999999999999E-5</v>
      </c>
      <c r="O82" s="102"/>
      <c r="P82" s="14"/>
      <c r="Q82" s="14"/>
      <c r="R82" s="197">
        <f>'Parameters, country spec'!H23</f>
        <v>6.607302843520492E-2</v>
      </c>
    </row>
    <row r="83" spans="1:18" x14ac:dyDescent="0.3">
      <c r="A83" s="22" t="s">
        <v>296</v>
      </c>
      <c r="B83" s="17" t="s">
        <v>183</v>
      </c>
      <c r="C83" s="17" t="s">
        <v>297</v>
      </c>
      <c r="D83" s="23" t="s">
        <v>33</v>
      </c>
      <c r="E83" s="23" t="s">
        <v>81</v>
      </c>
      <c r="F83" s="221">
        <f t="shared" si="18"/>
        <v>1.7426E-4</v>
      </c>
      <c r="G83" s="100">
        <v>0</v>
      </c>
      <c r="H83" s="101">
        <v>1E-4</v>
      </c>
      <c r="I83" s="16"/>
      <c r="J83" s="14"/>
      <c r="K83" s="102">
        <v>2.5599999999999999E-5</v>
      </c>
      <c r="L83" s="102"/>
      <c r="M83" s="102">
        <v>3.2600000000000001E-6</v>
      </c>
      <c r="N83" s="102">
        <v>4.5399999999999999E-5</v>
      </c>
      <c r="O83" s="102"/>
      <c r="P83" s="14"/>
      <c r="Q83" s="14"/>
      <c r="R83" s="197">
        <f>'Parameters, country spec'!H24</f>
        <v>2.8132125343424525E-3</v>
      </c>
    </row>
    <row r="84" spans="1:18" x14ac:dyDescent="0.3">
      <c r="A84" s="22" t="s">
        <v>298</v>
      </c>
      <c r="B84" s="17" t="s">
        <v>184</v>
      </c>
      <c r="C84" s="17" t="s">
        <v>297</v>
      </c>
      <c r="D84" s="23" t="s">
        <v>33</v>
      </c>
      <c r="E84" s="23" t="s">
        <v>81</v>
      </c>
      <c r="F84" s="221">
        <f t="shared" si="18"/>
        <v>1.9220000000000001E-4</v>
      </c>
      <c r="G84" s="100">
        <v>7.5000000000000002E-6</v>
      </c>
      <c r="H84" s="101">
        <v>1E-4</v>
      </c>
      <c r="I84" s="16"/>
      <c r="J84" s="14"/>
      <c r="K84" s="102">
        <v>3.8300000000000003E-5</v>
      </c>
      <c r="L84" s="102"/>
      <c r="M84" s="102">
        <v>9.9999999999999995E-7</v>
      </c>
      <c r="N84" s="102">
        <v>4.5399999999999999E-5</v>
      </c>
      <c r="O84" s="102"/>
      <c r="P84" s="14"/>
      <c r="Q84" s="14"/>
      <c r="R84" s="197">
        <f>'Parameters, country spec'!H25</f>
        <v>2.763501773404974E-3</v>
      </c>
    </row>
    <row r="85" spans="1:18" x14ac:dyDescent="0.3">
      <c r="B85" s="18" t="s">
        <v>185</v>
      </c>
      <c r="C85" s="17" t="s">
        <v>299</v>
      </c>
      <c r="D85" s="23" t="str">
        <f>'Off-farm feed'!$D$75</f>
        <v>France, Germany, Poland</v>
      </c>
      <c r="E85" s="23" t="s">
        <v>74</v>
      </c>
      <c r="F85" s="222">
        <f>'Off-farm feed'!$E$75</f>
        <v>3.8246443678729497E-4</v>
      </c>
      <c r="G85" s="222">
        <f>'Off-farm feed'!$F$75</f>
        <v>1.684774766302073E-4</v>
      </c>
      <c r="H85" s="222">
        <f>'Off-farm feed'!$G$75</f>
        <v>4.5862068965517246E-5</v>
      </c>
      <c r="I85" s="222">
        <f>'Off-farm feed'!$H$75</f>
        <v>0</v>
      </c>
      <c r="J85" s="222">
        <f>'Off-farm feed'!$I$75</f>
        <v>0</v>
      </c>
      <c r="K85" s="222">
        <f>'Off-farm feed'!$J$75</f>
        <v>1.0936279334641699E-5</v>
      </c>
      <c r="L85" s="222">
        <f>'Off-farm feed'!$K$75</f>
        <v>0</v>
      </c>
      <c r="M85" s="222">
        <f>'Off-farm feed'!$L$75</f>
        <v>6.4606960551724142E-7</v>
      </c>
      <c r="N85" s="222">
        <f>'Off-farm feed'!$M$75</f>
        <v>2.1884761697575221E-5</v>
      </c>
      <c r="O85" s="222">
        <f>'Off-farm feed'!$N$75</f>
        <v>0</v>
      </c>
      <c r="P85" s="222">
        <f>'Off-farm feed'!$O$75</f>
        <v>4.5962128379923281E-5</v>
      </c>
      <c r="Q85" s="222">
        <f>'Off-farm feed'!$P$75</f>
        <v>8.8695652173913049E-5</v>
      </c>
      <c r="R85" s="197">
        <f>'Parameters, country spec'!H26</f>
        <v>4.7386628229038642E-3</v>
      </c>
    </row>
    <row r="86" spans="1:18" x14ac:dyDescent="0.3">
      <c r="B86" s="18" t="s">
        <v>300</v>
      </c>
      <c r="C86" s="17" t="s">
        <v>299</v>
      </c>
      <c r="D86" s="23" t="str">
        <f>'Off-farm feed'!$D$24</f>
        <v>Brazil, Argentina</v>
      </c>
      <c r="E86" s="23"/>
      <c r="F86" s="222">
        <f>'Off-farm feed'!$E$24</f>
        <v>4.7266553697523981E-4</v>
      </c>
      <c r="G86" s="222">
        <f>'Off-farm feed'!$F$24</f>
        <v>1.5603516238625262E-5</v>
      </c>
      <c r="H86" s="222">
        <f>'Off-farm feed'!$G$24</f>
        <v>7.5304878048780503E-5</v>
      </c>
      <c r="I86" s="222">
        <f>'Off-farm feed'!$H$24</f>
        <v>0</v>
      </c>
      <c r="J86" s="222">
        <f>'Off-farm feed'!$I$24</f>
        <v>0</v>
      </c>
      <c r="K86" s="222">
        <f>'Off-farm feed'!$J$24</f>
        <v>1.908459074435586E-5</v>
      </c>
      <c r="L86" s="222">
        <f>'Off-farm feed'!$K$24</f>
        <v>0</v>
      </c>
      <c r="M86" s="222">
        <f>'Off-farm feed'!$L$24</f>
        <v>5.9672097439024396E-7</v>
      </c>
      <c r="N86" s="222">
        <f>'Off-farm feed'!$M$24</f>
        <v>2.3084271612619523E-5</v>
      </c>
      <c r="O86" s="222">
        <f>'Off-farm feed'!$N$24</f>
        <v>0</v>
      </c>
      <c r="P86" s="222">
        <f>'Off-farm feed'!$O$24</f>
        <v>1.2899155935646844E-4</v>
      </c>
      <c r="Q86" s="222">
        <f>'Off-farm feed'!$P$24</f>
        <v>2.1000000000000001E-4</v>
      </c>
      <c r="R86" s="197">
        <f>'Parameters, country spec'!H27</f>
        <v>0.11699211590575154</v>
      </c>
    </row>
    <row r="87" spans="1:18" x14ac:dyDescent="0.3">
      <c r="B87" s="17" t="s">
        <v>187</v>
      </c>
      <c r="C87" s="17" t="s">
        <v>301</v>
      </c>
      <c r="D87" s="23" t="s">
        <v>33</v>
      </c>
      <c r="E87" s="23" t="s">
        <v>81</v>
      </c>
      <c r="F87" s="222"/>
      <c r="G87" s="14"/>
      <c r="H87" s="14"/>
      <c r="I87" s="14"/>
      <c r="J87" s="14"/>
      <c r="K87" s="14"/>
      <c r="L87" s="14"/>
      <c r="M87" s="14"/>
      <c r="N87" s="14"/>
      <c r="O87" s="14"/>
      <c r="P87" s="8"/>
      <c r="Q87" s="14"/>
      <c r="R87" s="197">
        <f>'Parameters, country spec'!H28</f>
        <v>0.12350411469968688</v>
      </c>
    </row>
    <row r="88" spans="1:18" x14ac:dyDescent="0.3">
      <c r="A88" s="83"/>
      <c r="B88" s="17" t="s">
        <v>302</v>
      </c>
      <c r="C88" s="84" t="s">
        <v>303</v>
      </c>
      <c r="D88" s="23" t="s">
        <v>33</v>
      </c>
      <c r="E88" s="23" t="s">
        <v>81</v>
      </c>
      <c r="F88" s="222">
        <f t="shared" si="18"/>
        <v>4.1204267429275986E-4</v>
      </c>
      <c r="G88" s="82">
        <f t="shared" ref="G88:Q88" si="19">AVERAGE(G78:G86)</f>
        <v>1.0128677698542583E-4</v>
      </c>
      <c r="H88" s="82">
        <f t="shared" si="19"/>
        <v>9.1240771890477534E-5</v>
      </c>
      <c r="I88" s="82">
        <f t="shared" si="19"/>
        <v>0</v>
      </c>
      <c r="J88" s="82">
        <f t="shared" si="19"/>
        <v>0</v>
      </c>
      <c r="K88" s="82">
        <f t="shared" si="19"/>
        <v>2.2606763342110838E-5</v>
      </c>
      <c r="L88" s="82">
        <f t="shared" si="19"/>
        <v>0</v>
      </c>
      <c r="M88" s="82">
        <f t="shared" si="19"/>
        <v>7.2528656199897211E-6</v>
      </c>
      <c r="N88" s="82">
        <f t="shared" si="19"/>
        <v>4.0307670367799424E-5</v>
      </c>
      <c r="O88" s="82">
        <f t="shared" si="19"/>
        <v>0</v>
      </c>
      <c r="P88" s="81"/>
      <c r="Q88" s="82">
        <f t="shared" si="19"/>
        <v>1.4934782608695652E-4</v>
      </c>
      <c r="R88" s="197">
        <f>'Parameters, country spec'!H29</f>
        <v>0.14159815279921578</v>
      </c>
    </row>
    <row r="89" spans="1:18" x14ac:dyDescent="0.3">
      <c r="A89" s="195"/>
      <c r="B89" s="25" t="s">
        <v>304</v>
      </c>
      <c r="C89" s="26"/>
      <c r="D89" s="103"/>
      <c r="E89" s="103"/>
      <c r="F89" s="46">
        <f t="shared" ref="F89:O89" si="20">SUMPRODUCT(F78:F88,$R$78:$R$88)</f>
        <v>3.1615410162350336E-4</v>
      </c>
      <c r="G89" s="46">
        <f>SUMPRODUCT(G78:G88,$R$78:$R$88)</f>
        <v>1.0912223621061998E-4</v>
      </c>
      <c r="H89" s="46">
        <f t="shared" si="20"/>
        <v>8.3263622039050198E-5</v>
      </c>
      <c r="I89" s="46">
        <f t="shared" si="20"/>
        <v>0</v>
      </c>
      <c r="J89" s="46">
        <f t="shared" si="20"/>
        <v>0</v>
      </c>
      <c r="K89" s="46">
        <f t="shared" si="20"/>
        <v>1.2623795705065398E-5</v>
      </c>
      <c r="L89" s="46">
        <f t="shared" si="20"/>
        <v>0</v>
      </c>
      <c r="M89" s="46">
        <f t="shared" si="20"/>
        <v>1.3349980092710815E-5</v>
      </c>
      <c r="N89" s="46">
        <f t="shared" si="20"/>
        <v>3.6349653655736797E-5</v>
      </c>
      <c r="O89" s="46">
        <f t="shared" si="20"/>
        <v>0</v>
      </c>
      <c r="P89" s="30">
        <f>SUMPRODUCT(P78:P88,R78:R88)</f>
        <v>1.5308794492111064E-5</v>
      </c>
      <c r="Q89" s="46">
        <f>SUMPRODUCT(Q78:Q88,$R$78:$R$88)</f>
        <v>4.613601942820913E-5</v>
      </c>
      <c r="R89" s="198"/>
    </row>
    <row r="90" spans="1:18" x14ac:dyDescent="0.3">
      <c r="A90" s="22" t="s">
        <v>290</v>
      </c>
      <c r="B90" s="17" t="s">
        <v>173</v>
      </c>
      <c r="C90" s="17" t="s">
        <v>291</v>
      </c>
      <c r="D90" s="23" t="s">
        <v>30</v>
      </c>
      <c r="E90" s="23" t="s">
        <v>82</v>
      </c>
      <c r="F90" s="223">
        <f>SUM(G90:Q90)</f>
        <v>2.9616000000000006E-4</v>
      </c>
      <c r="G90" s="201">
        <v>1.4999999999999999E-4</v>
      </c>
      <c r="H90" s="202">
        <v>1E-4</v>
      </c>
      <c r="I90" s="203"/>
      <c r="J90" s="204"/>
      <c r="K90" s="205">
        <v>1.22E-5</v>
      </c>
      <c r="L90" s="205"/>
      <c r="M90" s="205">
        <v>1.7600000000000001E-6</v>
      </c>
      <c r="N90" s="205">
        <v>3.2199999999999997E-5</v>
      </c>
      <c r="O90" s="205"/>
      <c r="P90" s="14"/>
      <c r="Q90" s="204"/>
      <c r="R90" s="208">
        <f>'Parameters, country spec'!I19</f>
        <v>6.5976692624369268E-2</v>
      </c>
    </row>
    <row r="91" spans="1:18" x14ac:dyDescent="0.3">
      <c r="A91" s="22" t="s">
        <v>292</v>
      </c>
      <c r="B91" s="17" t="s">
        <v>176</v>
      </c>
      <c r="C91" s="17" t="s">
        <v>291</v>
      </c>
      <c r="D91" s="23" t="s">
        <v>30</v>
      </c>
      <c r="E91" s="23" t="s">
        <v>82</v>
      </c>
      <c r="F91" s="221">
        <f t="shared" ref="F91:F100" si="21">SUM(G91:Q91)</f>
        <v>3.0712999999999997E-4</v>
      </c>
      <c r="G91" s="100">
        <v>1.4999999999999999E-4</v>
      </c>
      <c r="H91" s="101">
        <v>1E-4</v>
      </c>
      <c r="I91" s="16"/>
      <c r="J91" s="14"/>
      <c r="K91" s="102">
        <v>8.8300000000000002E-6</v>
      </c>
      <c r="L91" s="102"/>
      <c r="M91" s="102">
        <v>1.6099999999999998E-5</v>
      </c>
      <c r="N91" s="102">
        <v>3.2199999999999997E-5</v>
      </c>
      <c r="O91" s="102"/>
      <c r="P91" s="14"/>
      <c r="Q91" s="14"/>
      <c r="R91" s="197">
        <f>'Parameters, country spec'!I20</f>
        <v>0.19814107333385653</v>
      </c>
    </row>
    <row r="92" spans="1:18" x14ac:dyDescent="0.3">
      <c r="A92" s="22" t="s">
        <v>293</v>
      </c>
      <c r="B92" s="17" t="s">
        <v>180</v>
      </c>
      <c r="C92" s="17" t="s">
        <v>291</v>
      </c>
      <c r="D92" s="23" t="s">
        <v>30</v>
      </c>
      <c r="E92" s="23" t="s">
        <v>82</v>
      </c>
      <c r="F92" s="221">
        <f t="shared" si="21"/>
        <v>2.8722999999999997E-4</v>
      </c>
      <c r="G92" s="100">
        <v>1.2999999999999999E-4</v>
      </c>
      <c r="H92" s="101">
        <v>1E-4</v>
      </c>
      <c r="I92" s="16"/>
      <c r="J92" s="14"/>
      <c r="K92" s="102">
        <v>1.5999999999999999E-5</v>
      </c>
      <c r="L92" s="102"/>
      <c r="M92" s="102">
        <v>9.0299999999999999E-6</v>
      </c>
      <c r="N92" s="102">
        <v>3.2199999999999997E-5</v>
      </c>
      <c r="O92" s="102"/>
      <c r="P92" s="14"/>
      <c r="Q92" s="14"/>
      <c r="R92" s="197">
        <f>'Parameters, country spec'!I21</f>
        <v>2.1671841623166059E-3</v>
      </c>
    </row>
    <row r="93" spans="1:18" x14ac:dyDescent="0.3">
      <c r="A93" s="22" t="s">
        <v>294</v>
      </c>
      <c r="B93" s="17" t="s">
        <v>181</v>
      </c>
      <c r="C93" s="17" t="s">
        <v>291</v>
      </c>
      <c r="D93" s="23" t="s">
        <v>30</v>
      </c>
      <c r="E93" s="23" t="s">
        <v>82</v>
      </c>
      <c r="F93" s="221">
        <f t="shared" si="21"/>
        <v>2.7539999999999997E-4</v>
      </c>
      <c r="G93" s="100">
        <v>1.2E-4</v>
      </c>
      <c r="H93" s="101">
        <v>1E-4</v>
      </c>
      <c r="I93" s="14"/>
      <c r="J93" s="14"/>
      <c r="K93" s="102">
        <v>2.3200000000000001E-5</v>
      </c>
      <c r="L93" s="102"/>
      <c r="M93" s="102">
        <v>0</v>
      </c>
      <c r="N93" s="102">
        <v>3.2199999999999997E-5</v>
      </c>
      <c r="O93" s="102"/>
      <c r="P93" s="14"/>
      <c r="Q93" s="14"/>
      <c r="R93" s="197">
        <f>'Parameters, country spec'!I22</f>
        <v>8.1550834411767848E-3</v>
      </c>
    </row>
    <row r="94" spans="1:18" x14ac:dyDescent="0.3">
      <c r="A94" s="22" t="s">
        <v>295</v>
      </c>
      <c r="B94" s="17" t="s">
        <v>182</v>
      </c>
      <c r="C94" s="17" t="s">
        <v>291</v>
      </c>
      <c r="D94" s="23" t="s">
        <v>30</v>
      </c>
      <c r="E94" s="23" t="s">
        <v>82</v>
      </c>
      <c r="F94" s="221">
        <f t="shared" si="21"/>
        <v>3.1559000000000003E-4</v>
      </c>
      <c r="G94" s="100">
        <v>1.7000000000000001E-4</v>
      </c>
      <c r="H94" s="101">
        <v>1E-4</v>
      </c>
      <c r="I94" s="14"/>
      <c r="J94" s="14"/>
      <c r="K94" s="102">
        <v>9.6299999999999993E-6</v>
      </c>
      <c r="L94" s="102"/>
      <c r="M94" s="102">
        <v>3.76E-6</v>
      </c>
      <c r="N94" s="102">
        <v>3.2199999999999997E-5</v>
      </c>
      <c r="O94" s="102"/>
      <c r="P94" s="14"/>
      <c r="Q94" s="14"/>
      <c r="R94" s="197">
        <f>'Parameters, country spec'!I23</f>
        <v>0.22324493125110034</v>
      </c>
    </row>
    <row r="95" spans="1:18" x14ac:dyDescent="0.3">
      <c r="A95" s="22" t="s">
        <v>296</v>
      </c>
      <c r="B95" s="17" t="s">
        <v>183</v>
      </c>
      <c r="C95" s="17" t="s">
        <v>297</v>
      </c>
      <c r="D95" s="23" t="s">
        <v>30</v>
      </c>
      <c r="E95" s="23" t="s">
        <v>82</v>
      </c>
      <c r="F95" s="221">
        <f t="shared" si="21"/>
        <v>1.5197E-4</v>
      </c>
      <c r="G95" s="100">
        <v>0</v>
      </c>
      <c r="H95" s="101">
        <v>1E-4</v>
      </c>
      <c r="I95" s="16"/>
      <c r="J95" s="14"/>
      <c r="K95" s="102">
        <v>1.5E-5</v>
      </c>
      <c r="L95" s="102"/>
      <c r="M95" s="102">
        <v>4.7700000000000001E-6</v>
      </c>
      <c r="N95" s="102">
        <v>3.2199999999999997E-5</v>
      </c>
      <c r="O95" s="102"/>
      <c r="P95" s="14"/>
      <c r="Q95" s="14"/>
      <c r="R95" s="197">
        <f>'Parameters, country spec'!I24</f>
        <v>0</v>
      </c>
    </row>
    <row r="96" spans="1:18" x14ac:dyDescent="0.3">
      <c r="A96" s="22" t="s">
        <v>298</v>
      </c>
      <c r="B96" s="17" t="s">
        <v>184</v>
      </c>
      <c r="C96" s="17" t="s">
        <v>297</v>
      </c>
      <c r="D96" s="23" t="s">
        <v>30</v>
      </c>
      <c r="E96" s="23" t="s">
        <v>82</v>
      </c>
      <c r="F96" s="221">
        <f t="shared" si="21"/>
        <v>1.5696000000000002E-4</v>
      </c>
      <c r="G96" s="100">
        <v>7.5000000000000002E-6</v>
      </c>
      <c r="H96" s="101">
        <v>1E-4</v>
      </c>
      <c r="I96" s="16"/>
      <c r="J96" s="14"/>
      <c r="K96" s="102">
        <v>1.5E-5</v>
      </c>
      <c r="L96" s="102"/>
      <c r="M96" s="102">
        <v>2.26E-6</v>
      </c>
      <c r="N96" s="102">
        <v>3.2199999999999997E-5</v>
      </c>
      <c r="O96" s="102"/>
      <c r="P96" s="14"/>
      <c r="Q96" s="14"/>
      <c r="R96" s="197">
        <f>'Parameters, country spec'!I25</f>
        <v>0</v>
      </c>
    </row>
    <row r="97" spans="1:18" x14ac:dyDescent="0.3">
      <c r="B97" s="18" t="s">
        <v>185</v>
      </c>
      <c r="C97" s="17" t="s">
        <v>299</v>
      </c>
      <c r="D97" s="23" t="s">
        <v>306</v>
      </c>
      <c r="E97" s="23" t="s">
        <v>74</v>
      </c>
      <c r="F97" s="222">
        <v>6.0478733190314773E-4</v>
      </c>
      <c r="G97" s="33">
        <v>2.320636514451769E-4</v>
      </c>
      <c r="H97" s="33">
        <v>2.181240865869439E-4</v>
      </c>
      <c r="I97" s="33">
        <v>4.5862068965517253E-5</v>
      </c>
      <c r="J97" s="33">
        <v>0</v>
      </c>
      <c r="K97" s="33">
        <v>1.0233900653016278E-5</v>
      </c>
      <c r="L97" s="33">
        <v>1.1287468675454409E-5</v>
      </c>
      <c r="M97" s="33">
        <v>2.4227610206896555E-7</v>
      </c>
      <c r="N97" s="33">
        <v>7.4566292815222108E-6</v>
      </c>
      <c r="O97" s="33">
        <v>2.2490164981320892E-5</v>
      </c>
      <c r="P97" s="20">
        <v>5.7027085212127035E-5</v>
      </c>
      <c r="Q97" s="33">
        <v>0</v>
      </c>
      <c r="R97" s="197">
        <f>'Parameters, country spec'!I26</f>
        <v>0.12320054874364431</v>
      </c>
    </row>
    <row r="98" spans="1:18" x14ac:dyDescent="0.3">
      <c r="B98" s="18" t="s">
        <v>300</v>
      </c>
      <c r="C98" s="17" t="s">
        <v>299</v>
      </c>
      <c r="D98" s="23" t="str">
        <f>'Off-farm feed'!$D$24</f>
        <v>Brazil, Argentina</v>
      </c>
      <c r="E98" s="23"/>
      <c r="F98" s="222">
        <f>'Off-farm feed'!$E$24</f>
        <v>4.7266553697523981E-4</v>
      </c>
      <c r="G98" s="222">
        <f>'Off-farm feed'!$F$24</f>
        <v>1.5603516238625262E-5</v>
      </c>
      <c r="H98" s="222">
        <f>'Off-farm feed'!$G$24</f>
        <v>7.5304878048780503E-5</v>
      </c>
      <c r="I98" s="222">
        <f>'Off-farm feed'!$H$24</f>
        <v>0</v>
      </c>
      <c r="J98" s="222">
        <f>'Off-farm feed'!$I$24</f>
        <v>0</v>
      </c>
      <c r="K98" s="222">
        <f>'Off-farm feed'!$J$24</f>
        <v>1.908459074435586E-5</v>
      </c>
      <c r="L98" s="222">
        <f>'Off-farm feed'!$K$24</f>
        <v>0</v>
      </c>
      <c r="M98" s="222">
        <f>'Off-farm feed'!$L$24</f>
        <v>5.9672097439024396E-7</v>
      </c>
      <c r="N98" s="222">
        <f>'Off-farm feed'!$M$24</f>
        <v>2.3084271612619523E-5</v>
      </c>
      <c r="O98" s="222">
        <f>'Off-farm feed'!$N$24</f>
        <v>0</v>
      </c>
      <c r="P98" s="222">
        <f>'Off-farm feed'!$O$24</f>
        <v>1.2899155935646844E-4</v>
      </c>
      <c r="Q98" s="222">
        <f>'Off-farm feed'!$P$24</f>
        <v>2.1000000000000001E-4</v>
      </c>
      <c r="R98" s="197">
        <f>'Parameters, country spec'!I27</f>
        <v>0.15910748774892908</v>
      </c>
    </row>
    <row r="99" spans="1:18" x14ac:dyDescent="0.3">
      <c r="B99" s="17" t="s">
        <v>187</v>
      </c>
      <c r="C99" s="17" t="s">
        <v>301</v>
      </c>
      <c r="D99" s="23" t="s">
        <v>30</v>
      </c>
      <c r="E99" s="23" t="s">
        <v>82</v>
      </c>
      <c r="F99" s="222"/>
      <c r="G99" s="14"/>
      <c r="H99" s="14"/>
      <c r="I99" s="14"/>
      <c r="J99" s="14"/>
      <c r="K99" s="14"/>
      <c r="L99" s="14"/>
      <c r="M99" s="14"/>
      <c r="N99" s="14"/>
      <c r="O99" s="14"/>
      <c r="P99" s="8"/>
      <c r="Q99" s="14"/>
      <c r="R99" s="197">
        <f>'Parameters, country spec'!I28</f>
        <v>1.7335418632101657E-2</v>
      </c>
    </row>
    <row r="100" spans="1:18" x14ac:dyDescent="0.3">
      <c r="A100" s="83"/>
      <c r="B100" s="17" t="s">
        <v>302</v>
      </c>
      <c r="C100" s="84" t="s">
        <v>303</v>
      </c>
      <c r="D100" s="23" t="s">
        <v>30</v>
      </c>
      <c r="E100" s="23" t="s">
        <v>82</v>
      </c>
      <c r="F100" s="222">
        <f t="shared" si="21"/>
        <v>2.943786045635413E-4</v>
      </c>
      <c r="G100" s="82">
        <f t="shared" ref="G100:N100" si="22">AVERAGE(G90:G98)</f>
        <v>1.0835190752042246E-4</v>
      </c>
      <c r="H100" s="82">
        <f t="shared" si="22"/>
        <v>1.1038099607063606E-4</v>
      </c>
      <c r="I100" s="82">
        <f t="shared" si="22"/>
        <v>2.2931034482758626E-5</v>
      </c>
      <c r="J100" s="82">
        <f t="shared" si="22"/>
        <v>0</v>
      </c>
      <c r="K100" s="82">
        <f t="shared" si="22"/>
        <v>1.4353165710819125E-5</v>
      </c>
      <c r="L100" s="82">
        <f t="shared" si="22"/>
        <v>5.6437343377272043E-6</v>
      </c>
      <c r="M100" s="82">
        <f t="shared" si="22"/>
        <v>4.2798885640510226E-6</v>
      </c>
      <c r="N100" s="82">
        <f t="shared" si="22"/>
        <v>2.8437877877126854E-5</v>
      </c>
      <c r="O100" s="82"/>
      <c r="P100" s="81"/>
      <c r="Q100" s="82"/>
      <c r="R100" s="197">
        <f>'Parameters, country spec'!I29</f>
        <v>0.20267158006250544</v>
      </c>
    </row>
    <row r="101" spans="1:18" x14ac:dyDescent="0.3">
      <c r="A101" s="195"/>
      <c r="B101" s="25" t="s">
        <v>304</v>
      </c>
      <c r="C101" s="26"/>
      <c r="D101" s="103"/>
      <c r="E101" s="103"/>
      <c r="F101" s="46">
        <f t="shared" ref="F101:O101" si="23">SUMPRODUCT(F90:F100,$R$90:$R$100)</f>
        <v>3.6309391750162729E-4</v>
      </c>
      <c r="G101" s="46">
        <f>SUMPRODUCT(G90:G100,$R$90:$R$100)</f>
        <v>1.3186250493069066E-4</v>
      </c>
      <c r="H101" s="46">
        <f t="shared" si="23"/>
        <v>1.1099416448708959E-4</v>
      </c>
      <c r="I101" s="46">
        <f t="shared" si="23"/>
        <v>1.0297701054159074E-5</v>
      </c>
      <c r="J101" s="46">
        <f t="shared" si="23"/>
        <v>0</v>
      </c>
      <c r="K101" s="46">
        <f t="shared" si="23"/>
        <v>1.2134525135736878E-5</v>
      </c>
      <c r="L101" s="46">
        <f t="shared" si="23"/>
        <v>2.5344468904228692E-6</v>
      </c>
      <c r="M101" s="46">
        <f t="shared" si="23"/>
        <v>5.1573639757961968E-6</v>
      </c>
      <c r="N101" s="46">
        <f t="shared" si="23"/>
        <v>2.6380546792013931E-5</v>
      </c>
      <c r="O101" s="46">
        <f t="shared" si="23"/>
        <v>2.7708006670338269E-6</v>
      </c>
      <c r="P101" s="30">
        <f>SUMPRODUCT(P90:P100,R90:R100)</f>
        <v>2.7549291141409172E-5</v>
      </c>
      <c r="Q101" s="46">
        <f>SUMPRODUCT(Q90:Q100,$R$90:$R$100)</f>
        <v>3.3412572427275107E-5</v>
      </c>
      <c r="R101" s="198"/>
    </row>
    <row r="102" spans="1:18" x14ac:dyDescent="0.3">
      <c r="A102" s="22" t="s">
        <v>290</v>
      </c>
      <c r="B102" s="17" t="s">
        <v>173</v>
      </c>
      <c r="C102" s="17" t="s">
        <v>291</v>
      </c>
      <c r="D102" s="23" t="s">
        <v>28</v>
      </c>
      <c r="E102" s="23" t="s">
        <v>83</v>
      </c>
      <c r="F102" s="223">
        <f>SUM(G102:Q102)</f>
        <v>3.2225099999999996E-4</v>
      </c>
      <c r="G102" s="201">
        <v>1.4999999999999999E-4</v>
      </c>
      <c r="H102" s="202">
        <v>1E-4</v>
      </c>
      <c r="I102" s="203"/>
      <c r="J102" s="204"/>
      <c r="K102" s="205">
        <v>2.19E-5</v>
      </c>
      <c r="L102" s="205"/>
      <c r="M102" s="205">
        <v>2.5100000000000001E-7</v>
      </c>
      <c r="N102" s="205">
        <v>5.0099999999999998E-5</v>
      </c>
      <c r="O102" s="205"/>
      <c r="P102" s="14"/>
      <c r="Q102" s="204"/>
      <c r="R102" s="208">
        <f>'Parameters, country spec'!J19</f>
        <v>0.16996898787594733</v>
      </c>
    </row>
    <row r="103" spans="1:18" x14ac:dyDescent="0.3">
      <c r="A103" s="22" t="s">
        <v>292</v>
      </c>
      <c r="B103" s="17" t="s">
        <v>176</v>
      </c>
      <c r="C103" s="17" t="s">
        <v>291</v>
      </c>
      <c r="D103" s="23" t="s">
        <v>28</v>
      </c>
      <c r="E103" s="23" t="s">
        <v>83</v>
      </c>
      <c r="F103" s="221">
        <f t="shared" ref="F103:F112" si="24">SUM(G103:Q103)</f>
        <v>3.1550999999999997E-4</v>
      </c>
      <c r="G103" s="100">
        <v>1.4999999999999999E-4</v>
      </c>
      <c r="H103" s="101">
        <v>1E-4</v>
      </c>
      <c r="I103" s="16"/>
      <c r="J103" s="14"/>
      <c r="K103" s="102">
        <v>1.24E-5</v>
      </c>
      <c r="L103" s="102"/>
      <c r="M103" s="102">
        <v>3.01E-6</v>
      </c>
      <c r="N103" s="102">
        <v>5.0099999999999998E-5</v>
      </c>
      <c r="O103" s="102"/>
      <c r="P103" s="14"/>
      <c r="Q103" s="14"/>
      <c r="R103" s="197">
        <f>'Parameters, country spec'!J20</f>
        <v>0.23283885034476093</v>
      </c>
    </row>
    <row r="104" spans="1:18" x14ac:dyDescent="0.3">
      <c r="A104" s="22" t="s">
        <v>293</v>
      </c>
      <c r="B104" s="17" t="s">
        <v>180</v>
      </c>
      <c r="C104" s="17" t="s">
        <v>291</v>
      </c>
      <c r="D104" s="23" t="s">
        <v>28</v>
      </c>
      <c r="E104" s="23" t="s">
        <v>83</v>
      </c>
      <c r="F104" s="221">
        <f t="shared" si="24"/>
        <v>3.0925099999999997E-4</v>
      </c>
      <c r="G104" s="100">
        <v>1.2999999999999999E-4</v>
      </c>
      <c r="H104" s="101">
        <v>1E-4</v>
      </c>
      <c r="I104" s="16"/>
      <c r="J104" s="14"/>
      <c r="K104" s="102">
        <v>2.8900000000000001E-5</v>
      </c>
      <c r="L104" s="102"/>
      <c r="M104" s="102">
        <v>2.5100000000000001E-7</v>
      </c>
      <c r="N104" s="102">
        <v>5.0099999999999998E-5</v>
      </c>
      <c r="O104" s="102"/>
      <c r="P104" s="14"/>
      <c r="Q104" s="14"/>
      <c r="R104" s="197">
        <f>'Parameters, country spec'!J21</f>
        <v>5.0904696791723991E-3</v>
      </c>
    </row>
    <row r="105" spans="1:18" x14ac:dyDescent="0.3">
      <c r="A105" s="22" t="s">
        <v>294</v>
      </c>
      <c r="B105" s="17" t="s">
        <v>181</v>
      </c>
      <c r="C105" s="17" t="s">
        <v>291</v>
      </c>
      <c r="D105" s="23" t="s">
        <v>28</v>
      </c>
      <c r="E105" s="23" t="s">
        <v>83</v>
      </c>
      <c r="F105" s="221">
        <f t="shared" si="24"/>
        <v>2.9759999999999997E-4</v>
      </c>
      <c r="G105" s="100">
        <v>1.2E-4</v>
      </c>
      <c r="H105" s="101">
        <v>1E-4</v>
      </c>
      <c r="I105" s="14"/>
      <c r="J105" s="14"/>
      <c r="K105" s="102">
        <v>2.7500000000000001E-5</v>
      </c>
      <c r="L105" s="102"/>
      <c r="M105" s="102">
        <v>0</v>
      </c>
      <c r="N105" s="102">
        <v>5.0099999999999998E-5</v>
      </c>
      <c r="O105" s="102"/>
      <c r="P105" s="14"/>
      <c r="Q105" s="14"/>
      <c r="R105" s="197">
        <f>'Parameters, country spec'!J22</f>
        <v>6.6462863913214348E-2</v>
      </c>
    </row>
    <row r="106" spans="1:18" x14ac:dyDescent="0.3">
      <c r="A106" s="22" t="s">
        <v>295</v>
      </c>
      <c r="B106" s="17" t="s">
        <v>182</v>
      </c>
      <c r="C106" s="17" t="s">
        <v>291</v>
      </c>
      <c r="D106" s="23" t="s">
        <v>28</v>
      </c>
      <c r="E106" s="23" t="s">
        <v>83</v>
      </c>
      <c r="F106" s="221">
        <f t="shared" si="24"/>
        <v>3.3835099999999997E-4</v>
      </c>
      <c r="G106" s="100">
        <v>1.7000000000000001E-4</v>
      </c>
      <c r="H106" s="101">
        <v>1E-4</v>
      </c>
      <c r="I106" s="14"/>
      <c r="J106" s="14"/>
      <c r="K106" s="102">
        <v>1.8E-5</v>
      </c>
      <c r="L106" s="102"/>
      <c r="M106" s="102">
        <v>2.5100000000000001E-7</v>
      </c>
      <c r="N106" s="102">
        <v>5.0099999999999998E-5</v>
      </c>
      <c r="O106" s="102"/>
      <c r="P106" s="14"/>
      <c r="Q106" s="14"/>
      <c r="R106" s="197">
        <f>'Parameters, country spec'!J23</f>
        <v>0.26723420141656068</v>
      </c>
    </row>
    <row r="107" spans="1:18" x14ac:dyDescent="0.3">
      <c r="A107" s="22" t="s">
        <v>296</v>
      </c>
      <c r="B107" s="17" t="s">
        <v>183</v>
      </c>
      <c r="C107" s="17" t="s">
        <v>297</v>
      </c>
      <c r="D107" s="23" t="s">
        <v>28</v>
      </c>
      <c r="E107" s="23" t="s">
        <v>83</v>
      </c>
      <c r="F107" s="221">
        <f t="shared" si="24"/>
        <v>1.8650000000000001E-4</v>
      </c>
      <c r="G107" s="100">
        <v>0</v>
      </c>
      <c r="H107" s="101">
        <v>1E-4</v>
      </c>
      <c r="I107" s="16"/>
      <c r="J107" s="14"/>
      <c r="K107" s="102">
        <v>3.6399999999999997E-5</v>
      </c>
      <c r="L107" s="102"/>
      <c r="M107" s="102">
        <v>0</v>
      </c>
      <c r="N107" s="102">
        <v>5.0099999999999998E-5</v>
      </c>
      <c r="O107" s="102"/>
      <c r="P107" s="14"/>
      <c r="Q107" s="14"/>
      <c r="R107" s="197">
        <f>'Parameters, country spec'!J24</f>
        <v>4.1789296546899217E-3</v>
      </c>
    </row>
    <row r="108" spans="1:18" x14ac:dyDescent="0.3">
      <c r="A108" s="22" t="s">
        <v>298</v>
      </c>
      <c r="B108" s="17" t="s">
        <v>184</v>
      </c>
      <c r="C108" s="17" t="s">
        <v>297</v>
      </c>
      <c r="D108" s="23" t="s">
        <v>28</v>
      </c>
      <c r="E108" s="23" t="s">
        <v>83</v>
      </c>
      <c r="F108" s="221">
        <f t="shared" si="24"/>
        <v>1.8700000000000002E-4</v>
      </c>
      <c r="G108" s="100">
        <v>7.5000000000000002E-6</v>
      </c>
      <c r="H108" s="101">
        <v>1E-4</v>
      </c>
      <c r="I108" s="16"/>
      <c r="J108" s="14"/>
      <c r="K108" s="102">
        <v>2.94E-5</v>
      </c>
      <c r="L108" s="102"/>
      <c r="M108" s="102">
        <v>0</v>
      </c>
      <c r="N108" s="102">
        <v>5.0099999999999998E-5</v>
      </c>
      <c r="O108" s="102"/>
      <c r="P108" s="14"/>
      <c r="Q108" s="14"/>
      <c r="R108" s="197">
        <f>'Parameters, country spec'!J25</f>
        <v>4.1050860427910675E-3</v>
      </c>
    </row>
    <row r="109" spans="1:18" x14ac:dyDescent="0.3">
      <c r="B109" s="18" t="s">
        <v>185</v>
      </c>
      <c r="C109" s="17" t="s">
        <v>299</v>
      </c>
      <c r="D109" s="23" t="s">
        <v>306</v>
      </c>
      <c r="E109" s="23" t="s">
        <v>74</v>
      </c>
      <c r="F109" s="222">
        <v>6.0478733190314773E-4</v>
      </c>
      <c r="G109" s="33">
        <v>2.320636514451769E-4</v>
      </c>
      <c r="H109" s="33">
        <v>2.181240865869439E-4</v>
      </c>
      <c r="I109" s="33">
        <v>4.5862068965517253E-5</v>
      </c>
      <c r="J109" s="33">
        <v>0</v>
      </c>
      <c r="K109" s="33">
        <v>1.0233900653016278E-5</v>
      </c>
      <c r="L109" s="33">
        <v>1.1287468675454409E-5</v>
      </c>
      <c r="M109" s="33">
        <v>2.4227610206896555E-7</v>
      </c>
      <c r="N109" s="33">
        <v>7.4566292815222108E-6</v>
      </c>
      <c r="O109" s="33">
        <v>2.2490164981320892E-5</v>
      </c>
      <c r="P109" s="20">
        <v>5.7027085212127035E-5</v>
      </c>
      <c r="Q109" s="33">
        <v>0</v>
      </c>
      <c r="R109" s="197">
        <f>'Parameters, country spec'!J26</f>
        <v>3.0119810543340508E-2</v>
      </c>
    </row>
    <row r="110" spans="1:18" x14ac:dyDescent="0.3">
      <c r="B110" s="18" t="s">
        <v>300</v>
      </c>
      <c r="C110" s="17" t="s">
        <v>299</v>
      </c>
      <c r="D110" s="23" t="str">
        <f>'Off-farm feed'!$D$24</f>
        <v>Brazil, Argentina</v>
      </c>
      <c r="E110" s="23"/>
      <c r="F110" s="222">
        <f>'Off-farm feed'!$E$24</f>
        <v>4.7266553697523981E-4</v>
      </c>
      <c r="G110" s="222">
        <f>'Off-farm feed'!$F$24</f>
        <v>1.5603516238625262E-5</v>
      </c>
      <c r="H110" s="222">
        <f>'Off-farm feed'!$G$24</f>
        <v>7.5304878048780503E-5</v>
      </c>
      <c r="I110" s="222">
        <f>'Off-farm feed'!$H$24</f>
        <v>0</v>
      </c>
      <c r="J110" s="222">
        <f>'Off-farm feed'!$I$24</f>
        <v>0</v>
      </c>
      <c r="K110" s="222">
        <f>'Off-farm feed'!$J$24</f>
        <v>1.908459074435586E-5</v>
      </c>
      <c r="L110" s="222">
        <f>'Off-farm feed'!$K$24</f>
        <v>0</v>
      </c>
      <c r="M110" s="222">
        <f>'Off-farm feed'!$L$24</f>
        <v>5.9672097439024396E-7</v>
      </c>
      <c r="N110" s="222">
        <f>'Off-farm feed'!$M$24</f>
        <v>2.3084271612619523E-5</v>
      </c>
      <c r="O110" s="222">
        <f>'Off-farm feed'!$N$24</f>
        <v>0</v>
      </c>
      <c r="P110" s="222">
        <f>'Off-farm feed'!$O$24</f>
        <v>1.2899155935646844E-4</v>
      </c>
      <c r="Q110" s="222">
        <f>'Off-farm feed'!$P$24</f>
        <v>2.1000000000000001E-4</v>
      </c>
      <c r="R110" s="197">
        <f>'Parameters, country spec'!J27</f>
        <v>0.1050568603152183</v>
      </c>
    </row>
    <row r="111" spans="1:18" x14ac:dyDescent="0.3">
      <c r="B111" s="17" t="s">
        <v>187</v>
      </c>
      <c r="C111" s="17" t="s">
        <v>301</v>
      </c>
      <c r="D111" s="23" t="s">
        <v>28</v>
      </c>
      <c r="E111" s="23" t="s">
        <v>83</v>
      </c>
      <c r="F111" s="222"/>
      <c r="G111" s="14"/>
      <c r="H111" s="14"/>
      <c r="I111" s="14"/>
      <c r="J111" s="14"/>
      <c r="K111" s="14"/>
      <c r="L111" s="14"/>
      <c r="M111" s="14"/>
      <c r="N111" s="14"/>
      <c r="O111" s="14"/>
      <c r="P111" s="8"/>
      <c r="Q111" s="14"/>
      <c r="R111" s="197">
        <f>'Parameters, country spec'!J28</f>
        <v>5.1412336687770274E-2</v>
      </c>
    </row>
    <row r="112" spans="1:18" x14ac:dyDescent="0.3">
      <c r="A112" s="83"/>
      <c r="B112" s="17" t="s">
        <v>302</v>
      </c>
      <c r="C112" s="84" t="s">
        <v>303</v>
      </c>
      <c r="D112" s="23" t="s">
        <v>28</v>
      </c>
      <c r="E112" s="23" t="s">
        <v>83</v>
      </c>
      <c r="F112" s="222">
        <f t="shared" si="24"/>
        <v>4.2907068705420182E-4</v>
      </c>
      <c r="G112" s="82">
        <f t="shared" ref="G112:Q112" si="25">AVERAGE(G102:G110)</f>
        <v>1.0835190752042246E-4</v>
      </c>
      <c r="H112" s="82">
        <f t="shared" si="25"/>
        <v>1.1038099607063606E-4</v>
      </c>
      <c r="I112" s="82">
        <f t="shared" si="25"/>
        <v>2.2931034482758626E-5</v>
      </c>
      <c r="J112" s="82">
        <f t="shared" si="25"/>
        <v>0</v>
      </c>
      <c r="K112" s="82">
        <f t="shared" si="25"/>
        <v>2.2646499044152461E-5</v>
      </c>
      <c r="L112" s="82">
        <f t="shared" si="25"/>
        <v>5.6437343377272043E-6</v>
      </c>
      <c r="M112" s="82">
        <f t="shared" si="25"/>
        <v>5.1133300849546765E-7</v>
      </c>
      <c r="N112" s="82">
        <f t="shared" si="25"/>
        <v>4.2360100099349072E-5</v>
      </c>
      <c r="O112" s="82">
        <f t="shared" si="25"/>
        <v>1.1245082490660446E-5</v>
      </c>
      <c r="P112" s="81"/>
      <c r="Q112" s="82">
        <f t="shared" si="25"/>
        <v>1.05E-4</v>
      </c>
      <c r="R112" s="197">
        <f>'Parameters, country spec'!J29</f>
        <v>6.3531603526534211E-2</v>
      </c>
    </row>
    <row r="113" spans="1:18" x14ac:dyDescent="0.3">
      <c r="A113" s="195"/>
      <c r="B113" s="25" t="s">
        <v>304</v>
      </c>
      <c r="C113" s="26"/>
      <c r="D113" s="103"/>
      <c r="E113" s="103"/>
      <c r="F113" s="46">
        <f t="shared" ref="F113:O113" si="26">SUMPRODUCT(F102:F112,$R$102:$R$112)</f>
        <v>3.366876098022559E-4</v>
      </c>
      <c r="G113" s="46">
        <f>SUMPRODUCT(G102:G112,$R$102:$R$112)</f>
        <v>1.3003182291848383E-4</v>
      </c>
      <c r="H113" s="46">
        <f t="shared" si="26"/>
        <v>9.6481770789100488E-5</v>
      </c>
      <c r="I113" s="46">
        <f t="shared" si="26"/>
        <v>2.8382022195789016E-6</v>
      </c>
      <c r="J113" s="46">
        <f t="shared" si="26"/>
        <v>0</v>
      </c>
      <c r="K113" s="46">
        <f t="shared" si="26"/>
        <v>1.7419362836014872E-5</v>
      </c>
      <c r="L113" s="46">
        <f t="shared" si="26"/>
        <v>6.9853191037214931E-7</v>
      </c>
      <c r="M113" s="46">
        <f t="shared" si="26"/>
        <v>9.1433339625255928E-7</v>
      </c>
      <c r="N113" s="46">
        <f t="shared" si="26"/>
        <v>4.2909915829642597E-5</v>
      </c>
      <c r="O113" s="46">
        <f t="shared" si="26"/>
        <v>1.3918176307456678E-6</v>
      </c>
      <c r="P113" s="30">
        <f>SUMPRODUCT(P102:P112,R102:R112)</f>
        <v>1.5269093235582895E-5</v>
      </c>
      <c r="Q113" s="46">
        <f>SUMPRODUCT(Q102:Q112,$R$102:$R$112)</f>
        <v>2.8732759036481938E-5</v>
      </c>
      <c r="R113" s="198"/>
    </row>
    <row r="114" spans="1:18" x14ac:dyDescent="0.3">
      <c r="A114" s="22" t="s">
        <v>290</v>
      </c>
      <c r="B114" s="17" t="s">
        <v>173</v>
      </c>
      <c r="C114" s="17" t="s">
        <v>291</v>
      </c>
      <c r="D114" s="23" t="s">
        <v>37</v>
      </c>
      <c r="E114" s="23" t="s">
        <v>84</v>
      </c>
      <c r="F114" s="223">
        <f>SUM(G114:Q114)</f>
        <v>3.232E-4</v>
      </c>
      <c r="G114" s="201">
        <v>1.4999999999999999E-4</v>
      </c>
      <c r="H114" s="202">
        <v>1E-4</v>
      </c>
      <c r="I114" s="203"/>
      <c r="J114" s="204"/>
      <c r="K114" s="205">
        <v>2.48E-5</v>
      </c>
      <c r="L114" s="205"/>
      <c r="M114" s="205">
        <v>1.9300000000000002E-5</v>
      </c>
      <c r="N114" s="205">
        <v>2.9099999999999999E-5</v>
      </c>
      <c r="O114" s="205"/>
      <c r="P114" s="14"/>
      <c r="Q114" s="204"/>
      <c r="R114" s="208">
        <f>'Parameters, country spec'!K19</f>
        <v>0.21894700375858384</v>
      </c>
    </row>
    <row r="115" spans="1:18" x14ac:dyDescent="0.3">
      <c r="A115" s="22" t="s">
        <v>292</v>
      </c>
      <c r="B115" s="17" t="s">
        <v>176</v>
      </c>
      <c r="C115" s="17" t="s">
        <v>291</v>
      </c>
      <c r="D115" s="23" t="s">
        <v>37</v>
      </c>
      <c r="E115" s="23" t="s">
        <v>84</v>
      </c>
      <c r="F115" s="221">
        <f t="shared" ref="F115:F124" si="27">SUM(G115:Q115)</f>
        <v>3.4489999999999998E-4</v>
      </c>
      <c r="G115" s="100">
        <v>1.4999999999999999E-4</v>
      </c>
      <c r="H115" s="101">
        <v>1E-4</v>
      </c>
      <c r="I115" s="16"/>
      <c r="J115" s="14"/>
      <c r="K115" s="102">
        <v>6.8000000000000001E-6</v>
      </c>
      <c r="L115" s="102"/>
      <c r="M115" s="102">
        <v>5.8999999999999998E-5</v>
      </c>
      <c r="N115" s="102">
        <v>2.9099999999999999E-5</v>
      </c>
      <c r="O115" s="102"/>
      <c r="P115" s="14"/>
      <c r="Q115" s="14"/>
      <c r="R115" s="197">
        <f>'Parameters, country spec'!K20</f>
        <v>0.28877148486086363</v>
      </c>
    </row>
    <row r="116" spans="1:18" x14ac:dyDescent="0.3">
      <c r="A116" s="22" t="s">
        <v>293</v>
      </c>
      <c r="B116" s="17" t="s">
        <v>180</v>
      </c>
      <c r="C116" s="17" t="s">
        <v>291</v>
      </c>
      <c r="D116" s="23" t="s">
        <v>37</v>
      </c>
      <c r="E116" s="23" t="s">
        <v>84</v>
      </c>
      <c r="F116" s="221">
        <f t="shared" si="27"/>
        <v>5.8219999999999995E-4</v>
      </c>
      <c r="G116" s="100">
        <v>1.2999999999999999E-4</v>
      </c>
      <c r="H116" s="101">
        <v>1E-4</v>
      </c>
      <c r="I116" s="16"/>
      <c r="J116" s="14"/>
      <c r="K116" s="102">
        <v>3.6100000000000003E-5</v>
      </c>
      <c r="L116" s="102"/>
      <c r="M116" s="102">
        <v>2.8699999999999998E-4</v>
      </c>
      <c r="N116" s="102">
        <v>2.9099999999999999E-5</v>
      </c>
      <c r="O116" s="102"/>
      <c r="P116" s="14"/>
      <c r="Q116" s="14"/>
      <c r="R116" s="197">
        <f>'Parameters, country spec'!K21</f>
        <v>3.4137674118133308E-2</v>
      </c>
    </row>
    <row r="117" spans="1:18" x14ac:dyDescent="0.3">
      <c r="A117" s="22" t="s">
        <v>294</v>
      </c>
      <c r="B117" s="17" t="s">
        <v>181</v>
      </c>
      <c r="C117" s="17" t="s">
        <v>291</v>
      </c>
      <c r="D117" s="23" t="s">
        <v>37</v>
      </c>
      <c r="E117" s="23" t="s">
        <v>84</v>
      </c>
      <c r="F117" s="221">
        <f t="shared" si="27"/>
        <v>2.8435299999999999E-4</v>
      </c>
      <c r="G117" s="100">
        <v>1.2E-4</v>
      </c>
      <c r="H117" s="101">
        <v>1E-4</v>
      </c>
      <c r="I117" s="14"/>
      <c r="J117" s="14"/>
      <c r="K117" s="102">
        <v>3.4499999999999998E-5</v>
      </c>
      <c r="L117" s="102"/>
      <c r="M117" s="102">
        <v>7.5300000000000003E-7</v>
      </c>
      <c r="N117" s="102">
        <v>2.9099999999999999E-5</v>
      </c>
      <c r="O117" s="102"/>
      <c r="P117" s="14"/>
      <c r="Q117" s="14"/>
      <c r="R117" s="197">
        <f>'Parameters, country spec'!K22</f>
        <v>9.0108782601985467E-3</v>
      </c>
    </row>
    <row r="118" spans="1:18" x14ac:dyDescent="0.3">
      <c r="A118" s="22" t="s">
        <v>295</v>
      </c>
      <c r="B118" s="17" t="s">
        <v>182</v>
      </c>
      <c r="C118" s="17" t="s">
        <v>291</v>
      </c>
      <c r="D118" s="23" t="s">
        <v>37</v>
      </c>
      <c r="E118" s="23" t="s">
        <v>84</v>
      </c>
      <c r="F118" s="221">
        <f t="shared" si="27"/>
        <v>3.3172999999999997E-4</v>
      </c>
      <c r="G118" s="100">
        <v>1.7000000000000001E-4</v>
      </c>
      <c r="H118" s="101">
        <v>1E-4</v>
      </c>
      <c r="I118" s="14"/>
      <c r="J118" s="14"/>
      <c r="K118" s="102">
        <v>2.3600000000000001E-5</v>
      </c>
      <c r="L118" s="102"/>
      <c r="M118" s="102">
        <v>9.0299999999999999E-6</v>
      </c>
      <c r="N118" s="102">
        <v>2.9099999999999999E-5</v>
      </c>
      <c r="O118" s="102"/>
      <c r="P118" s="14"/>
      <c r="Q118" s="14"/>
      <c r="R118" s="197">
        <f>'Parameters, country spec'!K23</f>
        <v>0.18547053507474909</v>
      </c>
    </row>
    <row r="119" spans="1:18" x14ac:dyDescent="0.3">
      <c r="A119" s="22" t="s">
        <v>296</v>
      </c>
      <c r="B119" s="17" t="s">
        <v>183</v>
      </c>
      <c r="C119" s="17" t="s">
        <v>297</v>
      </c>
      <c r="D119" s="23" t="s">
        <v>37</v>
      </c>
      <c r="E119" s="23" t="s">
        <v>84</v>
      </c>
      <c r="F119" s="221">
        <f t="shared" si="27"/>
        <v>1.8352E-4</v>
      </c>
      <c r="G119" s="100">
        <v>0</v>
      </c>
      <c r="H119" s="101">
        <v>1E-4</v>
      </c>
      <c r="I119" s="16"/>
      <c r="J119" s="14"/>
      <c r="K119" s="102">
        <v>4.99E-5</v>
      </c>
      <c r="L119" s="102"/>
      <c r="M119" s="102">
        <v>4.5199999999999999E-6</v>
      </c>
      <c r="N119" s="102">
        <v>2.9099999999999999E-5</v>
      </c>
      <c r="O119" s="102"/>
      <c r="P119" s="14"/>
      <c r="Q119" s="14"/>
      <c r="R119" s="197">
        <f>'Parameters, country spec'!K24</f>
        <v>6.9661330661395359E-3</v>
      </c>
    </row>
    <row r="120" spans="1:18" x14ac:dyDescent="0.3">
      <c r="A120" s="22" t="s">
        <v>298</v>
      </c>
      <c r="B120" s="17" t="s">
        <v>184</v>
      </c>
      <c r="C120" s="17" t="s">
        <v>297</v>
      </c>
      <c r="D120" s="23" t="s">
        <v>37</v>
      </c>
      <c r="E120" s="23" t="s">
        <v>84</v>
      </c>
      <c r="F120" s="221">
        <f t="shared" si="27"/>
        <v>2.4729999999999999E-4</v>
      </c>
      <c r="G120" s="100">
        <v>7.5000000000000002E-6</v>
      </c>
      <c r="H120" s="101">
        <v>1E-4</v>
      </c>
      <c r="I120" s="16"/>
      <c r="J120" s="14"/>
      <c r="K120" s="102">
        <v>5.7800000000000002E-5</v>
      </c>
      <c r="L120" s="102"/>
      <c r="M120" s="102">
        <v>5.2899999999999998E-5</v>
      </c>
      <c r="N120" s="102">
        <v>2.9099999999999999E-5</v>
      </c>
      <c r="O120" s="102"/>
      <c r="P120" s="14"/>
      <c r="Q120" s="14"/>
      <c r="R120" s="197">
        <f>'Parameters, country spec'!K25</f>
        <v>6.843038286368717E-3</v>
      </c>
    </row>
    <row r="121" spans="1:18" x14ac:dyDescent="0.3">
      <c r="B121" s="18" t="s">
        <v>185</v>
      </c>
      <c r="C121" s="17" t="s">
        <v>299</v>
      </c>
      <c r="D121" s="23" t="s">
        <v>306</v>
      </c>
      <c r="E121" s="23" t="s">
        <v>74</v>
      </c>
      <c r="F121" s="222">
        <v>6.0478733190314773E-4</v>
      </c>
      <c r="G121" s="33">
        <v>2.320636514451769E-4</v>
      </c>
      <c r="H121" s="33">
        <v>2.181240865869439E-4</v>
      </c>
      <c r="I121" s="33">
        <v>4.5862068965517253E-5</v>
      </c>
      <c r="J121" s="33">
        <v>0</v>
      </c>
      <c r="K121" s="33">
        <v>1.0233900653016278E-5</v>
      </c>
      <c r="L121" s="33">
        <v>1.1287468675454409E-5</v>
      </c>
      <c r="M121" s="33">
        <v>2.4227610206896555E-7</v>
      </c>
      <c r="N121" s="33">
        <v>7.4566292815222108E-6</v>
      </c>
      <c r="O121" s="33">
        <v>2.2490164981320892E-5</v>
      </c>
      <c r="P121" s="20">
        <v>5.7027085212127035E-5</v>
      </c>
      <c r="Q121" s="33">
        <v>0</v>
      </c>
      <c r="R121" s="197">
        <f>'Parameters, country spec'!K26</f>
        <v>2.017458178365223E-2</v>
      </c>
    </row>
    <row r="122" spans="1:18" x14ac:dyDescent="0.3">
      <c r="B122" s="18" t="s">
        <v>300</v>
      </c>
      <c r="C122" s="17" t="s">
        <v>299</v>
      </c>
      <c r="D122" s="23" t="str">
        <f>'Off-farm feed'!$D$24</f>
        <v>Brazil, Argentina</v>
      </c>
      <c r="E122" s="23"/>
      <c r="F122" s="222">
        <f>'Off-farm feed'!$E$24</f>
        <v>4.7266553697523981E-4</v>
      </c>
      <c r="G122" s="222">
        <f>'Off-farm feed'!$F$24</f>
        <v>1.5603516238625262E-5</v>
      </c>
      <c r="H122" s="222">
        <f>'Off-farm feed'!$G$24</f>
        <v>7.5304878048780503E-5</v>
      </c>
      <c r="I122" s="222">
        <f>'Off-farm feed'!$H$24</f>
        <v>0</v>
      </c>
      <c r="J122" s="222">
        <f>'Off-farm feed'!$I$24</f>
        <v>0</v>
      </c>
      <c r="K122" s="222">
        <f>'Off-farm feed'!$J$24</f>
        <v>1.908459074435586E-5</v>
      </c>
      <c r="L122" s="222">
        <f>'Off-farm feed'!$K$24</f>
        <v>0</v>
      </c>
      <c r="M122" s="222">
        <f>'Off-farm feed'!$L$24</f>
        <v>5.9672097439024396E-7</v>
      </c>
      <c r="N122" s="222">
        <f>'Off-farm feed'!$M$24</f>
        <v>2.3084271612619523E-5</v>
      </c>
      <c r="O122" s="222">
        <f>'Off-farm feed'!$N$24</f>
        <v>0</v>
      </c>
      <c r="P122" s="222">
        <f>'Off-farm feed'!$O$24</f>
        <v>1.2899155935646844E-4</v>
      </c>
      <c r="Q122" s="222">
        <f>'Off-farm feed'!$P$24</f>
        <v>2.1000000000000001E-4</v>
      </c>
      <c r="R122" s="197">
        <f>'Parameters, country spec'!K27</f>
        <v>0.1724593547162262</v>
      </c>
    </row>
    <row r="123" spans="1:18" x14ac:dyDescent="0.3">
      <c r="B123" s="17" t="s">
        <v>187</v>
      </c>
      <c r="C123" s="17" t="s">
        <v>301</v>
      </c>
      <c r="D123" s="23" t="s">
        <v>37</v>
      </c>
      <c r="E123" s="23" t="s">
        <v>84</v>
      </c>
      <c r="F123" s="222"/>
      <c r="G123" s="14"/>
      <c r="H123" s="14"/>
      <c r="I123" s="14"/>
      <c r="J123" s="14"/>
      <c r="K123" s="14"/>
      <c r="L123" s="14"/>
      <c r="M123" s="14"/>
      <c r="N123" s="14"/>
      <c r="O123" s="14"/>
      <c r="P123" s="8"/>
      <c r="Q123" s="14"/>
      <c r="R123" s="197">
        <f>'Parameters, country spec'!K28</f>
        <v>2.6495909583274708E-2</v>
      </c>
    </row>
    <row r="124" spans="1:18" x14ac:dyDescent="0.3">
      <c r="A124" s="83"/>
      <c r="B124" s="17" t="s">
        <v>302</v>
      </c>
      <c r="C124" s="84" t="s">
        <v>303</v>
      </c>
      <c r="D124" s="23" t="s">
        <v>37</v>
      </c>
      <c r="E124" s="23" t="s">
        <v>84</v>
      </c>
      <c r="F124" s="222">
        <f t="shared" si="27"/>
        <v>3.5068560456354137E-4</v>
      </c>
      <c r="G124" s="82">
        <f t="shared" ref="G124:N124" si="28">AVERAGE(G114:G122)</f>
        <v>1.0835190752042246E-4</v>
      </c>
      <c r="H124" s="82">
        <f t="shared" si="28"/>
        <v>1.1038099607063606E-4</v>
      </c>
      <c r="I124" s="82">
        <f t="shared" si="28"/>
        <v>2.2931034482758626E-5</v>
      </c>
      <c r="J124" s="82">
        <f t="shared" si="28"/>
        <v>0</v>
      </c>
      <c r="K124" s="82">
        <f t="shared" si="28"/>
        <v>2.9202054599708014E-5</v>
      </c>
      <c r="L124" s="82">
        <f t="shared" si="28"/>
        <v>5.6437343377272043E-6</v>
      </c>
      <c r="M124" s="82">
        <f t="shared" si="28"/>
        <v>4.8149110786273238E-5</v>
      </c>
      <c r="N124" s="82">
        <f t="shared" si="28"/>
        <v>2.602676676601575E-5</v>
      </c>
      <c r="O124" s="82"/>
      <c r="P124" s="81"/>
      <c r="Q124" s="82"/>
      <c r="R124" s="197">
        <f>'Parameters, country spec'!K29</f>
        <v>3.0723406491810091E-2</v>
      </c>
    </row>
    <row r="125" spans="1:18" x14ac:dyDescent="0.3">
      <c r="A125" s="42"/>
      <c r="B125" s="43" t="s">
        <v>304</v>
      </c>
      <c r="C125" s="44"/>
      <c r="D125" s="45"/>
      <c r="E125" s="45"/>
      <c r="F125" s="46">
        <f t="shared" ref="F125:O125" si="29">SUMPRODUCT(F114:F124,$R$114:$R$124)</f>
        <v>3.6178621096202612E-4</v>
      </c>
      <c r="G125" s="46">
        <f>SUMPRODUCT(G114:G124,$R$114:$R$124)</f>
        <v>1.239599892251775E-4</v>
      </c>
      <c r="H125" s="46">
        <f t="shared" si="29"/>
        <v>9.5793547852862247E-5</v>
      </c>
      <c r="I125" s="46">
        <f t="shared" si="29"/>
        <v>1.6297675548038341E-6</v>
      </c>
      <c r="J125" s="46">
        <f t="shared" si="29"/>
        <v>0</v>
      </c>
      <c r="K125" s="46">
        <f t="shared" si="29"/>
        <v>1.8451986870972552E-5</v>
      </c>
      <c r="L125" s="46">
        <f t="shared" si="29"/>
        <v>4.0111470411314718E-7</v>
      </c>
      <c r="M125" s="46">
        <f t="shared" si="29"/>
        <v>3.4722877657228913E-5</v>
      </c>
      <c r="N125" s="46">
        <f t="shared" si="29"/>
        <v>2.6760434248765315E-5</v>
      </c>
      <c r="O125" s="46">
        <f t="shared" si="29"/>
        <v>4.5372967274348979E-7</v>
      </c>
      <c r="P125" s="30">
        <f>SUMPRODUCT(P114:P124,R114:R124)</f>
        <v>2.3396298684951701E-5</v>
      </c>
      <c r="Q125" s="46">
        <f>SUMPRODUCT(Q114:Q124,$R$114:$R$124)</f>
        <v>3.6216464490407502E-5</v>
      </c>
      <c r="R125" s="198"/>
    </row>
    <row r="126" spans="1:18" x14ac:dyDescent="0.3">
      <c r="A126" s="199" t="s">
        <v>290</v>
      </c>
      <c r="B126" s="179" t="s">
        <v>173</v>
      </c>
      <c r="C126" s="179" t="s">
        <v>291</v>
      </c>
      <c r="D126" s="200" t="s">
        <v>34</v>
      </c>
      <c r="E126" s="200" t="s">
        <v>85</v>
      </c>
      <c r="F126" s="223">
        <f>SUM(G126:Q126)</f>
        <v>2.0655355021385218E-4</v>
      </c>
      <c r="G126" s="201">
        <v>8.0930691575108743E-5</v>
      </c>
      <c r="H126" s="202">
        <v>9.5000000000000005E-5</v>
      </c>
      <c r="I126" s="203"/>
      <c r="J126" s="204"/>
      <c r="K126" s="205">
        <v>1.8076858638743458E-5</v>
      </c>
      <c r="L126" s="205"/>
      <c r="M126" s="205">
        <v>0</v>
      </c>
      <c r="N126" s="205">
        <v>1.2546000000000003E-5</v>
      </c>
      <c r="O126" s="205"/>
      <c r="P126" s="14"/>
      <c r="Q126" s="204"/>
      <c r="R126" s="208">
        <f>'Parameters, country spec'!L19</f>
        <v>0</v>
      </c>
    </row>
    <row r="127" spans="1:18" x14ac:dyDescent="0.3">
      <c r="A127" s="22" t="s">
        <v>292</v>
      </c>
      <c r="B127" s="17" t="s">
        <v>176</v>
      </c>
      <c r="C127" s="17" t="s">
        <v>291</v>
      </c>
      <c r="D127" s="23" t="s">
        <v>34</v>
      </c>
      <c r="E127" s="23" t="s">
        <v>85</v>
      </c>
      <c r="F127" s="221">
        <f t="shared" ref="F127:F136" si="30">SUM(G127:Q127)</f>
        <v>1.9871902439798405E-4</v>
      </c>
      <c r="G127" s="100">
        <v>7.8815626877616721E-5</v>
      </c>
      <c r="H127" s="101">
        <v>9.5000000000000005E-5</v>
      </c>
      <c r="I127" s="16"/>
      <c r="J127" s="14"/>
      <c r="K127" s="102">
        <v>1.2357397520367332E-5</v>
      </c>
      <c r="L127" s="102"/>
      <c r="M127" s="102">
        <v>0</v>
      </c>
      <c r="N127" s="102">
        <v>1.2546000000000003E-5</v>
      </c>
      <c r="O127" s="102"/>
      <c r="P127" s="14"/>
      <c r="Q127" s="14"/>
      <c r="R127" s="197">
        <f>'Parameters, country spec'!L20</f>
        <v>2.9000000000000001E-2</v>
      </c>
    </row>
    <row r="128" spans="1:18" x14ac:dyDescent="0.3">
      <c r="A128" s="22" t="s">
        <v>293</v>
      </c>
      <c r="B128" s="17" t="s">
        <v>180</v>
      </c>
      <c r="C128" s="17" t="s">
        <v>291</v>
      </c>
      <c r="D128" s="23" t="s">
        <v>34</v>
      </c>
      <c r="E128" s="23" t="s">
        <v>85</v>
      </c>
      <c r="F128" s="221">
        <f t="shared" si="30"/>
        <v>1.9956753055993292E-4</v>
      </c>
      <c r="G128" s="100">
        <v>7.134532609711123E-5</v>
      </c>
      <c r="H128" s="101">
        <v>9.5000000000000005E-5</v>
      </c>
      <c r="I128" s="16"/>
      <c r="J128" s="14"/>
      <c r="K128" s="102">
        <v>2.0676204462821701E-5</v>
      </c>
      <c r="L128" s="102"/>
      <c r="M128" s="102">
        <v>0</v>
      </c>
      <c r="N128" s="102">
        <v>1.2546000000000003E-5</v>
      </c>
      <c r="O128" s="102"/>
      <c r="P128" s="14"/>
      <c r="Q128" s="14"/>
      <c r="R128" s="197">
        <f>'Parameters, country spec'!L21</f>
        <v>4.9000000000000002E-2</v>
      </c>
    </row>
    <row r="129" spans="1:19" x14ac:dyDescent="0.3">
      <c r="A129" s="22" t="s">
        <v>294</v>
      </c>
      <c r="B129" s="17" t="s">
        <v>181</v>
      </c>
      <c r="C129" s="17" t="s">
        <v>291</v>
      </c>
      <c r="D129" s="23" t="s">
        <v>34</v>
      </c>
      <c r="E129" s="23" t="s">
        <v>85</v>
      </c>
      <c r="F129" s="221">
        <f t="shared" si="30"/>
        <v>1.840193507270561E-4</v>
      </c>
      <c r="G129" s="100">
        <v>6.2842418816841267E-5</v>
      </c>
      <c r="H129" s="101">
        <v>9.5000000000000005E-5</v>
      </c>
      <c r="I129" s="14"/>
      <c r="J129" s="14"/>
      <c r="K129" s="102">
        <v>1.3630931910214812E-5</v>
      </c>
      <c r="L129" s="102"/>
      <c r="M129" s="102">
        <v>0</v>
      </c>
      <c r="N129" s="102">
        <v>1.2546000000000003E-5</v>
      </c>
      <c r="O129" s="102"/>
      <c r="P129" s="14"/>
      <c r="Q129" s="14"/>
      <c r="R129" s="197">
        <f>'Parameters, country spec'!L22</f>
        <v>0</v>
      </c>
    </row>
    <row r="130" spans="1:19" x14ac:dyDescent="0.3">
      <c r="A130" s="22" t="s">
        <v>295</v>
      </c>
      <c r="B130" s="17" t="s">
        <v>182</v>
      </c>
      <c r="C130" s="17" t="s">
        <v>291</v>
      </c>
      <c r="D130" s="23" t="s">
        <v>34</v>
      </c>
      <c r="E130" s="23" t="s">
        <v>85</v>
      </c>
      <c r="F130" s="221">
        <f t="shared" si="30"/>
        <v>2.1322851393583626E-4</v>
      </c>
      <c r="G130" s="100">
        <v>9.2769916609057948E-5</v>
      </c>
      <c r="H130" s="101">
        <v>9.5000000000000005E-5</v>
      </c>
      <c r="I130" s="14"/>
      <c r="J130" s="14"/>
      <c r="K130" s="102">
        <v>1.291259732677831E-5</v>
      </c>
      <c r="L130" s="102"/>
      <c r="M130" s="102">
        <v>0</v>
      </c>
      <c r="N130" s="102">
        <v>1.2546000000000003E-5</v>
      </c>
      <c r="O130" s="102"/>
      <c r="P130" s="14"/>
      <c r="Q130" s="14"/>
      <c r="R130" s="197">
        <f>'Parameters, country spec'!L23</f>
        <v>0.59099999999999997</v>
      </c>
    </row>
    <row r="131" spans="1:19" x14ac:dyDescent="0.3">
      <c r="A131" s="22" t="s">
        <v>296</v>
      </c>
      <c r="B131" s="17" t="s">
        <v>183</v>
      </c>
      <c r="C131" s="17" t="s">
        <v>297</v>
      </c>
      <c r="D131" s="23" t="s">
        <v>34</v>
      </c>
      <c r="E131" s="23" t="s">
        <v>85</v>
      </c>
      <c r="F131" s="221">
        <f t="shared" si="30"/>
        <v>1.3280125199673234E-4</v>
      </c>
      <c r="G131" s="100">
        <v>0</v>
      </c>
      <c r="H131" s="101">
        <v>9.5000000000000005E-5</v>
      </c>
      <c r="I131" s="16"/>
      <c r="J131" s="14"/>
      <c r="K131" s="102">
        <v>2.5255251996732317E-5</v>
      </c>
      <c r="L131" s="102"/>
      <c r="M131" s="102">
        <v>0</v>
      </c>
      <c r="N131" s="102">
        <v>1.2546000000000003E-5</v>
      </c>
      <c r="O131" s="102"/>
      <c r="P131" s="14"/>
      <c r="Q131" s="14"/>
      <c r="R131" s="197">
        <f>'Parameters, country spec'!L24</f>
        <v>0</v>
      </c>
    </row>
    <row r="132" spans="1:19" x14ac:dyDescent="0.3">
      <c r="A132" s="22" t="s">
        <v>298</v>
      </c>
      <c r="B132" s="17" t="s">
        <v>184</v>
      </c>
      <c r="C132" s="17" t="s">
        <v>297</v>
      </c>
      <c r="D132" s="23" t="s">
        <v>34</v>
      </c>
      <c r="E132" s="23" t="s">
        <v>85</v>
      </c>
      <c r="F132" s="221">
        <f t="shared" si="30"/>
        <v>1.4931770127423491E-4</v>
      </c>
      <c r="G132" s="100">
        <v>3.9865279409015522E-6</v>
      </c>
      <c r="H132" s="101">
        <v>9.5000000000000005E-5</v>
      </c>
      <c r="I132" s="16"/>
      <c r="J132" s="14"/>
      <c r="K132" s="102">
        <v>3.7785173333333341E-5</v>
      </c>
      <c r="L132" s="102"/>
      <c r="M132" s="102">
        <v>0</v>
      </c>
      <c r="N132" s="102">
        <v>1.2546000000000003E-5</v>
      </c>
      <c r="O132" s="102"/>
      <c r="P132" s="14"/>
      <c r="Q132" s="14"/>
      <c r="R132" s="197">
        <f>'Parameters, country spec'!L25</f>
        <v>0</v>
      </c>
    </row>
    <row r="133" spans="1:19" x14ac:dyDescent="0.3">
      <c r="B133" s="18" t="s">
        <v>185</v>
      </c>
      <c r="C133" s="17" t="s">
        <v>299</v>
      </c>
      <c r="D133" s="23" t="s">
        <v>306</v>
      </c>
      <c r="E133" s="23" t="s">
        <v>74</v>
      </c>
      <c r="F133" s="222">
        <v>6.0478733190314773E-4</v>
      </c>
      <c r="G133" s="33">
        <v>2.320636514451769E-4</v>
      </c>
      <c r="H133" s="33">
        <v>2.181240865869439E-4</v>
      </c>
      <c r="I133" s="33">
        <v>4.5862068965517253E-5</v>
      </c>
      <c r="J133" s="33">
        <v>0</v>
      </c>
      <c r="K133" s="33">
        <v>1.0233900653016278E-5</v>
      </c>
      <c r="L133" s="33">
        <v>1.1287468675454409E-5</v>
      </c>
      <c r="M133" s="33">
        <v>2.4227610206896555E-7</v>
      </c>
      <c r="N133" s="33">
        <v>7.4566292815222108E-6</v>
      </c>
      <c r="O133" s="33">
        <v>2.2490164981320892E-5</v>
      </c>
      <c r="P133" s="20">
        <v>5.7027085212127035E-5</v>
      </c>
      <c r="Q133" s="33">
        <v>0</v>
      </c>
      <c r="R133" s="197">
        <f>'Parameters, country spec'!L26</f>
        <v>6.8000000000000005E-2</v>
      </c>
    </row>
    <row r="134" spans="1:19" x14ac:dyDescent="0.3">
      <c r="B134" s="18" t="s">
        <v>300</v>
      </c>
      <c r="C134" s="17" t="s">
        <v>299</v>
      </c>
      <c r="D134" s="23" t="str">
        <f>'Off-farm feed'!$D$24</f>
        <v>Brazil, Argentina</v>
      </c>
      <c r="E134" s="23"/>
      <c r="F134" s="222">
        <f>'Off-farm feed'!$E$24</f>
        <v>4.7266553697523981E-4</v>
      </c>
      <c r="G134" s="222">
        <f>'Off-farm feed'!$F$24</f>
        <v>1.5603516238625262E-5</v>
      </c>
      <c r="H134" s="222">
        <f>'Off-farm feed'!$G$24</f>
        <v>7.5304878048780503E-5</v>
      </c>
      <c r="I134" s="222">
        <f>'Off-farm feed'!$H$24</f>
        <v>0</v>
      </c>
      <c r="J134" s="222">
        <f>'Off-farm feed'!$I$24</f>
        <v>0</v>
      </c>
      <c r="K134" s="222">
        <f>'Off-farm feed'!$J$24</f>
        <v>1.908459074435586E-5</v>
      </c>
      <c r="L134" s="222">
        <f>'Off-farm feed'!$K$24</f>
        <v>0</v>
      </c>
      <c r="M134" s="222">
        <f>'Off-farm feed'!$L$24</f>
        <v>5.9672097439024396E-7</v>
      </c>
      <c r="N134" s="222">
        <f>'Off-farm feed'!$M$24</f>
        <v>2.3084271612619523E-5</v>
      </c>
      <c r="O134" s="222">
        <f>'Off-farm feed'!$N$24</f>
        <v>0</v>
      </c>
      <c r="P134" s="222">
        <f>'Off-farm feed'!$O$24</f>
        <v>1.2899155935646844E-4</v>
      </c>
      <c r="Q134" s="222">
        <f>'Off-farm feed'!$P$24</f>
        <v>2.1000000000000001E-4</v>
      </c>
      <c r="R134" s="197">
        <f>'Parameters, country spec'!L27</f>
        <v>0.186</v>
      </c>
    </row>
    <row r="135" spans="1:19" x14ac:dyDescent="0.3">
      <c r="B135" s="17" t="s">
        <v>187</v>
      </c>
      <c r="C135" s="17" t="s">
        <v>301</v>
      </c>
      <c r="D135" s="23" t="s">
        <v>34</v>
      </c>
      <c r="E135" s="23" t="s">
        <v>85</v>
      </c>
      <c r="F135" s="222"/>
      <c r="G135" s="14"/>
      <c r="H135" s="14"/>
      <c r="I135" s="14"/>
      <c r="J135" s="14"/>
      <c r="K135" s="14"/>
      <c r="L135" s="14"/>
      <c r="M135" s="14"/>
      <c r="N135" s="14"/>
      <c r="O135" s="14"/>
      <c r="P135" s="8"/>
      <c r="Q135" s="14"/>
      <c r="R135" s="197">
        <f>'Parameters, country spec'!L28</f>
        <v>0</v>
      </c>
    </row>
    <row r="136" spans="1:19" x14ac:dyDescent="0.3">
      <c r="A136" s="83"/>
      <c r="B136" s="17" t="s">
        <v>302</v>
      </c>
      <c r="C136" s="84" t="s">
        <v>303</v>
      </c>
      <c r="D136" s="23" t="s">
        <v>34</v>
      </c>
      <c r="E136" s="23" t="s">
        <v>85</v>
      </c>
      <c r="F136" s="222">
        <f t="shared" si="30"/>
        <v>2.3813048490861126E-4</v>
      </c>
      <c r="G136" s="82">
        <f t="shared" ref="G136:N136" si="31">AVERAGE(G126:G134)</f>
        <v>7.0928630622271073E-5</v>
      </c>
      <c r="H136" s="82">
        <f t="shared" si="31"/>
        <v>1.0649210718174717E-4</v>
      </c>
      <c r="I136" s="82">
        <f t="shared" si="31"/>
        <v>2.2931034482758626E-5</v>
      </c>
      <c r="J136" s="82">
        <f t="shared" si="31"/>
        <v>0</v>
      </c>
      <c r="K136" s="82">
        <f t="shared" si="31"/>
        <v>1.8890322954040379E-5</v>
      </c>
      <c r="L136" s="82">
        <f t="shared" si="31"/>
        <v>5.6437343377272043E-6</v>
      </c>
      <c r="M136" s="82">
        <f t="shared" si="31"/>
        <v>9.3221897384356615E-8</v>
      </c>
      <c r="N136" s="82">
        <f t="shared" si="31"/>
        <v>1.3151433432682416E-5</v>
      </c>
      <c r="O136" s="82"/>
      <c r="P136" s="81"/>
      <c r="Q136" s="82"/>
      <c r="R136" s="197">
        <f>'Parameters, country spec'!L29</f>
        <v>7.7000000000000179E-2</v>
      </c>
    </row>
    <row r="137" spans="1:19" x14ac:dyDescent="0.3">
      <c r="A137" s="195"/>
      <c r="B137" s="25" t="s">
        <v>304</v>
      </c>
      <c r="C137" s="26"/>
      <c r="D137" s="103"/>
      <c r="E137" s="103"/>
      <c r="F137" s="30">
        <f>SUMPRODUCT(F126:F136,$R$126:$R$136)</f>
        <v>2.8893708822582922E-4</v>
      </c>
      <c r="G137" s="30">
        <f>SUMPRODUCT(G126:G136,$R$126:$R$136)</f>
        <v>8.4752681750733792E-5</v>
      </c>
      <c r="H137" s="30">
        <f t="shared" ref="H137:O137" si="32">SUMPRODUCT(H126:H136,$R$126:$R$136)</f>
        <v>1.0059403745797991E-4</v>
      </c>
      <c r="I137" s="30">
        <f t="shared" si="32"/>
        <v>4.8843103448275912E-6</v>
      </c>
      <c r="J137" s="30">
        <f t="shared" si="32"/>
        <v>0</v>
      </c>
      <c r="K137" s="30">
        <f t="shared" si="32"/>
        <v>1.4703037557211308E-5</v>
      </c>
      <c r="L137" s="30">
        <f t="shared" si="32"/>
        <v>1.2021154139358956E-6</v>
      </c>
      <c r="M137" s="30">
        <f t="shared" si="32"/>
        <v>1.3464296227587052E-7</v>
      </c>
      <c r="N137" s="30">
        <f t="shared" si="32"/>
        <v>1.4206659685407291E-5</v>
      </c>
      <c r="O137" s="30">
        <f t="shared" si="32"/>
        <v>1.5293312187298208E-6</v>
      </c>
      <c r="P137" s="30">
        <f>SUMPRODUCT(P126:P136,R126:R136)</f>
        <v>2.7870271834727768E-5</v>
      </c>
      <c r="Q137" s="30">
        <f>SUMPRODUCT(Q126:Q136,$R$126:$R$136)</f>
        <v>3.9060000000000002E-5</v>
      </c>
      <c r="R137" s="198"/>
    </row>
    <row r="138" spans="1:19" x14ac:dyDescent="0.3">
      <c r="A138" s="22" t="s">
        <v>290</v>
      </c>
      <c r="B138" s="17" t="s">
        <v>173</v>
      </c>
      <c r="C138" s="17" t="s">
        <v>291</v>
      </c>
      <c r="D138" s="23" t="s">
        <v>26</v>
      </c>
      <c r="E138" s="23" t="s">
        <v>86</v>
      </c>
      <c r="F138" s="223">
        <f>SUM(G138:Q138)</f>
        <v>2.8413916504333646E-4</v>
      </c>
      <c r="G138" s="201">
        <v>1.517450467033289E-4</v>
      </c>
      <c r="H138" s="202">
        <v>9.5000000000000005E-5</v>
      </c>
      <c r="I138" s="203"/>
      <c r="J138" s="204"/>
      <c r="K138" s="205">
        <v>1.3522907453041109E-5</v>
      </c>
      <c r="L138" s="205"/>
      <c r="M138" s="205">
        <v>9.4655830344319088E-9</v>
      </c>
      <c r="N138" s="205">
        <v>2.3861745303932002E-5</v>
      </c>
      <c r="O138" s="205"/>
      <c r="P138" s="14"/>
      <c r="Q138" s="204"/>
      <c r="R138" s="208">
        <f>'Parameters, country spec'!M19</f>
        <v>0.24290688316534448</v>
      </c>
    </row>
    <row r="139" spans="1:19" x14ac:dyDescent="0.3">
      <c r="A139" s="22" t="s">
        <v>292</v>
      </c>
      <c r="B139" s="17" t="s">
        <v>176</v>
      </c>
      <c r="C139" s="17" t="s">
        <v>291</v>
      </c>
      <c r="D139" s="23" t="s">
        <v>26</v>
      </c>
      <c r="E139" s="23" t="s">
        <v>86</v>
      </c>
      <c r="F139" s="221">
        <f t="shared" ref="F139:F148" si="33">SUM(G139:Q139)</f>
        <v>3.036293128718875E-4</v>
      </c>
      <c r="G139" s="100">
        <v>1.7394359364198369E-4</v>
      </c>
      <c r="H139" s="101">
        <v>9.5000000000000005E-5</v>
      </c>
      <c r="I139" s="16"/>
      <c r="J139" s="14"/>
      <c r="K139" s="102">
        <v>1.0573045105971863E-5</v>
      </c>
      <c r="L139" s="102"/>
      <c r="M139" s="102">
        <v>2.5092882000000005E-7</v>
      </c>
      <c r="N139" s="102">
        <v>2.3861745303932002E-5</v>
      </c>
      <c r="O139" s="102"/>
      <c r="P139" s="14"/>
      <c r="Q139" s="14"/>
      <c r="R139" s="197">
        <f>'Parameters, country spec'!M20</f>
        <v>1.1405036092928852E-2</v>
      </c>
      <c r="S139" t="s">
        <v>450</v>
      </c>
    </row>
    <row r="140" spans="1:19" x14ac:dyDescent="0.3">
      <c r="A140" s="22" t="s">
        <v>293</v>
      </c>
      <c r="B140" s="17" t="s">
        <v>180</v>
      </c>
      <c r="C140" s="17" t="s">
        <v>291</v>
      </c>
      <c r="D140" s="23" t="s">
        <v>26</v>
      </c>
      <c r="E140" s="23" t="s">
        <v>86</v>
      </c>
      <c r="F140" s="221">
        <f t="shared" si="33"/>
        <v>2.6859418956389462E-4</v>
      </c>
      <c r="G140" s="100">
        <v>1.3375750173401068E-4</v>
      </c>
      <c r="H140" s="101">
        <v>9.5000000000000005E-5</v>
      </c>
      <c r="I140" s="16"/>
      <c r="J140" s="14"/>
      <c r="K140" s="102">
        <v>1.5126746987951804E-5</v>
      </c>
      <c r="L140" s="102"/>
      <c r="M140" s="102">
        <v>8.4819553800015236E-7</v>
      </c>
      <c r="N140" s="102">
        <v>2.3861745303932002E-5</v>
      </c>
      <c r="O140" s="102"/>
      <c r="P140" s="14"/>
      <c r="Q140" s="14"/>
      <c r="R140" s="197">
        <f>'Parameters, country spec'!M21</f>
        <v>2.6784717007595302E-2</v>
      </c>
    </row>
    <row r="141" spans="1:19" x14ac:dyDescent="0.3">
      <c r="A141" s="22" t="s">
        <v>294</v>
      </c>
      <c r="B141" s="17" t="s">
        <v>181</v>
      </c>
      <c r="C141" s="17" t="s">
        <v>291</v>
      </c>
      <c r="D141" s="23" t="s">
        <v>26</v>
      </c>
      <c r="E141" s="23" t="s">
        <v>86</v>
      </c>
      <c r="F141" s="221">
        <f t="shared" si="33"/>
        <v>2.6687063408238751E-4</v>
      </c>
      <c r="G141" s="100">
        <v>1.1783427532322465E-4</v>
      </c>
      <c r="H141" s="101">
        <v>9.5000000000000005E-5</v>
      </c>
      <c r="I141" s="14"/>
      <c r="J141" s="14"/>
      <c r="K141" s="102">
        <v>3.0174613455230867E-5</v>
      </c>
      <c r="L141" s="102"/>
      <c r="M141" s="102">
        <v>0</v>
      </c>
      <c r="N141" s="102">
        <v>2.3861745303932002E-5</v>
      </c>
      <c r="O141" s="102"/>
      <c r="P141" s="14"/>
      <c r="Q141" s="14"/>
      <c r="R141" s="197">
        <f>'Parameters, country spec'!M22</f>
        <v>1.2703483591450424E-3</v>
      </c>
    </row>
    <row r="142" spans="1:19" x14ac:dyDescent="0.3">
      <c r="A142" s="22" t="s">
        <v>295</v>
      </c>
      <c r="B142" s="17" t="s">
        <v>182</v>
      </c>
      <c r="C142" s="17" t="s">
        <v>291</v>
      </c>
      <c r="D142" s="23" t="s">
        <v>26</v>
      </c>
      <c r="E142" s="23" t="s">
        <v>86</v>
      </c>
      <c r="F142" s="221">
        <f t="shared" si="33"/>
        <v>3.036293128718875E-4</v>
      </c>
      <c r="G142" s="100">
        <v>1.7394359364198369E-4</v>
      </c>
      <c r="H142" s="101">
        <v>9.5000000000000005E-5</v>
      </c>
      <c r="I142" s="14"/>
      <c r="J142" s="14"/>
      <c r="K142" s="102">
        <v>1.0573045105971863E-5</v>
      </c>
      <c r="L142" s="102"/>
      <c r="M142" s="102">
        <v>2.5092882000000005E-7</v>
      </c>
      <c r="N142" s="102">
        <v>2.3861745303932002E-5</v>
      </c>
      <c r="O142" s="102"/>
      <c r="P142" s="14"/>
      <c r="Q142" s="14"/>
      <c r="R142" s="197">
        <f>'Parameters, country spec'!M23</f>
        <v>0.36306225085662319</v>
      </c>
    </row>
    <row r="143" spans="1:19" x14ac:dyDescent="0.3">
      <c r="A143" s="22" t="s">
        <v>296</v>
      </c>
      <c r="B143" s="17" t="s">
        <v>183</v>
      </c>
      <c r="C143" s="17" t="s">
        <v>297</v>
      </c>
      <c r="D143" s="23" t="s">
        <v>26</v>
      </c>
      <c r="E143" s="23" t="s">
        <v>86</v>
      </c>
      <c r="F143" s="221">
        <f t="shared" si="33"/>
        <v>1.4087369156763529E-4</v>
      </c>
      <c r="G143" s="100">
        <v>0</v>
      </c>
      <c r="H143" s="101">
        <v>9.5000000000000005E-5</v>
      </c>
      <c r="I143" s="16"/>
      <c r="J143" s="14"/>
      <c r="K143" s="102">
        <v>2.2011946263703292E-5</v>
      </c>
      <c r="L143" s="102"/>
      <c r="M143" s="102">
        <v>0</v>
      </c>
      <c r="N143" s="102">
        <v>2.3861745303932002E-5</v>
      </c>
      <c r="O143" s="102"/>
      <c r="P143" s="14"/>
      <c r="Q143" s="14"/>
      <c r="R143" s="197">
        <f>'Parameters, country spec'!M24</f>
        <v>6.0909129056991628E-3</v>
      </c>
    </row>
    <row r="144" spans="1:19" x14ac:dyDescent="0.3">
      <c r="A144" s="22" t="s">
        <v>298</v>
      </c>
      <c r="B144" s="17" t="s">
        <v>184</v>
      </c>
      <c r="C144" s="17" t="s">
        <v>297</v>
      </c>
      <c r="D144" s="23" t="s">
        <v>26</v>
      </c>
      <c r="E144" s="23" t="s">
        <v>86</v>
      </c>
      <c r="F144" s="221">
        <f t="shared" si="33"/>
        <v>1.4789118630982926E-4</v>
      </c>
      <c r="G144" s="100">
        <v>7.474739889190413E-6</v>
      </c>
      <c r="H144" s="101">
        <v>9.5000000000000005E-5</v>
      </c>
      <c r="I144" s="16"/>
      <c r="J144" s="14"/>
      <c r="K144" s="102">
        <v>2.1554701116706817E-5</v>
      </c>
      <c r="L144" s="102"/>
      <c r="M144" s="102">
        <v>0</v>
      </c>
      <c r="N144" s="102">
        <v>2.3861745303932002E-5</v>
      </c>
      <c r="O144" s="102"/>
      <c r="P144" s="14"/>
      <c r="Q144" s="14"/>
      <c r="R144" s="197">
        <f>'Parameters, country spec'!M25</f>
        <v>5.9832836689627722E-3</v>
      </c>
    </row>
    <row r="145" spans="1:18" x14ac:dyDescent="0.3">
      <c r="B145" s="18" t="s">
        <v>185</v>
      </c>
      <c r="C145" s="17" t="s">
        <v>299</v>
      </c>
      <c r="D145" s="23" t="s">
        <v>306</v>
      </c>
      <c r="E145" s="23" t="s">
        <v>74</v>
      </c>
      <c r="F145" s="222">
        <v>6.0478733190314773E-4</v>
      </c>
      <c r="G145" s="33">
        <v>2.320636514451769E-4</v>
      </c>
      <c r="H145" s="33">
        <v>2.181240865869439E-4</v>
      </c>
      <c r="I145" s="33">
        <v>4.5862068965517253E-5</v>
      </c>
      <c r="J145" s="33">
        <v>0</v>
      </c>
      <c r="K145" s="33">
        <v>1.0233900653016278E-5</v>
      </c>
      <c r="L145" s="33">
        <v>1.1287468675454409E-5</v>
      </c>
      <c r="M145" s="33">
        <v>2.4227610206896555E-7</v>
      </c>
      <c r="N145" s="33">
        <v>7.4566292815222108E-6</v>
      </c>
      <c r="O145" s="33">
        <v>2.2490164981320892E-5</v>
      </c>
      <c r="P145" s="20">
        <v>5.7027085212127035E-5</v>
      </c>
      <c r="Q145" s="33">
        <v>0</v>
      </c>
      <c r="R145" s="197">
        <f>'Parameters, country spec'!M26</f>
        <v>9.4633897453147445E-2</v>
      </c>
    </row>
    <row r="146" spans="1:18" x14ac:dyDescent="0.3">
      <c r="B146" s="18" t="s">
        <v>300</v>
      </c>
      <c r="C146" s="17" t="s">
        <v>299</v>
      </c>
      <c r="D146" s="23" t="str">
        <f>'Off-farm feed'!$D$24</f>
        <v>Brazil, Argentina</v>
      </c>
      <c r="E146" s="23"/>
      <c r="F146" s="222">
        <f>'Off-farm feed'!$E$24</f>
        <v>4.7266553697523981E-4</v>
      </c>
      <c r="G146" s="222">
        <f>'Off-farm feed'!$F$24</f>
        <v>1.5603516238625262E-5</v>
      </c>
      <c r="H146" s="222">
        <f>'Off-farm feed'!$G$24</f>
        <v>7.5304878048780503E-5</v>
      </c>
      <c r="I146" s="222">
        <f>'Off-farm feed'!$H$24</f>
        <v>0</v>
      </c>
      <c r="J146" s="222">
        <f>'Off-farm feed'!$I$24</f>
        <v>0</v>
      </c>
      <c r="K146" s="222">
        <f>'Off-farm feed'!$J$24</f>
        <v>1.908459074435586E-5</v>
      </c>
      <c r="L146" s="222">
        <f>'Off-farm feed'!$K$24</f>
        <v>0</v>
      </c>
      <c r="M146" s="222">
        <f>'Off-farm feed'!$L$24</f>
        <v>5.9672097439024396E-7</v>
      </c>
      <c r="N146" s="222">
        <f>'Off-farm feed'!$M$24</f>
        <v>2.3084271612619523E-5</v>
      </c>
      <c r="O146" s="222">
        <f>'Off-farm feed'!$N$24</f>
        <v>0</v>
      </c>
      <c r="P146" s="222">
        <f>'Off-farm feed'!$O$24</f>
        <v>1.2899155935646844E-4</v>
      </c>
      <c r="Q146" s="222">
        <f>'Off-farm feed'!$P$24</f>
        <v>2.1000000000000001E-4</v>
      </c>
      <c r="R146" s="197">
        <f>'Parameters, country spec'!M27</f>
        <v>0.1863493678947572</v>
      </c>
    </row>
    <row r="147" spans="1:18" x14ac:dyDescent="0.3">
      <c r="B147" s="17" t="s">
        <v>187</v>
      </c>
      <c r="C147" s="17" t="s">
        <v>301</v>
      </c>
      <c r="D147" s="23" t="s">
        <v>26</v>
      </c>
      <c r="E147" s="23" t="s">
        <v>86</v>
      </c>
      <c r="F147" s="222"/>
      <c r="G147" s="14"/>
      <c r="H147" s="14"/>
      <c r="I147" s="14"/>
      <c r="J147" s="14"/>
      <c r="K147" s="14"/>
      <c r="L147" s="14"/>
      <c r="M147" s="14"/>
      <c r="N147" s="14"/>
      <c r="O147" s="14"/>
      <c r="P147" s="8"/>
      <c r="Q147" s="14"/>
      <c r="R147" s="197">
        <f>'Parameters, country spec'!M28</f>
        <v>1.2143080899157416E-2</v>
      </c>
    </row>
    <row r="148" spans="1:18" x14ac:dyDescent="0.3">
      <c r="A148" s="83"/>
      <c r="B148" s="17" t="s">
        <v>302</v>
      </c>
      <c r="C148" s="84" t="s">
        <v>303</v>
      </c>
      <c r="D148" s="23" t="s">
        <v>26</v>
      </c>
      <c r="E148" s="23" t="s">
        <v>86</v>
      </c>
      <c r="F148" s="222">
        <f t="shared" si="33"/>
        <v>2.8606610370919224E-4</v>
      </c>
      <c r="G148" s="82">
        <f t="shared" ref="G148:N148" si="34">AVERAGE(G138:G146)</f>
        <v>1.1181843540194714E-4</v>
      </c>
      <c r="H148" s="82">
        <f t="shared" si="34"/>
        <v>1.0649210718174717E-4</v>
      </c>
      <c r="I148" s="82">
        <f t="shared" si="34"/>
        <v>2.2931034482758626E-5</v>
      </c>
      <c r="J148" s="82">
        <f t="shared" si="34"/>
        <v>0</v>
      </c>
      <c r="K148" s="82">
        <f t="shared" si="34"/>
        <v>1.6983944098438861E-5</v>
      </c>
      <c r="L148" s="82">
        <f t="shared" si="34"/>
        <v>5.6437343377272043E-6</v>
      </c>
      <c r="M148" s="82">
        <f t="shared" si="34"/>
        <v>2.4427953749931044E-7</v>
      </c>
      <c r="N148" s="82">
        <f t="shared" si="34"/>
        <v>2.1952568669073974E-5</v>
      </c>
      <c r="O148" s="82"/>
      <c r="P148" s="81"/>
      <c r="Q148" s="82"/>
      <c r="R148" s="197">
        <f>'Parameters, country spec'!M29</f>
        <v>4.9370221696639315E-2</v>
      </c>
    </row>
    <row r="149" spans="1:18" x14ac:dyDescent="0.3">
      <c r="A149" s="195"/>
      <c r="B149" s="25" t="s">
        <v>304</v>
      </c>
      <c r="C149" s="26"/>
      <c r="D149" s="103"/>
      <c r="E149" s="103"/>
      <c r="F149" s="30">
        <f>SUMPRODUCT(F138:F148,$R$138:$R$148)</f>
        <v>3.5143221967998416E-4</v>
      </c>
      <c r="G149" s="30">
        <f>SUMPRODUCT(G138:G148,$R$138:$R$148)</f>
        <v>1.3616246694989398E-4</v>
      </c>
      <c r="H149" s="30">
        <f t="shared" ref="H149:O149" si="35">SUMPRODUCT(H138:H148,$R$138:$R$148)</f>
        <v>1.0239531385176584E-4</v>
      </c>
      <c r="I149" s="30">
        <f>SUMPRODUCT(I138:I148,$R$138:$R$148)</f>
        <v>5.47221658761901E-6</v>
      </c>
      <c r="J149" s="30">
        <f t="shared" si="35"/>
        <v>0</v>
      </c>
      <c r="K149" s="30">
        <f t="shared" si="35"/>
        <v>1.3313981875254076E-5</v>
      </c>
      <c r="L149" s="30">
        <f t="shared" si="35"/>
        <v>1.3468095685890944E-6</v>
      </c>
      <c r="M149" s="30">
        <f t="shared" si="35"/>
        <v>2.6516881027553009E-7</v>
      </c>
      <c r="N149" s="30">
        <f t="shared" si="35"/>
        <v>2.1780371928287683E-5</v>
      </c>
      <c r="O149" s="30">
        <f t="shared" si="35"/>
        <v>2.1283319665466892E-6</v>
      </c>
      <c r="P149" s="30">
        <f>SUMPRODUCT(P138:P148,R138:R148)</f>
        <v>2.9434190883853279E-5</v>
      </c>
      <c r="Q149" s="30">
        <f>SUMPRODUCT(Q138:Q148,$R$138:$R$148)</f>
        <v>3.9133367257899012E-5</v>
      </c>
      <c r="R149" s="196"/>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theme="4" tint="0.79998168889431442"/>
  </sheetPr>
  <dimension ref="A2:T149"/>
  <sheetViews>
    <sheetView topLeftCell="J129" zoomScale="80" zoomScaleNormal="80" workbookViewId="0">
      <selection activeCell="F138" sqref="F138:N144"/>
    </sheetView>
  </sheetViews>
  <sheetFormatPr defaultColWidth="8.88671875" defaultRowHeight="14.4" x14ac:dyDescent="0.3"/>
  <cols>
    <col min="1" max="1" width="8.6640625" customWidth="1"/>
    <col min="2" max="2" width="30.44140625" customWidth="1"/>
    <col min="3" max="3" width="19" customWidth="1"/>
    <col min="4" max="4" width="12.88671875" customWidth="1"/>
    <col min="5" max="10" width="12.6640625" customWidth="1"/>
    <col min="11" max="11" width="14.44140625" customWidth="1"/>
    <col min="12" max="12" width="15" customWidth="1"/>
    <col min="13" max="17" width="12.6640625" customWidth="1"/>
  </cols>
  <sheetData>
    <row r="2" spans="1:18" ht="21" x14ac:dyDescent="0.4">
      <c r="A2" s="2" t="s">
        <v>307</v>
      </c>
      <c r="F2" t="s">
        <v>280</v>
      </c>
      <c r="O2" t="s">
        <v>281</v>
      </c>
    </row>
    <row r="3" spans="1:18" x14ac:dyDescent="0.3">
      <c r="H3" s="9"/>
      <c r="I3" s="9"/>
      <c r="J3" s="9"/>
      <c r="K3" s="9"/>
      <c r="L3" s="9"/>
      <c r="M3" s="9"/>
      <c r="N3" s="9"/>
      <c r="P3" s="9"/>
    </row>
    <row r="4" spans="1:18" ht="28.8" x14ac:dyDescent="0.3">
      <c r="A4" s="206" t="s">
        <v>282</v>
      </c>
      <c r="B4" s="189"/>
      <c r="C4" s="189"/>
      <c r="D4" s="189"/>
      <c r="E4" s="189"/>
      <c r="F4" s="190" t="s">
        <v>97</v>
      </c>
      <c r="G4" s="190" t="s">
        <v>98</v>
      </c>
      <c r="H4" s="191"/>
      <c r="I4" s="190" t="s">
        <v>99</v>
      </c>
      <c r="J4" s="104"/>
      <c r="K4" s="190" t="s">
        <v>100</v>
      </c>
      <c r="L4" s="104"/>
      <c r="M4" s="104"/>
      <c r="N4" s="104"/>
      <c r="O4" s="105" t="s">
        <v>101</v>
      </c>
      <c r="P4" s="105" t="s">
        <v>283</v>
      </c>
      <c r="Q4" s="192" t="s">
        <v>102</v>
      </c>
      <c r="R4" s="190" t="s">
        <v>284</v>
      </c>
    </row>
    <row r="5" spans="1:18" ht="55.5" customHeight="1" x14ac:dyDescent="0.3">
      <c r="A5" s="98" t="s">
        <v>52</v>
      </c>
      <c r="B5" s="98" t="s">
        <v>282</v>
      </c>
      <c r="C5" s="98" t="s">
        <v>285</v>
      </c>
      <c r="D5" s="98" t="s">
        <v>55</v>
      </c>
      <c r="E5" s="194" t="s">
        <v>56</v>
      </c>
      <c r="F5" s="193"/>
      <c r="G5" s="99" t="s">
        <v>14</v>
      </c>
      <c r="H5" s="99" t="s">
        <v>15</v>
      </c>
      <c r="I5" s="99" t="s">
        <v>286</v>
      </c>
      <c r="J5" s="99" t="s">
        <v>287</v>
      </c>
      <c r="K5" s="99" t="s">
        <v>111</v>
      </c>
      <c r="L5" s="99" t="s">
        <v>112</v>
      </c>
      <c r="M5" s="99" t="s">
        <v>113</v>
      </c>
      <c r="N5" s="99" t="s">
        <v>114</v>
      </c>
      <c r="O5" s="99" t="s">
        <v>115</v>
      </c>
      <c r="P5" s="99" t="s">
        <v>288</v>
      </c>
      <c r="Q5" s="194" t="s">
        <v>289</v>
      </c>
      <c r="R5" s="99"/>
    </row>
    <row r="6" spans="1:18" x14ac:dyDescent="0.3">
      <c r="A6" s="22" t="s">
        <v>290</v>
      </c>
      <c r="B6" s="17" t="s">
        <v>173</v>
      </c>
      <c r="C6" s="17" t="s">
        <v>291</v>
      </c>
      <c r="D6" s="23" t="s">
        <v>128</v>
      </c>
      <c r="E6" s="23" t="s">
        <v>75</v>
      </c>
      <c r="F6" s="223">
        <f>SUM(G6:Q6)</f>
        <v>8.1663199999999997E-4</v>
      </c>
      <c r="G6" s="201">
        <v>1.3999999999999999E-4</v>
      </c>
      <c r="H6" s="202">
        <v>9.9999999999999995E-7</v>
      </c>
      <c r="I6" s="205">
        <v>6.1200000000000002E-4</v>
      </c>
      <c r="J6" s="205">
        <v>6.1199999999999997E-5</v>
      </c>
      <c r="K6" s="205">
        <v>8.8199999999999998E-7</v>
      </c>
      <c r="L6" s="205"/>
      <c r="M6" s="205">
        <v>0</v>
      </c>
      <c r="N6" s="205">
        <v>1.55E-6</v>
      </c>
      <c r="O6" s="205"/>
      <c r="P6" s="14"/>
      <c r="Q6" s="204"/>
      <c r="R6" s="208">
        <f>'Parameters, country spec'!B19</f>
        <v>0.3247662162385499</v>
      </c>
    </row>
    <row r="7" spans="1:18" x14ac:dyDescent="0.3">
      <c r="A7" s="22" t="s">
        <v>292</v>
      </c>
      <c r="B7" s="17" t="s">
        <v>176</v>
      </c>
      <c r="C7" s="17" t="s">
        <v>291</v>
      </c>
      <c r="D7" s="23" t="s">
        <v>128</v>
      </c>
      <c r="E7" s="23" t="s">
        <v>75</v>
      </c>
      <c r="F7" s="221">
        <f t="shared" ref="F7:F16" si="0">SUM(G7:Q7)</f>
        <v>7.6922700000000004E-4</v>
      </c>
      <c r="G7" s="100">
        <v>1.2999999999999999E-4</v>
      </c>
      <c r="H7" s="101">
        <v>9.9999999999999995E-7</v>
      </c>
      <c r="I7" s="102">
        <v>5.7799999999999995E-4</v>
      </c>
      <c r="J7" s="102">
        <v>5.7800000000000002E-5</v>
      </c>
      <c r="K7" s="102">
        <v>7.2600000000000002E-7</v>
      </c>
      <c r="L7" s="102"/>
      <c r="M7" s="102">
        <v>1.5099999999999999E-7</v>
      </c>
      <c r="N7" s="102">
        <v>1.55E-6</v>
      </c>
      <c r="O7" s="102"/>
      <c r="P7" s="14"/>
      <c r="Q7" s="14"/>
      <c r="R7" s="197">
        <f>'Parameters, country spec'!B20</f>
        <v>1.9544149435115246E-2</v>
      </c>
    </row>
    <row r="8" spans="1:18" x14ac:dyDescent="0.3">
      <c r="A8" s="22" t="s">
        <v>293</v>
      </c>
      <c r="B8" s="17" t="s">
        <v>180</v>
      </c>
      <c r="C8" s="17" t="s">
        <v>291</v>
      </c>
      <c r="D8" s="23" t="s">
        <v>128</v>
      </c>
      <c r="E8" s="23" t="s">
        <v>75</v>
      </c>
      <c r="F8" s="221">
        <f t="shared" si="0"/>
        <v>7.4175999999999995E-4</v>
      </c>
      <c r="G8" s="100">
        <v>1.2E-4</v>
      </c>
      <c r="H8" s="101">
        <v>9.9999999999999995E-7</v>
      </c>
      <c r="I8" s="102">
        <v>5.62E-4</v>
      </c>
      <c r="J8" s="102">
        <v>5.6199999999999997E-5</v>
      </c>
      <c r="K8" s="102">
        <v>1.0100000000000001E-6</v>
      </c>
      <c r="L8" s="102"/>
      <c r="M8" s="102">
        <v>0</v>
      </c>
      <c r="N8" s="102">
        <v>1.55E-6</v>
      </c>
      <c r="O8" s="102"/>
      <c r="P8" s="14"/>
      <c r="Q8" s="14"/>
      <c r="R8" s="197">
        <f>'Parameters, country spec'!B21</f>
        <v>5.4547926099966608E-3</v>
      </c>
    </row>
    <row r="9" spans="1:18" x14ac:dyDescent="0.3">
      <c r="A9" s="22" t="s">
        <v>294</v>
      </c>
      <c r="B9" s="17" t="s">
        <v>181</v>
      </c>
      <c r="C9" s="17" t="s">
        <v>291</v>
      </c>
      <c r="D9" s="23" t="s">
        <v>128</v>
      </c>
      <c r="E9" s="23" t="s">
        <v>75</v>
      </c>
      <c r="F9" s="221">
        <f t="shared" si="0"/>
        <v>6.6777399999999999E-4</v>
      </c>
      <c r="G9" s="100">
        <v>1.1E-4</v>
      </c>
      <c r="H9" s="101">
        <v>9.9999999999999995E-7</v>
      </c>
      <c r="I9" s="102">
        <v>5.04E-4</v>
      </c>
      <c r="J9" s="102">
        <v>5.0399999999999999E-5</v>
      </c>
      <c r="K9" s="102">
        <v>8.2399999999999997E-7</v>
      </c>
      <c r="L9" s="102"/>
      <c r="M9" s="102">
        <v>0</v>
      </c>
      <c r="N9" s="102">
        <v>1.55E-6</v>
      </c>
      <c r="O9" s="102"/>
      <c r="P9" s="14"/>
      <c r="Q9" s="14"/>
      <c r="R9" s="197">
        <f>'Parameters, country spec'!B22</f>
        <v>3.9573904033440906E-3</v>
      </c>
    </row>
    <row r="10" spans="1:18" x14ac:dyDescent="0.3">
      <c r="A10" s="22" t="s">
        <v>295</v>
      </c>
      <c r="B10" s="17" t="s">
        <v>182</v>
      </c>
      <c r="C10" s="17" t="s">
        <v>291</v>
      </c>
      <c r="D10" s="23" t="s">
        <v>128</v>
      </c>
      <c r="E10" s="23" t="s">
        <v>75</v>
      </c>
      <c r="F10" s="221">
        <f t="shared" si="0"/>
        <v>9.2223750000000008E-4</v>
      </c>
      <c r="G10" s="100">
        <v>1.6000000000000001E-4</v>
      </c>
      <c r="H10" s="101">
        <v>9.9999999999999995E-7</v>
      </c>
      <c r="I10" s="102">
        <v>6.8999999999999997E-4</v>
      </c>
      <c r="J10" s="102">
        <v>6.8999999999999997E-5</v>
      </c>
      <c r="K10" s="102">
        <v>6.6899999999999997E-7</v>
      </c>
      <c r="L10" s="102"/>
      <c r="M10" s="102">
        <v>1.85E-8</v>
      </c>
      <c r="N10" s="102">
        <v>1.55E-6</v>
      </c>
      <c r="O10" s="102"/>
      <c r="P10" s="14"/>
      <c r="Q10" s="14"/>
      <c r="R10" s="197">
        <f>'Parameters, country spec'!B23</f>
        <v>0.33524969269006805</v>
      </c>
    </row>
    <row r="11" spans="1:18" x14ac:dyDescent="0.3">
      <c r="A11" s="22" t="s">
        <v>296</v>
      </c>
      <c r="B11" s="17" t="s">
        <v>183</v>
      </c>
      <c r="C11" s="17" t="s">
        <v>297</v>
      </c>
      <c r="D11" s="23" t="s">
        <v>128</v>
      </c>
      <c r="E11" s="23" t="s">
        <v>75</v>
      </c>
      <c r="F11" s="221">
        <f t="shared" si="0"/>
        <v>2.0725309000000001E-4</v>
      </c>
      <c r="G11" s="100">
        <v>0</v>
      </c>
      <c r="H11" s="101">
        <v>9.9999999999999995E-7</v>
      </c>
      <c r="I11" s="102">
        <v>1.85E-4</v>
      </c>
      <c r="J11" s="102">
        <v>1.8499999999999999E-5</v>
      </c>
      <c r="K11" s="102">
        <v>1.1999999999999999E-6</v>
      </c>
      <c r="L11" s="102"/>
      <c r="M11" s="102">
        <v>3.0899999999999999E-9</v>
      </c>
      <c r="N11" s="102">
        <v>1.55E-6</v>
      </c>
      <c r="O11" s="102"/>
      <c r="P11" s="14"/>
      <c r="Q11" s="14"/>
      <c r="R11" s="197">
        <f>'Parameters, country spec'!B24</f>
        <v>6.9591530195853583E-4</v>
      </c>
    </row>
    <row r="12" spans="1:18" x14ac:dyDescent="0.3">
      <c r="A12" s="22" t="s">
        <v>298</v>
      </c>
      <c r="B12" s="17" t="s">
        <v>184</v>
      </c>
      <c r="C12" s="17" t="s">
        <v>297</v>
      </c>
      <c r="D12" s="23" t="s">
        <v>128</v>
      </c>
      <c r="E12" s="23" t="s">
        <v>75</v>
      </c>
      <c r="F12" s="221">
        <f t="shared" si="0"/>
        <v>2.3858199999999999E-4</v>
      </c>
      <c r="G12" s="100">
        <v>6.7000000000000002E-6</v>
      </c>
      <c r="H12" s="101">
        <v>9.9999999999999995E-7</v>
      </c>
      <c r="I12" s="102">
        <v>2.0699999999999999E-4</v>
      </c>
      <c r="J12" s="102">
        <v>2.0699999999999998E-5</v>
      </c>
      <c r="K12" s="102">
        <v>1.28E-6</v>
      </c>
      <c r="L12" s="102"/>
      <c r="M12" s="102">
        <v>3.5199999999999998E-7</v>
      </c>
      <c r="N12" s="102">
        <v>1.55E-6</v>
      </c>
      <c r="O12" s="102"/>
      <c r="P12" s="14"/>
      <c r="Q12" s="14"/>
      <c r="R12" s="197">
        <f>'Parameters, country spec'!B25</f>
        <v>6.8361815808324494E-4</v>
      </c>
    </row>
    <row r="13" spans="1:18" x14ac:dyDescent="0.3">
      <c r="B13" s="18" t="s">
        <v>185</v>
      </c>
      <c r="C13" s="17" t="s">
        <v>299</v>
      </c>
      <c r="D13" s="23" t="str">
        <f>'Off-farm feed'!$D$77</f>
        <v>France, Germany, Poland</v>
      </c>
      <c r="E13" s="23" t="s">
        <v>74</v>
      </c>
      <c r="F13" s="222">
        <f>'Off-farm feed'!$E$77</f>
        <v>6.732045566157569E-4</v>
      </c>
      <c r="G13" s="222">
        <f>'Off-farm feed'!$F$77</f>
        <v>1.946970439026595E-4</v>
      </c>
      <c r="H13" s="222">
        <f>'Off-farm feed'!$G$77</f>
        <v>5.3103448275862083E-7</v>
      </c>
      <c r="I13" s="222">
        <f>'Off-farm feed'!$H$77</f>
        <v>4.2751561806777074E-4</v>
      </c>
      <c r="J13" s="222">
        <f>'Off-farm feed'!$I$77</f>
        <v>4.2751561806777089E-5</v>
      </c>
      <c r="K13" s="222">
        <f>'Off-farm feed'!$J$77</f>
        <v>6.6339607025480414E-7</v>
      </c>
      <c r="L13" s="222">
        <f>'Off-farm feed'!$K$77</f>
        <v>0</v>
      </c>
      <c r="M13" s="222">
        <f>'Off-farm feed'!$L$77</f>
        <v>7.9511067188965511E-9</v>
      </c>
      <c r="N13" s="222">
        <f>'Off-farm feed'!$M$77</f>
        <v>1.2789681892721844E-6</v>
      </c>
      <c r="O13" s="222">
        <f>'Off-farm feed'!$N$77</f>
        <v>0</v>
      </c>
      <c r="P13" s="222">
        <f>'Off-farm feed'!$O$77</f>
        <v>3.9312802868423834E-6</v>
      </c>
      <c r="Q13" s="222">
        <f>'Off-farm feed'!$P$77</f>
        <v>1.8277027027027027E-6</v>
      </c>
      <c r="R13" s="197">
        <f>'Parameters, country spec'!B26</f>
        <v>4.36899603839115E-2</v>
      </c>
    </row>
    <row r="14" spans="1:18" x14ac:dyDescent="0.3">
      <c r="B14" s="18" t="s">
        <v>300</v>
      </c>
      <c r="C14" s="17" t="s">
        <v>299</v>
      </c>
      <c r="D14" s="23" t="str">
        <f>'Off-farm feed'!$D$26</f>
        <v>Brazil, Argentina</v>
      </c>
      <c r="E14" s="23" t="s">
        <v>74</v>
      </c>
      <c r="F14" s="222">
        <f>'Off-farm feed'!$E$26</f>
        <v>1.8866346644602505E-4</v>
      </c>
      <c r="G14" s="222">
        <f>'Off-farm feed'!$F$26</f>
        <v>1.6332109719061441E-5</v>
      </c>
      <c r="H14" s="222">
        <f>'Off-farm feed'!$G$26</f>
        <v>8.7195121951219526E-7</v>
      </c>
      <c r="I14" s="222">
        <f>'Off-farm feed'!$H$26</f>
        <v>1.3333449845358202E-4</v>
      </c>
      <c r="J14" s="222">
        <f>'Off-farm feed'!$I$26</f>
        <v>1.3333449845358203E-5</v>
      </c>
      <c r="K14" s="222">
        <f>'Off-farm feed'!$J$26</f>
        <v>1.1576736579983931E-6</v>
      </c>
      <c r="L14" s="222">
        <f>'Off-farm feed'!$K$26</f>
        <v>0</v>
      </c>
      <c r="M14" s="222">
        <f>'Off-farm feed'!$L$26</f>
        <v>7.3437786087804866E-9</v>
      </c>
      <c r="N14" s="222">
        <f>'Off-farm feed'!$M$26</f>
        <v>1.1195281639512197E-6</v>
      </c>
      <c r="O14" s="222">
        <f>'Off-farm feed'!$N$26</f>
        <v>0</v>
      </c>
      <c r="P14" s="222">
        <f>'Off-farm feed'!$O$26</f>
        <v>1.3419073770114991E-5</v>
      </c>
      <c r="Q14" s="222">
        <f>'Off-farm feed'!$P$26</f>
        <v>9.087837837837838E-6</v>
      </c>
      <c r="R14" s="197">
        <f>'Parameters, country spec'!B27</f>
        <v>0.1076444790964969</v>
      </c>
    </row>
    <row r="15" spans="1:18" x14ac:dyDescent="0.3">
      <c r="B15" s="17" t="s">
        <v>187</v>
      </c>
      <c r="C15" s="17" t="s">
        <v>301</v>
      </c>
      <c r="D15" s="23" t="s">
        <v>128</v>
      </c>
      <c r="E15" s="23" t="s">
        <v>75</v>
      </c>
      <c r="F15" s="222"/>
      <c r="G15" s="14"/>
      <c r="H15" s="14"/>
      <c r="I15" s="14"/>
      <c r="J15" s="14"/>
      <c r="K15" s="14"/>
      <c r="L15" s="14"/>
      <c r="M15" s="14"/>
      <c r="N15" s="14"/>
      <c r="O15" s="14"/>
      <c r="P15" s="8"/>
      <c r="Q15" s="14"/>
      <c r="R15" s="197">
        <f>'Parameters, country spec'!B28</f>
        <v>1.7669178559904096E-2</v>
      </c>
    </row>
    <row r="16" spans="1:18" x14ac:dyDescent="0.3">
      <c r="A16" s="83"/>
      <c r="B16" s="17" t="s">
        <v>302</v>
      </c>
      <c r="C16" s="84" t="s">
        <v>303</v>
      </c>
      <c r="D16" s="23" t="s">
        <v>128</v>
      </c>
      <c r="E16" s="23" t="s">
        <v>75</v>
      </c>
      <c r="F16" s="222">
        <f t="shared" si="0"/>
        <v>5.7745196871825371E-4</v>
      </c>
      <c r="G16" s="82">
        <f t="shared" ref="G16:N16" si="1">AVERAGE(G6:G14)</f>
        <v>9.7525461513524526E-5</v>
      </c>
      <c r="H16" s="82">
        <f t="shared" si="1"/>
        <v>9.3366507803009054E-7</v>
      </c>
      <c r="I16" s="82">
        <f t="shared" si="1"/>
        <v>4.3320556850237255E-4</v>
      </c>
      <c r="J16" s="82">
        <f t="shared" si="1"/>
        <v>4.3320556850237259E-5</v>
      </c>
      <c r="K16" s="82">
        <f t="shared" si="1"/>
        <v>9.3467441425035527E-7</v>
      </c>
      <c r="L16" s="82">
        <f t="shared" si="1"/>
        <v>0</v>
      </c>
      <c r="M16" s="82">
        <f t="shared" si="1"/>
        <v>5.9987209480852991E-8</v>
      </c>
      <c r="N16" s="82">
        <f t="shared" si="1"/>
        <v>1.4720551503581562E-6</v>
      </c>
      <c r="O16" s="82"/>
      <c r="P16" s="81"/>
      <c r="Q16" s="82"/>
      <c r="R16" s="197">
        <f>'Parameters, country spec'!B29</f>
        <v>0.14064460712257179</v>
      </c>
    </row>
    <row r="17" spans="1:18" x14ac:dyDescent="0.3">
      <c r="A17" s="195"/>
      <c r="B17" s="25" t="s">
        <v>304</v>
      </c>
      <c r="C17" s="26"/>
      <c r="D17" s="103"/>
      <c r="E17" s="103"/>
      <c r="F17" s="46">
        <f>SUMPRODUCT(F6:F16,$R$6:$R$16)</f>
        <v>7.2736069582026363E-4</v>
      </c>
      <c r="G17" s="46">
        <f t="shared" ref="G17:O17" si="2">SUMPRODUCT(G6:G16,$R$6:$R$16)</f>
        <v>1.267232266268437E-4</v>
      </c>
      <c r="H17" s="46">
        <f t="shared" si="2"/>
        <v>9.3872834325688372E-7</v>
      </c>
      <c r="I17" s="46">
        <f t="shared" si="2"/>
        <v>5.406649922011646E-4</v>
      </c>
      <c r="J17" s="46">
        <f t="shared" si="2"/>
        <v>5.4066499220116472E-5</v>
      </c>
      <c r="K17" s="46">
        <f t="shared" si="2"/>
        <v>8.2045310114210824E-7</v>
      </c>
      <c r="L17" s="46">
        <f t="shared" si="2"/>
        <v>0</v>
      </c>
      <c r="M17" s="46">
        <f t="shared" si="2"/>
        <v>1.8970848119710011E-8</v>
      </c>
      <c r="N17" s="46">
        <f t="shared" si="2"/>
        <v>1.4534709648463823E-6</v>
      </c>
      <c r="O17" s="46">
        <f t="shared" si="2"/>
        <v>0</v>
      </c>
      <c r="P17" s="30">
        <f>SUMPRODUCT(P6:P16,R6:R16)</f>
        <v>1.6162466859316889E-6</v>
      </c>
      <c r="Q17" s="46">
        <f>SUMPRODUCT(Q6:Q16,$R$6:$R$16)</f>
        <v>1.0581078288421378E-6</v>
      </c>
      <c r="R17" s="207"/>
    </row>
    <row r="18" spans="1:18" x14ac:dyDescent="0.3">
      <c r="A18" s="22" t="s">
        <v>290</v>
      </c>
      <c r="B18" s="17" t="s">
        <v>173</v>
      </c>
      <c r="C18" s="17" t="s">
        <v>291</v>
      </c>
      <c r="D18" s="23" t="s">
        <v>35</v>
      </c>
      <c r="E18" s="23" t="s">
        <v>76</v>
      </c>
      <c r="F18" s="223">
        <f>SUM(G18:Q18)</f>
        <v>6.9794440000000017E-4</v>
      </c>
      <c r="G18" s="201">
        <v>1.8000000000000001E-4</v>
      </c>
      <c r="H18" s="202">
        <v>9.9999999999999995E-7</v>
      </c>
      <c r="I18" s="205">
        <v>4.6799999999999999E-4</v>
      </c>
      <c r="J18" s="205">
        <v>4.6799999999999999E-5</v>
      </c>
      <c r="K18" s="205">
        <v>8.0200000000000001E-7</v>
      </c>
      <c r="L18" s="205"/>
      <c r="M18" s="205">
        <v>1.24E-8</v>
      </c>
      <c r="N18" s="205">
        <v>1.33E-6</v>
      </c>
      <c r="O18" s="205"/>
      <c r="P18" s="14"/>
      <c r="Q18" s="204"/>
      <c r="R18" s="208">
        <f>'Parameters, country spec'!C19</f>
        <v>0.12938618407074468</v>
      </c>
    </row>
    <row r="19" spans="1:18" x14ac:dyDescent="0.3">
      <c r="A19" s="22" t="s">
        <v>292</v>
      </c>
      <c r="B19" s="17" t="s">
        <v>176</v>
      </c>
      <c r="C19" s="17" t="s">
        <v>291</v>
      </c>
      <c r="D19" s="23" t="s">
        <v>35</v>
      </c>
      <c r="E19" s="23" t="s">
        <v>76</v>
      </c>
      <c r="F19" s="221">
        <f t="shared" ref="F19:F28" si="3">SUM(G19:Q19)</f>
        <v>6.5715800000000003E-4</v>
      </c>
      <c r="G19" s="100">
        <v>1.7000000000000001E-4</v>
      </c>
      <c r="H19" s="101">
        <v>9.9999999999999995E-7</v>
      </c>
      <c r="I19" s="102">
        <v>4.4000000000000002E-4</v>
      </c>
      <c r="J19" s="102">
        <v>4.3999999999999999E-5</v>
      </c>
      <c r="K19" s="102">
        <v>5.4700000000000001E-7</v>
      </c>
      <c r="L19" s="102"/>
      <c r="M19" s="102">
        <v>2.8099999999999999E-7</v>
      </c>
      <c r="N19" s="102">
        <v>1.33E-6</v>
      </c>
      <c r="O19" s="102"/>
      <c r="P19" s="14"/>
      <c r="Q19" s="14"/>
      <c r="R19" s="197">
        <f>'Parameters, country spec'!C20</f>
        <v>0.21280975376032865</v>
      </c>
    </row>
    <row r="20" spans="1:18" x14ac:dyDescent="0.3">
      <c r="A20" s="22" t="s">
        <v>293</v>
      </c>
      <c r="B20" s="17" t="s">
        <v>180</v>
      </c>
      <c r="C20" s="17" t="s">
        <v>291</v>
      </c>
      <c r="D20" s="23" t="s">
        <v>35</v>
      </c>
      <c r="E20" s="23" t="s">
        <v>76</v>
      </c>
      <c r="F20" s="221">
        <f t="shared" si="3"/>
        <v>6.6289399999999992E-4</v>
      </c>
      <c r="G20" s="100">
        <v>1.4999999999999999E-4</v>
      </c>
      <c r="H20" s="101">
        <v>9.9999999999999995E-7</v>
      </c>
      <c r="I20" s="102">
        <v>4.6299999999999998E-4</v>
      </c>
      <c r="J20" s="102">
        <v>4.6300000000000001E-5</v>
      </c>
      <c r="K20" s="102">
        <v>1.1000000000000001E-6</v>
      </c>
      <c r="L20" s="102"/>
      <c r="M20" s="102">
        <v>1.6400000000000001E-7</v>
      </c>
      <c r="N20" s="102">
        <v>1.33E-6</v>
      </c>
      <c r="O20" s="102"/>
      <c r="P20" s="14"/>
      <c r="Q20" s="14"/>
      <c r="R20" s="197">
        <f>'Parameters, country spec'!C21</f>
        <v>1.4661663802605954E-2</v>
      </c>
    </row>
    <row r="21" spans="1:18" x14ac:dyDescent="0.3">
      <c r="A21" s="22" t="s">
        <v>294</v>
      </c>
      <c r="B21" s="17" t="s">
        <v>181</v>
      </c>
      <c r="C21" s="17" t="s">
        <v>291</v>
      </c>
      <c r="D21" s="23" t="s">
        <v>35</v>
      </c>
      <c r="E21" s="23" t="s">
        <v>76</v>
      </c>
      <c r="F21" s="221">
        <f t="shared" si="3"/>
        <v>6.0983308999999991E-4</v>
      </c>
      <c r="G21" s="100">
        <v>1.3999999999999999E-4</v>
      </c>
      <c r="H21" s="101">
        <v>9.9999999999999995E-7</v>
      </c>
      <c r="I21" s="102">
        <v>4.2400000000000001E-4</v>
      </c>
      <c r="J21" s="102">
        <v>4.2400000000000001E-5</v>
      </c>
      <c r="K21" s="102">
        <v>1.1000000000000001E-6</v>
      </c>
      <c r="L21" s="102"/>
      <c r="M21" s="102">
        <v>3.0899999999999999E-9</v>
      </c>
      <c r="N21" s="102">
        <v>1.33E-6</v>
      </c>
      <c r="O21" s="102"/>
      <c r="P21" s="14"/>
      <c r="Q21" s="14"/>
      <c r="R21" s="197">
        <f>'Parameters, country spec'!C22</f>
        <v>2.2515954502451301E-3</v>
      </c>
    </row>
    <row r="22" spans="1:18" x14ac:dyDescent="0.3">
      <c r="A22" s="22" t="s">
        <v>295</v>
      </c>
      <c r="B22" s="17" t="s">
        <v>182</v>
      </c>
      <c r="C22" s="17" t="s">
        <v>291</v>
      </c>
      <c r="D22" s="23" t="s">
        <v>35</v>
      </c>
      <c r="E22" s="23" t="s">
        <v>76</v>
      </c>
      <c r="F22" s="221">
        <f t="shared" si="3"/>
        <v>7.9156026000000001E-4</v>
      </c>
      <c r="G22" s="100">
        <v>2.0000000000000001E-4</v>
      </c>
      <c r="H22" s="101">
        <v>9.9999999999999995E-7</v>
      </c>
      <c r="I22" s="102">
        <v>5.3499999999999999E-4</v>
      </c>
      <c r="J22" s="102">
        <v>5.3499999999999999E-5</v>
      </c>
      <c r="K22" s="102">
        <v>7.2099999999999996E-7</v>
      </c>
      <c r="L22" s="102"/>
      <c r="M22" s="102">
        <v>9.2599999999999999E-9</v>
      </c>
      <c r="N22" s="102">
        <v>1.33E-6</v>
      </c>
      <c r="O22" s="102"/>
      <c r="P22" s="14"/>
      <c r="Q22" s="14"/>
      <c r="R22" s="197">
        <f>'Parameters, country spec'!C23</f>
        <v>0.31521053769451607</v>
      </c>
    </row>
    <row r="23" spans="1:18" x14ac:dyDescent="0.3">
      <c r="A23" s="22" t="s">
        <v>296</v>
      </c>
      <c r="B23" s="17" t="s">
        <v>183</v>
      </c>
      <c r="C23" s="17" t="s">
        <v>297</v>
      </c>
      <c r="D23" s="23" t="s">
        <v>35</v>
      </c>
      <c r="E23" s="23" t="s">
        <v>76</v>
      </c>
      <c r="F23" s="221">
        <f t="shared" si="3"/>
        <v>3.4258030000000004E-4</v>
      </c>
      <c r="G23" s="100">
        <v>0</v>
      </c>
      <c r="H23" s="101">
        <v>9.9999999999999995E-7</v>
      </c>
      <c r="I23" s="102">
        <v>3.0800000000000001E-4</v>
      </c>
      <c r="J23" s="102">
        <v>3.0800000000000003E-5</v>
      </c>
      <c r="K23" s="102">
        <v>1.37E-6</v>
      </c>
      <c r="L23" s="102"/>
      <c r="M23" s="102">
        <v>8.0299999999999998E-8</v>
      </c>
      <c r="N23" s="102">
        <v>1.33E-6</v>
      </c>
      <c r="O23" s="102"/>
      <c r="P23" s="14"/>
      <c r="Q23" s="14"/>
      <c r="R23" s="197">
        <f>'Parameters, country spec'!C24</f>
        <v>0</v>
      </c>
    </row>
    <row r="24" spans="1:18" x14ac:dyDescent="0.3">
      <c r="A24" s="22" t="s">
        <v>298</v>
      </c>
      <c r="B24" s="17" t="s">
        <v>184</v>
      </c>
      <c r="C24" s="17" t="s">
        <v>297</v>
      </c>
      <c r="D24" s="23" t="s">
        <v>35</v>
      </c>
      <c r="E24" s="23" t="s">
        <v>76</v>
      </c>
      <c r="F24" s="221">
        <f t="shared" si="3"/>
        <v>3.6272900000000006E-4</v>
      </c>
      <c r="G24" s="100">
        <v>8.6000000000000007E-6</v>
      </c>
      <c r="H24" s="101">
        <v>9.9999999999999995E-7</v>
      </c>
      <c r="I24" s="102">
        <v>3.1799999999999998E-4</v>
      </c>
      <c r="J24" s="102">
        <v>3.18E-5</v>
      </c>
      <c r="K24" s="102">
        <v>1.86E-6</v>
      </c>
      <c r="L24" s="102"/>
      <c r="M24" s="102">
        <v>1.3899999999999999E-7</v>
      </c>
      <c r="N24" s="102">
        <v>1.33E-6</v>
      </c>
      <c r="O24" s="102"/>
      <c r="P24" s="14"/>
      <c r="Q24" s="14"/>
      <c r="R24" s="197">
        <f>'Parameters, country spec'!C25</f>
        <v>0</v>
      </c>
    </row>
    <row r="25" spans="1:18" x14ac:dyDescent="0.3">
      <c r="B25" s="18" t="s">
        <v>185</v>
      </c>
      <c r="C25" s="17" t="s">
        <v>299</v>
      </c>
      <c r="D25" s="23" t="str">
        <f>'Off-farm feed'!$D$77</f>
        <v>France, Germany, Poland</v>
      </c>
      <c r="E25" s="23" t="s">
        <v>74</v>
      </c>
      <c r="F25" s="222">
        <f>'Off-farm feed'!$E$77</f>
        <v>6.732045566157569E-4</v>
      </c>
      <c r="G25" s="222">
        <f>'Off-farm feed'!$F$77</f>
        <v>1.946970439026595E-4</v>
      </c>
      <c r="H25" s="222">
        <f>'Off-farm feed'!$G$77</f>
        <v>5.3103448275862083E-7</v>
      </c>
      <c r="I25" s="222">
        <f>'Off-farm feed'!$H$77</f>
        <v>4.2751561806777074E-4</v>
      </c>
      <c r="J25" s="222">
        <f>'Off-farm feed'!$I$77</f>
        <v>4.2751561806777089E-5</v>
      </c>
      <c r="K25" s="222">
        <f>'Off-farm feed'!$J$77</f>
        <v>6.6339607025480414E-7</v>
      </c>
      <c r="L25" s="222">
        <f>'Off-farm feed'!$K$77</f>
        <v>0</v>
      </c>
      <c r="M25" s="222">
        <f>'Off-farm feed'!$L$77</f>
        <v>7.9511067188965511E-9</v>
      </c>
      <c r="N25" s="222">
        <f>'Off-farm feed'!$M$77</f>
        <v>1.2789681892721844E-6</v>
      </c>
      <c r="O25" s="222">
        <f>'Off-farm feed'!$N$77</f>
        <v>0</v>
      </c>
      <c r="P25" s="222">
        <f>'Off-farm feed'!$O$77</f>
        <v>3.9312802868423834E-6</v>
      </c>
      <c r="Q25" s="222">
        <f>'Off-farm feed'!$P$77</f>
        <v>1.8277027027027027E-6</v>
      </c>
      <c r="R25" s="197">
        <f>'Parameters, country spec'!C26</f>
        <v>9.7073458625180783E-2</v>
      </c>
    </row>
    <row r="26" spans="1:18" x14ac:dyDescent="0.3">
      <c r="B26" s="18" t="s">
        <v>300</v>
      </c>
      <c r="C26" s="17" t="s">
        <v>299</v>
      </c>
      <c r="D26" s="23" t="str">
        <f>'Off-farm feed'!$D$26</f>
        <v>Brazil, Argentina</v>
      </c>
      <c r="E26" s="23" t="s">
        <v>74</v>
      </c>
      <c r="F26" s="222">
        <f>'Off-farm feed'!$E$26</f>
        <v>1.8866346644602505E-4</v>
      </c>
      <c r="G26" s="222">
        <f>'Off-farm feed'!$F$26</f>
        <v>1.6332109719061441E-5</v>
      </c>
      <c r="H26" s="222">
        <f>'Off-farm feed'!$G$26</f>
        <v>8.7195121951219526E-7</v>
      </c>
      <c r="I26" s="222">
        <f>'Off-farm feed'!$H$26</f>
        <v>1.3333449845358202E-4</v>
      </c>
      <c r="J26" s="222">
        <f>'Off-farm feed'!$I$26</f>
        <v>1.3333449845358203E-5</v>
      </c>
      <c r="K26" s="222">
        <f>'Off-farm feed'!$J$26</f>
        <v>1.1576736579983931E-6</v>
      </c>
      <c r="L26" s="222">
        <f>'Off-farm feed'!$K$26</f>
        <v>0</v>
      </c>
      <c r="M26" s="222">
        <f>'Off-farm feed'!$L$26</f>
        <v>7.3437786087804866E-9</v>
      </c>
      <c r="N26" s="222">
        <f>'Off-farm feed'!$M$26</f>
        <v>1.1195281639512197E-6</v>
      </c>
      <c r="O26" s="222">
        <f>'Off-farm feed'!$N$26</f>
        <v>0</v>
      </c>
      <c r="P26" s="222">
        <f>'Off-farm feed'!$O$26</f>
        <v>1.3419073770114991E-5</v>
      </c>
      <c r="Q26" s="222">
        <f>'Off-farm feed'!$P$26</f>
        <v>9.087837837837838E-6</v>
      </c>
      <c r="R26" s="197">
        <f>'Parameters, country spec'!C27</f>
        <v>8.7459166665531385E-2</v>
      </c>
    </row>
    <row r="27" spans="1:18" x14ac:dyDescent="0.3">
      <c r="B27" s="17" t="s">
        <v>187</v>
      </c>
      <c r="C27" s="17" t="s">
        <v>301</v>
      </c>
      <c r="D27" s="23" t="s">
        <v>35</v>
      </c>
      <c r="E27" s="23" t="s">
        <v>76</v>
      </c>
      <c r="F27" s="222"/>
      <c r="G27" s="14"/>
      <c r="H27" s="14"/>
      <c r="I27" s="14"/>
      <c r="J27" s="14"/>
      <c r="K27" s="14"/>
      <c r="L27" s="14"/>
      <c r="M27" s="14"/>
      <c r="N27" s="14"/>
      <c r="O27" s="14"/>
      <c r="P27" s="8"/>
      <c r="Q27" s="14"/>
      <c r="R27" s="197">
        <f>'Parameters, country spec'!C28</f>
        <v>8.0151207366747315E-2</v>
      </c>
    </row>
    <row r="28" spans="1:18" x14ac:dyDescent="0.3">
      <c r="A28" s="83"/>
      <c r="B28" s="17" t="s">
        <v>302</v>
      </c>
      <c r="C28" s="84" t="s">
        <v>303</v>
      </c>
      <c r="D28" s="23" t="s">
        <v>35</v>
      </c>
      <c r="E28" s="23" t="s">
        <v>76</v>
      </c>
      <c r="F28" s="222">
        <f t="shared" si="3"/>
        <v>5.5092235316269822E-4</v>
      </c>
      <c r="G28" s="82">
        <f t="shared" ref="G28:N28" si="4">AVERAGE(G18:G26)</f>
        <v>1.1773657262463566E-4</v>
      </c>
      <c r="H28" s="82">
        <f t="shared" si="4"/>
        <v>9.3366507803009054E-7</v>
      </c>
      <c r="I28" s="82">
        <f t="shared" si="4"/>
        <v>3.907611240579281E-4</v>
      </c>
      <c r="J28" s="82">
        <f t="shared" si="4"/>
        <v>3.9076112405792814E-5</v>
      </c>
      <c r="K28" s="82">
        <f t="shared" si="4"/>
        <v>1.0356744142503554E-6</v>
      </c>
      <c r="L28" s="82">
        <f t="shared" si="4"/>
        <v>0</v>
      </c>
      <c r="M28" s="82">
        <f t="shared" si="4"/>
        <v>7.8260542814186315E-8</v>
      </c>
      <c r="N28" s="82">
        <f t="shared" si="4"/>
        <v>1.3009440392470449E-6</v>
      </c>
      <c r="O28" s="82"/>
      <c r="P28" s="81"/>
      <c r="Q28" s="82"/>
      <c r="R28" s="197">
        <f>'Parameters, country spec'!C29</f>
        <v>6.0996432564100048E-2</v>
      </c>
    </row>
    <row r="29" spans="1:18" x14ac:dyDescent="0.3">
      <c r="A29" s="195"/>
      <c r="B29" s="25" t="s">
        <v>304</v>
      </c>
      <c r="C29" s="26"/>
      <c r="D29" s="103"/>
      <c r="E29" s="103"/>
      <c r="F29" s="46">
        <f>SUMPRODUCT(F18:F28,$R$18:$R$28)</f>
        <v>6.0620929871027052E-4</v>
      </c>
      <c r="G29" s="46">
        <f t="shared" ref="G29:O29" si="5">SUMPRODUCT(G18:G28,$R$18:$R$28)</f>
        <v>1.5253357079839417E-4</v>
      </c>
      <c r="H29" s="46">
        <f t="shared" si="5"/>
        <v>8.5907945467010171E-7</v>
      </c>
      <c r="I29" s="46">
        <f t="shared" si="5"/>
        <v>4.0756646861463824E-4</v>
      </c>
      <c r="J29" s="46">
        <f>SUMPRODUCT(J18:J28,$R$18:$R$28)</f>
        <v>4.0756646861463822E-5</v>
      </c>
      <c r="K29" s="46">
        <f t="shared" si="5"/>
        <v>6.9486580673186903E-7</v>
      </c>
      <c r="L29" s="46">
        <f t="shared" si="5"/>
        <v>0</v>
      </c>
      <c r="M29" s="46">
        <f t="shared" si="5"/>
        <v>7.2921985470346114E-8</v>
      </c>
      <c r="N29" s="46">
        <f t="shared" si="5"/>
        <v>1.1982650584969281E-6</v>
      </c>
      <c r="O29" s="46">
        <f t="shared" si="5"/>
        <v>0</v>
      </c>
      <c r="P29" s="30">
        <f>SUMPRODUCT(P18:P28,R18:R28)</f>
        <v>1.5552439836263306E-6</v>
      </c>
      <c r="Q29" s="46">
        <f>SUMPRODUCT(Q18:Q28,$R$18:$R$28)</f>
        <v>9.7223614677872379E-7</v>
      </c>
      <c r="R29" s="198"/>
    </row>
    <row r="30" spans="1:18" x14ac:dyDescent="0.3">
      <c r="A30" s="22" t="s">
        <v>290</v>
      </c>
      <c r="B30" s="17" t="s">
        <v>173</v>
      </c>
      <c r="C30" s="17" t="s">
        <v>291</v>
      </c>
      <c r="D30" s="23" t="s">
        <v>29</v>
      </c>
      <c r="E30" s="23" t="s">
        <v>77</v>
      </c>
      <c r="F30" s="223">
        <f>SUM(G30:Q30)</f>
        <v>6.9154900000000007E-4</v>
      </c>
      <c r="G30" s="201">
        <v>1.8000000000000001E-4</v>
      </c>
      <c r="H30" s="202">
        <v>9.9999999999999995E-7</v>
      </c>
      <c r="I30" s="205">
        <v>4.6200000000000001E-4</v>
      </c>
      <c r="J30" s="205">
        <v>4.6199999999999998E-5</v>
      </c>
      <c r="K30" s="205">
        <v>7.6899999999999996E-7</v>
      </c>
      <c r="L30" s="205"/>
      <c r="M30" s="205">
        <v>0</v>
      </c>
      <c r="N30" s="205">
        <v>1.5799999999999999E-6</v>
      </c>
      <c r="O30" s="205"/>
      <c r="P30" s="14"/>
      <c r="Q30" s="204"/>
      <c r="R30" s="208">
        <f>'Parameters, country spec'!D19</f>
        <v>0.12840126760243717</v>
      </c>
    </row>
    <row r="31" spans="1:18" x14ac:dyDescent="0.3">
      <c r="A31" s="22" t="s">
        <v>292</v>
      </c>
      <c r="B31" s="17" t="s">
        <v>176</v>
      </c>
      <c r="C31" s="17" t="s">
        <v>291</v>
      </c>
      <c r="D31" s="23" t="s">
        <v>29</v>
      </c>
      <c r="E31" s="23" t="s">
        <v>77</v>
      </c>
      <c r="F31" s="221">
        <f t="shared" ref="F31:F40" si="6">SUM(G31:Q31)</f>
        <v>6.5716690000000003E-4</v>
      </c>
      <c r="G31" s="100">
        <v>1.7000000000000001E-4</v>
      </c>
      <c r="H31" s="101">
        <v>9.9999999999999995E-7</v>
      </c>
      <c r="I31" s="102">
        <v>4.4000000000000002E-4</v>
      </c>
      <c r="J31" s="102">
        <v>4.3999999999999999E-5</v>
      </c>
      <c r="K31" s="102">
        <v>5.2200000000000004E-7</v>
      </c>
      <c r="L31" s="102"/>
      <c r="M31" s="102">
        <v>6.4900000000000005E-8</v>
      </c>
      <c r="N31" s="102">
        <v>1.5799999999999999E-6</v>
      </c>
      <c r="O31" s="102"/>
      <c r="P31" s="14"/>
      <c r="Q31" s="14"/>
      <c r="R31" s="197">
        <f>'Parameters, country spec'!D20</f>
        <v>0.19116633717197407</v>
      </c>
    </row>
    <row r="32" spans="1:18" x14ac:dyDescent="0.3">
      <c r="A32" s="22" t="s">
        <v>293</v>
      </c>
      <c r="B32" s="17" t="s">
        <v>180</v>
      </c>
      <c r="C32" s="17" t="s">
        <v>291</v>
      </c>
      <c r="D32" s="23" t="s">
        <v>29</v>
      </c>
      <c r="E32" s="23" t="s">
        <v>77</v>
      </c>
      <c r="F32" s="221">
        <f t="shared" si="6"/>
        <v>6.6303239999999995E-4</v>
      </c>
      <c r="G32" s="100">
        <v>1.4999999999999999E-4</v>
      </c>
      <c r="H32" s="101">
        <v>9.9999999999999995E-7</v>
      </c>
      <c r="I32" s="102">
        <v>4.6299999999999998E-4</v>
      </c>
      <c r="J32" s="102">
        <v>4.6300000000000001E-5</v>
      </c>
      <c r="K32" s="102">
        <v>1.1400000000000001E-6</v>
      </c>
      <c r="L32" s="102"/>
      <c r="M32" s="102">
        <v>1.24E-8</v>
      </c>
      <c r="N32" s="102">
        <v>1.5799999999999999E-6</v>
      </c>
      <c r="O32" s="102"/>
      <c r="P32" s="14"/>
      <c r="Q32" s="14"/>
      <c r="R32" s="197">
        <f>'Parameters, country spec'!D21</f>
        <v>2.5558758775563904E-5</v>
      </c>
    </row>
    <row r="33" spans="1:18" x14ac:dyDescent="0.3">
      <c r="A33" s="22" t="s">
        <v>294</v>
      </c>
      <c r="B33" s="17" t="s">
        <v>181</v>
      </c>
      <c r="C33" s="17" t="s">
        <v>291</v>
      </c>
      <c r="D33" s="23" t="s">
        <v>29</v>
      </c>
      <c r="E33" s="23" t="s">
        <v>77</v>
      </c>
      <c r="F33" s="221">
        <f t="shared" si="6"/>
        <v>6.0995899999999998E-4</v>
      </c>
      <c r="G33" s="100">
        <v>1.3999999999999999E-4</v>
      </c>
      <c r="H33" s="101">
        <v>9.9999999999999995E-7</v>
      </c>
      <c r="I33" s="102">
        <v>4.2400000000000001E-4</v>
      </c>
      <c r="J33" s="102">
        <v>4.2400000000000001E-5</v>
      </c>
      <c r="K33" s="102">
        <v>9.7900000000000007E-7</v>
      </c>
      <c r="L33" s="102"/>
      <c r="M33" s="102">
        <v>0</v>
      </c>
      <c r="N33" s="102">
        <v>1.5799999999999999E-6</v>
      </c>
      <c r="O33" s="102"/>
      <c r="P33" s="14"/>
      <c r="Q33" s="14"/>
      <c r="R33" s="197">
        <f>'Parameters, country spec'!D22</f>
        <v>2.0974185801992562E-2</v>
      </c>
    </row>
    <row r="34" spans="1:18" x14ac:dyDescent="0.3">
      <c r="A34" s="22" t="s">
        <v>295</v>
      </c>
      <c r="B34" s="17" t="s">
        <v>182</v>
      </c>
      <c r="C34" s="17" t="s">
        <v>291</v>
      </c>
      <c r="D34" s="23" t="s">
        <v>29</v>
      </c>
      <c r="E34" s="23" t="s">
        <v>77</v>
      </c>
      <c r="F34" s="221">
        <f t="shared" si="6"/>
        <v>7.9177509000000017E-4</v>
      </c>
      <c r="G34" s="100">
        <v>2.0000000000000001E-4</v>
      </c>
      <c r="H34" s="101">
        <v>9.9999999999999995E-7</v>
      </c>
      <c r="I34" s="102">
        <v>5.3499999999999999E-4</v>
      </c>
      <c r="J34" s="102">
        <v>5.3499999999999999E-5</v>
      </c>
      <c r="K34" s="102">
        <v>6.92E-7</v>
      </c>
      <c r="L34" s="102"/>
      <c r="M34" s="102">
        <v>3.0899999999999999E-9</v>
      </c>
      <c r="N34" s="102">
        <v>1.5799999999999999E-6</v>
      </c>
      <c r="O34" s="102"/>
      <c r="P34" s="14"/>
      <c r="Q34" s="14"/>
      <c r="R34" s="197">
        <f>'Parameters, country spec'!D23</f>
        <v>0.42888207443270587</v>
      </c>
    </row>
    <row r="35" spans="1:18" x14ac:dyDescent="0.3">
      <c r="A35" s="22" t="s">
        <v>296</v>
      </c>
      <c r="B35" s="17" t="s">
        <v>183</v>
      </c>
      <c r="C35" s="17" t="s">
        <v>297</v>
      </c>
      <c r="D35" s="23" t="s">
        <v>29</v>
      </c>
      <c r="E35" s="23" t="s">
        <v>77</v>
      </c>
      <c r="F35" s="221">
        <f t="shared" si="6"/>
        <v>3.4280618000000006E-4</v>
      </c>
      <c r="G35" s="100">
        <v>0</v>
      </c>
      <c r="H35" s="101">
        <v>9.9999999999999995E-7</v>
      </c>
      <c r="I35" s="102">
        <v>3.0800000000000001E-4</v>
      </c>
      <c r="J35" s="102">
        <v>3.0800000000000003E-5</v>
      </c>
      <c r="K35" s="102">
        <v>1.42E-6</v>
      </c>
      <c r="L35" s="102"/>
      <c r="M35" s="102">
        <v>6.1799999999999998E-9</v>
      </c>
      <c r="N35" s="102">
        <v>1.5799999999999999E-6</v>
      </c>
      <c r="O35" s="102"/>
      <c r="P35" s="14"/>
      <c r="Q35" s="14"/>
      <c r="R35" s="197">
        <f>'Parameters, country spec'!D24</f>
        <v>9.3450155108809542E-4</v>
      </c>
    </row>
    <row r="36" spans="1:18" x14ac:dyDescent="0.3">
      <c r="A36" s="22" t="s">
        <v>298</v>
      </c>
      <c r="B36" s="17" t="s">
        <v>184</v>
      </c>
      <c r="C36" s="17" t="s">
        <v>297</v>
      </c>
      <c r="D36" s="23" t="s">
        <v>29</v>
      </c>
      <c r="E36" s="23" t="s">
        <v>77</v>
      </c>
      <c r="F36" s="221">
        <f t="shared" si="6"/>
        <v>3.6247300000000004E-4</v>
      </c>
      <c r="G36" s="100">
        <v>8.6000000000000007E-6</v>
      </c>
      <c r="H36" s="101">
        <v>9.9999999999999995E-7</v>
      </c>
      <c r="I36" s="102">
        <v>3.1799999999999998E-4</v>
      </c>
      <c r="J36" s="102">
        <v>3.18E-5</v>
      </c>
      <c r="K36" s="102">
        <v>1.24E-6</v>
      </c>
      <c r="L36" s="102"/>
      <c r="M36" s="102">
        <v>2.53E-7</v>
      </c>
      <c r="N36" s="102">
        <v>1.5799999999999999E-6</v>
      </c>
      <c r="O36" s="102"/>
      <c r="P36" s="14"/>
      <c r="Q36" s="14"/>
      <c r="R36" s="197">
        <f>'Parameters, country spec'!D25</f>
        <v>9.1798847805104754E-4</v>
      </c>
    </row>
    <row r="37" spans="1:18" x14ac:dyDescent="0.3">
      <c r="B37" s="18" t="s">
        <v>185</v>
      </c>
      <c r="C37" s="17" t="s">
        <v>299</v>
      </c>
      <c r="D37" s="23" t="str">
        <f>'Off-farm feed'!$D$77</f>
        <v>France, Germany, Poland</v>
      </c>
      <c r="E37" s="23" t="s">
        <v>74</v>
      </c>
      <c r="F37" s="222">
        <f>'Off-farm feed'!$E$77</f>
        <v>6.732045566157569E-4</v>
      </c>
      <c r="G37" s="222">
        <f>'Off-farm feed'!$F$77</f>
        <v>1.946970439026595E-4</v>
      </c>
      <c r="H37" s="222">
        <f>'Off-farm feed'!$G$77</f>
        <v>5.3103448275862083E-7</v>
      </c>
      <c r="I37" s="222">
        <f>'Off-farm feed'!$H$77</f>
        <v>4.2751561806777074E-4</v>
      </c>
      <c r="J37" s="222">
        <f>'Off-farm feed'!$I$77</f>
        <v>4.2751561806777089E-5</v>
      </c>
      <c r="K37" s="222">
        <f>'Off-farm feed'!$J$77</f>
        <v>6.6339607025480414E-7</v>
      </c>
      <c r="L37" s="222">
        <f>'Off-farm feed'!$K$77</f>
        <v>0</v>
      </c>
      <c r="M37" s="222">
        <f>'Off-farm feed'!$L$77</f>
        <v>7.9511067188965511E-9</v>
      </c>
      <c r="N37" s="222">
        <f>'Off-farm feed'!$M$77</f>
        <v>1.2789681892721844E-6</v>
      </c>
      <c r="O37" s="222">
        <f>'Off-farm feed'!$N$77</f>
        <v>0</v>
      </c>
      <c r="P37" s="222">
        <f>'Off-farm feed'!$O$77</f>
        <v>3.9312802868423834E-6</v>
      </c>
      <c r="Q37" s="222">
        <f>'Off-farm feed'!$P$77</f>
        <v>1.8277027027027027E-6</v>
      </c>
      <c r="R37" s="197">
        <f>'Parameters, country spec'!D26</f>
        <v>9.4499576799197224E-2</v>
      </c>
    </row>
    <row r="38" spans="1:18" x14ac:dyDescent="0.3">
      <c r="B38" s="18" t="s">
        <v>300</v>
      </c>
      <c r="C38" s="17" t="s">
        <v>299</v>
      </c>
      <c r="D38" s="23" t="str">
        <f>'Off-farm feed'!$D$26</f>
        <v>Brazil, Argentina</v>
      </c>
      <c r="E38" s="23" t="s">
        <v>74</v>
      </c>
      <c r="F38" s="222">
        <f>'Off-farm feed'!$E$26</f>
        <v>1.8866346644602505E-4</v>
      </c>
      <c r="G38" s="222">
        <f>'Off-farm feed'!$F$26</f>
        <v>1.6332109719061441E-5</v>
      </c>
      <c r="H38" s="222">
        <f>'Off-farm feed'!$G$26</f>
        <v>8.7195121951219526E-7</v>
      </c>
      <c r="I38" s="222">
        <f>'Off-farm feed'!$H$26</f>
        <v>1.3333449845358202E-4</v>
      </c>
      <c r="J38" s="222">
        <f>'Off-farm feed'!$I$26</f>
        <v>1.3333449845358203E-5</v>
      </c>
      <c r="K38" s="222">
        <f>'Off-farm feed'!$J$26</f>
        <v>1.1576736579983931E-6</v>
      </c>
      <c r="L38" s="222">
        <f>'Off-farm feed'!$K$26</f>
        <v>0</v>
      </c>
      <c r="M38" s="222">
        <f>'Off-farm feed'!$L$26</f>
        <v>7.3437786087804866E-9</v>
      </c>
      <c r="N38" s="222">
        <f>'Off-farm feed'!$M$26</f>
        <v>1.1195281639512197E-6</v>
      </c>
      <c r="O38" s="222">
        <f>'Off-farm feed'!$N$26</f>
        <v>0</v>
      </c>
      <c r="P38" s="222">
        <f>'Off-farm feed'!$O$26</f>
        <v>1.3419073770114991E-5</v>
      </c>
      <c r="Q38" s="222">
        <f>'Off-farm feed'!$P$26</f>
        <v>9.087837837837838E-6</v>
      </c>
      <c r="R38" s="197">
        <f>'Parameters, country spec'!D27</f>
        <v>9.0801007307611245E-2</v>
      </c>
    </row>
    <row r="39" spans="1:18" x14ac:dyDescent="0.3">
      <c r="B39" s="17" t="s">
        <v>187</v>
      </c>
      <c r="C39" s="17" t="s">
        <v>301</v>
      </c>
      <c r="D39" s="23" t="s">
        <v>29</v>
      </c>
      <c r="E39" s="23" t="s">
        <v>77</v>
      </c>
      <c r="F39" s="222"/>
      <c r="G39" s="14"/>
      <c r="H39" s="14"/>
      <c r="I39" s="14"/>
      <c r="J39" s="14"/>
      <c r="K39" s="14"/>
      <c r="L39" s="14"/>
      <c r="M39" s="14"/>
      <c r="N39" s="14"/>
      <c r="O39" s="14"/>
      <c r="P39" s="8"/>
      <c r="Q39" s="14"/>
      <c r="R39" s="197">
        <f>'Parameters, country spec'!D28</f>
        <v>1.8113105318221089E-2</v>
      </c>
    </row>
    <row r="40" spans="1:18" x14ac:dyDescent="0.3">
      <c r="A40" s="83"/>
      <c r="B40" s="17" t="s">
        <v>302</v>
      </c>
      <c r="C40" s="84" t="s">
        <v>303</v>
      </c>
      <c r="D40" s="23" t="s">
        <v>29</v>
      </c>
      <c r="E40" s="23" t="s">
        <v>77</v>
      </c>
      <c r="F40" s="222">
        <f t="shared" si="6"/>
        <v>5.5026263316269831E-4</v>
      </c>
      <c r="G40" s="82">
        <f t="shared" ref="G40:N40" si="7">AVERAGE(G30:G38)</f>
        <v>1.1773657262463566E-4</v>
      </c>
      <c r="H40" s="82">
        <f t="shared" si="7"/>
        <v>9.3366507803009054E-7</v>
      </c>
      <c r="I40" s="82">
        <f t="shared" si="7"/>
        <v>3.9009445739126143E-4</v>
      </c>
      <c r="J40" s="82">
        <f t="shared" si="7"/>
        <v>3.9009445739126143E-5</v>
      </c>
      <c r="K40" s="82">
        <f t="shared" si="7"/>
        <v>9.5367441425035542E-7</v>
      </c>
      <c r="L40" s="82">
        <f t="shared" si="7"/>
        <v>0</v>
      </c>
      <c r="M40" s="82">
        <f t="shared" si="7"/>
        <v>3.9429431703075228E-8</v>
      </c>
      <c r="N40" s="82">
        <f t="shared" si="7"/>
        <v>1.4953884836914891E-6</v>
      </c>
      <c r="O40" s="82"/>
      <c r="P40" s="81"/>
      <c r="Q40" s="82"/>
      <c r="R40" s="197">
        <f>'Parameters, country spec'!D29</f>
        <v>2.5284396777946184E-2</v>
      </c>
    </row>
    <row r="41" spans="1:18" x14ac:dyDescent="0.3">
      <c r="A41" s="195"/>
      <c r="B41" s="25" t="s">
        <v>304</v>
      </c>
      <c r="C41" s="26"/>
      <c r="D41" s="103"/>
      <c r="E41" s="103"/>
      <c r="F41" s="46">
        <f>SUMPRODUCT(F30:F40,$R$30:$R$40)</f>
        <v>6.6212697634739602E-4</v>
      </c>
      <c r="G41" s="46">
        <f t="shared" ref="G41:O41" si="8">SUMPRODUCT(G30:G40,$R$30:$R$40)</f>
        <v>1.6719369338554399E-4</v>
      </c>
      <c r="H41" s="46">
        <f t="shared" si="8"/>
        <v>9.2426565502892693E-7</v>
      </c>
      <c r="I41" s="46">
        <f t="shared" si="8"/>
        <v>4.4474137390105575E-4</v>
      </c>
      <c r="J41" s="46">
        <f t="shared" si="8"/>
        <v>4.4474137390105567E-5</v>
      </c>
      <c r="K41" s="46">
        <f t="shared" si="8"/>
        <v>7.1026562555391246E-7</v>
      </c>
      <c r="L41" s="46">
        <f t="shared" si="8"/>
        <v>0</v>
      </c>
      <c r="M41" s="46">
        <f t="shared" si="8"/>
        <v>1.6385432236651453E-8</v>
      </c>
      <c r="N41" s="46">
        <f t="shared" si="8"/>
        <v>1.4789832571799937E-6</v>
      </c>
      <c r="O41" s="46">
        <f t="shared" si="8"/>
        <v>0</v>
      </c>
      <c r="P41" s="30">
        <f>SUMPRODUCT(P30:P40,R30:R40)</f>
        <v>1.5899697388472175E-6</v>
      </c>
      <c r="Q41" s="46">
        <f>SUMPRODUCT(Q30:Q40,$R$30:$R$40)</f>
        <v>9.9790196184405396E-7</v>
      </c>
      <c r="R41" s="198"/>
    </row>
    <row r="42" spans="1:18" x14ac:dyDescent="0.3">
      <c r="A42" s="22" t="s">
        <v>290</v>
      </c>
      <c r="B42" s="17" t="s">
        <v>173</v>
      </c>
      <c r="C42" s="17" t="s">
        <v>291</v>
      </c>
      <c r="D42" s="23" t="s">
        <v>32</v>
      </c>
      <c r="E42" s="23" t="s">
        <v>78</v>
      </c>
      <c r="F42" s="223">
        <f>SUM(G42:Q42)</f>
        <v>5.3860780000000003E-4</v>
      </c>
      <c r="G42" s="201">
        <v>1.8000000000000001E-4</v>
      </c>
      <c r="H42" s="202">
        <v>9.9999999999999995E-7</v>
      </c>
      <c r="I42" s="205">
        <v>3.2200000000000002E-4</v>
      </c>
      <c r="J42" s="205">
        <v>3.2199999999999997E-5</v>
      </c>
      <c r="K42" s="205">
        <v>1.77E-6</v>
      </c>
      <c r="L42" s="205"/>
      <c r="M42" s="205">
        <v>2.7800000000000001E-8</v>
      </c>
      <c r="N42" s="205">
        <v>1.61E-6</v>
      </c>
      <c r="O42" s="205"/>
      <c r="P42" s="14"/>
      <c r="Q42" s="204"/>
      <c r="R42" s="208">
        <f>'Parameters, country spec'!E19</f>
        <v>0.12227505038110943</v>
      </c>
    </row>
    <row r="43" spans="1:18" x14ac:dyDescent="0.3">
      <c r="A43" s="22" t="s">
        <v>292</v>
      </c>
      <c r="B43" s="17" t="s">
        <v>176</v>
      </c>
      <c r="C43" s="17" t="s">
        <v>291</v>
      </c>
      <c r="D43" s="23" t="s">
        <v>32</v>
      </c>
      <c r="E43" s="23" t="s">
        <v>78</v>
      </c>
      <c r="F43" s="221">
        <f t="shared" ref="F43:F52" si="9">SUM(G43:Q43)</f>
        <v>4.1570499999999999E-4</v>
      </c>
      <c r="G43" s="100">
        <v>1.7000000000000001E-4</v>
      </c>
      <c r="H43" s="101">
        <v>9.9999999999999995E-7</v>
      </c>
      <c r="I43" s="102">
        <v>2.2000000000000001E-4</v>
      </c>
      <c r="J43" s="102">
        <v>2.1999999999999999E-5</v>
      </c>
      <c r="K43" s="102">
        <v>4.5900000000000002E-7</v>
      </c>
      <c r="L43" s="102"/>
      <c r="M43" s="102">
        <v>6.3600000000000003E-7</v>
      </c>
      <c r="N43" s="102">
        <v>1.61E-6</v>
      </c>
      <c r="O43" s="102"/>
      <c r="P43" s="14"/>
      <c r="Q43" s="14"/>
      <c r="R43" s="197">
        <f>'Parameters, country spec'!E20</f>
        <v>0.36571383818682729</v>
      </c>
    </row>
    <row r="44" spans="1:18" x14ac:dyDescent="0.3">
      <c r="A44" s="22" t="s">
        <v>293</v>
      </c>
      <c r="B44" s="17" t="s">
        <v>180</v>
      </c>
      <c r="C44" s="17" t="s">
        <v>291</v>
      </c>
      <c r="D44" s="23" t="s">
        <v>32</v>
      </c>
      <c r="E44" s="23" t="s">
        <v>78</v>
      </c>
      <c r="F44" s="221">
        <f t="shared" si="9"/>
        <v>4.1096199999999996E-4</v>
      </c>
      <c r="G44" s="100">
        <v>1.4999999999999999E-4</v>
      </c>
      <c r="H44" s="101">
        <v>9.9999999999999995E-7</v>
      </c>
      <c r="I44" s="102">
        <v>2.31E-4</v>
      </c>
      <c r="J44" s="102">
        <v>2.3099999999999999E-5</v>
      </c>
      <c r="K44" s="102">
        <v>3.7299999999999999E-6</v>
      </c>
      <c r="L44" s="102"/>
      <c r="M44" s="102">
        <v>5.2200000000000004E-7</v>
      </c>
      <c r="N44" s="102">
        <v>1.61E-6</v>
      </c>
      <c r="O44" s="102"/>
      <c r="P44" s="14"/>
      <c r="Q44" s="14"/>
      <c r="R44" s="197">
        <f>'Parameters, country spec'!E21</f>
        <v>3.3230481611398861E-2</v>
      </c>
    </row>
    <row r="45" spans="1:18" x14ac:dyDescent="0.3">
      <c r="A45" s="22" t="s">
        <v>294</v>
      </c>
      <c r="B45" s="17" t="s">
        <v>181</v>
      </c>
      <c r="C45" s="17" t="s">
        <v>291</v>
      </c>
      <c r="D45" s="23" t="s">
        <v>32</v>
      </c>
      <c r="E45" s="23" t="s">
        <v>78</v>
      </c>
      <c r="F45" s="221">
        <f t="shared" si="9"/>
        <v>3.7824308999999997E-4</v>
      </c>
      <c r="G45" s="100">
        <v>1.3999999999999999E-4</v>
      </c>
      <c r="H45" s="101">
        <v>9.9999999999999995E-7</v>
      </c>
      <c r="I45" s="102">
        <v>2.12E-4</v>
      </c>
      <c r="J45" s="102">
        <v>2.12E-5</v>
      </c>
      <c r="K45" s="102">
        <v>2.43E-6</v>
      </c>
      <c r="L45" s="102"/>
      <c r="M45" s="102">
        <v>3.0899999999999999E-9</v>
      </c>
      <c r="N45" s="102">
        <v>1.61E-6</v>
      </c>
      <c r="O45" s="102"/>
      <c r="P45" s="14"/>
      <c r="Q45" s="14"/>
      <c r="R45" s="197">
        <f>'Parameters, country spec'!E22</f>
        <v>7.3294724625475594E-3</v>
      </c>
    </row>
    <row r="46" spans="1:18" x14ac:dyDescent="0.3">
      <c r="A46" s="22" t="s">
        <v>295</v>
      </c>
      <c r="B46" s="17" t="s">
        <v>182</v>
      </c>
      <c r="C46" s="17" t="s">
        <v>291</v>
      </c>
      <c r="D46" s="23" t="s">
        <v>32</v>
      </c>
      <c r="E46" s="23" t="s">
        <v>78</v>
      </c>
      <c r="F46" s="221">
        <f t="shared" si="9"/>
        <v>4.992703E-4</v>
      </c>
      <c r="G46" s="100">
        <v>2.0000000000000001E-4</v>
      </c>
      <c r="H46" s="101">
        <v>9.9999999999999995E-7</v>
      </c>
      <c r="I46" s="102">
        <v>2.6800000000000001E-4</v>
      </c>
      <c r="J46" s="102">
        <v>2.6800000000000001E-5</v>
      </c>
      <c r="K46" s="102">
        <v>1.7799999999999999E-6</v>
      </c>
      <c r="L46" s="102"/>
      <c r="M46" s="102">
        <v>8.0299999999999998E-8</v>
      </c>
      <c r="N46" s="102">
        <v>1.61E-6</v>
      </c>
      <c r="O46" s="102"/>
      <c r="P46" s="14"/>
      <c r="Q46" s="14"/>
      <c r="R46" s="197">
        <f>'Parameters, country spec'!E23</f>
        <v>5.256160625309033E-3</v>
      </c>
    </row>
    <row r="47" spans="1:18" x14ac:dyDescent="0.3">
      <c r="A47" s="22" t="s">
        <v>296</v>
      </c>
      <c r="B47" s="17" t="s">
        <v>183</v>
      </c>
      <c r="C47" s="17" t="s">
        <v>297</v>
      </c>
      <c r="D47" s="23" t="s">
        <v>32</v>
      </c>
      <c r="E47" s="23" t="s">
        <v>78</v>
      </c>
      <c r="F47" s="221">
        <f t="shared" si="9"/>
        <v>1.7493699999999998E-4</v>
      </c>
      <c r="G47" s="100">
        <v>0</v>
      </c>
      <c r="H47" s="101">
        <v>9.9999999999999995E-7</v>
      </c>
      <c r="I47" s="102">
        <v>1.54E-4</v>
      </c>
      <c r="J47" s="102">
        <v>1.5400000000000002E-5</v>
      </c>
      <c r="K47" s="102">
        <v>2.7999999999999999E-6</v>
      </c>
      <c r="L47" s="102"/>
      <c r="M47" s="102">
        <v>1.2700000000000001E-7</v>
      </c>
      <c r="N47" s="102">
        <v>1.61E-6</v>
      </c>
      <c r="O47" s="102"/>
      <c r="P47" s="14"/>
      <c r="Q47" s="14"/>
      <c r="R47" s="197">
        <f>'Parameters, country spec'!E24</f>
        <v>1.0533673599513421E-3</v>
      </c>
    </row>
    <row r="48" spans="1:18" x14ac:dyDescent="0.3">
      <c r="A48" s="22" t="s">
        <v>298</v>
      </c>
      <c r="B48" s="17" t="s">
        <v>184</v>
      </c>
      <c r="C48" s="17" t="s">
        <v>297</v>
      </c>
      <c r="D48" s="23" t="s">
        <v>32</v>
      </c>
      <c r="E48" s="23" t="s">
        <v>78</v>
      </c>
      <c r="F48" s="221">
        <f t="shared" si="9"/>
        <v>1.8877999999999999E-4</v>
      </c>
      <c r="G48" s="100">
        <v>8.6000000000000007E-6</v>
      </c>
      <c r="H48" s="101">
        <v>9.9999999999999995E-7</v>
      </c>
      <c r="I48" s="102">
        <v>1.5899999999999999E-4</v>
      </c>
      <c r="J48" s="102">
        <v>1.59E-5</v>
      </c>
      <c r="K48" s="102">
        <v>1.7400000000000001E-6</v>
      </c>
      <c r="L48" s="102"/>
      <c r="M48" s="102">
        <v>9.2999999999999999E-7</v>
      </c>
      <c r="N48" s="102">
        <v>1.61E-6</v>
      </c>
      <c r="O48" s="102"/>
      <c r="P48" s="14"/>
      <c r="Q48" s="14"/>
      <c r="R48" s="197">
        <f>'Parameters, country spec'!E25</f>
        <v>1.0347538734704405E-3</v>
      </c>
    </row>
    <row r="49" spans="1:18" x14ac:dyDescent="0.3">
      <c r="B49" s="18" t="s">
        <v>185</v>
      </c>
      <c r="C49" s="17" t="s">
        <v>299</v>
      </c>
      <c r="D49" s="23" t="str">
        <f>'Off-farm feed'!$D$77</f>
        <v>France, Germany, Poland</v>
      </c>
      <c r="E49" s="23" t="s">
        <v>74</v>
      </c>
      <c r="F49" s="222">
        <f>'Off-farm feed'!$E$77</f>
        <v>6.732045566157569E-4</v>
      </c>
      <c r="G49" s="222">
        <f>'Off-farm feed'!$F$77</f>
        <v>1.946970439026595E-4</v>
      </c>
      <c r="H49" s="222">
        <f>'Off-farm feed'!$G$77</f>
        <v>5.3103448275862083E-7</v>
      </c>
      <c r="I49" s="222">
        <f>'Off-farm feed'!$H$77</f>
        <v>4.2751561806777074E-4</v>
      </c>
      <c r="J49" s="222">
        <f>'Off-farm feed'!$I$77</f>
        <v>4.2751561806777089E-5</v>
      </c>
      <c r="K49" s="222">
        <f>'Off-farm feed'!$J$77</f>
        <v>6.6339607025480414E-7</v>
      </c>
      <c r="L49" s="222">
        <f>'Off-farm feed'!$K$77</f>
        <v>0</v>
      </c>
      <c r="M49" s="222">
        <f>'Off-farm feed'!$L$77</f>
        <v>7.9511067188965511E-9</v>
      </c>
      <c r="N49" s="222">
        <f>'Off-farm feed'!$M$77</f>
        <v>1.2789681892721844E-6</v>
      </c>
      <c r="O49" s="222">
        <f>'Off-farm feed'!$N$77</f>
        <v>0</v>
      </c>
      <c r="P49" s="222">
        <f>'Off-farm feed'!$O$77</f>
        <v>3.9312802868423834E-6</v>
      </c>
      <c r="Q49" s="222">
        <f>'Off-farm feed'!$P$77</f>
        <v>1.8277027027027027E-6</v>
      </c>
      <c r="R49" s="197">
        <f>'Parameters, country spec'!E26</f>
        <v>1.1495502598072803E-3</v>
      </c>
    </row>
    <row r="50" spans="1:18" x14ac:dyDescent="0.3">
      <c r="B50" s="18" t="s">
        <v>300</v>
      </c>
      <c r="C50" s="17" t="s">
        <v>299</v>
      </c>
      <c r="D50" s="23" t="str">
        <f>'Off-farm feed'!$D$26</f>
        <v>Brazil, Argentina</v>
      </c>
      <c r="E50" s="23" t="s">
        <v>74</v>
      </c>
      <c r="F50" s="222">
        <f>'Off-farm feed'!$E$26</f>
        <v>1.8866346644602505E-4</v>
      </c>
      <c r="G50" s="222">
        <f>'Off-farm feed'!$F$26</f>
        <v>1.6332109719061441E-5</v>
      </c>
      <c r="H50" s="222">
        <f>'Off-farm feed'!$G$26</f>
        <v>8.7195121951219526E-7</v>
      </c>
      <c r="I50" s="222">
        <f>'Off-farm feed'!$H$26</f>
        <v>1.3333449845358202E-4</v>
      </c>
      <c r="J50" s="222">
        <f>'Off-farm feed'!$I$26</f>
        <v>1.3333449845358203E-5</v>
      </c>
      <c r="K50" s="222">
        <f>'Off-farm feed'!$J$26</f>
        <v>1.1576736579983931E-6</v>
      </c>
      <c r="L50" s="222">
        <f>'Off-farm feed'!$K$26</f>
        <v>0</v>
      </c>
      <c r="M50" s="222">
        <f>'Off-farm feed'!$L$26</f>
        <v>7.3437786087804866E-9</v>
      </c>
      <c r="N50" s="222">
        <f>'Off-farm feed'!$M$26</f>
        <v>1.1195281639512197E-6</v>
      </c>
      <c r="O50" s="222">
        <f>'Off-farm feed'!$N$26</f>
        <v>0</v>
      </c>
      <c r="P50" s="222">
        <f>'Off-farm feed'!$O$26</f>
        <v>1.3419073770114991E-5</v>
      </c>
      <c r="Q50" s="222">
        <f>'Off-farm feed'!$P$26</f>
        <v>9.087837837837838E-6</v>
      </c>
      <c r="R50" s="197">
        <f>'Parameters, country spec'!E27</f>
        <v>0.20255815802791313</v>
      </c>
    </row>
    <row r="51" spans="1:18" x14ac:dyDescent="0.3">
      <c r="B51" s="17" t="s">
        <v>187</v>
      </c>
      <c r="C51" s="17" t="s">
        <v>301</v>
      </c>
      <c r="D51" s="23" t="s">
        <v>32</v>
      </c>
      <c r="E51" s="23" t="s">
        <v>78</v>
      </c>
      <c r="F51" s="222"/>
      <c r="G51" s="14"/>
      <c r="H51" s="14"/>
      <c r="I51" s="14"/>
      <c r="J51" s="14"/>
      <c r="K51" s="14"/>
      <c r="L51" s="14"/>
      <c r="M51" s="14"/>
      <c r="N51" s="14"/>
      <c r="O51" s="14"/>
      <c r="P51" s="8"/>
      <c r="Q51" s="14"/>
      <c r="R51" s="197">
        <f>'Parameters, country spec'!E28</f>
        <v>0.12768205188630527</v>
      </c>
    </row>
    <row r="52" spans="1:18" x14ac:dyDescent="0.3">
      <c r="A52" s="83"/>
      <c r="B52" s="17" t="s">
        <v>302</v>
      </c>
      <c r="C52" s="84" t="s">
        <v>303</v>
      </c>
      <c r="D52" s="23" t="s">
        <v>32</v>
      </c>
      <c r="E52" s="23" t="s">
        <v>78</v>
      </c>
      <c r="F52" s="222">
        <f t="shared" si="9"/>
        <v>3.8223414649603163E-4</v>
      </c>
      <c r="G52" s="82">
        <f t="shared" ref="G52:N52" si="10">AVERAGE(G42:G50)</f>
        <v>1.1773657262463566E-4</v>
      </c>
      <c r="H52" s="82">
        <f t="shared" si="10"/>
        <v>9.3366507803009054E-7</v>
      </c>
      <c r="I52" s="82">
        <f t="shared" si="10"/>
        <v>2.3631667961348366E-4</v>
      </c>
      <c r="J52" s="82">
        <f t="shared" si="10"/>
        <v>2.3631667961348367E-5</v>
      </c>
      <c r="K52" s="82">
        <f t="shared" si="10"/>
        <v>1.8366744142503553E-6</v>
      </c>
      <c r="L52" s="82">
        <f t="shared" si="10"/>
        <v>0</v>
      </c>
      <c r="M52" s="82">
        <f t="shared" si="10"/>
        <v>2.6016498725863077E-7</v>
      </c>
      <c r="N52" s="82">
        <f t="shared" si="10"/>
        <v>1.5187218170248227E-6</v>
      </c>
      <c r="O52" s="82"/>
      <c r="P52" s="81"/>
      <c r="Q52" s="82"/>
      <c r="R52" s="197">
        <f>'Parameters, country spec'!E29</f>
        <v>0.13271711532536037</v>
      </c>
    </row>
    <row r="53" spans="1:18" x14ac:dyDescent="0.3">
      <c r="A53" s="195"/>
      <c r="B53" s="25" t="s">
        <v>304</v>
      </c>
      <c r="C53" s="26"/>
      <c r="D53" s="103"/>
      <c r="E53" s="103"/>
      <c r="F53" s="46">
        <f>SUMPRODUCT(F42:F52,$R$42:$R$52)</f>
        <v>3.2703823315996235E-4</v>
      </c>
      <c r="G53" s="46">
        <f t="shared" ref="G53:O53" si="11">SUMPRODUCT(G42:G52,$R$42:$R$52)</f>
        <v>1.1040936534104181E-4</v>
      </c>
      <c r="H53" s="46">
        <f t="shared" si="11"/>
        <v>8.370377440789997E-7</v>
      </c>
      <c r="I53" s="46">
        <f t="shared" si="11"/>
        <v>1.8965780464473325E-4</v>
      </c>
      <c r="J53" s="46">
        <f t="shared" si="11"/>
        <v>1.8965780464473318E-5</v>
      </c>
      <c r="K53" s="46">
        <f t="shared" si="11"/>
        <v>1.0191726525952886E-6</v>
      </c>
      <c r="L53" s="46">
        <f t="shared" si="11"/>
        <v>0</v>
      </c>
      <c r="M53" s="46">
        <f t="shared" si="11"/>
        <v>2.9090540449610858E-7</v>
      </c>
      <c r="N53" s="46">
        <f t="shared" si="11"/>
        <v>1.2925881099478062E-6</v>
      </c>
      <c r="O53" s="46">
        <f t="shared" si="11"/>
        <v>0</v>
      </c>
      <c r="P53" s="30">
        <f>SUMPRODUCT(P42:P52,R42:R52)</f>
        <v>2.7226620695902915E-6</v>
      </c>
      <c r="Q53" s="46">
        <f>SUMPRODUCT(Q42:Q52,$R$42:$R$52)</f>
        <v>1.8429167290055476E-6</v>
      </c>
      <c r="R53" s="198"/>
    </row>
    <row r="54" spans="1:18" x14ac:dyDescent="0.3">
      <c r="A54" s="22" t="s">
        <v>290</v>
      </c>
      <c r="B54" s="17" t="s">
        <v>173</v>
      </c>
      <c r="C54" s="17" t="s">
        <v>291</v>
      </c>
      <c r="D54" s="23" t="s">
        <v>129</v>
      </c>
      <c r="E54" s="23" t="s">
        <v>79</v>
      </c>
      <c r="F54" s="223">
        <f>SUM(G54:Q54)</f>
        <v>4.5179309000000005E-4</v>
      </c>
      <c r="G54" s="201">
        <v>1.8000000000000001E-4</v>
      </c>
      <c r="H54" s="202">
        <v>9.9999999999999995E-7</v>
      </c>
      <c r="I54" s="205">
        <v>2.4399999999999999E-4</v>
      </c>
      <c r="J54" s="205">
        <v>2.44E-5</v>
      </c>
      <c r="K54" s="205">
        <v>9.0999999999999997E-7</v>
      </c>
      <c r="L54" s="205"/>
      <c r="M54" s="205">
        <v>3.0899999999999999E-9</v>
      </c>
      <c r="N54" s="205">
        <v>1.48E-6</v>
      </c>
      <c r="O54" s="205"/>
      <c r="P54" s="14"/>
      <c r="Q54" s="204"/>
      <c r="R54" s="208">
        <f>'Parameters, country spec'!F19</f>
        <v>8.7418005626499207E-2</v>
      </c>
    </row>
    <row r="55" spans="1:18" x14ac:dyDescent="0.3">
      <c r="A55" s="22" t="s">
        <v>292</v>
      </c>
      <c r="B55" s="17" t="s">
        <v>176</v>
      </c>
      <c r="C55" s="17" t="s">
        <v>291</v>
      </c>
      <c r="D55" s="23" t="s">
        <v>129</v>
      </c>
      <c r="E55" s="23" t="s">
        <v>79</v>
      </c>
      <c r="F55" s="221">
        <f t="shared" ref="F55:F64" si="12">SUM(G55:Q55)</f>
        <v>4.1514018000000003E-4</v>
      </c>
      <c r="G55" s="100">
        <v>1.7000000000000001E-4</v>
      </c>
      <c r="H55" s="101">
        <v>9.9999999999999995E-7</v>
      </c>
      <c r="I55" s="102">
        <v>2.2000000000000001E-4</v>
      </c>
      <c r="J55" s="102">
        <v>2.1999999999999999E-5</v>
      </c>
      <c r="K55" s="102">
        <v>6.5400000000000001E-7</v>
      </c>
      <c r="L55" s="102"/>
      <c r="M55" s="102">
        <v>6.1799999999999998E-9</v>
      </c>
      <c r="N55" s="102">
        <v>1.48E-6</v>
      </c>
      <c r="O55" s="102"/>
      <c r="P55" s="14"/>
      <c r="Q55" s="14"/>
      <c r="R55" s="197">
        <f>'Parameters, country spec'!F20</f>
        <v>0.51851224834420662</v>
      </c>
    </row>
    <row r="56" spans="1:18" x14ac:dyDescent="0.3">
      <c r="A56" s="22" t="s">
        <v>293</v>
      </c>
      <c r="B56" s="17" t="s">
        <v>180</v>
      </c>
      <c r="C56" s="17" t="s">
        <v>291</v>
      </c>
      <c r="D56" s="23" t="s">
        <v>129</v>
      </c>
      <c r="E56" s="23" t="s">
        <v>79</v>
      </c>
      <c r="F56" s="221">
        <f t="shared" si="12"/>
        <v>4.0830779999999995E-4</v>
      </c>
      <c r="G56" s="100">
        <v>1.4999999999999999E-4</v>
      </c>
      <c r="H56" s="101">
        <v>9.9999999999999995E-7</v>
      </c>
      <c r="I56" s="102">
        <v>2.31E-4</v>
      </c>
      <c r="J56" s="102">
        <v>2.3099999999999999E-5</v>
      </c>
      <c r="K56" s="102">
        <v>1.7E-6</v>
      </c>
      <c r="L56" s="102"/>
      <c r="M56" s="102">
        <v>2.7800000000000001E-8</v>
      </c>
      <c r="N56" s="102">
        <v>1.48E-6</v>
      </c>
      <c r="O56" s="102"/>
      <c r="P56" s="14"/>
      <c r="Q56" s="14"/>
      <c r="R56" s="197">
        <f>'Parameters, country spec'!F21</f>
        <v>4.6821690090770259E-2</v>
      </c>
    </row>
    <row r="57" spans="1:18" x14ac:dyDescent="0.3">
      <c r="A57" s="22" t="s">
        <v>294</v>
      </c>
      <c r="B57" s="17" t="s">
        <v>181</v>
      </c>
      <c r="C57" s="17" t="s">
        <v>291</v>
      </c>
      <c r="D57" s="23" t="s">
        <v>129</v>
      </c>
      <c r="E57" s="23" t="s">
        <v>79</v>
      </c>
      <c r="F57" s="221">
        <f t="shared" si="12"/>
        <v>3.7715999999999997E-4</v>
      </c>
      <c r="G57" s="100">
        <v>1.3999999999999999E-4</v>
      </c>
      <c r="H57" s="101">
        <v>9.9999999999999995E-7</v>
      </c>
      <c r="I57" s="102">
        <v>2.12E-4</v>
      </c>
      <c r="J57" s="102">
        <v>2.12E-5</v>
      </c>
      <c r="K57" s="102">
        <v>1.48E-6</v>
      </c>
      <c r="L57" s="102"/>
      <c r="M57" s="102">
        <v>0</v>
      </c>
      <c r="N57" s="102">
        <v>1.48E-6</v>
      </c>
      <c r="O57" s="102"/>
      <c r="P57" s="14"/>
      <c r="Q57" s="14"/>
      <c r="R57" s="197">
        <f>'Parameters, country spec'!F22</f>
        <v>1.8197973513379373E-2</v>
      </c>
    </row>
    <row r="58" spans="1:18" x14ac:dyDescent="0.3">
      <c r="A58" s="22" t="s">
        <v>295</v>
      </c>
      <c r="B58" s="17" t="s">
        <v>182</v>
      </c>
      <c r="C58" s="17" t="s">
        <v>291</v>
      </c>
      <c r="D58" s="23" t="s">
        <v>129</v>
      </c>
      <c r="E58" s="23" t="s">
        <v>79</v>
      </c>
      <c r="F58" s="221">
        <f t="shared" si="12"/>
        <v>4.9822218000000003E-4</v>
      </c>
      <c r="G58" s="100">
        <v>2.0000000000000001E-4</v>
      </c>
      <c r="H58" s="101">
        <v>9.9999999999999995E-7</v>
      </c>
      <c r="I58" s="102">
        <v>2.6800000000000001E-4</v>
      </c>
      <c r="J58" s="102">
        <v>2.6800000000000001E-5</v>
      </c>
      <c r="K58" s="102">
        <v>9.3600000000000002E-7</v>
      </c>
      <c r="L58" s="102"/>
      <c r="M58" s="102">
        <v>6.1799999999999998E-9</v>
      </c>
      <c r="N58" s="102">
        <v>1.48E-6</v>
      </c>
      <c r="O58" s="102"/>
      <c r="P58" s="14"/>
      <c r="Q58" s="14"/>
      <c r="R58" s="197">
        <f>'Parameters, country spec'!F23</f>
        <v>8.1866500320142158E-2</v>
      </c>
    </row>
    <row r="59" spans="1:18" x14ac:dyDescent="0.3">
      <c r="A59" s="22" t="s">
        <v>296</v>
      </c>
      <c r="B59" s="17" t="s">
        <v>183</v>
      </c>
      <c r="C59" s="17" t="s">
        <v>297</v>
      </c>
      <c r="D59" s="23" t="s">
        <v>129</v>
      </c>
      <c r="E59" s="23" t="s">
        <v>79</v>
      </c>
      <c r="F59" s="221">
        <f t="shared" si="12"/>
        <v>1.7401899999999997E-4</v>
      </c>
      <c r="G59" s="100">
        <v>0</v>
      </c>
      <c r="H59" s="101">
        <v>9.9999999999999995E-7</v>
      </c>
      <c r="I59" s="102">
        <v>1.54E-4</v>
      </c>
      <c r="J59" s="102">
        <v>1.5400000000000002E-5</v>
      </c>
      <c r="K59" s="102">
        <v>1.9099999999999999E-6</v>
      </c>
      <c r="L59" s="102"/>
      <c r="M59" s="102">
        <v>2.29E-7</v>
      </c>
      <c r="N59" s="102">
        <v>1.48E-6</v>
      </c>
      <c r="O59" s="102"/>
      <c r="P59" s="14"/>
      <c r="Q59" s="14"/>
      <c r="R59" s="197">
        <f>'Parameters, country spec'!F24</f>
        <v>1.1994594385271529E-3</v>
      </c>
    </row>
    <row r="60" spans="1:18" x14ac:dyDescent="0.3">
      <c r="A60" s="22" t="s">
        <v>298</v>
      </c>
      <c r="B60" s="17" t="s">
        <v>184</v>
      </c>
      <c r="C60" s="17" t="s">
        <v>297</v>
      </c>
      <c r="D60" s="23" t="s">
        <v>129</v>
      </c>
      <c r="E60" s="23" t="s">
        <v>79</v>
      </c>
      <c r="F60" s="221">
        <f t="shared" si="12"/>
        <v>1.8870699999999998E-4</v>
      </c>
      <c r="G60" s="100">
        <v>8.6000000000000007E-6</v>
      </c>
      <c r="H60" s="101">
        <v>9.9999999999999995E-7</v>
      </c>
      <c r="I60" s="102">
        <v>1.5899999999999999E-4</v>
      </c>
      <c r="J60" s="102">
        <v>1.59E-5</v>
      </c>
      <c r="K60" s="102">
        <v>2.39E-6</v>
      </c>
      <c r="L60" s="102"/>
      <c r="M60" s="102">
        <v>3.3700000000000001E-7</v>
      </c>
      <c r="N60" s="102">
        <v>1.48E-6</v>
      </c>
      <c r="O60" s="102"/>
      <c r="P60" s="14"/>
      <c r="Q60" s="14"/>
      <c r="R60" s="197">
        <f>'Parameters, country spec'!F25</f>
        <v>1.1782644376318839E-3</v>
      </c>
    </row>
    <row r="61" spans="1:18" x14ac:dyDescent="0.3">
      <c r="B61" s="18" t="s">
        <v>185</v>
      </c>
      <c r="C61" s="17" t="s">
        <v>299</v>
      </c>
      <c r="D61" s="23" t="str">
        <f>'Off-farm feed'!$D$77</f>
        <v>France, Germany, Poland</v>
      </c>
      <c r="E61" s="23" t="s">
        <v>74</v>
      </c>
      <c r="F61" s="222">
        <f>'Off-farm feed'!$E$77</f>
        <v>6.732045566157569E-4</v>
      </c>
      <c r="G61" s="222">
        <f>'Off-farm feed'!$F$77</f>
        <v>1.946970439026595E-4</v>
      </c>
      <c r="H61" s="222">
        <f>'Off-farm feed'!$G$77</f>
        <v>5.3103448275862083E-7</v>
      </c>
      <c r="I61" s="222">
        <f>'Off-farm feed'!$H$77</f>
        <v>4.2751561806777074E-4</v>
      </c>
      <c r="J61" s="222">
        <f>'Off-farm feed'!$I$77</f>
        <v>4.2751561806777089E-5</v>
      </c>
      <c r="K61" s="222">
        <f>'Off-farm feed'!$J$77</f>
        <v>6.6339607025480414E-7</v>
      </c>
      <c r="L61" s="222">
        <f>'Off-farm feed'!$K$77</f>
        <v>0</v>
      </c>
      <c r="M61" s="222">
        <f>'Off-farm feed'!$L$77</f>
        <v>7.9511067188965511E-9</v>
      </c>
      <c r="N61" s="222">
        <f>'Off-farm feed'!$M$77</f>
        <v>1.2789681892721844E-6</v>
      </c>
      <c r="O61" s="222">
        <f>'Off-farm feed'!$N$77</f>
        <v>0</v>
      </c>
      <c r="P61" s="222">
        <f>'Off-farm feed'!$O$77</f>
        <v>3.9312802868423834E-6</v>
      </c>
      <c r="Q61" s="222">
        <f>'Off-farm feed'!$P$77</f>
        <v>1.8277027027027027E-6</v>
      </c>
      <c r="R61" s="197">
        <f>'Parameters, country spec'!F26</f>
        <v>5.1767642112223974E-4</v>
      </c>
    </row>
    <row r="62" spans="1:18" x14ac:dyDescent="0.3">
      <c r="B62" s="18" t="s">
        <v>300</v>
      </c>
      <c r="C62" s="17" t="s">
        <v>299</v>
      </c>
      <c r="D62" s="23" t="str">
        <f>'Off-farm feed'!$D$26</f>
        <v>Brazil, Argentina</v>
      </c>
      <c r="E62" s="23" t="s">
        <v>74</v>
      </c>
      <c r="F62" s="222">
        <f>'Off-farm feed'!$E$26</f>
        <v>1.8866346644602505E-4</v>
      </c>
      <c r="G62" s="222">
        <f>'Off-farm feed'!$F$26</f>
        <v>1.6332109719061441E-5</v>
      </c>
      <c r="H62" s="222">
        <f>'Off-farm feed'!$G$26</f>
        <v>8.7195121951219526E-7</v>
      </c>
      <c r="I62" s="222">
        <f>'Off-farm feed'!$H$26</f>
        <v>1.3333449845358202E-4</v>
      </c>
      <c r="J62" s="222">
        <f>'Off-farm feed'!$I$26</f>
        <v>1.3333449845358203E-5</v>
      </c>
      <c r="K62" s="222">
        <f>'Off-farm feed'!$J$26</f>
        <v>1.1576736579983931E-6</v>
      </c>
      <c r="L62" s="222">
        <f>'Off-farm feed'!$K$26</f>
        <v>0</v>
      </c>
      <c r="M62" s="222">
        <f>'Off-farm feed'!$L$26</f>
        <v>7.3437786087804866E-9</v>
      </c>
      <c r="N62" s="222">
        <f>'Off-farm feed'!$M$26</f>
        <v>1.1195281639512197E-6</v>
      </c>
      <c r="O62" s="222">
        <f>'Off-farm feed'!$N$26</f>
        <v>0</v>
      </c>
      <c r="P62" s="222">
        <f>'Off-farm feed'!$O$26</f>
        <v>1.3419073770114991E-5</v>
      </c>
      <c r="Q62" s="222">
        <f>'Off-farm feed'!$P$26</f>
        <v>9.087837837837838E-6</v>
      </c>
      <c r="R62" s="197">
        <f>'Parameters, country spec'!F27</f>
        <v>9.8710786383614704E-2</v>
      </c>
    </row>
    <row r="63" spans="1:18" x14ac:dyDescent="0.3">
      <c r="B63" s="17" t="s">
        <v>187</v>
      </c>
      <c r="C63" s="17" t="s">
        <v>301</v>
      </c>
      <c r="D63" s="23" t="s">
        <v>129</v>
      </c>
      <c r="E63" s="23" t="s">
        <v>79</v>
      </c>
      <c r="F63" s="222"/>
      <c r="G63" s="14"/>
      <c r="H63" s="14"/>
      <c r="I63" s="14"/>
      <c r="J63" s="14"/>
      <c r="K63" s="14"/>
      <c r="L63" s="14"/>
      <c r="M63" s="14"/>
      <c r="N63" s="14"/>
      <c r="O63" s="14"/>
      <c r="P63" s="8"/>
      <c r="Q63" s="14"/>
      <c r="R63" s="197">
        <f>'Parameters, country spec'!F28</f>
        <v>7.7842176173985381E-2</v>
      </c>
    </row>
    <row r="64" spans="1:18" x14ac:dyDescent="0.3">
      <c r="A64" s="83"/>
      <c r="B64" s="17" t="s">
        <v>302</v>
      </c>
      <c r="C64" s="84" t="s">
        <v>303</v>
      </c>
      <c r="D64" s="23" t="s">
        <v>129</v>
      </c>
      <c r="E64" s="23" t="s">
        <v>79</v>
      </c>
      <c r="F64" s="222">
        <f t="shared" si="12"/>
        <v>3.718834864960316E-4</v>
      </c>
      <c r="G64" s="82">
        <f t="shared" ref="G64:N64" si="13">AVERAGE(G54:G62)</f>
        <v>1.1773657262463566E-4</v>
      </c>
      <c r="H64" s="82">
        <f t="shared" si="13"/>
        <v>9.3366507803009054E-7</v>
      </c>
      <c r="I64" s="82">
        <f t="shared" si="13"/>
        <v>2.2765001294681699E-4</v>
      </c>
      <c r="J64" s="82">
        <f t="shared" si="13"/>
        <v>2.2765001294681701E-5</v>
      </c>
      <c r="K64" s="82">
        <f t="shared" si="13"/>
        <v>1.3112299698059106E-6</v>
      </c>
      <c r="L64" s="82">
        <f t="shared" si="13"/>
        <v>0</v>
      </c>
      <c r="M64" s="82">
        <f t="shared" si="13"/>
        <v>6.9393876147519674E-8</v>
      </c>
      <c r="N64" s="82">
        <f t="shared" si="13"/>
        <v>1.4176107059137113E-6</v>
      </c>
      <c r="O64" s="82"/>
      <c r="P64" s="81"/>
      <c r="Q64" s="82"/>
      <c r="R64" s="197">
        <f>'Parameters, country spec'!F29</f>
        <v>6.7735219250121048E-2</v>
      </c>
    </row>
    <row r="65" spans="1:18" x14ac:dyDescent="0.3">
      <c r="A65" s="195"/>
      <c r="B65" s="25" t="s">
        <v>304</v>
      </c>
      <c r="C65" s="26"/>
      <c r="D65" s="103"/>
      <c r="E65" s="103"/>
      <c r="F65" s="46">
        <f>SUMPRODUCT(F54:F64,$R$54:$R$64)</f>
        <v>3.6611134044834569E-4</v>
      </c>
      <c r="G65" s="46">
        <f t="shared" ref="G65:O65" si="14">SUMPRODUCT(G54:G64,$R$54:$R$64)</f>
        <v>1.3952458419801584E-4</v>
      </c>
      <c r="H65" s="46">
        <f t="shared" si="14"/>
        <v>9.0478204513443396E-7</v>
      </c>
      <c r="I65" s="46">
        <f t="shared" si="14"/>
        <v>2.0119154317810902E-4</v>
      </c>
      <c r="J65" s="46">
        <f t="shared" si="14"/>
        <v>2.0119154317810905E-5</v>
      </c>
      <c r="K65" s="46">
        <f t="shared" si="14"/>
        <v>8.1035608447670267E-7</v>
      </c>
      <c r="L65" s="46">
        <f t="shared" si="14"/>
        <v>0</v>
      </c>
      <c r="M65" s="46">
        <f t="shared" si="14"/>
        <v>1.1383292292997715E-8</v>
      </c>
      <c r="N65" s="46">
        <f t="shared" si="14"/>
        <v>1.3248810989148767E-6</v>
      </c>
      <c r="O65" s="46">
        <f t="shared" si="14"/>
        <v>0</v>
      </c>
      <c r="P65" s="30">
        <f>SUMPRODUCT(P54:P64,R54:R64)</f>
        <v>1.3266424554971091E-6</v>
      </c>
      <c r="Q65" s="46">
        <f>SUMPRODUCT(Q54:Q64,$R$54:$R$64)</f>
        <v>8.9801377809375228E-7</v>
      </c>
      <c r="R65" s="198"/>
    </row>
    <row r="66" spans="1:18" x14ac:dyDescent="0.3">
      <c r="A66" s="22" t="s">
        <v>290</v>
      </c>
      <c r="B66" s="17" t="s">
        <v>173</v>
      </c>
      <c r="C66" s="17" t="s">
        <v>291</v>
      </c>
      <c r="D66" s="23" t="s">
        <v>27</v>
      </c>
      <c r="E66" s="23" t="s">
        <v>80</v>
      </c>
      <c r="F66" s="223">
        <f>SUM(G66:Q66)</f>
        <v>8.2882825999999992E-4</v>
      </c>
      <c r="G66" s="201">
        <v>1.8000000000000001E-4</v>
      </c>
      <c r="H66" s="202">
        <v>9.9999999999999995E-7</v>
      </c>
      <c r="I66" s="205">
        <v>5.8699999999999996E-4</v>
      </c>
      <c r="J66" s="205">
        <v>5.8699999999999997E-5</v>
      </c>
      <c r="K66" s="205">
        <v>6.5899999999999996E-7</v>
      </c>
      <c r="L66" s="205"/>
      <c r="M66" s="205">
        <v>9.2599999999999999E-9</v>
      </c>
      <c r="N66" s="205">
        <v>1.46E-6</v>
      </c>
      <c r="O66" s="205"/>
      <c r="P66" s="14"/>
      <c r="Q66" s="204"/>
      <c r="R66" s="208">
        <f>'Parameters, country spec'!G19</f>
        <v>0.30763475488022607</v>
      </c>
    </row>
    <row r="67" spans="1:18" x14ac:dyDescent="0.3">
      <c r="A67" s="22" t="s">
        <v>292</v>
      </c>
      <c r="B67" s="17" t="s">
        <v>176</v>
      </c>
      <c r="C67" s="17" t="s">
        <v>291</v>
      </c>
      <c r="D67" s="23" t="s">
        <v>27</v>
      </c>
      <c r="E67" s="23" t="s">
        <v>80</v>
      </c>
      <c r="F67" s="221">
        <f t="shared" ref="F67:F76" si="15">SUM(G67:Q67)</f>
        <v>0</v>
      </c>
      <c r="G67" s="100"/>
      <c r="H67" s="101"/>
      <c r="I67" s="102"/>
      <c r="J67" s="102"/>
      <c r="K67" s="102"/>
      <c r="L67" s="102"/>
      <c r="M67" s="102"/>
      <c r="N67" s="102"/>
      <c r="O67" s="102"/>
      <c r="P67" s="14"/>
      <c r="Q67" s="14"/>
      <c r="R67" s="197">
        <f>'Parameters, country spec'!G20</f>
        <v>8.4790139584359644E-2</v>
      </c>
    </row>
    <row r="68" spans="1:18" x14ac:dyDescent="0.3">
      <c r="A68" s="22" t="s">
        <v>293</v>
      </c>
      <c r="B68" s="17" t="s">
        <v>180</v>
      </c>
      <c r="C68" s="17" t="s">
        <v>291</v>
      </c>
      <c r="D68" s="23" t="s">
        <v>27</v>
      </c>
      <c r="E68" s="23" t="s">
        <v>80</v>
      </c>
      <c r="F68" s="221">
        <f t="shared" si="15"/>
        <v>7.7130299999999998E-4</v>
      </c>
      <c r="G68" s="100">
        <v>1.4999999999999999E-4</v>
      </c>
      <c r="H68" s="101">
        <v>9.9999999999999995E-7</v>
      </c>
      <c r="I68" s="102">
        <v>5.62E-4</v>
      </c>
      <c r="J68" s="102">
        <v>5.6199999999999997E-5</v>
      </c>
      <c r="K68" s="102">
        <v>6.4300000000000003E-7</v>
      </c>
      <c r="L68" s="102"/>
      <c r="M68" s="102">
        <v>0</v>
      </c>
      <c r="N68" s="102">
        <v>1.46E-6</v>
      </c>
      <c r="O68" s="102"/>
      <c r="P68" s="14"/>
      <c r="Q68" s="14"/>
      <c r="R68" s="197">
        <f>'Parameters, country spec'!G21</f>
        <v>1.77320656507646E-2</v>
      </c>
    </row>
    <row r="69" spans="1:18" x14ac:dyDescent="0.3">
      <c r="A69" s="22" t="s">
        <v>294</v>
      </c>
      <c r="B69" s="17" t="s">
        <v>181</v>
      </c>
      <c r="C69" s="17" t="s">
        <v>291</v>
      </c>
      <c r="D69" s="23" t="s">
        <v>27</v>
      </c>
      <c r="E69" s="23" t="s">
        <v>80</v>
      </c>
      <c r="F69" s="221">
        <f t="shared" si="15"/>
        <v>6.9834925999999996E-4</v>
      </c>
      <c r="G69" s="100">
        <v>1.3999999999999999E-4</v>
      </c>
      <c r="H69" s="101">
        <v>9.9999999999999995E-7</v>
      </c>
      <c r="I69" s="102">
        <v>5.04E-4</v>
      </c>
      <c r="J69" s="102">
        <v>5.0399999999999999E-5</v>
      </c>
      <c r="K69" s="102">
        <v>1.48E-6</v>
      </c>
      <c r="L69" s="102"/>
      <c r="M69" s="102">
        <v>9.2599999999999999E-9</v>
      </c>
      <c r="N69" s="102">
        <v>1.46E-6</v>
      </c>
      <c r="O69" s="102"/>
      <c r="P69" s="14"/>
      <c r="Q69" s="14"/>
      <c r="R69" s="197">
        <f>'Parameters, country spec'!G22</f>
        <v>0</v>
      </c>
    </row>
    <row r="70" spans="1:18" x14ac:dyDescent="0.3">
      <c r="A70" s="22" t="s">
        <v>295</v>
      </c>
      <c r="B70" s="17" t="s">
        <v>182</v>
      </c>
      <c r="C70" s="17" t="s">
        <v>291</v>
      </c>
      <c r="D70" s="23" t="s">
        <v>27</v>
      </c>
      <c r="E70" s="23" t="s">
        <v>80</v>
      </c>
      <c r="F70" s="221">
        <f t="shared" si="15"/>
        <v>9.6202008999999992E-4</v>
      </c>
      <c r="G70" s="100">
        <v>2.0000000000000001E-4</v>
      </c>
      <c r="H70" s="101">
        <v>9.9999999999999995E-7</v>
      </c>
      <c r="I70" s="102">
        <v>6.8999999999999997E-4</v>
      </c>
      <c r="J70" s="102">
        <v>6.8999999999999997E-5</v>
      </c>
      <c r="K70" s="102">
        <v>5.5700000000000002E-7</v>
      </c>
      <c r="L70" s="102"/>
      <c r="M70" s="102">
        <v>3.0899999999999999E-9</v>
      </c>
      <c r="N70" s="102">
        <v>1.46E-6</v>
      </c>
      <c r="O70" s="102"/>
      <c r="P70" s="14"/>
      <c r="Q70" s="14"/>
      <c r="R70" s="197">
        <f>'Parameters, country spec'!G23</f>
        <v>0.13212925363733041</v>
      </c>
    </row>
    <row r="71" spans="1:18" x14ac:dyDescent="0.3">
      <c r="A71" s="22" t="s">
        <v>296</v>
      </c>
      <c r="B71" s="17" t="s">
        <v>183</v>
      </c>
      <c r="C71" s="17" t="s">
        <v>297</v>
      </c>
      <c r="D71" s="23" t="s">
        <v>27</v>
      </c>
      <c r="E71" s="23" t="s">
        <v>80</v>
      </c>
      <c r="F71" s="221">
        <f t="shared" si="15"/>
        <v>2.0718159999999998E-4</v>
      </c>
      <c r="G71" s="100">
        <v>0</v>
      </c>
      <c r="H71" s="101">
        <v>9.9999999999999995E-7</v>
      </c>
      <c r="I71" s="102">
        <v>1.85E-4</v>
      </c>
      <c r="J71" s="102">
        <v>1.8499999999999999E-5</v>
      </c>
      <c r="K71" s="102">
        <v>1.1999999999999999E-6</v>
      </c>
      <c r="L71" s="102"/>
      <c r="M71" s="102">
        <v>2.1600000000000002E-8</v>
      </c>
      <c r="N71" s="102">
        <v>1.46E-6</v>
      </c>
      <c r="O71" s="102"/>
      <c r="P71" s="14"/>
      <c r="Q71" s="14"/>
      <c r="R71" s="197">
        <f>'Parameters, country spec'!G24</f>
        <v>1.3715568697676599E-3</v>
      </c>
    </row>
    <row r="72" spans="1:18" x14ac:dyDescent="0.3">
      <c r="A72" s="22" t="s">
        <v>298</v>
      </c>
      <c r="B72" s="17" t="s">
        <v>184</v>
      </c>
      <c r="C72" s="17" t="s">
        <v>297</v>
      </c>
      <c r="D72" s="23" t="s">
        <v>27</v>
      </c>
      <c r="E72" s="23" t="s">
        <v>80</v>
      </c>
      <c r="F72" s="221">
        <f t="shared" si="15"/>
        <v>2.3970699999999997E-4</v>
      </c>
      <c r="G72" s="100">
        <v>8.6000000000000007E-6</v>
      </c>
      <c r="H72" s="101">
        <v>9.9999999999999995E-7</v>
      </c>
      <c r="I72" s="102">
        <v>2.0699999999999999E-4</v>
      </c>
      <c r="J72" s="102">
        <v>2.0699999999999998E-5</v>
      </c>
      <c r="K72" s="102">
        <v>9.47E-7</v>
      </c>
      <c r="L72" s="102"/>
      <c r="M72" s="102">
        <v>0</v>
      </c>
      <c r="N72" s="102">
        <v>1.46E-6</v>
      </c>
      <c r="O72" s="102"/>
      <c r="P72" s="14"/>
      <c r="Q72" s="14"/>
      <c r="R72" s="197">
        <f>'Parameters, country spec'!G25</f>
        <v>1.3473208286461219E-3</v>
      </c>
    </row>
    <row r="73" spans="1:18" x14ac:dyDescent="0.3">
      <c r="B73" s="18" t="s">
        <v>185</v>
      </c>
      <c r="C73" s="17" t="s">
        <v>299</v>
      </c>
      <c r="D73" s="23" t="str">
        <f>'Off-farm feed'!$D$77</f>
        <v>France, Germany, Poland</v>
      </c>
      <c r="E73" s="23" t="s">
        <v>74</v>
      </c>
      <c r="F73" s="222">
        <f>'Off-farm feed'!$E$77</f>
        <v>6.732045566157569E-4</v>
      </c>
      <c r="G73" s="222">
        <f>'Off-farm feed'!$F$77</f>
        <v>1.946970439026595E-4</v>
      </c>
      <c r="H73" s="222">
        <f>'Off-farm feed'!$G$77</f>
        <v>5.3103448275862083E-7</v>
      </c>
      <c r="I73" s="222">
        <f>'Off-farm feed'!$H$77</f>
        <v>4.2751561806777074E-4</v>
      </c>
      <c r="J73" s="222">
        <f>'Off-farm feed'!$I$77</f>
        <v>4.2751561806777089E-5</v>
      </c>
      <c r="K73" s="222">
        <f>'Off-farm feed'!$J$77</f>
        <v>6.6339607025480414E-7</v>
      </c>
      <c r="L73" s="222">
        <f>'Off-farm feed'!$K$77</f>
        <v>0</v>
      </c>
      <c r="M73" s="222">
        <f>'Off-farm feed'!$L$77</f>
        <v>7.9511067188965511E-9</v>
      </c>
      <c r="N73" s="222">
        <f>'Off-farm feed'!$M$77</f>
        <v>1.2789681892721844E-6</v>
      </c>
      <c r="O73" s="222">
        <f>'Off-farm feed'!$N$77</f>
        <v>0</v>
      </c>
      <c r="P73" s="222">
        <f>'Off-farm feed'!$O$77</f>
        <v>3.9312802868423834E-6</v>
      </c>
      <c r="Q73" s="222">
        <f>'Off-farm feed'!$P$77</f>
        <v>1.8277027027027027E-6</v>
      </c>
      <c r="R73" s="197">
        <f>'Parameters, country spec'!G26</f>
        <v>7.3430139783317777E-2</v>
      </c>
    </row>
    <row r="74" spans="1:18" x14ac:dyDescent="0.3">
      <c r="B74" s="18" t="s">
        <v>300</v>
      </c>
      <c r="C74" s="17" t="s">
        <v>299</v>
      </c>
      <c r="D74" s="23" t="str">
        <f>'Off-farm feed'!$D$26</f>
        <v>Brazil, Argentina</v>
      </c>
      <c r="E74" s="23" t="s">
        <v>74</v>
      </c>
      <c r="F74" s="222">
        <f>'Off-farm feed'!$E$26</f>
        <v>1.8866346644602505E-4</v>
      </c>
      <c r="G74" s="222">
        <f>'Off-farm feed'!$F$26</f>
        <v>1.6332109719061441E-5</v>
      </c>
      <c r="H74" s="222">
        <f>'Off-farm feed'!$G$26</f>
        <v>8.7195121951219526E-7</v>
      </c>
      <c r="I74" s="222">
        <f>'Off-farm feed'!$H$26</f>
        <v>1.3333449845358202E-4</v>
      </c>
      <c r="J74" s="222">
        <f>'Off-farm feed'!$I$26</f>
        <v>1.3333449845358203E-5</v>
      </c>
      <c r="K74" s="222">
        <f>'Off-farm feed'!$J$26</f>
        <v>1.1576736579983931E-6</v>
      </c>
      <c r="L74" s="222">
        <f>'Off-farm feed'!$K$26</f>
        <v>0</v>
      </c>
      <c r="M74" s="222">
        <f>'Off-farm feed'!$L$26</f>
        <v>7.3437786087804866E-9</v>
      </c>
      <c r="N74" s="222">
        <f>'Off-farm feed'!$M$26</f>
        <v>1.1195281639512197E-6</v>
      </c>
      <c r="O74" s="222">
        <f>'Off-farm feed'!$N$26</f>
        <v>0</v>
      </c>
      <c r="P74" s="222">
        <f>'Off-farm feed'!$O$26</f>
        <v>1.3419073770114991E-5</v>
      </c>
      <c r="Q74" s="222">
        <f>'Off-farm feed'!$P$26</f>
        <v>9.087837837837838E-6</v>
      </c>
      <c r="R74" s="197">
        <f>'Parameters, country spec'!G27</f>
        <v>0.13973103889626368</v>
      </c>
    </row>
    <row r="75" spans="1:18" x14ac:dyDescent="0.3">
      <c r="B75" s="17" t="s">
        <v>187</v>
      </c>
      <c r="C75" s="17" t="s">
        <v>301</v>
      </c>
      <c r="D75" s="23" t="s">
        <v>27</v>
      </c>
      <c r="E75" s="23" t="s">
        <v>80</v>
      </c>
      <c r="F75" s="222"/>
      <c r="G75" s="14"/>
      <c r="H75" s="14"/>
      <c r="I75" s="14"/>
      <c r="J75" s="14"/>
      <c r="K75" s="14"/>
      <c r="L75" s="14"/>
      <c r="M75" s="14"/>
      <c r="N75" s="14"/>
      <c r="O75" s="14"/>
      <c r="P75" s="8"/>
      <c r="Q75" s="14"/>
      <c r="R75" s="197">
        <f>'Parameters, country spec'!G28</f>
        <v>0.13800716313225697</v>
      </c>
    </row>
    <row r="76" spans="1:18" x14ac:dyDescent="0.3">
      <c r="A76" s="83"/>
      <c r="B76" s="17" t="s">
        <v>302</v>
      </c>
      <c r="C76" s="84" t="s">
        <v>303</v>
      </c>
      <c r="D76" s="23" t="s">
        <v>27</v>
      </c>
      <c r="E76" s="23" t="s">
        <v>80</v>
      </c>
      <c r="F76" s="222">
        <f t="shared" si="15"/>
        <v>5.6762391730803548E-4</v>
      </c>
      <c r="G76" s="82">
        <f t="shared" ref="G76:N76" si="16">AVERAGE(G66:G74)</f>
        <v>1.1120364420271511E-4</v>
      </c>
      <c r="H76" s="82">
        <f t="shared" si="16"/>
        <v>9.253732127838519E-7</v>
      </c>
      <c r="I76" s="82">
        <f t="shared" si="16"/>
        <v>4.119812645651691E-4</v>
      </c>
      <c r="J76" s="82">
        <f t="shared" si="16"/>
        <v>4.1198126456516917E-5</v>
      </c>
      <c r="K76" s="82">
        <f t="shared" si="16"/>
        <v>9.1338371603164962E-7</v>
      </c>
      <c r="L76" s="82">
        <f t="shared" si="16"/>
        <v>0</v>
      </c>
      <c r="M76" s="82">
        <f t="shared" si="16"/>
        <v>7.3131106659596298E-9</v>
      </c>
      <c r="N76" s="82">
        <f t="shared" si="16"/>
        <v>1.3948120441529255E-6</v>
      </c>
      <c r="O76" s="82"/>
      <c r="P76" s="81"/>
      <c r="Q76" s="82"/>
      <c r="R76" s="197">
        <f>'Parameters, country spec'!G29</f>
        <v>0.1038265667370671</v>
      </c>
    </row>
    <row r="77" spans="1:18" x14ac:dyDescent="0.3">
      <c r="A77" s="195"/>
      <c r="B77" s="25" t="s">
        <v>304</v>
      </c>
      <c r="C77" s="26"/>
      <c r="D77" s="103"/>
      <c r="E77" s="103"/>
      <c r="F77" s="46">
        <f>SUMPRODUCT(F66:F76,$R$66:$R$76)</f>
        <v>5.3110138348726828E-4</v>
      </c>
      <c r="G77" s="46">
        <f t="shared" ref="G77:O77" si="17">SUMPRODUCT(G66:G76,$R$66:$R$76)</f>
        <v>1.1259612980644935E-4</v>
      </c>
      <c r="H77" s="46">
        <f t="shared" si="17"/>
        <v>7.1712586156856217E-7</v>
      </c>
      <c r="I77" s="46">
        <f t="shared" si="17"/>
        <v>3.7504694029631312E-4</v>
      </c>
      <c r="J77" s="46">
        <f t="shared" si="17"/>
        <v>3.7504694029631317E-5</v>
      </c>
      <c r="K77" s="46">
        <f t="shared" si="17"/>
        <v>5.9596050147853048E-7</v>
      </c>
      <c r="L77" s="46">
        <f t="shared" si="17"/>
        <v>0</v>
      </c>
      <c r="M77" s="46">
        <f t="shared" si="17"/>
        <v>5.6559027171617469E-9</v>
      </c>
      <c r="N77" s="46">
        <f t="shared" si="17"/>
        <v>1.0670800218525454E-6</v>
      </c>
      <c r="O77" s="46">
        <f t="shared" si="17"/>
        <v>0</v>
      </c>
      <c r="P77" s="30">
        <f>SUMPRODUCT(P66:P76,R66:R76)</f>
        <v>2.1637355799140076E-6</v>
      </c>
      <c r="Q77" s="46">
        <f>SUMPRODUCT(Q66:Q76,$R$66:$R$76)</f>
        <v>1.4040614873436628E-6</v>
      </c>
      <c r="R77" s="198"/>
    </row>
    <row r="78" spans="1:18" x14ac:dyDescent="0.3">
      <c r="A78" s="22" t="s">
        <v>290</v>
      </c>
      <c r="B78" s="17" t="s">
        <v>173</v>
      </c>
      <c r="C78" s="17" t="s">
        <v>291</v>
      </c>
      <c r="D78" s="23" t="s">
        <v>33</v>
      </c>
      <c r="E78" s="23" t="s">
        <v>81</v>
      </c>
      <c r="F78" s="223">
        <f>SUM(G78:Q78)</f>
        <v>4.8181926000000002E-4</v>
      </c>
      <c r="G78" s="201">
        <v>1.8000000000000001E-4</v>
      </c>
      <c r="H78" s="202">
        <v>9.9999999999999995E-7</v>
      </c>
      <c r="I78" s="205">
        <v>2.7099999999999997E-4</v>
      </c>
      <c r="J78" s="205">
        <v>2.7100000000000001E-5</v>
      </c>
      <c r="K78" s="205">
        <v>1.2100000000000001E-6</v>
      </c>
      <c r="L78" s="205"/>
      <c r="M78" s="205">
        <v>9.2599999999999999E-9</v>
      </c>
      <c r="N78" s="205">
        <v>1.5E-6</v>
      </c>
      <c r="O78" s="205"/>
      <c r="P78" s="14"/>
      <c r="Q78" s="204"/>
      <c r="R78" s="208">
        <f>'Parameters, country spec'!H19</f>
        <v>6.9755357742184998E-2</v>
      </c>
    </row>
    <row r="79" spans="1:18" x14ac:dyDescent="0.3">
      <c r="A79" s="22" t="s">
        <v>292</v>
      </c>
      <c r="B79" s="17" t="s">
        <v>176</v>
      </c>
      <c r="C79" s="17" t="s">
        <v>291</v>
      </c>
      <c r="D79" s="23" t="s">
        <v>33</v>
      </c>
      <c r="E79" s="23" t="s">
        <v>81</v>
      </c>
      <c r="F79" s="221">
        <f t="shared" ref="F79:F88" si="18">SUM(G79:Q79)</f>
        <v>4.1529099999999998E-4</v>
      </c>
      <c r="G79" s="100">
        <v>1.7000000000000001E-4</v>
      </c>
      <c r="H79" s="101">
        <v>9.9999999999999995E-7</v>
      </c>
      <c r="I79" s="102">
        <v>2.2000000000000001E-4</v>
      </c>
      <c r="J79" s="102">
        <v>2.1999999999999999E-5</v>
      </c>
      <c r="K79" s="102">
        <v>4.82E-7</v>
      </c>
      <c r="L79" s="102"/>
      <c r="M79" s="102">
        <v>3.0899999999999997E-7</v>
      </c>
      <c r="N79" s="102">
        <v>1.5E-6</v>
      </c>
      <c r="O79" s="102"/>
      <c r="P79" s="14"/>
      <c r="Q79" s="14"/>
      <c r="R79" s="197">
        <f>'Parameters, country spec'!H20</f>
        <v>0.45612129266564322</v>
      </c>
    </row>
    <row r="80" spans="1:18" x14ac:dyDescent="0.3">
      <c r="A80" s="22" t="s">
        <v>293</v>
      </c>
      <c r="B80" s="17" t="s">
        <v>180</v>
      </c>
      <c r="C80" s="17" t="s">
        <v>291</v>
      </c>
      <c r="D80" s="23" t="s">
        <v>33</v>
      </c>
      <c r="E80" s="23" t="s">
        <v>81</v>
      </c>
      <c r="F80" s="221">
        <f t="shared" si="18"/>
        <v>4.0906299999999993E-4</v>
      </c>
      <c r="G80" s="100">
        <v>1.4999999999999999E-4</v>
      </c>
      <c r="H80" s="101">
        <v>9.9999999999999995E-7</v>
      </c>
      <c r="I80" s="102">
        <v>2.31E-4</v>
      </c>
      <c r="J80" s="102">
        <v>2.3099999999999999E-5</v>
      </c>
      <c r="K80" s="102">
        <v>2.12E-6</v>
      </c>
      <c r="L80" s="102"/>
      <c r="M80" s="102">
        <v>3.4299999999999999E-7</v>
      </c>
      <c r="N80" s="102">
        <v>1.5E-6</v>
      </c>
      <c r="O80" s="102"/>
      <c r="P80" s="14"/>
      <c r="Q80" s="14"/>
      <c r="R80" s="197">
        <f>'Parameters, country spec'!H21</f>
        <v>1.4486341810785938E-2</v>
      </c>
    </row>
    <row r="81" spans="1:18" x14ac:dyDescent="0.3">
      <c r="A81" s="22" t="s">
        <v>294</v>
      </c>
      <c r="B81" s="17" t="s">
        <v>181</v>
      </c>
      <c r="C81" s="17" t="s">
        <v>291</v>
      </c>
      <c r="D81" s="23" t="s">
        <v>33</v>
      </c>
      <c r="E81" s="23" t="s">
        <v>81</v>
      </c>
      <c r="F81" s="221">
        <f t="shared" si="18"/>
        <v>3.7724239999999999E-4</v>
      </c>
      <c r="G81" s="100">
        <v>1.3999999999999999E-4</v>
      </c>
      <c r="H81" s="101">
        <v>9.9999999999999995E-7</v>
      </c>
      <c r="I81" s="102">
        <v>2.12E-4</v>
      </c>
      <c r="J81" s="102">
        <v>2.12E-5</v>
      </c>
      <c r="K81" s="102">
        <v>1.53E-6</v>
      </c>
      <c r="L81" s="102"/>
      <c r="M81" s="102">
        <v>1.24E-8</v>
      </c>
      <c r="N81" s="102">
        <v>1.5E-6</v>
      </c>
      <c r="O81" s="102"/>
      <c r="P81" s="14"/>
      <c r="Q81" s="14"/>
      <c r="R81" s="197">
        <f>'Parameters, country spec'!H22</f>
        <v>1.154218810875446E-3</v>
      </c>
    </row>
    <row r="82" spans="1:18" x14ac:dyDescent="0.3">
      <c r="A82" s="22" t="s">
        <v>295</v>
      </c>
      <c r="B82" s="17" t="s">
        <v>182</v>
      </c>
      <c r="C82" s="17" t="s">
        <v>291</v>
      </c>
      <c r="D82" s="23" t="s">
        <v>33</v>
      </c>
      <c r="E82" s="23" t="s">
        <v>81</v>
      </c>
      <c r="F82" s="221">
        <f t="shared" si="18"/>
        <v>4.9865180000000008E-4</v>
      </c>
      <c r="G82" s="100">
        <v>2.0000000000000001E-4</v>
      </c>
      <c r="H82" s="101">
        <v>9.9999999999999995E-7</v>
      </c>
      <c r="I82" s="102">
        <v>2.6800000000000001E-4</v>
      </c>
      <c r="J82" s="102">
        <v>2.6800000000000001E-5</v>
      </c>
      <c r="K82" s="102">
        <v>1.2899999999999999E-6</v>
      </c>
      <c r="L82" s="102"/>
      <c r="M82" s="102">
        <v>6.1799999999999998E-8</v>
      </c>
      <c r="N82" s="102">
        <v>1.5E-6</v>
      </c>
      <c r="O82" s="102"/>
      <c r="P82" s="14"/>
      <c r="Q82" s="14"/>
      <c r="R82" s="197">
        <f>'Parameters, country spec'!H23</f>
        <v>6.607302843520492E-2</v>
      </c>
    </row>
    <row r="83" spans="1:18" x14ac:dyDescent="0.3">
      <c r="A83" s="22" t="s">
        <v>296</v>
      </c>
      <c r="B83" s="17" t="s">
        <v>183</v>
      </c>
      <c r="C83" s="17" t="s">
        <v>297</v>
      </c>
      <c r="D83" s="23" t="s">
        <v>33</v>
      </c>
      <c r="E83" s="23" t="s">
        <v>81</v>
      </c>
      <c r="F83" s="221">
        <f t="shared" si="18"/>
        <v>1.7349010000000003E-4</v>
      </c>
      <c r="G83" s="100">
        <v>0</v>
      </c>
      <c r="H83" s="101">
        <v>9.9999999999999995E-7</v>
      </c>
      <c r="I83" s="102">
        <v>1.54E-4</v>
      </c>
      <c r="J83" s="102">
        <v>1.5400000000000002E-5</v>
      </c>
      <c r="K83" s="102">
        <v>1.55E-6</v>
      </c>
      <c r="L83" s="102"/>
      <c r="M83" s="102">
        <v>4.0100000000000002E-8</v>
      </c>
      <c r="N83" s="102">
        <v>1.5E-6</v>
      </c>
      <c r="O83" s="102"/>
      <c r="P83" s="14"/>
      <c r="Q83" s="14"/>
      <c r="R83" s="197">
        <f>'Parameters, country spec'!H24</f>
        <v>2.8132125343424525E-3</v>
      </c>
    </row>
    <row r="84" spans="1:18" x14ac:dyDescent="0.3">
      <c r="A84" s="22" t="s">
        <v>298</v>
      </c>
      <c r="B84" s="17" t="s">
        <v>184</v>
      </c>
      <c r="C84" s="17" t="s">
        <v>297</v>
      </c>
      <c r="D84" s="23" t="s">
        <v>33</v>
      </c>
      <c r="E84" s="23" t="s">
        <v>81</v>
      </c>
      <c r="F84" s="221">
        <f t="shared" si="18"/>
        <v>1.8834240000000001E-4</v>
      </c>
      <c r="G84" s="100">
        <v>8.6000000000000007E-6</v>
      </c>
      <c r="H84" s="101">
        <v>9.9999999999999995E-7</v>
      </c>
      <c r="I84" s="102">
        <v>1.5899999999999999E-4</v>
      </c>
      <c r="J84" s="102">
        <v>1.59E-5</v>
      </c>
      <c r="K84" s="102">
        <v>2.3300000000000001E-6</v>
      </c>
      <c r="L84" s="102"/>
      <c r="M84" s="102">
        <v>1.24E-8</v>
      </c>
      <c r="N84" s="102">
        <v>1.5E-6</v>
      </c>
      <c r="O84" s="102"/>
      <c r="P84" s="14"/>
      <c r="Q84" s="14"/>
      <c r="R84" s="197">
        <f>'Parameters, country spec'!H25</f>
        <v>2.763501773404974E-3</v>
      </c>
    </row>
    <row r="85" spans="1:18" x14ac:dyDescent="0.3">
      <c r="B85" s="18" t="s">
        <v>185</v>
      </c>
      <c r="C85" s="17" t="s">
        <v>299</v>
      </c>
      <c r="D85" s="23" t="str">
        <f>'Off-farm feed'!$D$77</f>
        <v>France, Germany, Poland</v>
      </c>
      <c r="E85" s="23" t="s">
        <v>74</v>
      </c>
      <c r="F85" s="222">
        <f>'Off-farm feed'!$E$77</f>
        <v>6.732045566157569E-4</v>
      </c>
      <c r="G85" s="222">
        <f>'Off-farm feed'!$F$77</f>
        <v>1.946970439026595E-4</v>
      </c>
      <c r="H85" s="222">
        <f>'Off-farm feed'!$G$77</f>
        <v>5.3103448275862083E-7</v>
      </c>
      <c r="I85" s="222">
        <f>'Off-farm feed'!$H$77</f>
        <v>4.2751561806777074E-4</v>
      </c>
      <c r="J85" s="222">
        <f>'Off-farm feed'!$I$77</f>
        <v>4.2751561806777089E-5</v>
      </c>
      <c r="K85" s="222">
        <f>'Off-farm feed'!$J$77</f>
        <v>6.6339607025480414E-7</v>
      </c>
      <c r="L85" s="222">
        <f>'Off-farm feed'!$K$77</f>
        <v>0</v>
      </c>
      <c r="M85" s="222">
        <f>'Off-farm feed'!$L$77</f>
        <v>7.9511067188965511E-9</v>
      </c>
      <c r="N85" s="222">
        <f>'Off-farm feed'!$M$77</f>
        <v>1.2789681892721844E-6</v>
      </c>
      <c r="O85" s="222">
        <f>'Off-farm feed'!$N$77</f>
        <v>0</v>
      </c>
      <c r="P85" s="222">
        <f>'Off-farm feed'!$O$77</f>
        <v>3.9312802868423834E-6</v>
      </c>
      <c r="Q85" s="222">
        <f>'Off-farm feed'!$P$77</f>
        <v>1.8277027027027027E-6</v>
      </c>
      <c r="R85" s="197">
        <f>'Parameters, country spec'!H26</f>
        <v>4.7386628229038642E-3</v>
      </c>
    </row>
    <row r="86" spans="1:18" x14ac:dyDescent="0.3">
      <c r="B86" s="18" t="s">
        <v>300</v>
      </c>
      <c r="C86" s="17" t="s">
        <v>299</v>
      </c>
      <c r="D86" s="23" t="str">
        <f>'Off-farm feed'!$D$26</f>
        <v>Brazil, Argentina</v>
      </c>
      <c r="E86" s="23" t="s">
        <v>74</v>
      </c>
      <c r="F86" s="222">
        <f>'Off-farm feed'!$E$26</f>
        <v>1.8866346644602505E-4</v>
      </c>
      <c r="G86" s="222">
        <f>'Off-farm feed'!$F$26</f>
        <v>1.6332109719061441E-5</v>
      </c>
      <c r="H86" s="222">
        <f>'Off-farm feed'!$G$26</f>
        <v>8.7195121951219526E-7</v>
      </c>
      <c r="I86" s="222">
        <f>'Off-farm feed'!$H$26</f>
        <v>1.3333449845358202E-4</v>
      </c>
      <c r="J86" s="222">
        <f>'Off-farm feed'!$I$26</f>
        <v>1.3333449845358203E-5</v>
      </c>
      <c r="K86" s="222">
        <f>'Off-farm feed'!$J$26</f>
        <v>1.1576736579983931E-6</v>
      </c>
      <c r="L86" s="222">
        <f>'Off-farm feed'!$K$26</f>
        <v>0</v>
      </c>
      <c r="M86" s="222">
        <f>'Off-farm feed'!$L$26</f>
        <v>7.3437786087804866E-9</v>
      </c>
      <c r="N86" s="222">
        <f>'Off-farm feed'!$M$26</f>
        <v>1.1195281639512197E-6</v>
      </c>
      <c r="O86" s="222">
        <f>'Off-farm feed'!$N$26</f>
        <v>0</v>
      </c>
      <c r="P86" s="222">
        <f>'Off-farm feed'!$O$26</f>
        <v>1.3419073770114991E-5</v>
      </c>
      <c r="Q86" s="222">
        <f>'Off-farm feed'!$P$26</f>
        <v>9.087837837837838E-6</v>
      </c>
      <c r="R86" s="197">
        <f>'Parameters, country spec'!H27</f>
        <v>0.11699211590575154</v>
      </c>
    </row>
    <row r="87" spans="1:18" x14ac:dyDescent="0.3">
      <c r="B87" s="17" t="s">
        <v>187</v>
      </c>
      <c r="C87" s="17" t="s">
        <v>301</v>
      </c>
      <c r="D87" s="23" t="s">
        <v>33</v>
      </c>
      <c r="E87" s="23" t="s">
        <v>81</v>
      </c>
      <c r="F87" s="222"/>
      <c r="G87" s="14"/>
      <c r="H87" s="14"/>
      <c r="I87" s="14"/>
      <c r="J87" s="14"/>
      <c r="K87" s="14"/>
      <c r="L87" s="14"/>
      <c r="M87" s="14"/>
      <c r="N87" s="14"/>
      <c r="O87" s="14"/>
      <c r="P87" s="8"/>
      <c r="Q87" s="14"/>
      <c r="R87" s="197">
        <f>'Parameters, country spec'!H28</f>
        <v>0.12350411469968688</v>
      </c>
    </row>
    <row r="88" spans="1:18" x14ac:dyDescent="0.3">
      <c r="A88" s="83"/>
      <c r="B88" s="17" t="s">
        <v>302</v>
      </c>
      <c r="C88" s="84" t="s">
        <v>303</v>
      </c>
      <c r="D88" s="23" t="s">
        <v>33</v>
      </c>
      <c r="E88" s="23" t="s">
        <v>81</v>
      </c>
      <c r="F88" s="222">
        <f t="shared" si="18"/>
        <v>3.7527800982936491E-4</v>
      </c>
      <c r="G88" s="82">
        <f t="shared" ref="G88:N88" si="19">AVERAGE(G78:G86)</f>
        <v>1.1773657262463566E-4</v>
      </c>
      <c r="H88" s="82">
        <f t="shared" si="19"/>
        <v>9.3366507803009054E-7</v>
      </c>
      <c r="I88" s="82">
        <f t="shared" si="19"/>
        <v>2.3065001294681695E-4</v>
      </c>
      <c r="J88" s="82">
        <f t="shared" si="19"/>
        <v>2.3065001294681698E-5</v>
      </c>
      <c r="K88" s="82">
        <f t="shared" si="19"/>
        <v>1.3703410809170218E-6</v>
      </c>
      <c r="L88" s="82">
        <f t="shared" si="19"/>
        <v>0</v>
      </c>
      <c r="M88" s="82">
        <f t="shared" si="19"/>
        <v>8.9250542814186322E-8</v>
      </c>
      <c r="N88" s="82">
        <f t="shared" si="19"/>
        <v>1.4331662614692671E-6</v>
      </c>
      <c r="O88" s="82"/>
      <c r="P88" s="81"/>
      <c r="Q88" s="82"/>
      <c r="R88" s="197">
        <f>'Parameters, country spec'!H29</f>
        <v>0.14159815279921578</v>
      </c>
    </row>
    <row r="89" spans="1:18" x14ac:dyDescent="0.3">
      <c r="A89" s="195"/>
      <c r="B89" s="25" t="s">
        <v>304</v>
      </c>
      <c r="C89" s="26"/>
      <c r="D89" s="103"/>
      <c r="E89" s="103"/>
      <c r="F89" s="46">
        <f>SUMPRODUCT(F78:F88,$R$78:$R$88)</f>
        <v>3.4175067347252844E-4</v>
      </c>
      <c r="G89" s="46">
        <f t="shared" ref="G89:O89" si="20">SUMPRODUCT(G78:G88,$R$78:$R$88)</f>
        <v>1.2517411077165319E-4</v>
      </c>
      <c r="H89" s="46">
        <f t="shared" si="20"/>
        <v>8.4990001565309878E-7</v>
      </c>
      <c r="I89" s="46">
        <f>SUMPRODUCT(I78:I88,$R$78:$R$88)</f>
        <v>1.9170618205291556E-4</v>
      </c>
      <c r="J89" s="46">
        <f t="shared" si="20"/>
        <v>1.9170618205291559E-5</v>
      </c>
      <c r="K89" s="46">
        <f t="shared" si="20"/>
        <v>7.6538515742935958E-7</v>
      </c>
      <c r="L89" s="46">
        <f t="shared" si="20"/>
        <v>0</v>
      </c>
      <c r="M89" s="46">
        <f t="shared" si="20"/>
        <v>1.6433548581345432E-7</v>
      </c>
      <c r="N89" s="46">
        <f t="shared" si="20"/>
        <v>1.2597206936637841E-6</v>
      </c>
      <c r="O89" s="46">
        <f t="shared" si="20"/>
        <v>0</v>
      </c>
      <c r="P89" s="30">
        <f>SUMPRODUCT(P78:P88,R78:R88)</f>
        <v>1.5885548456027981E-6</v>
      </c>
      <c r="Q89" s="46">
        <f>SUMPRODUCT(Q78:Q88,$R$78:$R$88)</f>
        <v>1.0718662445056168E-6</v>
      </c>
      <c r="R89" s="198"/>
    </row>
    <row r="90" spans="1:18" x14ac:dyDescent="0.3">
      <c r="A90" s="22" t="s">
        <v>290</v>
      </c>
      <c r="B90" s="17" t="s">
        <v>173</v>
      </c>
      <c r="C90" s="17" t="s">
        <v>291</v>
      </c>
      <c r="D90" s="23" t="s">
        <v>30</v>
      </c>
      <c r="E90" s="23" t="s">
        <v>82</v>
      </c>
      <c r="F90" s="223">
        <f>SUM(G90:Q90)</f>
        <v>8.3892959999999996E-4</v>
      </c>
      <c r="G90" s="201">
        <v>1.8000000000000001E-4</v>
      </c>
      <c r="H90" s="202">
        <v>9.9999999999999995E-7</v>
      </c>
      <c r="I90" s="205">
        <v>5.9599999999999996E-4</v>
      </c>
      <c r="J90" s="205">
        <v>5.9599999999999999E-5</v>
      </c>
      <c r="K90" s="205">
        <v>7.3799999999999996E-7</v>
      </c>
      <c r="L90" s="205"/>
      <c r="M90" s="205">
        <v>2.1600000000000002E-8</v>
      </c>
      <c r="N90" s="205">
        <v>1.57E-6</v>
      </c>
      <c r="O90" s="205"/>
      <c r="P90" s="14"/>
      <c r="Q90" s="204"/>
      <c r="R90" s="208">
        <f>'Parameters, country spec'!I19</f>
        <v>6.5976692624369268E-2</v>
      </c>
    </row>
    <row r="91" spans="1:18" x14ac:dyDescent="0.3">
      <c r="A91" s="22" t="s">
        <v>292</v>
      </c>
      <c r="B91" s="17" t="s">
        <v>176</v>
      </c>
      <c r="C91" s="17" t="s">
        <v>291</v>
      </c>
      <c r="D91" s="23" t="s">
        <v>30</v>
      </c>
      <c r="E91" s="23" t="s">
        <v>82</v>
      </c>
      <c r="F91" s="221">
        <f t="shared" ref="F91:F100" si="21">SUM(G91:Q91)</f>
        <v>8.0910399999999994E-4</v>
      </c>
      <c r="G91" s="100">
        <v>1.7000000000000001E-4</v>
      </c>
      <c r="H91" s="101">
        <v>9.9999999999999995E-7</v>
      </c>
      <c r="I91" s="102">
        <v>5.7799999999999995E-4</v>
      </c>
      <c r="J91" s="102">
        <v>5.7800000000000002E-5</v>
      </c>
      <c r="K91" s="102">
        <v>5.3600000000000004E-7</v>
      </c>
      <c r="L91" s="102"/>
      <c r="M91" s="102">
        <v>1.98E-7</v>
      </c>
      <c r="N91" s="102">
        <v>1.57E-6</v>
      </c>
      <c r="O91" s="102"/>
      <c r="P91" s="14"/>
      <c r="Q91" s="14"/>
      <c r="R91" s="197">
        <f>'Parameters, country spec'!I20</f>
        <v>0.19814107333385653</v>
      </c>
    </row>
    <row r="92" spans="1:18" x14ac:dyDescent="0.3">
      <c r="A92" s="22" t="s">
        <v>293</v>
      </c>
      <c r="B92" s="17" t="s">
        <v>180</v>
      </c>
      <c r="C92" s="17" t="s">
        <v>291</v>
      </c>
      <c r="D92" s="23" t="s">
        <v>30</v>
      </c>
      <c r="E92" s="23" t="s">
        <v>82</v>
      </c>
      <c r="F92" s="221">
        <f t="shared" si="21"/>
        <v>7.7184899999999991E-4</v>
      </c>
      <c r="G92" s="100">
        <v>1.4999999999999999E-4</v>
      </c>
      <c r="H92" s="101">
        <v>9.9999999999999995E-7</v>
      </c>
      <c r="I92" s="102">
        <v>5.62E-4</v>
      </c>
      <c r="J92" s="102">
        <v>5.6199999999999997E-5</v>
      </c>
      <c r="K92" s="102">
        <v>9.6800000000000009E-7</v>
      </c>
      <c r="L92" s="102"/>
      <c r="M92" s="102">
        <v>1.11E-7</v>
      </c>
      <c r="N92" s="102">
        <v>1.57E-6</v>
      </c>
      <c r="O92" s="102"/>
      <c r="P92" s="14"/>
      <c r="Q92" s="14"/>
      <c r="R92" s="197">
        <f>'Parameters, country spec'!I21</f>
        <v>2.1671841623166059E-3</v>
      </c>
    </row>
    <row r="93" spans="1:18" x14ac:dyDescent="0.3">
      <c r="A93" s="22" t="s">
        <v>294</v>
      </c>
      <c r="B93" s="17" t="s">
        <v>181</v>
      </c>
      <c r="C93" s="17" t="s">
        <v>291</v>
      </c>
      <c r="D93" s="23" t="s">
        <v>30</v>
      </c>
      <c r="E93" s="23" t="s">
        <v>82</v>
      </c>
      <c r="F93" s="221">
        <f t="shared" si="21"/>
        <v>6.9837999999999996E-4</v>
      </c>
      <c r="G93" s="100">
        <v>1.3999999999999999E-4</v>
      </c>
      <c r="H93" s="101">
        <v>9.9999999999999995E-7</v>
      </c>
      <c r="I93" s="102">
        <v>5.04E-4</v>
      </c>
      <c r="J93" s="102">
        <v>5.0399999999999999E-5</v>
      </c>
      <c r="K93" s="102">
        <v>1.4100000000000001E-6</v>
      </c>
      <c r="L93" s="102"/>
      <c r="M93" s="102">
        <v>0</v>
      </c>
      <c r="N93" s="102">
        <v>1.57E-6</v>
      </c>
      <c r="O93" s="102"/>
      <c r="P93" s="14"/>
      <c r="Q93" s="14"/>
      <c r="R93" s="197">
        <f>'Parameters, country spec'!I22</f>
        <v>8.1550834411767848E-3</v>
      </c>
    </row>
    <row r="94" spans="1:18" x14ac:dyDescent="0.3">
      <c r="A94" s="22" t="s">
        <v>295</v>
      </c>
      <c r="B94" s="17" t="s">
        <v>182</v>
      </c>
      <c r="C94" s="17" t="s">
        <v>291</v>
      </c>
      <c r="D94" s="23" t="s">
        <v>30</v>
      </c>
      <c r="E94" s="23" t="s">
        <v>82</v>
      </c>
      <c r="F94" s="221">
        <f t="shared" si="21"/>
        <v>9.6220029999999985E-4</v>
      </c>
      <c r="G94" s="100">
        <v>2.0000000000000001E-4</v>
      </c>
      <c r="H94" s="101">
        <v>9.9999999999999995E-7</v>
      </c>
      <c r="I94" s="102">
        <v>6.8999999999999997E-4</v>
      </c>
      <c r="J94" s="102">
        <v>6.8999999999999997E-5</v>
      </c>
      <c r="K94" s="102">
        <v>5.8400000000000004E-7</v>
      </c>
      <c r="L94" s="102"/>
      <c r="M94" s="102">
        <v>4.6299999999999998E-8</v>
      </c>
      <c r="N94" s="102">
        <v>1.57E-6</v>
      </c>
      <c r="O94" s="102"/>
      <c r="P94" s="14"/>
      <c r="Q94" s="14"/>
      <c r="R94" s="197">
        <f>'Parameters, country spec'!I23</f>
        <v>0.22324493125110034</v>
      </c>
    </row>
    <row r="95" spans="1:18" x14ac:dyDescent="0.3">
      <c r="A95" s="22" t="s">
        <v>296</v>
      </c>
      <c r="B95" s="17" t="s">
        <v>183</v>
      </c>
      <c r="C95" s="17" t="s">
        <v>297</v>
      </c>
      <c r="D95" s="23" t="s">
        <v>30</v>
      </c>
      <c r="E95" s="23" t="s">
        <v>82</v>
      </c>
      <c r="F95" s="221">
        <f t="shared" si="21"/>
        <v>2.0703569999999999E-4</v>
      </c>
      <c r="G95" s="100">
        <v>0</v>
      </c>
      <c r="H95" s="101">
        <v>9.9999999999999995E-7</v>
      </c>
      <c r="I95" s="102">
        <v>1.85E-4</v>
      </c>
      <c r="J95" s="102">
        <v>1.8499999999999999E-5</v>
      </c>
      <c r="K95" s="102">
        <v>9.0699999999999996E-7</v>
      </c>
      <c r="L95" s="102"/>
      <c r="M95" s="102">
        <v>5.8700000000000003E-8</v>
      </c>
      <c r="N95" s="102">
        <v>1.57E-6</v>
      </c>
      <c r="O95" s="102"/>
      <c r="P95" s="14"/>
      <c r="Q95" s="14"/>
      <c r="R95" s="197">
        <f>'Parameters, country spec'!I24</f>
        <v>0</v>
      </c>
    </row>
    <row r="96" spans="1:18" x14ac:dyDescent="0.3">
      <c r="A96" s="22" t="s">
        <v>298</v>
      </c>
      <c r="B96" s="17" t="s">
        <v>184</v>
      </c>
      <c r="C96" s="17" t="s">
        <v>297</v>
      </c>
      <c r="D96" s="23" t="s">
        <v>30</v>
      </c>
      <c r="E96" s="23" t="s">
        <v>82</v>
      </c>
      <c r="F96" s="221">
        <f t="shared" si="21"/>
        <v>2.3980779999999995E-4</v>
      </c>
      <c r="G96" s="100">
        <v>8.6000000000000007E-6</v>
      </c>
      <c r="H96" s="101">
        <v>9.9999999999999995E-7</v>
      </c>
      <c r="I96" s="102">
        <v>2.0699999999999999E-4</v>
      </c>
      <c r="J96" s="102">
        <v>2.0699999999999998E-5</v>
      </c>
      <c r="K96" s="102">
        <v>9.0999999999999997E-7</v>
      </c>
      <c r="L96" s="102"/>
      <c r="M96" s="102">
        <v>2.7800000000000001E-8</v>
      </c>
      <c r="N96" s="102">
        <v>1.57E-6</v>
      </c>
      <c r="O96" s="102"/>
      <c r="P96" s="14"/>
      <c r="Q96" s="14"/>
      <c r="R96" s="197">
        <f>'Parameters, country spec'!I25</f>
        <v>0</v>
      </c>
    </row>
    <row r="97" spans="1:18" x14ac:dyDescent="0.3">
      <c r="B97" s="18" t="s">
        <v>185</v>
      </c>
      <c r="C97" s="17" t="s">
        <v>299</v>
      </c>
      <c r="D97" s="23" t="str">
        <f>'Off-farm feed'!$D$77</f>
        <v>France, Germany, Poland</v>
      </c>
      <c r="E97" s="23" t="s">
        <v>74</v>
      </c>
      <c r="F97" s="222">
        <f>'Off-farm feed'!$E$77</f>
        <v>6.732045566157569E-4</v>
      </c>
      <c r="G97" s="222">
        <f>'Off-farm feed'!$F$77</f>
        <v>1.946970439026595E-4</v>
      </c>
      <c r="H97" s="222">
        <f>'Off-farm feed'!$G$77</f>
        <v>5.3103448275862083E-7</v>
      </c>
      <c r="I97" s="222">
        <f>'Off-farm feed'!$H$77</f>
        <v>4.2751561806777074E-4</v>
      </c>
      <c r="J97" s="222">
        <f>'Off-farm feed'!$I$77</f>
        <v>4.2751561806777089E-5</v>
      </c>
      <c r="K97" s="222">
        <f>'Off-farm feed'!$J$77</f>
        <v>6.6339607025480414E-7</v>
      </c>
      <c r="L97" s="222">
        <f>'Off-farm feed'!$K$77</f>
        <v>0</v>
      </c>
      <c r="M97" s="222">
        <f>'Off-farm feed'!$L$77</f>
        <v>7.9511067188965511E-9</v>
      </c>
      <c r="N97" s="222">
        <f>'Off-farm feed'!$M$77</f>
        <v>1.2789681892721844E-6</v>
      </c>
      <c r="O97" s="222">
        <f>'Off-farm feed'!$N$77</f>
        <v>0</v>
      </c>
      <c r="P97" s="222">
        <f>'Off-farm feed'!$O$77</f>
        <v>3.9312802868423834E-6</v>
      </c>
      <c r="Q97" s="222">
        <f>'Off-farm feed'!$P$77</f>
        <v>1.8277027027027027E-6</v>
      </c>
      <c r="R97" s="197">
        <f>'Parameters, country spec'!I26</f>
        <v>0.12320054874364431</v>
      </c>
    </row>
    <row r="98" spans="1:18" x14ac:dyDescent="0.3">
      <c r="B98" s="18" t="s">
        <v>300</v>
      </c>
      <c r="C98" s="17" t="s">
        <v>299</v>
      </c>
      <c r="D98" s="23" t="str">
        <f>'Off-farm feed'!$D$26</f>
        <v>Brazil, Argentina</v>
      </c>
      <c r="E98" s="23" t="s">
        <v>74</v>
      </c>
      <c r="F98" s="222">
        <f>'Off-farm feed'!$E$26</f>
        <v>1.8866346644602505E-4</v>
      </c>
      <c r="G98" s="222">
        <f>'Off-farm feed'!$F$26</f>
        <v>1.6332109719061441E-5</v>
      </c>
      <c r="H98" s="222">
        <f>'Off-farm feed'!$G$26</f>
        <v>8.7195121951219526E-7</v>
      </c>
      <c r="I98" s="222">
        <f>'Off-farm feed'!$H$26</f>
        <v>1.3333449845358202E-4</v>
      </c>
      <c r="J98" s="222">
        <f>'Off-farm feed'!$I$26</f>
        <v>1.3333449845358203E-5</v>
      </c>
      <c r="K98" s="222">
        <f>'Off-farm feed'!$J$26</f>
        <v>1.1576736579983931E-6</v>
      </c>
      <c r="L98" s="222">
        <f>'Off-farm feed'!$K$26</f>
        <v>0</v>
      </c>
      <c r="M98" s="222">
        <f>'Off-farm feed'!$L$26</f>
        <v>7.3437786087804866E-9</v>
      </c>
      <c r="N98" s="222">
        <f>'Off-farm feed'!$M$26</f>
        <v>1.1195281639512197E-6</v>
      </c>
      <c r="O98" s="222">
        <f>'Off-farm feed'!$N$26</f>
        <v>0</v>
      </c>
      <c r="P98" s="222">
        <f>'Off-farm feed'!$O$26</f>
        <v>1.3419073770114991E-5</v>
      </c>
      <c r="Q98" s="222">
        <f>'Off-farm feed'!$P$26</f>
        <v>9.087837837837838E-6</v>
      </c>
      <c r="R98" s="197">
        <f>'Parameters, country spec'!I27</f>
        <v>0.15910748774892908</v>
      </c>
    </row>
    <row r="99" spans="1:18" x14ac:dyDescent="0.3">
      <c r="B99" s="17" t="s">
        <v>187</v>
      </c>
      <c r="C99" s="17" t="s">
        <v>301</v>
      </c>
      <c r="D99" s="23" t="s">
        <v>30</v>
      </c>
      <c r="E99" s="23" t="s">
        <v>82</v>
      </c>
      <c r="F99" s="222"/>
      <c r="G99" s="14"/>
      <c r="H99" s="14"/>
      <c r="I99" s="14"/>
      <c r="J99" s="14"/>
      <c r="K99" s="14"/>
      <c r="L99" s="14"/>
      <c r="M99" s="14"/>
      <c r="N99" s="14"/>
      <c r="O99" s="14"/>
      <c r="P99" s="8"/>
      <c r="Q99" s="14"/>
      <c r="R99" s="197">
        <f>'Parameters, country spec'!I28</f>
        <v>1.7335418632101657E-2</v>
      </c>
    </row>
    <row r="100" spans="1:18" x14ac:dyDescent="0.3">
      <c r="A100" s="83"/>
      <c r="B100" s="17" t="s">
        <v>302</v>
      </c>
      <c r="C100" s="84" t="s">
        <v>303</v>
      </c>
      <c r="D100" s="23" t="s">
        <v>30</v>
      </c>
      <c r="E100" s="23" t="s">
        <v>82</v>
      </c>
      <c r="F100" s="222">
        <f t="shared" si="21"/>
        <v>5.956565031626981E-4</v>
      </c>
      <c r="G100" s="82">
        <f t="shared" ref="G100:N100" si="22">AVERAGE(G90:G98)</f>
        <v>1.1773657262463566E-4</v>
      </c>
      <c r="H100" s="82">
        <f t="shared" si="22"/>
        <v>9.3366507803009054E-7</v>
      </c>
      <c r="I100" s="82">
        <f t="shared" si="22"/>
        <v>4.3142779072459476E-4</v>
      </c>
      <c r="J100" s="82">
        <f t="shared" si="22"/>
        <v>4.314277907245948E-5</v>
      </c>
      <c r="K100" s="82">
        <f t="shared" si="22"/>
        <v>8.7489663647257742E-7</v>
      </c>
      <c r="L100" s="82">
        <f t="shared" si="22"/>
        <v>0</v>
      </c>
      <c r="M100" s="82">
        <f t="shared" si="22"/>
        <v>5.3188320591964118E-8</v>
      </c>
      <c r="N100" s="82">
        <f t="shared" si="22"/>
        <v>1.4876107059137115E-6</v>
      </c>
      <c r="O100" s="82"/>
      <c r="P100" s="81"/>
      <c r="Q100" s="82"/>
      <c r="R100" s="197">
        <f>'Parameters, country spec'!I29</f>
        <v>0.20267158006250544</v>
      </c>
    </row>
    <row r="101" spans="1:18" x14ac:dyDescent="0.3">
      <c r="A101" s="195"/>
      <c r="B101" s="25" t="s">
        <v>304</v>
      </c>
      <c r="C101" s="26"/>
      <c r="D101" s="103"/>
      <c r="E101" s="103"/>
      <c r="F101" s="46">
        <f>SUMPRODUCT(F90:F100,$R$90:$R$100)</f>
        <v>6.7152054691534395E-4</v>
      </c>
      <c r="G101" s="46">
        <f t="shared" ref="G101:O101" si="23">SUMPRODUCT(G90:G100,$R$90:$R$100)</f>
        <v>1.42122763495066E-4</v>
      </c>
      <c r="H101" s="46">
        <f t="shared" si="23"/>
        <v>8.9107004908022007E-7</v>
      </c>
      <c r="I101" s="46">
        <f t="shared" si="23"/>
        <v>4.7453759915859744E-4</v>
      </c>
      <c r="J101" s="46">
        <f t="shared" si="23"/>
        <v>4.7453759915859752E-5</v>
      </c>
      <c r="K101" s="46">
        <f t="shared" si="23"/>
        <v>7.4210794718783102E-7</v>
      </c>
      <c r="L101" s="46">
        <f t="shared" si="23"/>
        <v>0</v>
      </c>
      <c r="M101" s="46">
        <f t="shared" si="23"/>
        <v>6.4161618690892237E-8</v>
      </c>
      <c r="N101" s="46">
        <f t="shared" si="23"/>
        <v>1.4185567034160056E-6</v>
      </c>
      <c r="O101" s="46">
        <f t="shared" si="23"/>
        <v>0</v>
      </c>
      <c r="P101" s="30">
        <f>SUMPRODUCT(P90:P100,R90:R100)</f>
        <v>2.6194110040845995E-6</v>
      </c>
      <c r="Q101" s="46">
        <f>SUMPRODUCT(Q90:Q100,$R$90:$R$100)</f>
        <v>1.6711170233612526E-6</v>
      </c>
      <c r="R101" s="198"/>
    </row>
    <row r="102" spans="1:18" x14ac:dyDescent="0.3">
      <c r="A102" s="22" t="s">
        <v>290</v>
      </c>
      <c r="B102" s="17" t="s">
        <v>173</v>
      </c>
      <c r="C102" s="17" t="s">
        <v>291</v>
      </c>
      <c r="D102" s="23" t="s">
        <v>28</v>
      </c>
      <c r="E102" s="23" t="s">
        <v>83</v>
      </c>
      <c r="F102" s="223">
        <f>SUM(G102:Q102)</f>
        <v>8.031530900000001E-4</v>
      </c>
      <c r="G102" s="201">
        <v>1.8000000000000001E-4</v>
      </c>
      <c r="H102" s="202">
        <v>9.9999999999999995E-7</v>
      </c>
      <c r="I102" s="205">
        <v>5.6300000000000002E-4</v>
      </c>
      <c r="J102" s="205">
        <v>5.63E-5</v>
      </c>
      <c r="K102" s="205">
        <v>1.33E-6</v>
      </c>
      <c r="L102" s="205"/>
      <c r="M102" s="205">
        <v>3.0899999999999999E-9</v>
      </c>
      <c r="N102" s="205">
        <v>1.5200000000000001E-6</v>
      </c>
      <c r="O102" s="205"/>
      <c r="P102" s="14"/>
      <c r="Q102" s="204"/>
      <c r="R102" s="208">
        <f>'Parameters, country spec'!J19</f>
        <v>0.16996898787594733</v>
      </c>
    </row>
    <row r="103" spans="1:18" x14ac:dyDescent="0.3">
      <c r="A103" s="22" t="s">
        <v>292</v>
      </c>
      <c r="B103" s="17" t="s">
        <v>176</v>
      </c>
      <c r="C103" s="17" t="s">
        <v>291</v>
      </c>
      <c r="D103" s="23" t="s">
        <v>28</v>
      </c>
      <c r="E103" s="23" t="s">
        <v>83</v>
      </c>
      <c r="F103" s="221">
        <f t="shared" ref="F103:F112" si="24">SUM(G103:Q103)</f>
        <v>6.5730909999999994E-4</v>
      </c>
      <c r="G103" s="100">
        <v>1.7000000000000001E-4</v>
      </c>
      <c r="H103" s="101">
        <v>9.9999999999999995E-7</v>
      </c>
      <c r="I103" s="102">
        <v>4.4000000000000002E-4</v>
      </c>
      <c r="J103" s="102">
        <v>4.3999999999999999E-5</v>
      </c>
      <c r="K103" s="102">
        <v>7.5199999999999996E-7</v>
      </c>
      <c r="L103" s="102"/>
      <c r="M103" s="102">
        <v>3.7100000000000001E-8</v>
      </c>
      <c r="N103" s="102">
        <v>1.5200000000000001E-6</v>
      </c>
      <c r="O103" s="102"/>
      <c r="P103" s="14"/>
      <c r="Q103" s="14"/>
      <c r="R103" s="197">
        <f>'Parameters, country spec'!J20</f>
        <v>0.23283885034476093</v>
      </c>
    </row>
    <row r="104" spans="1:18" x14ac:dyDescent="0.3">
      <c r="A104" s="22" t="s">
        <v>293</v>
      </c>
      <c r="B104" s="17" t="s">
        <v>180</v>
      </c>
      <c r="C104" s="17" t="s">
        <v>291</v>
      </c>
      <c r="D104" s="23" t="s">
        <v>28</v>
      </c>
      <c r="E104" s="23" t="s">
        <v>83</v>
      </c>
      <c r="F104" s="221">
        <f t="shared" si="24"/>
        <v>6.6357308999999995E-4</v>
      </c>
      <c r="G104" s="100">
        <v>1.4999999999999999E-4</v>
      </c>
      <c r="H104" s="101">
        <v>9.9999999999999995E-7</v>
      </c>
      <c r="I104" s="102">
        <v>4.6299999999999998E-4</v>
      </c>
      <c r="J104" s="102">
        <v>4.6300000000000001E-5</v>
      </c>
      <c r="K104" s="102">
        <v>1.75E-6</v>
      </c>
      <c r="L104" s="102"/>
      <c r="M104" s="102">
        <v>3.0899999999999999E-9</v>
      </c>
      <c r="N104" s="102">
        <v>1.5200000000000001E-6</v>
      </c>
      <c r="O104" s="102"/>
      <c r="P104" s="14"/>
      <c r="Q104" s="14"/>
      <c r="R104" s="197">
        <f>'Parameters, country spec'!J21</f>
        <v>5.0904696791723991E-3</v>
      </c>
    </row>
    <row r="105" spans="1:18" x14ac:dyDescent="0.3">
      <c r="A105" s="22" t="s">
        <v>294</v>
      </c>
      <c r="B105" s="17" t="s">
        <v>181</v>
      </c>
      <c r="C105" s="17" t="s">
        <v>291</v>
      </c>
      <c r="D105" s="23" t="s">
        <v>28</v>
      </c>
      <c r="E105" s="23" t="s">
        <v>83</v>
      </c>
      <c r="F105" s="221">
        <f t="shared" si="24"/>
        <v>6.1058999999999983E-4</v>
      </c>
      <c r="G105" s="100">
        <v>1.3999999999999999E-4</v>
      </c>
      <c r="H105" s="101">
        <v>9.9999999999999995E-7</v>
      </c>
      <c r="I105" s="102">
        <v>4.2400000000000001E-4</v>
      </c>
      <c r="J105" s="102">
        <v>4.2400000000000001E-5</v>
      </c>
      <c r="K105" s="102">
        <v>1.6700000000000001E-6</v>
      </c>
      <c r="L105" s="102"/>
      <c r="M105" s="102">
        <v>0</v>
      </c>
      <c r="N105" s="102">
        <v>1.5200000000000001E-6</v>
      </c>
      <c r="O105" s="102"/>
      <c r="P105" s="14"/>
      <c r="Q105" s="14"/>
      <c r="R105" s="197">
        <f>'Parameters, country spec'!J22</f>
        <v>6.6462863913214348E-2</v>
      </c>
    </row>
    <row r="106" spans="1:18" x14ac:dyDescent="0.3">
      <c r="A106" s="22" t="s">
        <v>295</v>
      </c>
      <c r="B106" s="17" t="s">
        <v>182</v>
      </c>
      <c r="C106" s="17" t="s">
        <v>291</v>
      </c>
      <c r="D106" s="23" t="s">
        <v>28</v>
      </c>
      <c r="E106" s="23" t="s">
        <v>83</v>
      </c>
      <c r="F106" s="221">
        <f t="shared" si="24"/>
        <v>7.9211309000000007E-4</v>
      </c>
      <c r="G106" s="100">
        <v>2.0000000000000001E-4</v>
      </c>
      <c r="H106" s="101">
        <v>9.9999999999999995E-7</v>
      </c>
      <c r="I106" s="102">
        <v>5.3499999999999999E-4</v>
      </c>
      <c r="J106" s="102">
        <v>5.3499999999999999E-5</v>
      </c>
      <c r="K106" s="102">
        <v>1.0899999999999999E-6</v>
      </c>
      <c r="L106" s="102"/>
      <c r="M106" s="102">
        <v>3.0899999999999999E-9</v>
      </c>
      <c r="N106" s="102">
        <v>1.5200000000000001E-6</v>
      </c>
      <c r="O106" s="102"/>
      <c r="P106" s="14"/>
      <c r="Q106" s="14"/>
      <c r="R106" s="197">
        <f>'Parameters, country spec'!J23</f>
        <v>0.26723420141656068</v>
      </c>
    </row>
    <row r="107" spans="1:18" x14ac:dyDescent="0.3">
      <c r="A107" s="22" t="s">
        <v>296</v>
      </c>
      <c r="B107" s="17" t="s">
        <v>183</v>
      </c>
      <c r="C107" s="17" t="s">
        <v>297</v>
      </c>
      <c r="D107" s="23" t="s">
        <v>28</v>
      </c>
      <c r="E107" s="23" t="s">
        <v>83</v>
      </c>
      <c r="F107" s="221">
        <f t="shared" si="24"/>
        <v>3.4353000000000004E-4</v>
      </c>
      <c r="G107" s="100">
        <v>0</v>
      </c>
      <c r="H107" s="101">
        <v>9.9999999999999995E-7</v>
      </c>
      <c r="I107" s="102">
        <v>3.0800000000000001E-4</v>
      </c>
      <c r="J107" s="102">
        <v>3.0800000000000003E-5</v>
      </c>
      <c r="K107" s="102">
        <v>2.21E-6</v>
      </c>
      <c r="L107" s="102"/>
      <c r="M107" s="102">
        <v>0</v>
      </c>
      <c r="N107" s="102">
        <v>1.5200000000000001E-6</v>
      </c>
      <c r="O107" s="102"/>
      <c r="P107" s="14"/>
      <c r="Q107" s="14"/>
      <c r="R107" s="197">
        <f>'Parameters, country spec'!J24</f>
        <v>4.1789296546899217E-3</v>
      </c>
    </row>
    <row r="108" spans="1:18" x14ac:dyDescent="0.3">
      <c r="A108" s="22" t="s">
        <v>298</v>
      </c>
      <c r="B108" s="17" t="s">
        <v>184</v>
      </c>
      <c r="C108" s="17" t="s">
        <v>297</v>
      </c>
      <c r="D108" s="23" t="s">
        <v>28</v>
      </c>
      <c r="E108" s="23" t="s">
        <v>83</v>
      </c>
      <c r="F108" s="221">
        <f t="shared" si="24"/>
        <v>3.6270000000000003E-4</v>
      </c>
      <c r="G108" s="100">
        <v>8.6000000000000007E-6</v>
      </c>
      <c r="H108" s="101">
        <v>9.9999999999999995E-7</v>
      </c>
      <c r="I108" s="102">
        <v>3.1799999999999998E-4</v>
      </c>
      <c r="J108" s="102">
        <v>3.18E-5</v>
      </c>
      <c r="K108" s="102">
        <v>1.7799999999999999E-6</v>
      </c>
      <c r="L108" s="102"/>
      <c r="M108" s="102">
        <v>0</v>
      </c>
      <c r="N108" s="102">
        <v>1.5200000000000001E-6</v>
      </c>
      <c r="O108" s="102"/>
      <c r="P108" s="14"/>
      <c r="Q108" s="14"/>
      <c r="R108" s="197">
        <f>'Parameters, country spec'!J25</f>
        <v>4.1050860427910675E-3</v>
      </c>
    </row>
    <row r="109" spans="1:18" x14ac:dyDescent="0.3">
      <c r="B109" s="18" t="s">
        <v>185</v>
      </c>
      <c r="C109" s="17" t="s">
        <v>299</v>
      </c>
      <c r="D109" s="23" t="str">
        <f>'Off-farm feed'!$D$77</f>
        <v>France, Germany, Poland</v>
      </c>
      <c r="E109" s="23" t="s">
        <v>74</v>
      </c>
      <c r="F109" s="222">
        <f>'Off-farm feed'!$E$77</f>
        <v>6.732045566157569E-4</v>
      </c>
      <c r="G109" s="222">
        <f>'Off-farm feed'!$F$77</f>
        <v>1.946970439026595E-4</v>
      </c>
      <c r="H109" s="222">
        <f>'Off-farm feed'!$G$77</f>
        <v>5.3103448275862083E-7</v>
      </c>
      <c r="I109" s="222">
        <f>'Off-farm feed'!$H$77</f>
        <v>4.2751561806777074E-4</v>
      </c>
      <c r="J109" s="222">
        <f>'Off-farm feed'!$I$77</f>
        <v>4.2751561806777089E-5</v>
      </c>
      <c r="K109" s="222">
        <f>'Off-farm feed'!$J$77</f>
        <v>6.6339607025480414E-7</v>
      </c>
      <c r="L109" s="222">
        <f>'Off-farm feed'!$K$77</f>
        <v>0</v>
      </c>
      <c r="M109" s="222">
        <f>'Off-farm feed'!$L$77</f>
        <v>7.9511067188965511E-9</v>
      </c>
      <c r="N109" s="222">
        <f>'Off-farm feed'!$M$77</f>
        <v>1.2789681892721844E-6</v>
      </c>
      <c r="O109" s="222">
        <f>'Off-farm feed'!$N$77</f>
        <v>0</v>
      </c>
      <c r="P109" s="222">
        <f>'Off-farm feed'!$O$77</f>
        <v>3.9312802868423834E-6</v>
      </c>
      <c r="Q109" s="222">
        <f>'Off-farm feed'!$P$77</f>
        <v>1.8277027027027027E-6</v>
      </c>
      <c r="R109" s="197">
        <f>'Parameters, country spec'!J26</f>
        <v>3.0119810543340508E-2</v>
      </c>
    </row>
    <row r="110" spans="1:18" x14ac:dyDescent="0.3">
      <c r="B110" s="18" t="s">
        <v>300</v>
      </c>
      <c r="C110" s="17" t="s">
        <v>299</v>
      </c>
      <c r="D110" s="23" t="str">
        <f>'Off-farm feed'!$D$26</f>
        <v>Brazil, Argentina</v>
      </c>
      <c r="E110" s="23" t="s">
        <v>74</v>
      </c>
      <c r="F110" s="222">
        <f>'Off-farm feed'!$E$26</f>
        <v>1.8866346644602505E-4</v>
      </c>
      <c r="G110" s="222">
        <f>'Off-farm feed'!$F$26</f>
        <v>1.6332109719061441E-5</v>
      </c>
      <c r="H110" s="222">
        <f>'Off-farm feed'!$G$26</f>
        <v>8.7195121951219526E-7</v>
      </c>
      <c r="I110" s="222">
        <f>'Off-farm feed'!$H$26</f>
        <v>1.3333449845358202E-4</v>
      </c>
      <c r="J110" s="222">
        <f>'Off-farm feed'!$I$26</f>
        <v>1.3333449845358203E-5</v>
      </c>
      <c r="K110" s="222">
        <f>'Off-farm feed'!$J$26</f>
        <v>1.1576736579983931E-6</v>
      </c>
      <c r="L110" s="222">
        <f>'Off-farm feed'!$K$26</f>
        <v>0</v>
      </c>
      <c r="M110" s="222">
        <f>'Off-farm feed'!$L$26</f>
        <v>7.3437786087804866E-9</v>
      </c>
      <c r="N110" s="222">
        <f>'Off-farm feed'!$M$26</f>
        <v>1.1195281639512197E-6</v>
      </c>
      <c r="O110" s="222">
        <f>'Off-farm feed'!$N$26</f>
        <v>0</v>
      </c>
      <c r="P110" s="222">
        <f>'Off-farm feed'!$O$26</f>
        <v>1.3419073770114991E-5</v>
      </c>
      <c r="Q110" s="222">
        <f>'Off-farm feed'!$P$26</f>
        <v>9.087837837837838E-6</v>
      </c>
      <c r="R110" s="197">
        <f>'Parameters, country spec'!J27</f>
        <v>0.1050568603152183</v>
      </c>
    </row>
    <row r="111" spans="1:18" x14ac:dyDescent="0.3">
      <c r="B111" s="17" t="s">
        <v>187</v>
      </c>
      <c r="C111" s="17" t="s">
        <v>301</v>
      </c>
      <c r="D111" s="23" t="s">
        <v>28</v>
      </c>
      <c r="E111" s="23" t="s">
        <v>83</v>
      </c>
      <c r="F111" s="222"/>
      <c r="G111" s="14"/>
      <c r="H111" s="14"/>
      <c r="I111" s="14"/>
      <c r="J111" s="14"/>
      <c r="K111" s="14"/>
      <c r="L111" s="14"/>
      <c r="M111" s="14"/>
      <c r="N111" s="14"/>
      <c r="O111" s="14"/>
      <c r="P111" s="8"/>
      <c r="Q111" s="14"/>
      <c r="R111" s="197">
        <f>'Parameters, country spec'!J28</f>
        <v>5.1412336687770274E-2</v>
      </c>
    </row>
    <row r="112" spans="1:18" x14ac:dyDescent="0.3">
      <c r="A112" s="83"/>
      <c r="B112" s="17" t="s">
        <v>302</v>
      </c>
      <c r="C112" s="84" t="s">
        <v>303</v>
      </c>
      <c r="D112" s="23" t="s">
        <v>28</v>
      </c>
      <c r="E112" s="23" t="s">
        <v>83</v>
      </c>
      <c r="F112" s="222">
        <f t="shared" si="24"/>
        <v>5.629522776071427E-4</v>
      </c>
      <c r="G112" s="82">
        <f t="shared" ref="G112:N112" si="25">AVERAGE(G102:G110)</f>
        <v>1.1773657262463566E-4</v>
      </c>
      <c r="H112" s="82">
        <f t="shared" si="25"/>
        <v>9.3366507803009054E-7</v>
      </c>
      <c r="I112" s="82">
        <f t="shared" si="25"/>
        <v>4.0131667961348363E-4</v>
      </c>
      <c r="J112" s="82">
        <f t="shared" si="25"/>
        <v>4.0131667961348369E-5</v>
      </c>
      <c r="K112" s="82">
        <f t="shared" si="25"/>
        <v>1.3781188586947997E-6</v>
      </c>
      <c r="L112" s="82">
        <f t="shared" si="25"/>
        <v>0</v>
      </c>
      <c r="M112" s="82">
        <f t="shared" si="25"/>
        <v>6.8516539252974484E-9</v>
      </c>
      <c r="N112" s="82">
        <f t="shared" si="25"/>
        <v>1.448721817024823E-6</v>
      </c>
      <c r="O112" s="82"/>
      <c r="P112" s="81"/>
      <c r="Q112" s="82"/>
      <c r="R112" s="197">
        <f>'Parameters, country spec'!J29</f>
        <v>6.3531603526534211E-2</v>
      </c>
    </row>
    <row r="113" spans="1:20" x14ac:dyDescent="0.3">
      <c r="A113" s="195"/>
      <c r="B113" s="25" t="s">
        <v>304</v>
      </c>
      <c r="C113" s="26"/>
      <c r="D113" s="103"/>
      <c r="E113" s="103"/>
      <c r="F113" s="46">
        <f>SUMPRODUCT(F102:F112,$R$102:$R$112)</f>
        <v>6.2398432925145006E-4</v>
      </c>
      <c r="G113" s="46">
        <f t="shared" ref="G113:O113" si="26">SUMPRODUCT(G102:G112,$R$102:$R$112)</f>
        <v>1.4878756929695205E-4</v>
      </c>
      <c r="H113" s="46">
        <f t="shared" si="26"/>
        <v>9.1679574397376238E-7</v>
      </c>
      <c r="I113" s="46">
        <f t="shared" si="26"/>
        <v>4.2662228691717192E-4</v>
      </c>
      <c r="J113" s="46">
        <f t="shared" si="26"/>
        <v>4.2662228691717187E-5</v>
      </c>
      <c r="K113" s="46">
        <f t="shared" si="26"/>
        <v>1.0580396659182278E-6</v>
      </c>
      <c r="L113" s="46">
        <f t="shared" si="26"/>
        <v>0</v>
      </c>
      <c r="M113" s="46">
        <f t="shared" si="26"/>
        <v>1.145130546616773E-8</v>
      </c>
      <c r="N113" s="46">
        <f t="shared" si="26"/>
        <v>1.3879926847597225E-6</v>
      </c>
      <c r="O113" s="46">
        <f t="shared" si="26"/>
        <v>0</v>
      </c>
      <c r="P113" s="30">
        <f>SUMPRODUCT(P102:P112,R102:R112)</f>
        <v>1.5281751760590424E-6</v>
      </c>
      <c r="Q113" s="46">
        <f>SUMPRODUCT(Q102:Q112,$R$102:$R$112)</f>
        <v>1.009789769432042E-6</v>
      </c>
      <c r="R113" s="198"/>
    </row>
    <row r="114" spans="1:20" x14ac:dyDescent="0.3">
      <c r="A114" s="22" t="s">
        <v>290</v>
      </c>
      <c r="B114" s="17" t="s">
        <v>173</v>
      </c>
      <c r="C114" s="17" t="s">
        <v>291</v>
      </c>
      <c r="D114" s="23" t="s">
        <v>37</v>
      </c>
      <c r="E114" s="23" t="s">
        <v>84</v>
      </c>
      <c r="F114" s="223">
        <f>SUM(G114:Q114)</f>
        <v>5.1195799999999997E-4</v>
      </c>
      <c r="G114" s="201">
        <v>1.8000000000000001E-4</v>
      </c>
      <c r="H114" s="202">
        <v>9.9999999999999995E-7</v>
      </c>
      <c r="I114" s="205">
        <v>2.9799999999999998E-4</v>
      </c>
      <c r="J114" s="205">
        <v>2.9799999999999999E-5</v>
      </c>
      <c r="K114" s="205">
        <v>1.5099999999999999E-6</v>
      </c>
      <c r="L114" s="205"/>
      <c r="M114" s="205">
        <v>2.3799999999999999E-7</v>
      </c>
      <c r="N114" s="205">
        <v>1.4100000000000001E-6</v>
      </c>
      <c r="O114" s="205"/>
      <c r="P114" s="14"/>
      <c r="Q114" s="204"/>
      <c r="R114" s="208">
        <f>'Parameters, country spec'!K19</f>
        <v>0.21894700375858384</v>
      </c>
    </row>
    <row r="115" spans="1:20" x14ac:dyDescent="0.3">
      <c r="A115" s="22" t="s">
        <v>292</v>
      </c>
      <c r="B115" s="17" t="s">
        <v>176</v>
      </c>
      <c r="C115" s="17" t="s">
        <v>291</v>
      </c>
      <c r="D115" s="23" t="s">
        <v>37</v>
      </c>
      <c r="E115" s="23" t="s">
        <v>84</v>
      </c>
      <c r="F115" s="221">
        <f t="shared" ref="F115:F124" si="27">SUM(G115:Q115)</f>
        <v>4.1554899999999997E-4</v>
      </c>
      <c r="G115" s="100">
        <v>1.7000000000000001E-4</v>
      </c>
      <c r="H115" s="101">
        <v>9.9999999999999995E-7</v>
      </c>
      <c r="I115" s="102">
        <v>2.2000000000000001E-4</v>
      </c>
      <c r="J115" s="102">
        <v>2.1999999999999999E-5</v>
      </c>
      <c r="K115" s="102">
        <v>4.1300000000000001E-7</v>
      </c>
      <c r="L115" s="102"/>
      <c r="M115" s="102">
        <v>7.2600000000000002E-7</v>
      </c>
      <c r="N115" s="102">
        <v>1.4100000000000001E-6</v>
      </c>
      <c r="O115" s="102"/>
      <c r="P115" s="14"/>
      <c r="Q115" s="14"/>
      <c r="R115" s="197">
        <f>'Parameters, country spec'!K20</f>
        <v>0.28877148486086363</v>
      </c>
    </row>
    <row r="116" spans="1:20" x14ac:dyDescent="0.3">
      <c r="A116" s="22" t="s">
        <v>293</v>
      </c>
      <c r="B116" s="17" t="s">
        <v>180</v>
      </c>
      <c r="C116" s="17" t="s">
        <v>291</v>
      </c>
      <c r="D116" s="23" t="s">
        <v>37</v>
      </c>
      <c r="E116" s="23" t="s">
        <v>84</v>
      </c>
      <c r="F116" s="221">
        <f t="shared" si="27"/>
        <v>4.1222999999999997E-4</v>
      </c>
      <c r="G116" s="100">
        <v>1.4999999999999999E-4</v>
      </c>
      <c r="H116" s="101">
        <v>9.9999999999999995E-7</v>
      </c>
      <c r="I116" s="102">
        <v>2.31E-4</v>
      </c>
      <c r="J116" s="102">
        <v>2.3099999999999999E-5</v>
      </c>
      <c r="K116" s="102">
        <v>2.1900000000000002E-6</v>
      </c>
      <c r="L116" s="102"/>
      <c r="M116" s="102">
        <v>3.5300000000000001E-6</v>
      </c>
      <c r="N116" s="102">
        <v>1.4100000000000001E-6</v>
      </c>
      <c r="O116" s="102"/>
      <c r="P116" s="14"/>
      <c r="Q116" s="14"/>
      <c r="R116" s="197">
        <f>'Parameters, country spec'!K21</f>
        <v>3.4137674118133308E-2</v>
      </c>
    </row>
    <row r="117" spans="1:20" x14ac:dyDescent="0.3">
      <c r="A117" s="22" t="s">
        <v>294</v>
      </c>
      <c r="B117" s="17" t="s">
        <v>181</v>
      </c>
      <c r="C117" s="17" t="s">
        <v>291</v>
      </c>
      <c r="D117" s="23" t="s">
        <v>37</v>
      </c>
      <c r="E117" s="23" t="s">
        <v>84</v>
      </c>
      <c r="F117" s="221">
        <f t="shared" si="27"/>
        <v>3.7770925999999999E-4</v>
      </c>
      <c r="G117" s="100">
        <v>1.3999999999999999E-4</v>
      </c>
      <c r="H117" s="101">
        <v>9.9999999999999995E-7</v>
      </c>
      <c r="I117" s="102">
        <v>2.12E-4</v>
      </c>
      <c r="J117" s="102">
        <v>2.12E-5</v>
      </c>
      <c r="K117" s="102">
        <v>2.0899999999999999E-6</v>
      </c>
      <c r="L117" s="102"/>
      <c r="M117" s="102">
        <v>9.2599999999999999E-9</v>
      </c>
      <c r="N117" s="102">
        <v>1.4100000000000001E-6</v>
      </c>
      <c r="O117" s="102"/>
      <c r="P117" s="14"/>
      <c r="Q117" s="14"/>
      <c r="R117" s="197">
        <f>'Parameters, country spec'!K22</f>
        <v>9.0108782601985467E-3</v>
      </c>
    </row>
    <row r="118" spans="1:20" x14ac:dyDescent="0.3">
      <c r="A118" s="22" t="s">
        <v>295</v>
      </c>
      <c r="B118" s="17" t="s">
        <v>182</v>
      </c>
      <c r="C118" s="17" t="s">
        <v>291</v>
      </c>
      <c r="D118" s="23" t="s">
        <v>37</v>
      </c>
      <c r="E118" s="23" t="s">
        <v>84</v>
      </c>
      <c r="F118" s="221">
        <f t="shared" si="27"/>
        <v>4.9875099999999997E-4</v>
      </c>
      <c r="G118" s="100">
        <v>2.0000000000000001E-4</v>
      </c>
      <c r="H118" s="101">
        <v>9.9999999999999995E-7</v>
      </c>
      <c r="I118" s="102">
        <v>2.6800000000000001E-4</v>
      </c>
      <c r="J118" s="102">
        <v>2.6800000000000001E-5</v>
      </c>
      <c r="K118" s="102">
        <v>1.4300000000000001E-6</v>
      </c>
      <c r="L118" s="102"/>
      <c r="M118" s="102">
        <v>1.11E-7</v>
      </c>
      <c r="N118" s="102">
        <v>1.4100000000000001E-6</v>
      </c>
      <c r="O118" s="102"/>
      <c r="P118" s="14"/>
      <c r="Q118" s="14"/>
      <c r="R118" s="197">
        <f>'Parameters, country spec'!K23</f>
        <v>0.18547053507474909</v>
      </c>
    </row>
    <row r="119" spans="1:20" x14ac:dyDescent="0.3">
      <c r="A119" s="22" t="s">
        <v>296</v>
      </c>
      <c r="B119" s="17" t="s">
        <v>183</v>
      </c>
      <c r="C119" s="17" t="s">
        <v>297</v>
      </c>
      <c r="D119" s="23" t="s">
        <v>37</v>
      </c>
      <c r="E119" s="23" t="s">
        <v>84</v>
      </c>
      <c r="F119" s="221">
        <f t="shared" si="27"/>
        <v>1.7489560000000001E-4</v>
      </c>
      <c r="G119" s="100">
        <v>0</v>
      </c>
      <c r="H119" s="101">
        <v>9.9999999999999995E-7</v>
      </c>
      <c r="I119" s="102">
        <v>1.54E-4</v>
      </c>
      <c r="J119" s="102">
        <v>1.5400000000000002E-5</v>
      </c>
      <c r="K119" s="102">
        <v>3.0299999999999998E-6</v>
      </c>
      <c r="L119" s="102"/>
      <c r="M119" s="102">
        <v>5.5600000000000002E-8</v>
      </c>
      <c r="N119" s="102">
        <v>1.4100000000000001E-6</v>
      </c>
      <c r="O119" s="102"/>
      <c r="P119" s="14"/>
      <c r="Q119" s="14"/>
      <c r="R119" s="197">
        <f>'Parameters, country spec'!K24</f>
        <v>6.9661330661395359E-3</v>
      </c>
    </row>
    <row r="120" spans="1:20" x14ac:dyDescent="0.3">
      <c r="A120" s="22" t="s">
        <v>298</v>
      </c>
      <c r="B120" s="17" t="s">
        <v>184</v>
      </c>
      <c r="C120" s="17" t="s">
        <v>297</v>
      </c>
      <c r="D120" s="23" t="s">
        <v>37</v>
      </c>
      <c r="E120" s="23" t="s">
        <v>84</v>
      </c>
      <c r="F120" s="221">
        <f t="shared" si="27"/>
        <v>1.9007199999999998E-4</v>
      </c>
      <c r="G120" s="100">
        <v>8.6000000000000007E-6</v>
      </c>
      <c r="H120" s="101">
        <v>9.9999999999999995E-7</v>
      </c>
      <c r="I120" s="102">
        <v>1.5899999999999999E-4</v>
      </c>
      <c r="J120" s="102">
        <v>1.59E-5</v>
      </c>
      <c r="K120" s="102">
        <v>3.5099999999999999E-6</v>
      </c>
      <c r="L120" s="102"/>
      <c r="M120" s="102">
        <v>6.5199999999999996E-7</v>
      </c>
      <c r="N120" s="102">
        <v>1.4100000000000001E-6</v>
      </c>
      <c r="O120" s="102"/>
      <c r="P120" s="14"/>
      <c r="Q120" s="14"/>
      <c r="R120" s="197">
        <f>'Parameters, country spec'!K25</f>
        <v>6.843038286368717E-3</v>
      </c>
    </row>
    <row r="121" spans="1:20" x14ac:dyDescent="0.3">
      <c r="B121" s="18" t="s">
        <v>185</v>
      </c>
      <c r="C121" s="17" t="s">
        <v>299</v>
      </c>
      <c r="D121" s="23" t="str">
        <f>'Off-farm feed'!$D$77</f>
        <v>France, Germany, Poland</v>
      </c>
      <c r="E121" s="23" t="s">
        <v>74</v>
      </c>
      <c r="F121" s="222">
        <f>'Off-farm feed'!$E$77</f>
        <v>6.732045566157569E-4</v>
      </c>
      <c r="G121" s="222">
        <f>'Off-farm feed'!$F$77</f>
        <v>1.946970439026595E-4</v>
      </c>
      <c r="H121" s="222">
        <f>'Off-farm feed'!$G$77</f>
        <v>5.3103448275862083E-7</v>
      </c>
      <c r="I121" s="222">
        <f>'Off-farm feed'!$H$77</f>
        <v>4.2751561806777074E-4</v>
      </c>
      <c r="J121" s="222">
        <f>'Off-farm feed'!$I$77</f>
        <v>4.2751561806777089E-5</v>
      </c>
      <c r="K121" s="222">
        <f>'Off-farm feed'!$J$77</f>
        <v>6.6339607025480414E-7</v>
      </c>
      <c r="L121" s="222">
        <f>'Off-farm feed'!$K$77</f>
        <v>0</v>
      </c>
      <c r="M121" s="222">
        <f>'Off-farm feed'!$L$77</f>
        <v>7.9511067188965511E-9</v>
      </c>
      <c r="N121" s="222">
        <f>'Off-farm feed'!$M$77</f>
        <v>1.2789681892721844E-6</v>
      </c>
      <c r="O121" s="222">
        <f>'Off-farm feed'!$N$77</f>
        <v>0</v>
      </c>
      <c r="P121" s="222">
        <f>'Off-farm feed'!$O$77</f>
        <v>3.9312802868423834E-6</v>
      </c>
      <c r="Q121" s="222">
        <f>'Off-farm feed'!$P$77</f>
        <v>1.8277027027027027E-6</v>
      </c>
      <c r="R121" s="197">
        <f>'Parameters, country spec'!K26</f>
        <v>2.017458178365223E-2</v>
      </c>
    </row>
    <row r="122" spans="1:20" x14ac:dyDescent="0.3">
      <c r="B122" s="18" t="s">
        <v>300</v>
      </c>
      <c r="C122" s="17" t="s">
        <v>299</v>
      </c>
      <c r="D122" s="23" t="str">
        <f>'Off-farm feed'!$D$26</f>
        <v>Brazil, Argentina</v>
      </c>
      <c r="E122" s="23" t="s">
        <v>74</v>
      </c>
      <c r="F122" s="222">
        <f>'Off-farm feed'!$E$26</f>
        <v>1.8866346644602505E-4</v>
      </c>
      <c r="G122" s="222">
        <f>'Off-farm feed'!$F$26</f>
        <v>1.6332109719061441E-5</v>
      </c>
      <c r="H122" s="222">
        <f>'Off-farm feed'!$G$26</f>
        <v>8.7195121951219526E-7</v>
      </c>
      <c r="I122" s="222">
        <f>'Off-farm feed'!$H$26</f>
        <v>1.3333449845358202E-4</v>
      </c>
      <c r="J122" s="222">
        <f>'Off-farm feed'!$I$26</f>
        <v>1.3333449845358203E-5</v>
      </c>
      <c r="K122" s="222">
        <f>'Off-farm feed'!$J$26</f>
        <v>1.1576736579983931E-6</v>
      </c>
      <c r="L122" s="222">
        <f>'Off-farm feed'!$K$26</f>
        <v>0</v>
      </c>
      <c r="M122" s="222">
        <f>'Off-farm feed'!$L$26</f>
        <v>7.3437786087804866E-9</v>
      </c>
      <c r="N122" s="222">
        <f>'Off-farm feed'!$M$26</f>
        <v>1.1195281639512197E-6</v>
      </c>
      <c r="O122" s="222">
        <f>'Off-farm feed'!$N$26</f>
        <v>0</v>
      </c>
      <c r="P122" s="222">
        <f>'Off-farm feed'!$O$26</f>
        <v>1.3419073770114991E-5</v>
      </c>
      <c r="Q122" s="222">
        <f>'Off-farm feed'!$P$26</f>
        <v>9.087837837837838E-6</v>
      </c>
      <c r="R122" s="197">
        <f>'Parameters, country spec'!K27</f>
        <v>0.1724593547162262</v>
      </c>
    </row>
    <row r="123" spans="1:20" x14ac:dyDescent="0.3">
      <c r="B123" s="17" t="s">
        <v>187</v>
      </c>
      <c r="C123" s="17" t="s">
        <v>301</v>
      </c>
      <c r="D123" s="23" t="s">
        <v>37</v>
      </c>
      <c r="E123" s="23" t="s">
        <v>84</v>
      </c>
      <c r="F123" s="222"/>
      <c r="G123" s="14"/>
      <c r="H123" s="14"/>
      <c r="I123" s="14"/>
      <c r="J123" s="14"/>
      <c r="K123" s="14"/>
      <c r="L123" s="14"/>
      <c r="M123" s="14"/>
      <c r="N123" s="14"/>
      <c r="O123" s="14"/>
      <c r="P123" s="8"/>
      <c r="Q123" s="14"/>
      <c r="R123" s="197">
        <f>'Parameters, country spec'!K28</f>
        <v>2.6495909583274708E-2</v>
      </c>
    </row>
    <row r="124" spans="1:20" x14ac:dyDescent="0.3">
      <c r="A124" s="83"/>
      <c r="B124" s="17" t="s">
        <v>302</v>
      </c>
      <c r="C124" s="84" t="s">
        <v>303</v>
      </c>
      <c r="D124" s="23" t="s">
        <v>37</v>
      </c>
      <c r="E124" s="23" t="s">
        <v>84</v>
      </c>
      <c r="F124" s="222">
        <f t="shared" si="27"/>
        <v>3.7941855427380938E-4</v>
      </c>
      <c r="G124" s="82">
        <f t="shared" ref="G124:N124" si="28">AVERAGE(G114:G122)</f>
        <v>1.1773657262463566E-4</v>
      </c>
      <c r="H124" s="82">
        <f t="shared" si="28"/>
        <v>9.3366507803009054E-7</v>
      </c>
      <c r="I124" s="82">
        <f t="shared" si="28"/>
        <v>2.3365001294681697E-4</v>
      </c>
      <c r="J124" s="82">
        <f t="shared" si="28"/>
        <v>2.3365001294681702E-5</v>
      </c>
      <c r="K124" s="82">
        <f t="shared" si="28"/>
        <v>1.7771188586947996E-6</v>
      </c>
      <c r="L124" s="82">
        <f t="shared" si="28"/>
        <v>0</v>
      </c>
      <c r="M124" s="82">
        <f t="shared" si="28"/>
        <v>5.9301720948085291E-7</v>
      </c>
      <c r="N124" s="82">
        <f t="shared" si="28"/>
        <v>1.3631662614692673E-6</v>
      </c>
      <c r="O124" s="82"/>
      <c r="P124" s="81"/>
      <c r="Q124" s="82"/>
      <c r="R124" s="197">
        <f>'Parameters, country spec'!K29</f>
        <v>3.0723406491810091E-2</v>
      </c>
    </row>
    <row r="125" spans="1:20" x14ac:dyDescent="0.3">
      <c r="A125" s="42"/>
      <c r="B125" s="43" t="s">
        <v>304</v>
      </c>
      <c r="C125" s="44"/>
      <c r="D125" s="45"/>
      <c r="E125" s="45"/>
      <c r="F125" s="46">
        <f>SUMPRODUCT(F114:F124,$R$114:$R$124)</f>
        <v>4.0236449884839597E-4</v>
      </c>
      <c r="G125" s="46">
        <f t="shared" ref="G125:O125" si="29">SUMPRODUCT(G114:G124,$R$114:$R$124)</f>
        <v>1.4239856943950498E-4</v>
      </c>
      <c r="H125" s="46">
        <f t="shared" si="29"/>
        <v>9.3992166240801578E-7</v>
      </c>
      <c r="I125" s="46">
        <f t="shared" si="29"/>
        <v>2.2923722837144472E-4</v>
      </c>
      <c r="J125" s="46">
        <f t="shared" si="29"/>
        <v>2.2923722837144477E-5</v>
      </c>
      <c r="K125" s="46">
        <f t="shared" si="29"/>
        <v>1.1214506889226004E-6</v>
      </c>
      <c r="L125" s="46">
        <f t="shared" si="29"/>
        <v>0</v>
      </c>
      <c r="M125" s="46">
        <f t="shared" si="29"/>
        <v>4.2742954498405609E-7</v>
      </c>
      <c r="N125" s="46">
        <f t="shared" si="29"/>
        <v>1.3184637781111731E-6</v>
      </c>
      <c r="O125" s="46">
        <f t="shared" si="29"/>
        <v>0</v>
      </c>
      <c r="P125" s="30">
        <f>SUMPRODUCT(P114:P124,R114:R124)</f>
        <v>2.3935567389448295E-6</v>
      </c>
      <c r="Q125" s="46">
        <f>SUMPRODUCT(Q114:Q124,$R$114:$R$124)</f>
        <v>1.6041557869310958E-6</v>
      </c>
      <c r="R125" s="198"/>
    </row>
    <row r="126" spans="1:20" x14ac:dyDescent="0.3">
      <c r="A126" s="199" t="s">
        <v>290</v>
      </c>
      <c r="B126" s="179" t="s">
        <v>173</v>
      </c>
      <c r="C126" s="179" t="s">
        <v>291</v>
      </c>
      <c r="D126" s="200" t="s">
        <v>34</v>
      </c>
      <c r="E126" s="200" t="s">
        <v>85</v>
      </c>
      <c r="F126" s="223">
        <f>SUM(G126:Q126)</f>
        <v>8.4192999999999996E-4</v>
      </c>
      <c r="G126" s="201">
        <v>1.3999999999999999E-4</v>
      </c>
      <c r="H126" s="202">
        <v>9.9999999999999995E-7</v>
      </c>
      <c r="I126" s="205">
        <v>6.3500000000000004E-4</v>
      </c>
      <c r="J126" s="205">
        <v>6.3499999999999999E-5</v>
      </c>
      <c r="K126" s="205">
        <v>1.1000000000000001E-6</v>
      </c>
      <c r="L126" s="205"/>
      <c r="M126" s="205">
        <v>0</v>
      </c>
      <c r="N126" s="205">
        <v>1.33E-6</v>
      </c>
      <c r="O126" s="205"/>
      <c r="P126" s="14"/>
      <c r="Q126" s="204"/>
      <c r="R126" s="208">
        <f>'Parameters, country spec'!L19</f>
        <v>0</v>
      </c>
      <c r="T126" s="12">
        <v>6.9755357742184998E-2</v>
      </c>
    </row>
    <row r="127" spans="1:20" x14ac:dyDescent="0.3">
      <c r="A127" s="22" t="s">
        <v>292</v>
      </c>
      <c r="B127" s="17" t="s">
        <v>176</v>
      </c>
      <c r="C127" s="17" t="s">
        <v>291</v>
      </c>
      <c r="D127" s="23" t="s">
        <v>34</v>
      </c>
      <c r="E127" s="23" t="s">
        <v>85</v>
      </c>
      <c r="F127" s="221">
        <f t="shared" ref="F127:F136" si="30">SUM(G127:Q127)</f>
        <v>7.6903400000000004E-4</v>
      </c>
      <c r="G127" s="100">
        <v>1.2999999999999999E-4</v>
      </c>
      <c r="H127" s="101">
        <v>9.9999999999999995E-7</v>
      </c>
      <c r="I127" s="102">
        <v>5.7799999999999995E-4</v>
      </c>
      <c r="J127" s="102">
        <v>5.7800000000000002E-5</v>
      </c>
      <c r="K127" s="102">
        <v>7.5000000000000002E-7</v>
      </c>
      <c r="L127" s="102"/>
      <c r="M127" s="102">
        <v>1.54E-7</v>
      </c>
      <c r="N127" s="102">
        <v>1.33E-6</v>
      </c>
      <c r="O127" s="102"/>
      <c r="P127" s="14"/>
      <c r="Q127" s="14"/>
      <c r="R127" s="197">
        <f>'Parameters, country spec'!L20</f>
        <v>2.9000000000000001E-2</v>
      </c>
      <c r="T127" s="12">
        <v>0.45612129266564322</v>
      </c>
    </row>
    <row r="128" spans="1:20" x14ac:dyDescent="0.3">
      <c r="A128" s="22" t="s">
        <v>293</v>
      </c>
      <c r="B128" s="17" t="s">
        <v>180</v>
      </c>
      <c r="C128" s="17" t="s">
        <v>291</v>
      </c>
      <c r="D128" s="23" t="s">
        <v>34</v>
      </c>
      <c r="E128" s="23" t="s">
        <v>85</v>
      </c>
      <c r="F128" s="221">
        <f t="shared" si="30"/>
        <v>7.4177999999999994E-4</v>
      </c>
      <c r="G128" s="100">
        <v>1.2E-4</v>
      </c>
      <c r="H128" s="101">
        <v>9.9999999999999995E-7</v>
      </c>
      <c r="I128" s="102">
        <v>5.62E-4</v>
      </c>
      <c r="J128" s="102">
        <v>5.6199999999999997E-5</v>
      </c>
      <c r="K128" s="102">
        <v>1.2500000000000001E-6</v>
      </c>
      <c r="L128" s="102"/>
      <c r="M128" s="102">
        <v>0</v>
      </c>
      <c r="N128" s="102">
        <v>1.33E-6</v>
      </c>
      <c r="O128" s="102"/>
      <c r="P128" s="14"/>
      <c r="Q128" s="14"/>
      <c r="R128" s="197">
        <f>'Parameters, country spec'!L21</f>
        <v>4.9000000000000002E-2</v>
      </c>
      <c r="T128" s="12">
        <v>1.4486341810785938E-2</v>
      </c>
    </row>
    <row r="129" spans="1:20" x14ac:dyDescent="0.3">
      <c r="A129" s="22" t="s">
        <v>294</v>
      </c>
      <c r="B129" s="17" t="s">
        <v>181</v>
      </c>
      <c r="C129" s="17" t="s">
        <v>291</v>
      </c>
      <c r="D129" s="23" t="s">
        <v>34</v>
      </c>
      <c r="E129" s="23" t="s">
        <v>85</v>
      </c>
      <c r="F129" s="221">
        <f t="shared" si="30"/>
        <v>6.6755700000000005E-4</v>
      </c>
      <c r="G129" s="100">
        <v>1.1E-4</v>
      </c>
      <c r="H129" s="101">
        <v>9.9999999999999995E-7</v>
      </c>
      <c r="I129" s="102">
        <v>5.04E-4</v>
      </c>
      <c r="J129" s="102">
        <v>5.0399999999999999E-5</v>
      </c>
      <c r="K129" s="102">
        <v>8.2699999999999998E-7</v>
      </c>
      <c r="L129" s="102"/>
      <c r="M129" s="102">
        <v>0</v>
      </c>
      <c r="N129" s="102">
        <v>1.33E-6</v>
      </c>
      <c r="O129" s="102"/>
      <c r="P129" s="14"/>
      <c r="Q129" s="14"/>
      <c r="R129" s="197">
        <f>'Parameters, country spec'!L22</f>
        <v>0</v>
      </c>
      <c r="T129" s="12">
        <v>1.154218810875446E-3</v>
      </c>
    </row>
    <row r="130" spans="1:20" x14ac:dyDescent="0.3">
      <c r="A130" s="22" t="s">
        <v>295</v>
      </c>
      <c r="B130" s="17" t="s">
        <v>182</v>
      </c>
      <c r="C130" s="17" t="s">
        <v>291</v>
      </c>
      <c r="D130" s="23" t="s">
        <v>34</v>
      </c>
      <c r="E130" s="23" t="s">
        <v>85</v>
      </c>
      <c r="F130" s="221">
        <f t="shared" si="30"/>
        <v>9.2211918000000004E-4</v>
      </c>
      <c r="G130" s="100">
        <v>1.6000000000000001E-4</v>
      </c>
      <c r="H130" s="101">
        <v>9.9999999999999995E-7</v>
      </c>
      <c r="I130" s="102">
        <v>6.8999999999999997E-4</v>
      </c>
      <c r="J130" s="102">
        <v>6.8999999999999997E-5</v>
      </c>
      <c r="K130" s="102">
        <v>7.8299999999999996E-7</v>
      </c>
      <c r="L130" s="102"/>
      <c r="M130" s="102">
        <v>6.1799999999999998E-9</v>
      </c>
      <c r="N130" s="102">
        <v>1.33E-6</v>
      </c>
      <c r="O130" s="102"/>
      <c r="P130" s="14"/>
      <c r="Q130" s="14"/>
      <c r="R130" s="197">
        <f>'Parameters, country spec'!L23</f>
        <v>0.59099999999999997</v>
      </c>
      <c r="T130" s="12">
        <v>6.607302843520492E-2</v>
      </c>
    </row>
    <row r="131" spans="1:20" x14ac:dyDescent="0.3">
      <c r="A131" s="22" t="s">
        <v>296</v>
      </c>
      <c r="B131" s="17" t="s">
        <v>183</v>
      </c>
      <c r="C131" s="17" t="s">
        <v>297</v>
      </c>
      <c r="D131" s="23" t="s">
        <v>34</v>
      </c>
      <c r="E131" s="23" t="s">
        <v>85</v>
      </c>
      <c r="F131" s="221">
        <f t="shared" si="30"/>
        <v>2.0736308999999998E-4</v>
      </c>
      <c r="G131" s="100">
        <v>0</v>
      </c>
      <c r="H131" s="101">
        <v>9.9999999999999995E-7</v>
      </c>
      <c r="I131" s="102">
        <v>1.85E-4</v>
      </c>
      <c r="J131" s="102">
        <v>1.8499999999999999E-5</v>
      </c>
      <c r="K131" s="102">
        <v>1.53E-6</v>
      </c>
      <c r="L131" s="102"/>
      <c r="M131" s="102">
        <v>3.0899999999999999E-9</v>
      </c>
      <c r="N131" s="102">
        <v>1.33E-6</v>
      </c>
      <c r="O131" s="102"/>
      <c r="P131" s="14"/>
      <c r="Q131" s="14"/>
      <c r="R131" s="197">
        <f>'Parameters, country spec'!L24</f>
        <v>0</v>
      </c>
      <c r="T131" s="12">
        <v>2.8132125343424525E-3</v>
      </c>
    </row>
    <row r="132" spans="1:20" x14ac:dyDescent="0.3">
      <c r="A132" s="22" t="s">
        <v>298</v>
      </c>
      <c r="B132" s="17" t="s">
        <v>184</v>
      </c>
      <c r="C132" s="17" t="s">
        <v>297</v>
      </c>
      <c r="D132" s="23" t="s">
        <v>34</v>
      </c>
      <c r="E132" s="23" t="s">
        <v>85</v>
      </c>
      <c r="F132" s="221">
        <f t="shared" si="30"/>
        <v>2.3902308999999998E-4</v>
      </c>
      <c r="G132" s="100">
        <v>6.7000000000000002E-6</v>
      </c>
      <c r="H132" s="101">
        <v>9.9999999999999995E-7</v>
      </c>
      <c r="I132" s="102">
        <v>2.0699999999999999E-4</v>
      </c>
      <c r="J132" s="102">
        <v>2.0699999999999998E-5</v>
      </c>
      <c r="K132" s="102">
        <v>2.2900000000000001E-6</v>
      </c>
      <c r="L132" s="102"/>
      <c r="M132" s="102">
        <v>3.0899999999999999E-9</v>
      </c>
      <c r="N132" s="102">
        <v>1.33E-6</v>
      </c>
      <c r="O132" s="102"/>
      <c r="P132" s="14"/>
      <c r="Q132" s="14"/>
      <c r="R132" s="197">
        <f>'Parameters, country spec'!L25</f>
        <v>0</v>
      </c>
      <c r="T132" s="12">
        <v>2.763501773404974E-3</v>
      </c>
    </row>
    <row r="133" spans="1:20" x14ac:dyDescent="0.3">
      <c r="B133" s="18" t="s">
        <v>185</v>
      </c>
      <c r="C133" s="17" t="s">
        <v>299</v>
      </c>
      <c r="D133" s="23" t="str">
        <f>'Off-farm feed'!$D$77</f>
        <v>France, Germany, Poland</v>
      </c>
      <c r="E133" s="23" t="s">
        <v>74</v>
      </c>
      <c r="F133" s="222">
        <f>'Off-farm feed'!$E$77</f>
        <v>6.732045566157569E-4</v>
      </c>
      <c r="G133" s="222">
        <f>'Off-farm feed'!$F$77</f>
        <v>1.946970439026595E-4</v>
      </c>
      <c r="H133" s="222">
        <f>'Off-farm feed'!$G$77</f>
        <v>5.3103448275862083E-7</v>
      </c>
      <c r="I133" s="222">
        <f>'Off-farm feed'!$H$77</f>
        <v>4.2751561806777074E-4</v>
      </c>
      <c r="J133" s="222">
        <f>'Off-farm feed'!$I$77</f>
        <v>4.2751561806777089E-5</v>
      </c>
      <c r="K133" s="222">
        <f>'Off-farm feed'!$J$77</f>
        <v>6.6339607025480414E-7</v>
      </c>
      <c r="L133" s="222">
        <f>'Off-farm feed'!$K$77</f>
        <v>0</v>
      </c>
      <c r="M133" s="222">
        <f>'Off-farm feed'!$L$77</f>
        <v>7.9511067188965511E-9</v>
      </c>
      <c r="N133" s="222">
        <f>'Off-farm feed'!$M$77</f>
        <v>1.2789681892721844E-6</v>
      </c>
      <c r="O133" s="222">
        <f>'Off-farm feed'!$N$77</f>
        <v>0</v>
      </c>
      <c r="P133" s="222">
        <f>'Off-farm feed'!$O$77</f>
        <v>3.9312802868423834E-6</v>
      </c>
      <c r="Q133" s="222">
        <f>'Off-farm feed'!$P$77</f>
        <v>1.8277027027027027E-6</v>
      </c>
      <c r="R133" s="197">
        <f>'Parameters, country spec'!L26</f>
        <v>6.8000000000000005E-2</v>
      </c>
      <c r="T133" s="12">
        <v>4.7386628229038642E-3</v>
      </c>
    </row>
    <row r="134" spans="1:20" x14ac:dyDescent="0.3">
      <c r="B134" s="18" t="s">
        <v>300</v>
      </c>
      <c r="C134" s="17" t="s">
        <v>299</v>
      </c>
      <c r="D134" s="23" t="str">
        <f>'Off-farm feed'!$D$26</f>
        <v>Brazil, Argentina</v>
      </c>
      <c r="E134" s="23" t="s">
        <v>74</v>
      </c>
      <c r="F134" s="222">
        <f>'Off-farm feed'!$E$26</f>
        <v>1.8866346644602505E-4</v>
      </c>
      <c r="G134" s="222">
        <f>'Off-farm feed'!$F$26</f>
        <v>1.6332109719061441E-5</v>
      </c>
      <c r="H134" s="222">
        <f>'Off-farm feed'!$G$26</f>
        <v>8.7195121951219526E-7</v>
      </c>
      <c r="I134" s="222">
        <f>'Off-farm feed'!$H$26</f>
        <v>1.3333449845358202E-4</v>
      </c>
      <c r="J134" s="222">
        <f>'Off-farm feed'!$I$26</f>
        <v>1.3333449845358203E-5</v>
      </c>
      <c r="K134" s="222">
        <f>'Off-farm feed'!$J$26</f>
        <v>1.1576736579983931E-6</v>
      </c>
      <c r="L134" s="222">
        <f>'Off-farm feed'!$K$26</f>
        <v>0</v>
      </c>
      <c r="M134" s="222">
        <f>'Off-farm feed'!$L$26</f>
        <v>7.3437786087804866E-9</v>
      </c>
      <c r="N134" s="222">
        <f>'Off-farm feed'!$M$26</f>
        <v>1.1195281639512197E-6</v>
      </c>
      <c r="O134" s="222">
        <f>'Off-farm feed'!$N$26</f>
        <v>0</v>
      </c>
      <c r="P134" s="222">
        <f>'Off-farm feed'!$O$26</f>
        <v>1.3419073770114991E-5</v>
      </c>
      <c r="Q134" s="222">
        <f>'Off-farm feed'!$P$26</f>
        <v>9.087837837837838E-6</v>
      </c>
      <c r="R134" s="197">
        <f>'Parameters, country spec'!L27</f>
        <v>0.186</v>
      </c>
      <c r="T134" s="12">
        <v>0.11699211590575154</v>
      </c>
    </row>
    <row r="135" spans="1:20" x14ac:dyDescent="0.3">
      <c r="B135" s="17" t="s">
        <v>187</v>
      </c>
      <c r="C135" s="17" t="s">
        <v>301</v>
      </c>
      <c r="D135" s="23" t="s">
        <v>34</v>
      </c>
      <c r="E135" s="23" t="s">
        <v>85</v>
      </c>
      <c r="F135" s="222"/>
      <c r="G135" s="14"/>
      <c r="H135" s="14"/>
      <c r="I135" s="14"/>
      <c r="J135" s="14"/>
      <c r="K135" s="14"/>
      <c r="L135" s="14"/>
      <c r="M135" s="14"/>
      <c r="N135" s="14"/>
      <c r="O135" s="14"/>
      <c r="P135" s="8"/>
      <c r="Q135" s="14"/>
      <c r="R135" s="197">
        <f>'Parameters, country spec'!L28</f>
        <v>0</v>
      </c>
      <c r="T135" s="12">
        <v>0.12350411469968688</v>
      </c>
    </row>
    <row r="136" spans="1:20" x14ac:dyDescent="0.3">
      <c r="A136" s="83"/>
      <c r="B136" s="17" t="s">
        <v>302</v>
      </c>
      <c r="C136" s="84" t="s">
        <v>303</v>
      </c>
      <c r="D136" s="23" t="s">
        <v>34</v>
      </c>
      <c r="E136" s="23" t="s">
        <v>85</v>
      </c>
      <c r="F136" s="222">
        <f t="shared" si="30"/>
        <v>5.8026760982936494E-4</v>
      </c>
      <c r="G136" s="82">
        <f t="shared" ref="G136:N136" si="31">AVERAGE(G126:G134)</f>
        <v>9.7525461513524526E-5</v>
      </c>
      <c r="H136" s="82">
        <f t="shared" si="31"/>
        <v>9.3366507803009054E-7</v>
      </c>
      <c r="I136" s="82">
        <f t="shared" si="31"/>
        <v>4.3576112405792816E-4</v>
      </c>
      <c r="J136" s="82">
        <f t="shared" si="31"/>
        <v>4.3576112405792815E-5</v>
      </c>
      <c r="K136" s="82">
        <f t="shared" si="31"/>
        <v>1.1501188586947998E-6</v>
      </c>
      <c r="L136" s="82">
        <f t="shared" si="31"/>
        <v>0</v>
      </c>
      <c r="M136" s="82">
        <f t="shared" si="31"/>
        <v>2.0183876147519672E-8</v>
      </c>
      <c r="N136" s="82">
        <f t="shared" si="31"/>
        <v>1.3009440392470449E-6</v>
      </c>
      <c r="O136" s="82"/>
      <c r="P136" s="81"/>
      <c r="Q136" s="82"/>
      <c r="R136" s="197">
        <f>'Parameters, country spec'!L29</f>
        <v>7.7000000000000179E-2</v>
      </c>
      <c r="T136" s="12">
        <v>0.14159815279921578</v>
      </c>
    </row>
    <row r="137" spans="1:20" x14ac:dyDescent="0.3">
      <c r="A137" s="195"/>
      <c r="B137" s="25" t="s">
        <v>304</v>
      </c>
      <c r="C137" s="26"/>
      <c r="D137" s="103"/>
      <c r="E137" s="103"/>
      <c r="F137" s="30">
        <f>SUMPRODUCT(F126:F136,$R$126:$R$136)</f>
        <v>7.2917156194569324E-4</v>
      </c>
      <c r="G137" s="30">
        <f t="shared" ref="G137:O137" si="32">SUMPRODUCT(G126:G136,$R$126:$R$136)</f>
        <v>1.2799663192966768E-4</v>
      </c>
      <c r="H137" s="30">
        <f t="shared" si="32"/>
        <v>9.3918548266517169E-7</v>
      </c>
      <c r="I137" s="30">
        <f t="shared" si="32"/>
        <v>5.3951488529343518E-4</v>
      </c>
      <c r="J137" s="30">
        <f t="shared" si="32"/>
        <v>5.3951488529343517E-5</v>
      </c>
      <c r="K137" s="30">
        <f t="shared" si="32"/>
        <v>8.9475038528452748E-7</v>
      </c>
      <c r="L137" s="30">
        <f t="shared" si="32"/>
        <v>0</v>
      </c>
      <c r="M137" s="30">
        <f t="shared" si="32"/>
        <v>1.1579156541477155E-8</v>
      </c>
      <c r="N137" s="30">
        <f t="shared" si="32"/>
        <v>1.285144766387458E-6</v>
      </c>
      <c r="O137" s="30">
        <f t="shared" si="32"/>
        <v>0</v>
      </c>
      <c r="P137" s="30">
        <f>SUMPRODUCT(P126:P136,R126:R136)</f>
        <v>2.7632747807466704E-6</v>
      </c>
      <c r="Q137" s="30">
        <f>SUMPRODUCT(Q126:Q136,$R$126:$R$136)</f>
        <v>1.8146216216216217E-6</v>
      </c>
      <c r="R137" s="198"/>
    </row>
    <row r="138" spans="1:20" x14ac:dyDescent="0.3">
      <c r="A138" s="22" t="s">
        <v>290</v>
      </c>
      <c r="B138" s="17" t="s">
        <v>173</v>
      </c>
      <c r="C138" s="17" t="s">
        <v>291</v>
      </c>
      <c r="D138" s="23" t="s">
        <v>26</v>
      </c>
      <c r="E138" s="23" t="s">
        <v>86</v>
      </c>
      <c r="F138" s="223">
        <f>SUM(G138:Q138)</f>
        <v>8.4403871498173178E-4</v>
      </c>
      <c r="G138" s="100">
        <v>1.753606037491659E-4</v>
      </c>
      <c r="H138" s="101">
        <v>1.1000000000000001E-6</v>
      </c>
      <c r="I138" s="102">
        <v>6.0482560795012007E-4</v>
      </c>
      <c r="J138" s="102">
        <v>6.0482560795012012E-5</v>
      </c>
      <c r="K138" s="102">
        <v>8.2030125495699858E-7</v>
      </c>
      <c r="L138" s="102"/>
      <c r="M138" s="102">
        <v>1.1649187675852718E-10</v>
      </c>
      <c r="N138" s="102">
        <v>1.4495247406000002E-6</v>
      </c>
      <c r="O138" s="102"/>
      <c r="P138" s="14"/>
      <c r="Q138" s="14"/>
      <c r="R138" s="197">
        <f>'Parameters, country spec'!M19</f>
        <v>0.24290688316534448</v>
      </c>
    </row>
    <row r="139" spans="1:20" x14ac:dyDescent="0.3">
      <c r="A139" s="22" t="s">
        <v>292</v>
      </c>
      <c r="B139" s="17" t="s">
        <v>176</v>
      </c>
      <c r="C139" s="17" t="s">
        <v>291</v>
      </c>
      <c r="D139" s="23" t="s">
        <v>26</v>
      </c>
      <c r="E139" s="23" t="s">
        <v>86</v>
      </c>
      <c r="F139" s="221">
        <f t="shared" ref="F139:F148" si="33">SUM(G139:Q139)</f>
        <v>9.6367437301614865E-4</v>
      </c>
      <c r="G139" s="100">
        <v>2.0101383380897317E-4</v>
      </c>
      <c r="H139" s="101">
        <v>1.1000000000000001E-6</v>
      </c>
      <c r="I139" s="102">
        <v>6.9042414916085427E-4</v>
      </c>
      <c r="J139" s="102">
        <v>6.9042414916085424E-5</v>
      </c>
      <c r="K139" s="102">
        <v>6.413622365799168E-7</v>
      </c>
      <c r="L139" s="102"/>
      <c r="M139" s="102">
        <v>3.0881530559999997E-9</v>
      </c>
      <c r="N139" s="102">
        <v>1.4495247406000002E-6</v>
      </c>
      <c r="O139" s="102"/>
      <c r="P139" s="14"/>
      <c r="Q139" s="14"/>
      <c r="R139" s="197">
        <f>'Parameters, country spec'!M20</f>
        <v>1.1405036092928852E-2</v>
      </c>
      <c r="S139" t="s">
        <v>451</v>
      </c>
    </row>
    <row r="140" spans="1:20" x14ac:dyDescent="0.3">
      <c r="A140" s="22" t="s">
        <v>293</v>
      </c>
      <c r="B140" s="17" t="s">
        <v>180</v>
      </c>
      <c r="C140" s="17" t="s">
        <v>291</v>
      </c>
      <c r="D140" s="23" t="s">
        <v>26</v>
      </c>
      <c r="E140" s="23" t="s">
        <v>86</v>
      </c>
      <c r="F140" s="221">
        <f t="shared" si="33"/>
        <v>7.7602299623623795E-4</v>
      </c>
      <c r="G140" s="100">
        <v>1.5457371933802738E-4</v>
      </c>
      <c r="H140" s="101">
        <v>1.1000000000000001E-6</v>
      </c>
      <c r="I140" s="102">
        <v>5.6179247558917652E-4</v>
      </c>
      <c r="J140" s="102">
        <v>5.6179247558917652E-5</v>
      </c>
      <c r="K140" s="102">
        <v>9.1759036144578294E-7</v>
      </c>
      <c r="L140" s="102"/>
      <c r="M140" s="102">
        <v>1.0438648070639052E-8</v>
      </c>
      <c r="N140" s="102">
        <v>1.4495247406000002E-6</v>
      </c>
      <c r="O140" s="102"/>
      <c r="P140" s="14"/>
      <c r="Q140" s="14"/>
      <c r="R140" s="197">
        <f>'Parameters, country spec'!M21</f>
        <v>2.6784717007595302E-2</v>
      </c>
    </row>
    <row r="141" spans="1:20" x14ac:dyDescent="0.3">
      <c r="A141" s="22" t="s">
        <v>294</v>
      </c>
      <c r="B141" s="17" t="s">
        <v>181</v>
      </c>
      <c r="C141" s="17" t="s">
        <v>291</v>
      </c>
      <c r="D141" s="23" t="s">
        <v>26</v>
      </c>
      <c r="E141" s="23" t="s">
        <v>86</v>
      </c>
      <c r="F141" s="221">
        <f t="shared" si="33"/>
        <v>6.9533047448925754E-4</v>
      </c>
      <c r="G141" s="100">
        <v>1.3617241624647251E-4</v>
      </c>
      <c r="H141" s="101">
        <v>1.1000000000000001E-6</v>
      </c>
      <c r="I141" s="102">
        <v>5.0434376152866248E-4</v>
      </c>
      <c r="J141" s="102">
        <v>5.0434376152866252E-5</v>
      </c>
      <c r="K141" s="102">
        <v>1.8303958206562876E-6</v>
      </c>
      <c r="L141" s="102"/>
      <c r="M141" s="102">
        <v>0</v>
      </c>
      <c r="N141" s="102">
        <v>1.4495247406000002E-6</v>
      </c>
      <c r="O141" s="102"/>
      <c r="P141" s="14"/>
      <c r="Q141" s="14"/>
      <c r="R141" s="197">
        <f>'Parameters, country spec'!M22</f>
        <v>1.2703483591450424E-3</v>
      </c>
    </row>
    <row r="142" spans="1:20" x14ac:dyDescent="0.3">
      <c r="A142" s="22" t="s">
        <v>295</v>
      </c>
      <c r="B142" s="17" t="s">
        <v>182</v>
      </c>
      <c r="C142" s="17" t="s">
        <v>291</v>
      </c>
      <c r="D142" s="23" t="s">
        <v>26</v>
      </c>
      <c r="E142" s="23" t="s">
        <v>86</v>
      </c>
      <c r="F142" s="221">
        <f t="shared" si="33"/>
        <v>9.6367437301614865E-4</v>
      </c>
      <c r="G142" s="100">
        <v>2.0101383380897317E-4</v>
      </c>
      <c r="H142" s="101">
        <v>1.1000000000000001E-6</v>
      </c>
      <c r="I142" s="102">
        <v>6.9042414916085427E-4</v>
      </c>
      <c r="J142" s="102">
        <v>6.9042414916085424E-5</v>
      </c>
      <c r="K142" s="102">
        <v>6.413622365799168E-7</v>
      </c>
      <c r="L142" s="102"/>
      <c r="M142" s="102">
        <v>3.0881530559999997E-9</v>
      </c>
      <c r="N142" s="102">
        <v>1.4495247406000002E-6</v>
      </c>
      <c r="O142" s="102"/>
      <c r="P142" s="14"/>
      <c r="Q142" s="14"/>
      <c r="R142" s="197">
        <f>'Parameters, country spec'!M23</f>
        <v>0.36306225085662319</v>
      </c>
    </row>
    <row r="143" spans="1:20" x14ac:dyDescent="0.3">
      <c r="A143" s="22" t="s">
        <v>296</v>
      </c>
      <c r="B143" s="17" t="s">
        <v>183</v>
      </c>
      <c r="C143" s="17" t="s">
        <v>297</v>
      </c>
      <c r="D143" s="23" t="s">
        <v>26</v>
      </c>
      <c r="E143" s="23" t="s">
        <v>86</v>
      </c>
      <c r="F143" s="221">
        <f t="shared" si="33"/>
        <v>2.0691502814999504E-4</v>
      </c>
      <c r="G143" s="100">
        <v>0</v>
      </c>
      <c r="H143" s="101">
        <v>1.1000000000000001E-6</v>
      </c>
      <c r="I143" s="102">
        <v>1.8457296000000002E-4</v>
      </c>
      <c r="J143" s="102">
        <v>1.8457296000000003E-5</v>
      </c>
      <c r="K143" s="102">
        <v>1.3352474093950257E-6</v>
      </c>
      <c r="L143" s="102"/>
      <c r="M143" s="102">
        <v>0</v>
      </c>
      <c r="N143" s="102">
        <v>1.4495247406000002E-6</v>
      </c>
      <c r="O143" s="102"/>
      <c r="P143" s="14"/>
      <c r="Q143" s="14"/>
      <c r="R143" s="197">
        <f>'Parameters, country spec'!M24</f>
        <v>6.0909129056991628E-3</v>
      </c>
    </row>
    <row r="144" spans="1:20" x14ac:dyDescent="0.3">
      <c r="A144" s="22" t="s">
        <v>298</v>
      </c>
      <c r="B144" s="17" t="s">
        <v>184</v>
      </c>
      <c r="C144" s="17" t="s">
        <v>297</v>
      </c>
      <c r="D144" s="23" t="s">
        <v>26</v>
      </c>
      <c r="E144" s="23" t="s">
        <v>86</v>
      </c>
      <c r="F144" s="221">
        <f t="shared" si="33"/>
        <v>2.3997352255724461E-4</v>
      </c>
      <c r="G144" s="100">
        <v>8.6380078184631054E-6</v>
      </c>
      <c r="H144" s="101">
        <v>1.1000000000000001E-6</v>
      </c>
      <c r="I144" s="102">
        <v>2.067986173968254E-4</v>
      </c>
      <c r="J144" s="102">
        <v>2.0679861739682541E-5</v>
      </c>
      <c r="K144" s="102">
        <v>1.3075108616735624E-6</v>
      </c>
      <c r="L144" s="102"/>
      <c r="M144" s="102">
        <v>0</v>
      </c>
      <c r="N144" s="102">
        <v>1.4495247406000002E-6</v>
      </c>
      <c r="O144" s="102"/>
      <c r="P144" s="14"/>
      <c r="Q144" s="14"/>
      <c r="R144" s="197">
        <f>'Parameters, country spec'!M25</f>
        <v>5.9832836689627722E-3</v>
      </c>
    </row>
    <row r="145" spans="1:18" x14ac:dyDescent="0.3">
      <c r="B145" s="18" t="s">
        <v>185</v>
      </c>
      <c r="C145" s="17" t="s">
        <v>299</v>
      </c>
      <c r="D145" s="23" t="str">
        <f>'Off-farm feed'!$D$77</f>
        <v>France, Germany, Poland</v>
      </c>
      <c r="E145" s="23" t="s">
        <v>74</v>
      </c>
      <c r="F145" s="222">
        <f>'Off-farm feed'!$E$77</f>
        <v>6.732045566157569E-4</v>
      </c>
      <c r="G145" s="222">
        <f>'Off-farm feed'!$F$77</f>
        <v>1.946970439026595E-4</v>
      </c>
      <c r="H145" s="222">
        <f>'Off-farm feed'!$G$77</f>
        <v>5.3103448275862083E-7</v>
      </c>
      <c r="I145" s="222">
        <f>'Off-farm feed'!$H$77</f>
        <v>4.2751561806777074E-4</v>
      </c>
      <c r="J145" s="222">
        <f>'Off-farm feed'!$I$77</f>
        <v>4.2751561806777089E-5</v>
      </c>
      <c r="K145" s="222">
        <f>'Off-farm feed'!$J$77</f>
        <v>6.6339607025480414E-7</v>
      </c>
      <c r="L145" s="222">
        <f>'Off-farm feed'!$K$77</f>
        <v>0</v>
      </c>
      <c r="M145" s="222">
        <f>'Off-farm feed'!$L$77</f>
        <v>7.9511067188965511E-9</v>
      </c>
      <c r="N145" s="222">
        <f>'Off-farm feed'!$M$77</f>
        <v>1.2789681892721844E-6</v>
      </c>
      <c r="O145" s="222">
        <f>'Off-farm feed'!$N$77</f>
        <v>0</v>
      </c>
      <c r="P145" s="222">
        <f>'Off-farm feed'!$O$77</f>
        <v>3.9312802868423834E-6</v>
      </c>
      <c r="Q145" s="222">
        <f>'Off-farm feed'!$P$77</f>
        <v>1.8277027027027027E-6</v>
      </c>
      <c r="R145" s="197">
        <f>'Parameters, country spec'!M26</f>
        <v>9.4633897453147445E-2</v>
      </c>
    </row>
    <row r="146" spans="1:18" x14ac:dyDescent="0.3">
      <c r="B146" s="18" t="s">
        <v>300</v>
      </c>
      <c r="C146" s="17" t="s">
        <v>299</v>
      </c>
      <c r="D146" s="23" t="str">
        <f>'Off-farm feed'!$D$26</f>
        <v>Brazil, Argentina</v>
      </c>
      <c r="E146" s="23" t="s">
        <v>74</v>
      </c>
      <c r="F146" s="222">
        <f>'Off-farm feed'!$E$26</f>
        <v>1.8866346644602505E-4</v>
      </c>
      <c r="G146" s="222">
        <f>'Off-farm feed'!$F$26</f>
        <v>1.6332109719061441E-5</v>
      </c>
      <c r="H146" s="222">
        <f>'Off-farm feed'!$G$26</f>
        <v>8.7195121951219526E-7</v>
      </c>
      <c r="I146" s="222">
        <f>'Off-farm feed'!$H$26</f>
        <v>1.3333449845358202E-4</v>
      </c>
      <c r="J146" s="222">
        <f>'Off-farm feed'!$I$26</f>
        <v>1.3333449845358203E-5</v>
      </c>
      <c r="K146" s="222">
        <f>'Off-farm feed'!$J$26</f>
        <v>1.1576736579983931E-6</v>
      </c>
      <c r="L146" s="222">
        <f>'Off-farm feed'!$K$26</f>
        <v>0</v>
      </c>
      <c r="M146" s="222">
        <f>'Off-farm feed'!$L$26</f>
        <v>7.3437786087804866E-9</v>
      </c>
      <c r="N146" s="222">
        <f>'Off-farm feed'!$M$26</f>
        <v>1.1195281639512197E-6</v>
      </c>
      <c r="O146" s="222">
        <f>'Off-farm feed'!$N$26</f>
        <v>0</v>
      </c>
      <c r="P146" s="222">
        <f>'Off-farm feed'!$O$26</f>
        <v>1.3419073770114991E-5</v>
      </c>
      <c r="Q146" s="222">
        <f>'Off-farm feed'!$P$26</f>
        <v>9.087837837837838E-6</v>
      </c>
      <c r="R146" s="197">
        <f>'Parameters, country spec'!M27</f>
        <v>0.1863493678947572</v>
      </c>
    </row>
    <row r="147" spans="1:18" x14ac:dyDescent="0.3">
      <c r="B147" s="17" t="s">
        <v>187</v>
      </c>
      <c r="C147" s="17" t="s">
        <v>301</v>
      </c>
      <c r="D147" s="23" t="s">
        <v>26</v>
      </c>
      <c r="E147" s="23" t="s">
        <v>86</v>
      </c>
      <c r="F147" s="222"/>
      <c r="G147" s="14"/>
      <c r="H147" s="14"/>
      <c r="I147" s="14"/>
      <c r="J147" s="14"/>
      <c r="K147" s="14"/>
      <c r="L147" s="14"/>
      <c r="M147" s="14"/>
      <c r="N147" s="14"/>
      <c r="O147" s="14"/>
      <c r="P147" s="8"/>
      <c r="Q147" s="14"/>
      <c r="R147" s="197">
        <f>'Parameters, country spec'!M28</f>
        <v>1.2143080899157416E-2</v>
      </c>
    </row>
    <row r="148" spans="1:18" x14ac:dyDescent="0.3">
      <c r="A148" s="83"/>
      <c r="B148" s="17" t="s">
        <v>302</v>
      </c>
      <c r="C148" s="84" t="s">
        <v>303</v>
      </c>
      <c r="D148" s="23" t="s">
        <v>26</v>
      </c>
      <c r="E148" s="23" t="s">
        <v>86</v>
      </c>
      <c r="F148" s="222">
        <f t="shared" si="33"/>
        <v>6.1369240121233884E-4</v>
      </c>
      <c r="G148" s="82">
        <f t="shared" ref="G148:N148" si="34">AVERAGE(G138:G146)</f>
        <v>1.2086684093242181E-4</v>
      </c>
      <c r="H148" s="82">
        <f t="shared" si="34"/>
        <v>1.0114428558078684E-6</v>
      </c>
      <c r="I148" s="82">
        <f t="shared" si="34"/>
        <v>4.4489242636753845E-4</v>
      </c>
      <c r="J148" s="82">
        <f t="shared" si="34"/>
        <v>4.4489242636753849E-5</v>
      </c>
      <c r="K148" s="82">
        <f t="shared" si="34"/>
        <v>1.0349822121711874E-6</v>
      </c>
      <c r="L148" s="82">
        <f t="shared" si="34"/>
        <v>0</v>
      </c>
      <c r="M148" s="82">
        <f t="shared" si="34"/>
        <v>3.558481265230513E-9</v>
      </c>
      <c r="N148" s="82">
        <f t="shared" si="34"/>
        <v>1.3939077263803785E-6</v>
      </c>
      <c r="O148" s="82"/>
      <c r="P148" s="81"/>
      <c r="Q148" s="82"/>
      <c r="R148" s="197">
        <f>'Parameters, country spec'!M29</f>
        <v>4.9370221696639315E-2</v>
      </c>
    </row>
    <row r="149" spans="1:18" x14ac:dyDescent="0.3">
      <c r="A149" s="195"/>
      <c r="B149" s="25" t="s">
        <v>304</v>
      </c>
      <c r="C149" s="26"/>
      <c r="D149" s="103"/>
      <c r="E149" s="103"/>
      <c r="F149" s="30">
        <f>SUMPRODUCT(F138:F148,$R$138:$R$148)</f>
        <v>7.1941575943422346E-4</v>
      </c>
      <c r="G149" s="30">
        <f t="shared" ref="G149:O149" si="35">SUMPRODUCT(G138:G148,$R$138:$R$148)</f>
        <v>1.4966992720066611E-4</v>
      </c>
      <c r="H149" s="30">
        <f t="shared" si="35"/>
        <v>9.8593035466326995E-7</v>
      </c>
      <c r="I149" s="30">
        <f t="shared" si="35"/>
        <v>5.1077596501251823E-4</v>
      </c>
      <c r="J149" s="30">
        <f t="shared" si="35"/>
        <v>5.1077596501251827E-5</v>
      </c>
      <c r="K149" s="30">
        <f t="shared" si="35"/>
        <v>8.1189353168030642E-7</v>
      </c>
      <c r="L149" s="30">
        <f t="shared" si="35"/>
        <v>0</v>
      </c>
      <c r="M149" s="30">
        <f t="shared" si="35"/>
        <v>3.76094093832487E-9</v>
      </c>
      <c r="N149" s="30">
        <f t="shared" si="35"/>
        <v>1.3515421354331836E-6</v>
      </c>
      <c r="O149" s="30">
        <f t="shared" si="35"/>
        <v>0</v>
      </c>
      <c r="P149" s="30">
        <f>SUMPRODUCT(P138:P148,R138:R148)</f>
        <v>2.8726682903186673E-6</v>
      </c>
      <c r="Q149" s="30">
        <f>SUMPRODUCT(Q138:Q148,$R$138:$R$148)</f>
        <v>1.8664754667535459E-6</v>
      </c>
      <c r="R149" s="196"/>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4" tint="0.39997558519241921"/>
  </sheetPr>
  <dimension ref="A2:N149"/>
  <sheetViews>
    <sheetView topLeftCell="A126" zoomScale="80" zoomScaleNormal="80" workbookViewId="0">
      <selection activeCell="N139" sqref="N139"/>
    </sheetView>
  </sheetViews>
  <sheetFormatPr defaultColWidth="8.88671875" defaultRowHeight="14.4" x14ac:dyDescent="0.3"/>
  <cols>
    <col min="1" max="1" width="8.6640625" customWidth="1"/>
    <col min="2" max="2" width="30.44140625" customWidth="1"/>
    <col min="3" max="3" width="19" customWidth="1"/>
    <col min="4" max="4" width="12.88671875" customWidth="1"/>
    <col min="5" max="5" width="8.88671875" customWidth="1"/>
    <col min="6" max="12" width="15.6640625" customWidth="1"/>
  </cols>
  <sheetData>
    <row r="2" spans="1:13" ht="21" x14ac:dyDescent="0.4">
      <c r="A2" s="2" t="s">
        <v>308</v>
      </c>
      <c r="F2" t="s">
        <v>309</v>
      </c>
      <c r="L2" t="s">
        <v>281</v>
      </c>
    </row>
    <row r="3" spans="1:13" x14ac:dyDescent="0.3">
      <c r="H3" s="9"/>
      <c r="I3" s="9"/>
      <c r="J3" s="9"/>
      <c r="K3" s="9"/>
    </row>
    <row r="4" spans="1:13" x14ac:dyDescent="0.3">
      <c r="A4" s="212" t="s">
        <v>282</v>
      </c>
      <c r="B4" s="213"/>
      <c r="C4" s="213"/>
      <c r="D4" s="213"/>
      <c r="E4" s="213"/>
      <c r="F4" s="214" t="s">
        <v>42</v>
      </c>
      <c r="G4" s="214" t="s">
        <v>310</v>
      </c>
      <c r="H4" s="214" t="s">
        <v>44</v>
      </c>
      <c r="I4" s="215" t="s">
        <v>45</v>
      </c>
      <c r="J4" s="215" t="s">
        <v>46</v>
      </c>
      <c r="K4" s="215" t="s">
        <v>47</v>
      </c>
      <c r="L4" s="215" t="s">
        <v>48</v>
      </c>
      <c r="M4" s="216" t="s">
        <v>284</v>
      </c>
    </row>
    <row r="5" spans="1:13" ht="43.2" x14ac:dyDescent="0.3">
      <c r="A5" s="217" t="s">
        <v>52</v>
      </c>
      <c r="B5" s="217" t="s">
        <v>282</v>
      </c>
      <c r="C5" s="217" t="s">
        <v>285</v>
      </c>
      <c r="D5" s="217" t="s">
        <v>55</v>
      </c>
      <c r="E5" s="194" t="s">
        <v>56</v>
      </c>
      <c r="F5" s="227" t="s">
        <v>63</v>
      </c>
      <c r="G5" s="227" t="s">
        <v>311</v>
      </c>
      <c r="H5" s="227" t="s">
        <v>312</v>
      </c>
      <c r="I5" s="229" t="s">
        <v>66</v>
      </c>
      <c r="J5" s="229" t="s">
        <v>67</v>
      </c>
      <c r="K5" s="230" t="s">
        <v>68</v>
      </c>
      <c r="L5" s="230" t="s">
        <v>69</v>
      </c>
      <c r="M5" s="99"/>
    </row>
    <row r="6" spans="1:13" x14ac:dyDescent="0.3">
      <c r="A6" s="22" t="s">
        <v>290</v>
      </c>
      <c r="B6" s="17" t="s">
        <v>173</v>
      </c>
      <c r="C6" s="17" t="s">
        <v>291</v>
      </c>
      <c r="D6" s="23" t="s">
        <v>128</v>
      </c>
      <c r="E6" s="23" t="s">
        <v>75</v>
      </c>
      <c r="F6" s="24">
        <v>1.76</v>
      </c>
      <c r="G6" s="39">
        <v>2.1000000000000001E-2</v>
      </c>
      <c r="H6" s="39">
        <v>3.0999999999999999E-3</v>
      </c>
      <c r="I6" s="28">
        <v>1.7851047046833199E-4</v>
      </c>
      <c r="J6" s="28">
        <v>0.36</v>
      </c>
      <c r="K6" s="28">
        <v>7.8800000000000002E-11</v>
      </c>
      <c r="L6" s="28">
        <v>1.25E-3</v>
      </c>
      <c r="M6" s="197">
        <f>'Parameters, country spec'!B19</f>
        <v>0.3247662162385499</v>
      </c>
    </row>
    <row r="7" spans="1:13" x14ac:dyDescent="0.3">
      <c r="A7" s="22" t="s">
        <v>292</v>
      </c>
      <c r="B7" s="17" t="s">
        <v>176</v>
      </c>
      <c r="C7" s="17" t="s">
        <v>291</v>
      </c>
      <c r="D7" s="23" t="s">
        <v>128</v>
      </c>
      <c r="E7" s="23" t="s">
        <v>75</v>
      </c>
      <c r="F7" s="21">
        <v>1.46</v>
      </c>
      <c r="G7" s="39">
        <v>0.02</v>
      </c>
      <c r="H7" s="39">
        <v>5.5999999999999999E-3</v>
      </c>
      <c r="I7" s="28">
        <v>0</v>
      </c>
      <c r="J7" s="28">
        <v>0.02</v>
      </c>
      <c r="K7" s="28">
        <v>6.5799999999999995E-11</v>
      </c>
      <c r="L7" s="28">
        <v>1.2099999999999999E-3</v>
      </c>
      <c r="M7" s="197">
        <f>'Parameters, country spec'!B20</f>
        <v>1.9544149435115246E-2</v>
      </c>
    </row>
    <row r="8" spans="1:13" x14ac:dyDescent="0.3">
      <c r="A8" s="22" t="s">
        <v>293</v>
      </c>
      <c r="B8" s="17" t="s">
        <v>180</v>
      </c>
      <c r="C8" s="17" t="s">
        <v>291</v>
      </c>
      <c r="D8" s="23" t="s">
        <v>128</v>
      </c>
      <c r="E8" s="23" t="s">
        <v>75</v>
      </c>
      <c r="F8" s="21">
        <v>2.0499999999999998</v>
      </c>
      <c r="G8" s="39">
        <v>1.7999999999999999E-2</v>
      </c>
      <c r="H8" s="39">
        <v>3.8E-3</v>
      </c>
      <c r="I8" s="28">
        <v>6.6160105698511999E-5</v>
      </c>
      <c r="J8" s="28">
        <v>0.11</v>
      </c>
      <c r="K8" s="28">
        <v>9.2000000000000005E-11</v>
      </c>
      <c r="L8" s="28">
        <v>1.1000000000000001E-3</v>
      </c>
      <c r="M8" s="197">
        <f>'Parameters, country spec'!B21</f>
        <v>5.4547926099966608E-3</v>
      </c>
    </row>
    <row r="9" spans="1:13" x14ac:dyDescent="0.3">
      <c r="A9" s="22" t="s">
        <v>294</v>
      </c>
      <c r="B9" s="17" t="s">
        <v>181</v>
      </c>
      <c r="C9" s="17" t="s">
        <v>291</v>
      </c>
      <c r="D9" s="23" t="s">
        <v>128</v>
      </c>
      <c r="E9" s="23" t="s">
        <v>75</v>
      </c>
      <c r="F9" s="21">
        <v>1.67</v>
      </c>
      <c r="G9" s="39">
        <v>1.6E-2</v>
      </c>
      <c r="H9" s="39">
        <v>1.1999999999999999E-3</v>
      </c>
      <c r="I9" s="28">
        <v>1.1771521062653201E-5</v>
      </c>
      <c r="J9" s="28">
        <v>0.16</v>
      </c>
      <c r="K9" s="28">
        <v>7.5E-11</v>
      </c>
      <c r="L9" s="28">
        <v>9.68E-4</v>
      </c>
      <c r="M9" s="197">
        <f>'Parameters, country spec'!B22</f>
        <v>3.9573904033440906E-3</v>
      </c>
    </row>
    <row r="10" spans="1:13" x14ac:dyDescent="0.3">
      <c r="A10" s="22" t="s">
        <v>295</v>
      </c>
      <c r="B10" s="17" t="s">
        <v>182</v>
      </c>
      <c r="C10" s="17" t="s">
        <v>291</v>
      </c>
      <c r="D10" s="23" t="s">
        <v>128</v>
      </c>
      <c r="E10" s="23" t="s">
        <v>75</v>
      </c>
      <c r="F10" s="21">
        <v>1.31</v>
      </c>
      <c r="G10" s="39">
        <v>2.4E-2</v>
      </c>
      <c r="H10" s="39">
        <v>2.2000000000000001E-3</v>
      </c>
      <c r="I10" s="28">
        <v>6.3497346233092004E-3</v>
      </c>
      <c r="J10" s="28">
        <v>0.12</v>
      </c>
      <c r="K10" s="28">
        <v>5.8899999999999998E-11</v>
      </c>
      <c r="L10" s="28">
        <v>1.4300000000000001E-3</v>
      </c>
      <c r="M10" s="197">
        <f>'Parameters, country spec'!B23</f>
        <v>0.33524969269006805</v>
      </c>
    </row>
    <row r="11" spans="1:13" x14ac:dyDescent="0.3">
      <c r="A11" s="22" t="s">
        <v>296</v>
      </c>
      <c r="B11" s="17" t="s">
        <v>183</v>
      </c>
      <c r="C11" s="17" t="s">
        <v>297</v>
      </c>
      <c r="D11" s="23" t="s">
        <v>128</v>
      </c>
      <c r="E11" s="23" t="s">
        <v>75</v>
      </c>
      <c r="F11" s="21">
        <v>2.64</v>
      </c>
      <c r="G11" s="39">
        <v>1.7000000000000001E-2</v>
      </c>
      <c r="H11" s="39">
        <v>1.6999999999999999E-3</v>
      </c>
      <c r="I11" s="28">
        <v>0</v>
      </c>
      <c r="J11" s="28">
        <v>0.2</v>
      </c>
      <c r="K11" s="28">
        <v>1.1800000000000001E-10</v>
      </c>
      <c r="L11" s="28">
        <v>0</v>
      </c>
      <c r="M11" s="197">
        <f>'Parameters, country spec'!B24</f>
        <v>6.9591530195853583E-4</v>
      </c>
    </row>
    <row r="12" spans="1:13" x14ac:dyDescent="0.3">
      <c r="A12" s="22" t="s">
        <v>298</v>
      </c>
      <c r="B12" s="17" t="s">
        <v>184</v>
      </c>
      <c r="C12" s="17" t="s">
        <v>297</v>
      </c>
      <c r="D12" s="23" t="s">
        <v>128</v>
      </c>
      <c r="E12" s="23" t="s">
        <v>75</v>
      </c>
      <c r="F12" s="304">
        <v>2.81</v>
      </c>
      <c r="G12" s="305">
        <v>8.0000000000000002E-3</v>
      </c>
      <c r="H12" s="305">
        <v>2E-3</v>
      </c>
      <c r="I12" s="306">
        <v>0</v>
      </c>
      <c r="J12" s="306">
        <v>0.31</v>
      </c>
      <c r="K12" s="307">
        <v>1.26E-10</v>
      </c>
      <c r="L12" s="308">
        <v>6.1400000000000002E-5</v>
      </c>
      <c r="M12" s="197">
        <f>'Parameters, country spec'!B25</f>
        <v>6.8361815808324494E-4</v>
      </c>
    </row>
    <row r="13" spans="1:13" x14ac:dyDescent="0.3">
      <c r="B13" s="18" t="s">
        <v>185</v>
      </c>
      <c r="C13" s="17" t="s">
        <v>299</v>
      </c>
      <c r="D13" s="23" t="str">
        <f>'Off-farm feed'!$D$88</f>
        <v>France, Germany, Poland</v>
      </c>
      <c r="E13" s="23" t="s">
        <v>74</v>
      </c>
      <c r="F13" s="19">
        <f>'Off-farm feed'!$F$88</f>
        <v>1.5397450382845088</v>
      </c>
      <c r="G13" s="20">
        <f>'Off-farm feed'!$G$88</f>
        <v>4.1115595157230206E-2</v>
      </c>
      <c r="H13" s="20">
        <f>'Off-farm feed'!$H$88</f>
        <v>4.4751668198345796E-3</v>
      </c>
      <c r="I13" s="19">
        <f>'Off-farm feed'!$I$88</f>
        <v>2.5747126436781614E-3</v>
      </c>
      <c r="J13" s="19">
        <f>'Off-farm feed'!$J$88</f>
        <v>0.29368572248181501</v>
      </c>
      <c r="K13" s="29">
        <f>'Off-farm feed'!$K$88</f>
        <v>1.777473414827503E-10</v>
      </c>
      <c r="L13" s="29">
        <f>'Off-farm feed'!$L$88</f>
        <v>2.4996062723023757E-3</v>
      </c>
      <c r="M13" s="197">
        <f>'Parameters, country spec'!B26</f>
        <v>4.36899603839115E-2</v>
      </c>
    </row>
    <row r="14" spans="1:13" x14ac:dyDescent="0.3">
      <c r="B14" s="18" t="s">
        <v>300</v>
      </c>
      <c r="C14" s="17" t="s">
        <v>299</v>
      </c>
      <c r="D14" s="23" t="str">
        <f>'Off-farm feed'!$D$36</f>
        <v>Brazil, Argentina</v>
      </c>
      <c r="E14" s="23" t="s">
        <v>74</v>
      </c>
      <c r="F14" s="19">
        <f>'Off-farm feed'!$F$36</f>
        <v>2.5509164954964132</v>
      </c>
      <c r="G14" s="20">
        <f>'Off-farm feed'!$G$36</f>
        <v>4.2620923125915477E-2</v>
      </c>
      <c r="H14" s="20">
        <f>'Off-farm feed'!$H$36</f>
        <v>3.2959349471355036E-3</v>
      </c>
      <c r="I14" s="19">
        <f>'Off-farm feed'!$I$36</f>
        <v>2.3780487804878048E-3</v>
      </c>
      <c r="J14" s="19">
        <f>'Off-farm feed'!$J$36</f>
        <v>0.25920846302270939</v>
      </c>
      <c r="K14" s="29">
        <f>'Off-farm feed'!$K$36</f>
        <v>6.1197957373175144E-10</v>
      </c>
      <c r="L14" s="29">
        <f>'Off-farm feed'!$L$36</f>
        <v>1.0450321677831981E-4</v>
      </c>
      <c r="M14" s="197">
        <f>'Parameters, country spec'!B27</f>
        <v>0.1076444790964969</v>
      </c>
    </row>
    <row r="15" spans="1:13" x14ac:dyDescent="0.3">
      <c r="B15" s="17" t="s">
        <v>187</v>
      </c>
      <c r="C15" s="17" t="s">
        <v>301</v>
      </c>
      <c r="D15" s="23" t="s">
        <v>128</v>
      </c>
      <c r="E15" s="23" t="s">
        <v>75</v>
      </c>
      <c r="F15" s="107"/>
      <c r="G15" s="108"/>
      <c r="H15" s="108"/>
      <c r="I15" s="116"/>
      <c r="J15" s="116"/>
      <c r="K15" s="116"/>
      <c r="L15" s="116"/>
      <c r="M15" s="197">
        <f>'Parameters, country spec'!B28</f>
        <v>1.7669178559904096E-2</v>
      </c>
    </row>
    <row r="16" spans="1:13" x14ac:dyDescent="0.3">
      <c r="A16" s="83"/>
      <c r="B16" s="17" t="s">
        <v>302</v>
      </c>
      <c r="C16" s="84" t="s">
        <v>303</v>
      </c>
      <c r="D16" s="23" t="s">
        <v>128</v>
      </c>
      <c r="E16" s="23" t="s">
        <v>75</v>
      </c>
      <c r="F16" s="109">
        <f t="shared" ref="F16:L16" si="0">AVERAGE(F6:F14)</f>
        <v>1.9767401704201026</v>
      </c>
      <c r="G16" s="109">
        <f t="shared" si="0"/>
        <v>2.3081835364793964E-2</v>
      </c>
      <c r="H16" s="109">
        <f t="shared" si="0"/>
        <v>3.0412335296633422E-3</v>
      </c>
      <c r="I16" s="226">
        <f>AVERAGE(I6:I14)</f>
        <v>1.2843264605227405E-3</v>
      </c>
      <c r="J16" s="226">
        <f t="shared" si="0"/>
        <v>0.20365490950050272</v>
      </c>
      <c r="K16" s="226">
        <f t="shared" si="0"/>
        <v>1.560252128016113E-10</v>
      </c>
      <c r="L16" s="226">
        <f t="shared" si="0"/>
        <v>9.5816772100896597E-4</v>
      </c>
      <c r="M16" s="197">
        <f>'Parameters, country spec'!B29</f>
        <v>0.14064460712257179</v>
      </c>
    </row>
    <row r="17" spans="1:13" x14ac:dyDescent="0.3">
      <c r="A17" s="195"/>
      <c r="B17" s="25" t="s">
        <v>304</v>
      </c>
      <c r="C17" s="26"/>
      <c r="D17" s="103"/>
      <c r="E17" s="103"/>
      <c r="F17" s="30">
        <f>SUMPRODUCT(F6:F16,M6:M16)</f>
        <v>1.6807307681770558</v>
      </c>
      <c r="G17" s="30">
        <f>SUMPRODUCT(G6:G16,M6:M16)</f>
        <v>2.5066351631735567E-2</v>
      </c>
      <c r="H17" s="30">
        <f>SUMPRODUCT(H6:H16,M6:M16)</f>
        <v>2.8598413603635985E-3</v>
      </c>
      <c r="I17" s="30">
        <f>SUMPRODUCT(I6:I16,M6:M16)</f>
        <v>2.7362347314422533E-3</v>
      </c>
      <c r="J17" s="30">
        <f>SUMPRODUCT(J6:J16,M6:M16)</f>
        <v>0.22849744059373578</v>
      </c>
      <c r="K17" s="30">
        <f>SUMPRODUCT(K6:K16,M6:M16)</f>
        <v>1.4317679036126923E-10</v>
      </c>
      <c r="L17" s="30">
        <f>SUMPRODUCT(L6:L16,M6:M16)</f>
        <v>1.174104267622928E-3</v>
      </c>
      <c r="M17" s="198"/>
    </row>
    <row r="18" spans="1:13" x14ac:dyDescent="0.3">
      <c r="A18" s="22" t="s">
        <v>290</v>
      </c>
      <c r="B18" s="17" t="s">
        <v>173</v>
      </c>
      <c r="C18" s="17" t="s">
        <v>291</v>
      </c>
      <c r="D18" s="23" t="s">
        <v>35</v>
      </c>
      <c r="E18" s="23" t="s">
        <v>76</v>
      </c>
      <c r="F18" s="304">
        <v>1.6</v>
      </c>
      <c r="G18" s="305">
        <v>2.1000000000000001E-2</v>
      </c>
      <c r="H18" s="305">
        <v>3.0999999999999999E-3</v>
      </c>
      <c r="I18" s="306">
        <v>4.0917422935787297E-3</v>
      </c>
      <c r="J18" s="306">
        <v>0.32</v>
      </c>
      <c r="K18" s="307">
        <v>5.3000000000000003E-10</v>
      </c>
      <c r="L18" s="308">
        <v>1.25E-3</v>
      </c>
      <c r="M18" s="197">
        <f>'Parameters, country spec'!C19</f>
        <v>0.12938618407074468</v>
      </c>
    </row>
    <row r="19" spans="1:13" x14ac:dyDescent="0.3">
      <c r="A19" s="22" t="s">
        <v>292</v>
      </c>
      <c r="B19" s="17" t="s">
        <v>176</v>
      </c>
      <c r="C19" s="17" t="s">
        <v>291</v>
      </c>
      <c r="D19" s="23" t="s">
        <v>35</v>
      </c>
      <c r="E19" s="23" t="s">
        <v>76</v>
      </c>
      <c r="F19" s="21">
        <v>1.1000000000000001</v>
      </c>
      <c r="G19" s="39">
        <v>0.02</v>
      </c>
      <c r="H19" s="39">
        <v>5.5999999999999999E-3</v>
      </c>
      <c r="I19" s="28">
        <v>9.2210702520091198E-2</v>
      </c>
      <c r="J19" s="28">
        <v>0.05</v>
      </c>
      <c r="K19" s="28">
        <v>3.6700000000000003E-10</v>
      </c>
      <c r="L19" s="28">
        <v>1.2099999999999999E-3</v>
      </c>
      <c r="M19" s="197">
        <f>'Parameters, country spec'!C20</f>
        <v>0.21280975376032865</v>
      </c>
    </row>
    <row r="20" spans="1:13" x14ac:dyDescent="0.3">
      <c r="A20" s="22" t="s">
        <v>293</v>
      </c>
      <c r="B20" s="17" t="s">
        <v>180</v>
      </c>
      <c r="C20" s="17" t="s">
        <v>291</v>
      </c>
      <c r="D20" s="23" t="s">
        <v>35</v>
      </c>
      <c r="E20" s="23" t="s">
        <v>76</v>
      </c>
      <c r="F20" s="21">
        <v>2.2400000000000002</v>
      </c>
      <c r="G20" s="39">
        <v>1.7999999999999999E-2</v>
      </c>
      <c r="H20" s="39">
        <v>3.8E-3</v>
      </c>
      <c r="I20" s="28">
        <v>5.1662240094463699E-2</v>
      </c>
      <c r="J20" s="28">
        <v>0.09</v>
      </c>
      <c r="K20" s="28">
        <v>7.4300000000000002E-10</v>
      </c>
      <c r="L20" s="28">
        <v>1.1000000000000001E-3</v>
      </c>
      <c r="M20" s="197">
        <f>'Parameters, country spec'!C21</f>
        <v>1.4661663802605954E-2</v>
      </c>
    </row>
    <row r="21" spans="1:13" x14ac:dyDescent="0.3">
      <c r="A21" s="22" t="s">
        <v>294</v>
      </c>
      <c r="B21" s="17" t="s">
        <v>181</v>
      </c>
      <c r="C21" s="17" t="s">
        <v>291</v>
      </c>
      <c r="D21" s="23" t="s">
        <v>35</v>
      </c>
      <c r="E21" s="23" t="s">
        <v>76</v>
      </c>
      <c r="F21" s="21">
        <v>2.2400000000000002</v>
      </c>
      <c r="G21" s="39">
        <v>1.6E-2</v>
      </c>
      <c r="H21" s="39">
        <v>1.1999999999999999E-3</v>
      </c>
      <c r="I21" s="28">
        <v>0</v>
      </c>
      <c r="J21" s="28">
        <v>0</v>
      </c>
      <c r="K21" s="28">
        <v>7.4400000000000002E-10</v>
      </c>
      <c r="L21" s="28">
        <v>9.68E-4</v>
      </c>
      <c r="M21" s="197">
        <f>'Parameters, country spec'!C22</f>
        <v>2.2515954502451301E-3</v>
      </c>
    </row>
    <row r="22" spans="1:13" x14ac:dyDescent="0.3">
      <c r="A22" s="22" t="s">
        <v>295</v>
      </c>
      <c r="B22" s="17" t="s">
        <v>182</v>
      </c>
      <c r="C22" s="17" t="s">
        <v>291</v>
      </c>
      <c r="D22" s="23" t="s">
        <v>35</v>
      </c>
      <c r="E22" s="23" t="s">
        <v>76</v>
      </c>
      <c r="F22" s="21">
        <v>1.41</v>
      </c>
      <c r="G22" s="39">
        <v>2.4E-2</v>
      </c>
      <c r="H22" s="39">
        <v>2.2000000000000001E-3</v>
      </c>
      <c r="I22" s="28">
        <v>1.33006336197129E-3</v>
      </c>
      <c r="J22" s="28">
        <v>0.27</v>
      </c>
      <c r="K22" s="28">
        <v>4.7000000000000003E-10</v>
      </c>
      <c r="L22" s="28">
        <v>1.4300000000000001E-3</v>
      </c>
      <c r="M22" s="197">
        <f>'Parameters, country spec'!C23</f>
        <v>0.31521053769451607</v>
      </c>
    </row>
    <row r="23" spans="1:13" x14ac:dyDescent="0.3">
      <c r="A23" s="22" t="s">
        <v>296</v>
      </c>
      <c r="B23" s="17" t="s">
        <v>183</v>
      </c>
      <c r="C23" s="17" t="s">
        <v>297</v>
      </c>
      <c r="D23" s="23" t="s">
        <v>35</v>
      </c>
      <c r="E23" s="23" t="s">
        <v>76</v>
      </c>
      <c r="F23" s="21">
        <v>3.01</v>
      </c>
      <c r="G23" s="39">
        <v>1.9E-2</v>
      </c>
      <c r="H23" s="39">
        <v>1.6999999999999999E-3</v>
      </c>
      <c r="I23" s="28">
        <v>2.5706904840427799E-2</v>
      </c>
      <c r="J23" s="28">
        <v>1.01</v>
      </c>
      <c r="K23" s="28">
        <v>1.0000000000000001E-9</v>
      </c>
      <c r="L23" s="28">
        <v>0</v>
      </c>
      <c r="M23" s="197">
        <f>'Parameters, country spec'!C24</f>
        <v>0</v>
      </c>
    </row>
    <row r="24" spans="1:13" x14ac:dyDescent="0.3">
      <c r="A24" s="22" t="s">
        <v>298</v>
      </c>
      <c r="B24" s="17" t="s">
        <v>184</v>
      </c>
      <c r="C24" s="17" t="s">
        <v>297</v>
      </c>
      <c r="D24" s="23" t="s">
        <v>35</v>
      </c>
      <c r="E24" s="23" t="s">
        <v>76</v>
      </c>
      <c r="F24" s="21">
        <v>4.1100000000000003</v>
      </c>
      <c r="G24" s="39">
        <v>1.0999999999999999E-2</v>
      </c>
      <c r="H24" s="39">
        <v>2E-3</v>
      </c>
      <c r="I24" s="28">
        <v>2.7905335876353701E-2</v>
      </c>
      <c r="J24" s="28">
        <v>1.05</v>
      </c>
      <c r="K24" s="28">
        <v>1.3600000000000001E-9</v>
      </c>
      <c r="L24" s="28">
        <v>6.1400000000000002E-5</v>
      </c>
      <c r="M24" s="197">
        <f>'Parameters, country spec'!C25</f>
        <v>0</v>
      </c>
    </row>
    <row r="25" spans="1:13" x14ac:dyDescent="0.3">
      <c r="B25" s="18" t="s">
        <v>185</v>
      </c>
      <c r="C25" s="17" t="s">
        <v>299</v>
      </c>
      <c r="D25" s="23" t="str">
        <f>'Off-farm feed'!$D$88</f>
        <v>France, Germany, Poland</v>
      </c>
      <c r="E25" s="23" t="s">
        <v>74</v>
      </c>
      <c r="F25" s="19">
        <f>'Off-farm feed'!$F$88</f>
        <v>1.5397450382845088</v>
      </c>
      <c r="G25" s="20">
        <f>'Off-farm feed'!$G$88</f>
        <v>4.1115595157230206E-2</v>
      </c>
      <c r="H25" s="20">
        <f>'Off-farm feed'!$H$88</f>
        <v>4.4751668198345796E-3</v>
      </c>
      <c r="I25" s="19">
        <f>'Off-farm feed'!$I$88</f>
        <v>2.5747126436781614E-3</v>
      </c>
      <c r="J25" s="19">
        <f>'Off-farm feed'!$J$88</f>
        <v>0.29368572248181501</v>
      </c>
      <c r="K25" s="29">
        <f>'Off-farm feed'!$K$88</f>
        <v>1.777473414827503E-10</v>
      </c>
      <c r="L25" s="29">
        <f>'Off-farm feed'!$L$88</f>
        <v>2.4996062723023757E-3</v>
      </c>
      <c r="M25" s="197">
        <f>'Parameters, country spec'!C26</f>
        <v>9.7073458625180783E-2</v>
      </c>
    </row>
    <row r="26" spans="1:13" x14ac:dyDescent="0.3">
      <c r="B26" s="18" t="s">
        <v>300</v>
      </c>
      <c r="C26" s="17" t="s">
        <v>299</v>
      </c>
      <c r="D26" s="23" t="str">
        <f>'Off-farm feed'!$D$36</f>
        <v>Brazil, Argentina</v>
      </c>
      <c r="E26" s="23" t="s">
        <v>74</v>
      </c>
      <c r="F26" s="19">
        <f>'Off-farm feed'!$F$36</f>
        <v>2.5509164954964132</v>
      </c>
      <c r="G26" s="20">
        <f>'Off-farm feed'!$G$36</f>
        <v>4.2620923125915477E-2</v>
      </c>
      <c r="H26" s="20">
        <f>'Off-farm feed'!$H$36</f>
        <v>3.2959349471355036E-3</v>
      </c>
      <c r="I26" s="19">
        <f>'Off-farm feed'!$I$36</f>
        <v>2.3780487804878048E-3</v>
      </c>
      <c r="J26" s="19">
        <f>'Off-farm feed'!$J$36</f>
        <v>0.25920846302270939</v>
      </c>
      <c r="K26" s="29">
        <f>'Off-farm feed'!$K$36</f>
        <v>6.1197957373175144E-10</v>
      </c>
      <c r="L26" s="29">
        <f>'Off-farm feed'!$L$36</f>
        <v>1.0450321677831981E-4</v>
      </c>
      <c r="M26" s="197">
        <f>'Parameters, country spec'!C27</f>
        <v>8.7459166665531385E-2</v>
      </c>
    </row>
    <row r="27" spans="1:13" x14ac:dyDescent="0.3">
      <c r="B27" s="17" t="s">
        <v>187</v>
      </c>
      <c r="C27" s="17" t="s">
        <v>301</v>
      </c>
      <c r="D27" s="23" t="s">
        <v>35</v>
      </c>
      <c r="E27" s="23" t="s">
        <v>76</v>
      </c>
      <c r="F27" s="107"/>
      <c r="G27" s="108"/>
      <c r="H27" s="108"/>
      <c r="I27" s="116"/>
      <c r="J27" s="116"/>
      <c r="K27" s="116"/>
      <c r="L27" s="116"/>
      <c r="M27" s="197">
        <f>'Parameters, country spec'!C28</f>
        <v>8.0151207366747315E-2</v>
      </c>
    </row>
    <row r="28" spans="1:13" x14ac:dyDescent="0.3">
      <c r="A28" s="83"/>
      <c r="B28" s="17" t="s">
        <v>302</v>
      </c>
      <c r="C28" s="84" t="s">
        <v>303</v>
      </c>
      <c r="D28" s="23" t="s">
        <v>35</v>
      </c>
      <c r="E28" s="23" t="s">
        <v>76</v>
      </c>
      <c r="F28" s="109">
        <f t="shared" ref="F28:L28" si="1">AVERAGE(F18:F26)</f>
        <v>2.2000735037534356</v>
      </c>
      <c r="G28" s="109">
        <f t="shared" si="1"/>
        <v>2.363739092034952E-2</v>
      </c>
      <c r="H28" s="109">
        <f t="shared" si="1"/>
        <v>3.0412335296633422E-3</v>
      </c>
      <c r="I28" s="226">
        <f>AVERAGE(I18:I26)</f>
        <v>2.3095527823450267E-2</v>
      </c>
      <c r="J28" s="226">
        <f t="shared" si="1"/>
        <v>0.37143268727828044</v>
      </c>
      <c r="K28" s="226">
        <f t="shared" si="1"/>
        <v>6.6708076835716683E-10</v>
      </c>
      <c r="L28" s="226">
        <f t="shared" si="1"/>
        <v>9.5816772100896597E-4</v>
      </c>
      <c r="M28" s="197">
        <f>'Parameters, country spec'!C29</f>
        <v>6.0996432564100048E-2</v>
      </c>
    </row>
    <row r="29" spans="1:13" x14ac:dyDescent="0.3">
      <c r="A29" s="195"/>
      <c r="B29" s="25" t="s">
        <v>304</v>
      </c>
      <c r="C29" s="26"/>
      <c r="D29" s="103"/>
      <c r="E29" s="103"/>
      <c r="F29" s="30">
        <f>SUMPRODUCT(F18:F28,M18:M28)</f>
        <v>1.4302072248296795</v>
      </c>
      <c r="G29" s="30">
        <f>SUMPRODUCT(G18:G28,M18:M28)</f>
        <v>2.3998913286729113E-2</v>
      </c>
      <c r="H29" s="30">
        <f>SUMPRODUCT(H18:H28,M18:M28)</f>
        <v>3.2528952524853382E-3</v>
      </c>
      <c r="I29" s="30">
        <f>SUMPRODUCT(I18:I28,M18:M28)</f>
        <v>2.3196119433318486E-2</v>
      </c>
      <c r="J29" s="30">
        <f>SUMPRODUCT(J18:J28,M18:M28)</f>
        <v>0.21230577537084486</v>
      </c>
      <c r="K29" s="30">
        <f>SUMPRODUCT(K18:K28,M18:M28)</f>
        <v>4.1886093296025018E-10</v>
      </c>
      <c r="L29" s="30">
        <f>SUMPRODUCT(L18:L28,M18:M28)</f>
        <v>1.1985209787067975E-3</v>
      </c>
      <c r="M29" s="198"/>
    </row>
    <row r="30" spans="1:13" x14ac:dyDescent="0.3">
      <c r="A30" s="22" t="s">
        <v>290</v>
      </c>
      <c r="B30" s="17" t="s">
        <v>173</v>
      </c>
      <c r="C30" s="17" t="s">
        <v>291</v>
      </c>
      <c r="D30" s="23" t="s">
        <v>29</v>
      </c>
      <c r="E30" s="23" t="s">
        <v>77</v>
      </c>
      <c r="F30" s="24">
        <v>1.53</v>
      </c>
      <c r="G30" s="39">
        <v>2.1000000000000001E-2</v>
      </c>
      <c r="H30" s="39">
        <v>3.0999999999999999E-3</v>
      </c>
      <c r="I30" s="28">
        <v>0</v>
      </c>
      <c r="J30" s="28">
        <v>0.31</v>
      </c>
      <c r="K30" s="28">
        <v>5.0999999999999998E-11</v>
      </c>
      <c r="L30" s="28">
        <v>1.25E-3</v>
      </c>
      <c r="M30" s="197">
        <f>'Parameters, country spec'!D19</f>
        <v>0.12840126760243717</v>
      </c>
    </row>
    <row r="31" spans="1:13" x14ac:dyDescent="0.3">
      <c r="A31" s="22" t="s">
        <v>292</v>
      </c>
      <c r="B31" s="17" t="s">
        <v>176</v>
      </c>
      <c r="C31" s="17" t="s">
        <v>291</v>
      </c>
      <c r="D31" s="23" t="s">
        <v>29</v>
      </c>
      <c r="E31" s="23" t="s">
        <v>77</v>
      </c>
      <c r="F31" s="21">
        <v>1.05</v>
      </c>
      <c r="G31" s="39">
        <v>0.02</v>
      </c>
      <c r="H31" s="39">
        <v>5.5999999999999999E-3</v>
      </c>
      <c r="I31" s="28">
        <v>2.05935204037918E-3</v>
      </c>
      <c r="J31" s="28">
        <v>0.94</v>
      </c>
      <c r="K31" s="28">
        <v>3.51E-11</v>
      </c>
      <c r="L31" s="28">
        <v>1.2099999999999999E-3</v>
      </c>
      <c r="M31" s="197">
        <f>'Parameters, country spec'!D20</f>
        <v>0.19116633717197407</v>
      </c>
    </row>
    <row r="32" spans="1:13" x14ac:dyDescent="0.3">
      <c r="A32" s="22" t="s">
        <v>293</v>
      </c>
      <c r="B32" s="17" t="s">
        <v>180</v>
      </c>
      <c r="C32" s="17" t="s">
        <v>291</v>
      </c>
      <c r="D32" s="23" t="s">
        <v>29</v>
      </c>
      <c r="E32" s="23" t="s">
        <v>77</v>
      </c>
      <c r="F32" s="21">
        <v>2.31</v>
      </c>
      <c r="G32" s="39">
        <v>1.7999999999999999E-2</v>
      </c>
      <c r="H32" s="39">
        <v>3.8E-3</v>
      </c>
      <c r="I32" s="28">
        <v>2.6859932114199001E-3</v>
      </c>
      <c r="J32" s="28">
        <v>0</v>
      </c>
      <c r="K32" s="28">
        <v>7.7000000000000006E-11</v>
      </c>
      <c r="L32" s="28">
        <v>1.1000000000000001E-3</v>
      </c>
      <c r="M32" s="197">
        <f>'Parameters, country spec'!D21</f>
        <v>2.5558758775563904E-5</v>
      </c>
    </row>
    <row r="33" spans="1:13" x14ac:dyDescent="0.3">
      <c r="A33" s="22" t="s">
        <v>294</v>
      </c>
      <c r="B33" s="17" t="s">
        <v>181</v>
      </c>
      <c r="C33" s="17" t="s">
        <v>291</v>
      </c>
      <c r="D33" s="23" t="s">
        <v>29</v>
      </c>
      <c r="E33" s="23" t="s">
        <v>77</v>
      </c>
      <c r="F33" s="21">
        <v>1.99</v>
      </c>
      <c r="G33" s="39">
        <v>1.6E-2</v>
      </c>
      <c r="H33" s="39">
        <v>1.1999999999999999E-3</v>
      </c>
      <c r="I33" s="28">
        <v>0</v>
      </c>
      <c r="J33" s="28">
        <v>0</v>
      </c>
      <c r="K33" s="28">
        <v>6.6200000000000001E-11</v>
      </c>
      <c r="L33" s="28">
        <v>9.68E-4</v>
      </c>
      <c r="M33" s="197">
        <f>'Parameters, country spec'!D22</f>
        <v>2.0974185801992562E-2</v>
      </c>
    </row>
    <row r="34" spans="1:13" x14ac:dyDescent="0.3">
      <c r="A34" s="22" t="s">
        <v>295</v>
      </c>
      <c r="B34" s="17" t="s">
        <v>182</v>
      </c>
      <c r="C34" s="17" t="s">
        <v>291</v>
      </c>
      <c r="D34" s="23" t="s">
        <v>29</v>
      </c>
      <c r="E34" s="23" t="s">
        <v>77</v>
      </c>
      <c r="F34" s="21">
        <v>1.36</v>
      </c>
      <c r="G34" s="39">
        <v>2.4E-2</v>
      </c>
      <c r="H34" s="39">
        <v>2.2000000000000001E-3</v>
      </c>
      <c r="I34" s="28">
        <v>1.0074338835282899E-9</v>
      </c>
      <c r="J34" s="28">
        <v>0.26</v>
      </c>
      <c r="K34" s="28">
        <v>4.5200000000000003E-11</v>
      </c>
      <c r="L34" s="28">
        <v>1.4300000000000001E-3</v>
      </c>
      <c r="M34" s="197">
        <f>'Parameters, country spec'!D23</f>
        <v>0.42888207443270587</v>
      </c>
    </row>
    <row r="35" spans="1:13" x14ac:dyDescent="0.3">
      <c r="A35" s="22" t="s">
        <v>296</v>
      </c>
      <c r="B35" s="17" t="s">
        <v>183</v>
      </c>
      <c r="C35" s="17" t="s">
        <v>297</v>
      </c>
      <c r="D35" s="23" t="s">
        <v>29</v>
      </c>
      <c r="E35" s="23" t="s">
        <v>77</v>
      </c>
      <c r="F35" s="21">
        <v>3.13</v>
      </c>
      <c r="G35" s="39">
        <v>0.02</v>
      </c>
      <c r="H35" s="39">
        <v>1.6999999999999999E-3</v>
      </c>
      <c r="I35" s="28">
        <v>0</v>
      </c>
      <c r="J35" s="28">
        <v>1.01</v>
      </c>
      <c r="K35" s="28">
        <v>1.04E-10</v>
      </c>
      <c r="L35" s="28">
        <v>0</v>
      </c>
      <c r="M35" s="197">
        <f>'Parameters, country spec'!D24</f>
        <v>9.3450155108809542E-4</v>
      </c>
    </row>
    <row r="36" spans="1:13" x14ac:dyDescent="0.3">
      <c r="A36" s="22" t="s">
        <v>298</v>
      </c>
      <c r="B36" s="17" t="s">
        <v>184</v>
      </c>
      <c r="C36" s="17" t="s">
        <v>297</v>
      </c>
      <c r="D36" s="23" t="s">
        <v>29</v>
      </c>
      <c r="E36" s="23" t="s">
        <v>77</v>
      </c>
      <c r="F36" s="21">
        <v>2.73</v>
      </c>
      <c r="G36" s="39">
        <v>8.0000000000000002E-3</v>
      </c>
      <c r="H36" s="39">
        <v>2E-3</v>
      </c>
      <c r="I36" s="28">
        <v>0</v>
      </c>
      <c r="J36" s="28">
        <v>1.05</v>
      </c>
      <c r="K36" s="28">
        <v>9.0900000000000004E-11</v>
      </c>
      <c r="L36" s="28">
        <v>6.1400000000000002E-5</v>
      </c>
      <c r="M36" s="197">
        <f>'Parameters, country spec'!D25</f>
        <v>9.1798847805104754E-4</v>
      </c>
    </row>
    <row r="37" spans="1:13" x14ac:dyDescent="0.3">
      <c r="B37" s="18" t="s">
        <v>185</v>
      </c>
      <c r="C37" s="17" t="s">
        <v>299</v>
      </c>
      <c r="D37" s="23" t="str">
        <f>'Off-farm feed'!$D$88</f>
        <v>France, Germany, Poland</v>
      </c>
      <c r="E37" s="23" t="s">
        <v>74</v>
      </c>
      <c r="F37" s="19">
        <f>'Off-farm feed'!$F$88</f>
        <v>1.5397450382845088</v>
      </c>
      <c r="G37" s="20">
        <f>'Off-farm feed'!$G$88</f>
        <v>4.1115595157230206E-2</v>
      </c>
      <c r="H37" s="20">
        <f>'Off-farm feed'!$H$88</f>
        <v>4.4751668198345796E-3</v>
      </c>
      <c r="I37" s="19">
        <f>'Off-farm feed'!$I$88</f>
        <v>2.5747126436781614E-3</v>
      </c>
      <c r="J37" s="19">
        <f>'Off-farm feed'!$J$88</f>
        <v>0.29368572248181501</v>
      </c>
      <c r="K37" s="29">
        <f>'Off-farm feed'!$K$88</f>
        <v>1.777473414827503E-10</v>
      </c>
      <c r="L37" s="29">
        <f>'Off-farm feed'!$L$88</f>
        <v>2.4996062723023757E-3</v>
      </c>
      <c r="M37" s="197">
        <f>'Parameters, country spec'!D26</f>
        <v>9.4499576799197224E-2</v>
      </c>
    </row>
    <row r="38" spans="1:13" x14ac:dyDescent="0.3">
      <c r="B38" s="18" t="s">
        <v>300</v>
      </c>
      <c r="C38" s="17" t="s">
        <v>299</v>
      </c>
      <c r="D38" s="23" t="str">
        <f>'Off-farm feed'!$D$36</f>
        <v>Brazil, Argentina</v>
      </c>
      <c r="E38" s="23" t="s">
        <v>74</v>
      </c>
      <c r="F38" s="19">
        <f>'Off-farm feed'!$F$36</f>
        <v>2.5509164954964132</v>
      </c>
      <c r="G38" s="20">
        <f>'Off-farm feed'!$G$36</f>
        <v>4.2620923125915477E-2</v>
      </c>
      <c r="H38" s="20">
        <f>'Off-farm feed'!$H$36</f>
        <v>3.2959349471355036E-3</v>
      </c>
      <c r="I38" s="19">
        <f>'Off-farm feed'!$I$36</f>
        <v>2.3780487804878048E-3</v>
      </c>
      <c r="J38" s="19">
        <f>'Off-farm feed'!$J$36</f>
        <v>0.25920846302270939</v>
      </c>
      <c r="K38" s="29">
        <f>'Off-farm feed'!$K$36</f>
        <v>6.1197957373175144E-10</v>
      </c>
      <c r="L38" s="29">
        <f>'Off-farm feed'!$L$36</f>
        <v>1.0450321677831981E-4</v>
      </c>
      <c r="M38" s="197">
        <f>'Parameters, country spec'!D27</f>
        <v>9.0801007307611245E-2</v>
      </c>
    </row>
    <row r="39" spans="1:13" x14ac:dyDescent="0.3">
      <c r="B39" s="17" t="s">
        <v>187</v>
      </c>
      <c r="C39" s="17" t="s">
        <v>301</v>
      </c>
      <c r="D39" s="23" t="s">
        <v>29</v>
      </c>
      <c r="E39" s="23" t="s">
        <v>77</v>
      </c>
      <c r="F39" s="107"/>
      <c r="G39" s="108"/>
      <c r="H39" s="108"/>
      <c r="I39" s="116"/>
      <c r="J39" s="116"/>
      <c r="K39" s="116"/>
      <c r="L39" s="116"/>
      <c r="M39" s="197">
        <f>'Parameters, country spec'!D28</f>
        <v>1.8113105318221089E-2</v>
      </c>
    </row>
    <row r="40" spans="1:13" x14ac:dyDescent="0.3">
      <c r="A40" s="83"/>
      <c r="B40" s="17" t="s">
        <v>302</v>
      </c>
      <c r="C40" s="84" t="s">
        <v>303</v>
      </c>
      <c r="D40" s="23" t="s">
        <v>29</v>
      </c>
      <c r="E40" s="23" t="s">
        <v>77</v>
      </c>
      <c r="F40" s="109">
        <f t="shared" ref="F40:L40" si="2">AVERAGE(F30:F38)</f>
        <v>2.0211846148645467</v>
      </c>
      <c r="G40" s="109">
        <f t="shared" si="2"/>
        <v>2.3415168698127299E-2</v>
      </c>
      <c r="H40" s="109">
        <f t="shared" si="2"/>
        <v>3.0412335296633422E-3</v>
      </c>
      <c r="I40" s="226">
        <f>AVERAGE(I30:I38)</f>
        <v>1.0775675203776589E-3</v>
      </c>
      <c r="J40" s="226">
        <f t="shared" si="2"/>
        <v>0.45809935394494716</v>
      </c>
      <c r="K40" s="226">
        <f t="shared" si="2"/>
        <v>1.3990299057938905E-10</v>
      </c>
      <c r="L40" s="226">
        <f t="shared" si="2"/>
        <v>9.5816772100896597E-4</v>
      </c>
      <c r="M40" s="197">
        <f>'Parameters, country spec'!D29</f>
        <v>2.5284396777946184E-2</v>
      </c>
    </row>
    <row r="41" spans="1:13" x14ac:dyDescent="0.3">
      <c r="A41" s="195"/>
      <c r="B41" s="25" t="s">
        <v>304</v>
      </c>
      <c r="C41" s="26"/>
      <c r="D41" s="103"/>
      <c r="E41" s="103"/>
      <c r="F41" s="30">
        <f>SUMPRODUCT(F30:F40,M30:M40)</f>
        <v>1.4559224591784448</v>
      </c>
      <c r="G41" s="30">
        <f>SUMPRODUCT(G30:G40,M30:M40)</f>
        <v>2.5522471629216378E-2</v>
      </c>
      <c r="H41" s="30">
        <f>SUMPRODUCT(H30:H40,M30:M40)</f>
        <v>3.2398780963800939E-3</v>
      </c>
      <c r="I41" s="30">
        <f>SUMPRODUCT(I30:I40,M30:M40)</f>
        <v>8.8023199387213041E-4</v>
      </c>
      <c r="J41" s="30">
        <f>SUMPRODUCT(J30:J40,M30:M40)</f>
        <v>0.39579015557994984</v>
      </c>
      <c r="K41" s="30">
        <f>SUMPRODUCT(K30:K40,M30:M40)</f>
        <v>1.1011773830336292E-10</v>
      </c>
      <c r="L41" s="30">
        <f>SUMPRODUCT(L30:L40,M30:M40)</f>
        <v>1.2954291349888004E-3</v>
      </c>
      <c r="M41" s="198"/>
    </row>
    <row r="42" spans="1:13" x14ac:dyDescent="0.3">
      <c r="A42" s="22" t="s">
        <v>290</v>
      </c>
      <c r="B42" s="17" t="s">
        <v>173</v>
      </c>
      <c r="C42" s="17" t="s">
        <v>291</v>
      </c>
      <c r="D42" s="23" t="s">
        <v>32</v>
      </c>
      <c r="E42" s="23" t="s">
        <v>78</v>
      </c>
      <c r="F42" s="24">
        <v>3.52</v>
      </c>
      <c r="G42" s="39">
        <v>2.1000000000000001E-2</v>
      </c>
      <c r="H42" s="39">
        <v>3.0999999999999999E-3</v>
      </c>
      <c r="I42" s="28">
        <v>0</v>
      </c>
      <c r="J42" s="28">
        <v>0.16</v>
      </c>
      <c r="K42" s="28">
        <v>5.8100000000000004E-9</v>
      </c>
      <c r="L42" s="28">
        <v>1.25E-3</v>
      </c>
      <c r="M42" s="197">
        <f>'Parameters, country spec'!E19</f>
        <v>0.12227505038110943</v>
      </c>
    </row>
    <row r="43" spans="1:13" x14ac:dyDescent="0.3">
      <c r="A43" s="22" t="s">
        <v>292</v>
      </c>
      <c r="B43" s="17" t="s">
        <v>176</v>
      </c>
      <c r="C43" s="17" t="s">
        <v>291</v>
      </c>
      <c r="D43" s="23" t="s">
        <v>32</v>
      </c>
      <c r="E43" s="23" t="s">
        <v>78</v>
      </c>
      <c r="F43" s="21">
        <v>0.93</v>
      </c>
      <c r="G43" s="39">
        <v>0.02</v>
      </c>
      <c r="H43" s="39">
        <v>5.5999999999999999E-3</v>
      </c>
      <c r="I43" s="28">
        <v>0.28261914165931901</v>
      </c>
      <c r="J43" s="28">
        <v>0.05</v>
      </c>
      <c r="K43" s="28">
        <v>1.5300000000000001E-9</v>
      </c>
      <c r="L43" s="28">
        <v>1.2099999999999999E-3</v>
      </c>
      <c r="M43" s="197">
        <f>'Parameters, country spec'!E20</f>
        <v>0.36571383818682729</v>
      </c>
    </row>
    <row r="44" spans="1:13" x14ac:dyDescent="0.3">
      <c r="A44" s="22" t="s">
        <v>293</v>
      </c>
      <c r="B44" s="17" t="s">
        <v>180</v>
      </c>
      <c r="C44" s="17" t="s">
        <v>291</v>
      </c>
      <c r="D44" s="23" t="s">
        <v>32</v>
      </c>
      <c r="E44" s="23" t="s">
        <v>78</v>
      </c>
      <c r="F44" s="21">
        <v>7.57</v>
      </c>
      <c r="G44" s="39">
        <v>1.7999999999999999E-2</v>
      </c>
      <c r="H44" s="39">
        <v>3.8E-3</v>
      </c>
      <c r="I44" s="28">
        <v>0.100478034399725</v>
      </c>
      <c r="J44" s="28">
        <v>0</v>
      </c>
      <c r="K44" s="28">
        <v>1.2499999999999999E-8</v>
      </c>
      <c r="L44" s="28">
        <v>1.1000000000000001E-3</v>
      </c>
      <c r="M44" s="197">
        <f>'Parameters, country spec'!E21</f>
        <v>3.3230481611398861E-2</v>
      </c>
    </row>
    <row r="45" spans="1:13" x14ac:dyDescent="0.3">
      <c r="A45" s="22" t="s">
        <v>294</v>
      </c>
      <c r="B45" s="17" t="s">
        <v>181</v>
      </c>
      <c r="C45" s="17" t="s">
        <v>291</v>
      </c>
      <c r="D45" s="23" t="s">
        <v>32</v>
      </c>
      <c r="E45" s="23" t="s">
        <v>78</v>
      </c>
      <c r="F45" s="21">
        <v>4.92</v>
      </c>
      <c r="G45" s="39">
        <v>1.6E-2</v>
      </c>
      <c r="H45" s="39">
        <v>1.1999999999999999E-3</v>
      </c>
      <c r="I45" s="28">
        <v>0</v>
      </c>
      <c r="J45" s="28">
        <v>0</v>
      </c>
      <c r="K45" s="28">
        <v>8.1199999999999993E-9</v>
      </c>
      <c r="L45" s="28">
        <v>9.68E-4</v>
      </c>
      <c r="M45" s="197">
        <f>'Parameters, country spec'!E22</f>
        <v>7.3294724625475594E-3</v>
      </c>
    </row>
    <row r="46" spans="1:13" x14ac:dyDescent="0.3">
      <c r="A46" s="22" t="s">
        <v>295</v>
      </c>
      <c r="B46" s="17" t="s">
        <v>182</v>
      </c>
      <c r="C46" s="17" t="s">
        <v>291</v>
      </c>
      <c r="D46" s="23" t="s">
        <v>32</v>
      </c>
      <c r="E46" s="23" t="s">
        <v>78</v>
      </c>
      <c r="F46" s="21">
        <v>3.48</v>
      </c>
      <c r="G46" s="39">
        <v>2.4E-2</v>
      </c>
      <c r="H46" s="39">
        <v>2.2000000000000001E-3</v>
      </c>
      <c r="I46" s="28">
        <v>2.88183040755794E-2</v>
      </c>
      <c r="J46" s="28">
        <v>0.1</v>
      </c>
      <c r="K46" s="28">
        <v>5.7399999999999996E-9</v>
      </c>
      <c r="L46" s="28">
        <v>1.4300000000000001E-3</v>
      </c>
      <c r="M46" s="197">
        <f>'Parameters, country spec'!E23</f>
        <v>5.256160625309033E-3</v>
      </c>
    </row>
    <row r="47" spans="1:13" x14ac:dyDescent="0.3">
      <c r="A47" s="22" t="s">
        <v>296</v>
      </c>
      <c r="B47" s="17" t="s">
        <v>183</v>
      </c>
      <c r="C47" s="17" t="s">
        <v>297</v>
      </c>
      <c r="D47" s="23" t="s">
        <v>32</v>
      </c>
      <c r="E47" s="23" t="s">
        <v>78</v>
      </c>
      <c r="F47" s="21">
        <v>6.17</v>
      </c>
      <c r="G47" s="39">
        <v>3.9E-2</v>
      </c>
      <c r="H47" s="39">
        <v>1.6999999999999999E-3</v>
      </c>
      <c r="I47" s="28">
        <v>0.17626378095829701</v>
      </c>
      <c r="J47" s="28">
        <v>0.49</v>
      </c>
      <c r="K47" s="28">
        <v>1.02E-8</v>
      </c>
      <c r="L47" s="28">
        <v>0</v>
      </c>
      <c r="M47" s="197">
        <f>'Parameters, country spec'!E24</f>
        <v>1.0533673599513421E-3</v>
      </c>
    </row>
    <row r="48" spans="1:13" x14ac:dyDescent="0.3">
      <c r="A48" s="22" t="s">
        <v>298</v>
      </c>
      <c r="B48" s="17" t="s">
        <v>184</v>
      </c>
      <c r="C48" s="17" t="s">
        <v>297</v>
      </c>
      <c r="D48" s="23" t="s">
        <v>32</v>
      </c>
      <c r="E48" s="23" t="s">
        <v>78</v>
      </c>
      <c r="F48" s="21">
        <v>3.82</v>
      </c>
      <c r="G48" s="39">
        <v>0.01</v>
      </c>
      <c r="H48" s="39">
        <v>2E-3</v>
      </c>
      <c r="I48" s="28">
        <v>0.29659992963884502</v>
      </c>
      <c r="J48" s="28">
        <v>1.05</v>
      </c>
      <c r="K48" s="28">
        <v>6.3099999999999999E-9</v>
      </c>
      <c r="L48" s="28">
        <v>6.1400000000000002E-5</v>
      </c>
      <c r="M48" s="197">
        <f>'Parameters, country spec'!E25</f>
        <v>1.0347538734704405E-3</v>
      </c>
    </row>
    <row r="49" spans="1:13" x14ac:dyDescent="0.3">
      <c r="B49" s="18" t="s">
        <v>185</v>
      </c>
      <c r="C49" s="17" t="s">
        <v>299</v>
      </c>
      <c r="D49" s="23" t="str">
        <f>'Off-farm feed'!$D$88</f>
        <v>France, Germany, Poland</v>
      </c>
      <c r="E49" s="23" t="s">
        <v>74</v>
      </c>
      <c r="F49" s="19">
        <f>'Off-farm feed'!$F$88</f>
        <v>1.5397450382845088</v>
      </c>
      <c r="G49" s="20">
        <f>'Off-farm feed'!$G$88</f>
        <v>4.1115595157230206E-2</v>
      </c>
      <c r="H49" s="20">
        <f>'Off-farm feed'!$H$88</f>
        <v>4.4751668198345796E-3</v>
      </c>
      <c r="I49" s="19">
        <f>'Off-farm feed'!$I$88</f>
        <v>2.5747126436781614E-3</v>
      </c>
      <c r="J49" s="19">
        <f>'Off-farm feed'!$J$88</f>
        <v>0.29368572248181501</v>
      </c>
      <c r="K49" s="29">
        <f>'Off-farm feed'!$K$88</f>
        <v>1.777473414827503E-10</v>
      </c>
      <c r="L49" s="29">
        <f>'Off-farm feed'!$L$88</f>
        <v>2.4996062723023757E-3</v>
      </c>
      <c r="M49" s="197">
        <f>'Parameters, country spec'!E26</f>
        <v>1.1495502598072803E-3</v>
      </c>
    </row>
    <row r="50" spans="1:13" x14ac:dyDescent="0.3">
      <c r="B50" s="18" t="s">
        <v>300</v>
      </c>
      <c r="C50" s="17" t="s">
        <v>299</v>
      </c>
      <c r="D50" s="23" t="str">
        <f>'Off-farm feed'!$D$36</f>
        <v>Brazil, Argentina</v>
      </c>
      <c r="E50" s="23" t="s">
        <v>74</v>
      </c>
      <c r="F50" s="19">
        <f>'Off-farm feed'!$F$36</f>
        <v>2.5509164954964132</v>
      </c>
      <c r="G50" s="20">
        <f>'Off-farm feed'!$G$36</f>
        <v>4.2620923125915477E-2</v>
      </c>
      <c r="H50" s="20">
        <f>'Off-farm feed'!$H$36</f>
        <v>3.2959349471355036E-3</v>
      </c>
      <c r="I50" s="19">
        <f>'Off-farm feed'!$I$36</f>
        <v>2.3780487804878048E-3</v>
      </c>
      <c r="J50" s="19">
        <f>'Off-farm feed'!$J$36</f>
        <v>0.25920846302270939</v>
      </c>
      <c r="K50" s="29">
        <f>'Off-farm feed'!$K$36</f>
        <v>6.1197957373175144E-10</v>
      </c>
      <c r="L50" s="29">
        <f>'Off-farm feed'!$L$36</f>
        <v>1.0450321677831981E-4</v>
      </c>
      <c r="M50" s="197">
        <f>'Parameters, country spec'!E27</f>
        <v>0.20255815802791313</v>
      </c>
    </row>
    <row r="51" spans="1:13" x14ac:dyDescent="0.3">
      <c r="B51" s="17" t="s">
        <v>187</v>
      </c>
      <c r="C51" s="17" t="s">
        <v>301</v>
      </c>
      <c r="D51" s="23" t="s">
        <v>32</v>
      </c>
      <c r="E51" s="23" t="s">
        <v>78</v>
      </c>
      <c r="F51" s="107"/>
      <c r="G51" s="108"/>
      <c r="H51" s="108"/>
      <c r="I51" s="116"/>
      <c r="J51" s="116"/>
      <c r="K51" s="116"/>
      <c r="L51" s="116"/>
      <c r="M51" s="197">
        <f>'Parameters, country spec'!E28</f>
        <v>0.12768205188630527</v>
      </c>
    </row>
    <row r="52" spans="1:13" x14ac:dyDescent="0.3">
      <c r="A52" s="83"/>
      <c r="B52" s="17" t="s">
        <v>302</v>
      </c>
      <c r="C52" s="84" t="s">
        <v>303</v>
      </c>
      <c r="D52" s="23" t="s">
        <v>32</v>
      </c>
      <c r="E52" s="23" t="s">
        <v>78</v>
      </c>
      <c r="F52" s="109">
        <f t="shared" ref="F52:L52" si="3">AVERAGE(F42:F50)</f>
        <v>3.8334068370867689</v>
      </c>
      <c r="G52" s="109">
        <f t="shared" si="3"/>
        <v>2.5748502031460632E-2</v>
      </c>
      <c r="H52" s="109">
        <f t="shared" si="3"/>
        <v>3.0412335296633422E-3</v>
      </c>
      <c r="I52" s="226">
        <f>AVERAGE(I42:I50)</f>
        <v>9.8859105795103486E-2</v>
      </c>
      <c r="J52" s="226">
        <f t="shared" si="3"/>
        <v>0.26698824283383604</v>
      </c>
      <c r="K52" s="226">
        <f t="shared" si="3"/>
        <v>5.6666363239127222E-9</v>
      </c>
      <c r="L52" s="226">
        <f t="shared" si="3"/>
        <v>9.5816772100896597E-4</v>
      </c>
      <c r="M52" s="197">
        <f>'Parameters, country spec'!E29</f>
        <v>0.13271711532536037</v>
      </c>
    </row>
    <row r="53" spans="1:13" x14ac:dyDescent="0.3">
      <c r="A53" s="195"/>
      <c r="B53" s="25" t="s">
        <v>304</v>
      </c>
      <c r="C53" s="26"/>
      <c r="D53" s="103"/>
      <c r="E53" s="103"/>
      <c r="F53" s="30">
        <f>SUMPRODUCT(F42:F52,M42:M52)</f>
        <v>2.1141189307591493</v>
      </c>
      <c r="G53" s="30">
        <f>SUMPRODUCT(G42:G52,M42:M52)</f>
        <v>2.2872796809420497E-2</v>
      </c>
      <c r="H53" s="30">
        <f>SUMPRODUCT(H42:H52,M42:M52)</f>
        <v>3.6539318148802809E-3</v>
      </c>
      <c r="I53" s="30">
        <f>SUMPRODUCT(I42:I52,M42:M52)</f>
        <v>0.12094566487763933</v>
      </c>
      <c r="J53" s="30">
        <f>SUMPRODUCT(J42:J52,M42:M52)</f>
        <v>0.12825426233477055</v>
      </c>
      <c r="K53" s="30">
        <f>SUMPRODUCT(K42:K52,M42:M52)</f>
        <v>2.6685259688968332E-9</v>
      </c>
      <c r="L53" s="30">
        <f>SUMPRODUCT(L42:L52,M42:M52)</f>
        <v>7.9779251794928944E-4</v>
      </c>
      <c r="M53" s="198"/>
    </row>
    <row r="54" spans="1:13" x14ac:dyDescent="0.3">
      <c r="A54" s="22" t="s">
        <v>290</v>
      </c>
      <c r="B54" s="17" t="s">
        <v>173</v>
      </c>
      <c r="C54" s="17" t="s">
        <v>291</v>
      </c>
      <c r="D54" s="23" t="s">
        <v>129</v>
      </c>
      <c r="E54" s="23" t="s">
        <v>79</v>
      </c>
      <c r="F54" s="24">
        <v>1.81</v>
      </c>
      <c r="G54" s="39">
        <v>2.1000000000000001E-2</v>
      </c>
      <c r="H54" s="39">
        <v>3.0999999999999999E-3</v>
      </c>
      <c r="I54" s="28">
        <v>1.0452328693124401E-3</v>
      </c>
      <c r="J54" s="28">
        <v>0.15</v>
      </c>
      <c r="K54" s="28">
        <v>6.8900000000000002E-11</v>
      </c>
      <c r="L54" s="28">
        <v>1.25E-3</v>
      </c>
      <c r="M54" s="197">
        <f>'Parameters, country spec'!F19</f>
        <v>8.7418005626499207E-2</v>
      </c>
    </row>
    <row r="55" spans="1:13" x14ac:dyDescent="0.3">
      <c r="A55" s="22" t="s">
        <v>292</v>
      </c>
      <c r="B55" s="17" t="s">
        <v>176</v>
      </c>
      <c r="C55" s="17" t="s">
        <v>291</v>
      </c>
      <c r="D55" s="23" t="s">
        <v>129</v>
      </c>
      <c r="E55" s="23" t="s">
        <v>79</v>
      </c>
      <c r="F55" s="21">
        <v>1.32</v>
      </c>
      <c r="G55" s="39">
        <v>0.02</v>
      </c>
      <c r="H55" s="39">
        <v>5.5999999999999999E-3</v>
      </c>
      <c r="I55" s="28">
        <v>1.11447318385697E-3</v>
      </c>
      <c r="J55" s="28">
        <v>0.13</v>
      </c>
      <c r="K55" s="28">
        <v>5.0199999999999999E-11</v>
      </c>
      <c r="L55" s="28">
        <v>1.2099999999999999E-3</v>
      </c>
      <c r="M55" s="197">
        <f>'Parameters, country spec'!F20</f>
        <v>0.51851224834420662</v>
      </c>
    </row>
    <row r="56" spans="1:13" x14ac:dyDescent="0.3">
      <c r="A56" s="22" t="s">
        <v>293</v>
      </c>
      <c r="B56" s="17" t="s">
        <v>180</v>
      </c>
      <c r="C56" s="17" t="s">
        <v>291</v>
      </c>
      <c r="D56" s="23" t="s">
        <v>129</v>
      </c>
      <c r="E56" s="23" t="s">
        <v>79</v>
      </c>
      <c r="F56" s="21">
        <v>3.46</v>
      </c>
      <c r="G56" s="39">
        <v>1.7999999999999999E-2</v>
      </c>
      <c r="H56" s="39">
        <v>3.8E-3</v>
      </c>
      <c r="I56" s="28">
        <v>8.2864606852449292E-3</v>
      </c>
      <c r="J56" s="28">
        <v>0</v>
      </c>
      <c r="K56" s="28">
        <v>1.3200000000000001E-10</v>
      </c>
      <c r="L56" s="28">
        <v>1.1000000000000001E-3</v>
      </c>
      <c r="M56" s="197">
        <f>'Parameters, country spec'!F21</f>
        <v>4.6821690090770259E-2</v>
      </c>
    </row>
    <row r="57" spans="1:13" x14ac:dyDescent="0.3">
      <c r="A57" s="22" t="s">
        <v>294</v>
      </c>
      <c r="B57" s="17" t="s">
        <v>181</v>
      </c>
      <c r="C57" s="17" t="s">
        <v>291</v>
      </c>
      <c r="D57" s="23" t="s">
        <v>129</v>
      </c>
      <c r="E57" s="23" t="s">
        <v>79</v>
      </c>
      <c r="F57" s="21">
        <v>3</v>
      </c>
      <c r="G57" s="39">
        <v>1.6E-2</v>
      </c>
      <c r="H57" s="39">
        <v>1.1999999999999999E-3</v>
      </c>
      <c r="I57" s="28">
        <v>1.5128620488640199E-5</v>
      </c>
      <c r="J57" s="28">
        <v>7.0000000000000007E-2</v>
      </c>
      <c r="K57" s="28">
        <v>1.1399999999999999E-10</v>
      </c>
      <c r="L57" s="28">
        <v>9.68E-4</v>
      </c>
      <c r="M57" s="197">
        <f>'Parameters, country spec'!F22</f>
        <v>1.8197973513379373E-2</v>
      </c>
    </row>
    <row r="58" spans="1:13" x14ac:dyDescent="0.3">
      <c r="A58" s="22" t="s">
        <v>295</v>
      </c>
      <c r="B58" s="17" t="s">
        <v>182</v>
      </c>
      <c r="C58" s="17" t="s">
        <v>291</v>
      </c>
      <c r="D58" s="23" t="s">
        <v>129</v>
      </c>
      <c r="E58" s="23" t="s">
        <v>79</v>
      </c>
      <c r="F58" s="21">
        <v>1.84</v>
      </c>
      <c r="G58" s="39">
        <v>2.4E-2</v>
      </c>
      <c r="H58" s="39">
        <v>2.2000000000000001E-3</v>
      </c>
      <c r="I58" s="28">
        <v>1.8303202859960401E-3</v>
      </c>
      <c r="J58" s="28">
        <v>0.18</v>
      </c>
      <c r="K58" s="28">
        <v>6.9799999999999994E-11</v>
      </c>
      <c r="L58" s="28">
        <v>1.4300000000000001E-3</v>
      </c>
      <c r="M58" s="197">
        <f>'Parameters, country spec'!F23</f>
        <v>8.1866500320142158E-2</v>
      </c>
    </row>
    <row r="59" spans="1:13" x14ac:dyDescent="0.3">
      <c r="A59" s="22" t="s">
        <v>296</v>
      </c>
      <c r="B59" s="17" t="s">
        <v>183</v>
      </c>
      <c r="C59" s="17" t="s">
        <v>297</v>
      </c>
      <c r="D59" s="23" t="s">
        <v>129</v>
      </c>
      <c r="E59" s="23" t="s">
        <v>79</v>
      </c>
      <c r="F59" s="21">
        <v>4.21</v>
      </c>
      <c r="G59" s="39">
        <v>2.7E-2</v>
      </c>
      <c r="H59" s="39">
        <v>1.6999999999999999E-3</v>
      </c>
      <c r="I59" s="28">
        <v>7.7181929809216496E-2</v>
      </c>
      <c r="J59" s="28">
        <v>1.01</v>
      </c>
      <c r="K59" s="28">
        <v>1.5999999999999999E-10</v>
      </c>
      <c r="L59" s="28">
        <v>0</v>
      </c>
      <c r="M59" s="197">
        <f>'Parameters, country spec'!F24</f>
        <v>1.1994594385271529E-3</v>
      </c>
    </row>
    <row r="60" spans="1:13" x14ac:dyDescent="0.3">
      <c r="A60" s="22" t="s">
        <v>298</v>
      </c>
      <c r="B60" s="17" t="s">
        <v>184</v>
      </c>
      <c r="C60" s="17" t="s">
        <v>297</v>
      </c>
      <c r="D60" s="23" t="s">
        <v>129</v>
      </c>
      <c r="E60" s="23" t="s">
        <v>79</v>
      </c>
      <c r="F60" s="21">
        <v>5.26</v>
      </c>
      <c r="G60" s="39">
        <v>1.4E-2</v>
      </c>
      <c r="H60" s="39">
        <v>2E-3</v>
      </c>
      <c r="I60" s="28">
        <v>0.145412447441433</v>
      </c>
      <c r="J60" s="28">
        <v>1.01</v>
      </c>
      <c r="K60" s="28">
        <v>2.0000000000000001E-10</v>
      </c>
      <c r="L60" s="28">
        <v>6.1400000000000002E-5</v>
      </c>
      <c r="M60" s="197">
        <f>'Parameters, country spec'!F25</f>
        <v>1.1782644376318839E-3</v>
      </c>
    </row>
    <row r="61" spans="1:13" x14ac:dyDescent="0.3">
      <c r="B61" s="18" t="s">
        <v>185</v>
      </c>
      <c r="C61" s="17" t="s">
        <v>299</v>
      </c>
      <c r="D61" s="23" t="str">
        <f>'Off-farm feed'!$D$88</f>
        <v>France, Germany, Poland</v>
      </c>
      <c r="E61" s="23" t="s">
        <v>74</v>
      </c>
      <c r="F61" s="19">
        <f>'Off-farm feed'!$F$88</f>
        <v>1.5397450382845088</v>
      </c>
      <c r="G61" s="20">
        <f>'Off-farm feed'!$G$88</f>
        <v>4.1115595157230206E-2</v>
      </c>
      <c r="H61" s="20">
        <f>'Off-farm feed'!$H$88</f>
        <v>4.4751668198345796E-3</v>
      </c>
      <c r="I61" s="19">
        <f>'Off-farm feed'!$I$88</f>
        <v>2.5747126436781614E-3</v>
      </c>
      <c r="J61" s="19">
        <f>'Off-farm feed'!$J$88</f>
        <v>0.29368572248181501</v>
      </c>
      <c r="K61" s="29">
        <f>'Off-farm feed'!$K$88</f>
        <v>1.777473414827503E-10</v>
      </c>
      <c r="L61" s="29">
        <f>'Off-farm feed'!$L$88</f>
        <v>2.4996062723023757E-3</v>
      </c>
      <c r="M61" s="197">
        <f>'Parameters, country spec'!F26</f>
        <v>5.1767642112223974E-4</v>
      </c>
    </row>
    <row r="62" spans="1:13" x14ac:dyDescent="0.3">
      <c r="B62" s="18" t="s">
        <v>300</v>
      </c>
      <c r="C62" s="17" t="s">
        <v>299</v>
      </c>
      <c r="D62" s="23" t="str">
        <f>'Off-farm feed'!$D$36</f>
        <v>Brazil, Argentina</v>
      </c>
      <c r="E62" s="23" t="s">
        <v>74</v>
      </c>
      <c r="F62" s="19">
        <f>'Off-farm feed'!$F$36</f>
        <v>2.5509164954964132</v>
      </c>
      <c r="G62" s="20">
        <f>'Off-farm feed'!$G$36</f>
        <v>4.2620923125915477E-2</v>
      </c>
      <c r="H62" s="20">
        <f>'Off-farm feed'!$H$36</f>
        <v>3.2959349471355036E-3</v>
      </c>
      <c r="I62" s="19">
        <f>'Off-farm feed'!$I$36</f>
        <v>2.3780487804878048E-3</v>
      </c>
      <c r="J62" s="19">
        <f>'Off-farm feed'!$J$36</f>
        <v>0.25920846302270939</v>
      </c>
      <c r="K62" s="29">
        <f>'Off-farm feed'!$K$36</f>
        <v>6.1197957373175144E-10</v>
      </c>
      <c r="L62" s="29">
        <f>'Off-farm feed'!$L$36</f>
        <v>1.0450321677831981E-4</v>
      </c>
      <c r="M62" s="197">
        <f>'Parameters, country spec'!F27</f>
        <v>9.8710786383614704E-2</v>
      </c>
    </row>
    <row r="63" spans="1:13" x14ac:dyDescent="0.3">
      <c r="B63" s="17" t="s">
        <v>187</v>
      </c>
      <c r="C63" s="17" t="s">
        <v>301</v>
      </c>
      <c r="D63" s="23" t="s">
        <v>129</v>
      </c>
      <c r="E63" s="23" t="s">
        <v>79</v>
      </c>
      <c r="F63" s="107"/>
      <c r="G63" s="108"/>
      <c r="H63" s="108"/>
      <c r="I63" s="116"/>
      <c r="J63" s="116"/>
      <c r="K63" s="116"/>
      <c r="L63" s="116"/>
      <c r="M63" s="197">
        <f>'Parameters, country spec'!F28</f>
        <v>7.7842176173985381E-2</v>
      </c>
    </row>
    <row r="64" spans="1:13" x14ac:dyDescent="0.3">
      <c r="A64" s="83"/>
      <c r="B64" s="17" t="s">
        <v>302</v>
      </c>
      <c r="C64" s="84" t="s">
        <v>303</v>
      </c>
      <c r="D64" s="23" t="s">
        <v>129</v>
      </c>
      <c r="E64" s="23" t="s">
        <v>79</v>
      </c>
      <c r="F64" s="109">
        <f t="shared" ref="F64:L64" si="4">AVERAGE(F54:F62)</f>
        <v>2.7767401704201022</v>
      </c>
      <c r="G64" s="109">
        <f t="shared" si="4"/>
        <v>2.4859613142571745E-2</v>
      </c>
      <c r="H64" s="109">
        <f t="shared" si="4"/>
        <v>3.0412335296633422E-3</v>
      </c>
      <c r="I64" s="226">
        <f>AVERAGE(I54:I62)</f>
        <v>2.6648750479968276E-2</v>
      </c>
      <c r="J64" s="226">
        <f t="shared" si="4"/>
        <v>0.34476602061161377</v>
      </c>
      <c r="K64" s="226">
        <f t="shared" si="4"/>
        <v>1.7606965724605575E-10</v>
      </c>
      <c r="L64" s="226">
        <f t="shared" si="4"/>
        <v>9.5816772100896597E-4</v>
      </c>
      <c r="M64" s="197">
        <f>'Parameters, country spec'!F29</f>
        <v>6.7735219250121048E-2</v>
      </c>
    </row>
    <row r="65" spans="1:13" x14ac:dyDescent="0.3">
      <c r="A65" s="195"/>
      <c r="B65" s="25" t="s">
        <v>304</v>
      </c>
      <c r="C65" s="26"/>
      <c r="D65" s="103"/>
      <c r="E65" s="103"/>
      <c r="F65" s="30">
        <f>SUMPRODUCT(F54:F64,M54:M64)</f>
        <v>1.6618246492339936</v>
      </c>
      <c r="G65" s="30">
        <f>SUMPRODUCT(G54:G64,M54:M64)</f>
        <v>2.1265958956532341E-2</v>
      </c>
      <c r="H65" s="30">
        <f>SUMPRODUCT(H54:H64,M54:M64)</f>
        <v>4.0925859481225251E-3</v>
      </c>
      <c r="I65" s="30">
        <f>SUMPRODUCT(I54:I64,M54:M64)</f>
        <v>3.5123852893122797E-3</v>
      </c>
      <c r="J65" s="30">
        <f>SUMPRODUCT(J54:J64,M54:M64)</f>
        <v>0.14802212983933277</v>
      </c>
      <c r="K65" s="30">
        <f>SUMPRODUCT(K54:K64,M54:M64)</f>
        <v>1.1887641306531707E-10</v>
      </c>
      <c r="L65" s="30">
        <f>SUMPRODUCT(L54:L64,M54:M64)</f>
        <v>9.9944454848268304E-4</v>
      </c>
      <c r="M65" s="198"/>
    </row>
    <row r="66" spans="1:13" x14ac:dyDescent="0.3">
      <c r="A66" s="22" t="s">
        <v>290</v>
      </c>
      <c r="B66" s="17" t="s">
        <v>173</v>
      </c>
      <c r="C66" s="17" t="s">
        <v>291</v>
      </c>
      <c r="D66" s="23" t="s">
        <v>27</v>
      </c>
      <c r="E66" s="23" t="s">
        <v>80</v>
      </c>
      <c r="F66" s="24">
        <v>1.31</v>
      </c>
      <c r="G66" s="39">
        <v>2.1000000000000001E-2</v>
      </c>
      <c r="H66" s="39">
        <v>3.0999999999999999E-3</v>
      </c>
      <c r="I66" s="28">
        <v>0</v>
      </c>
      <c r="J66" s="28">
        <v>0.42</v>
      </c>
      <c r="K66" s="28">
        <v>4.6500000000000001E-11</v>
      </c>
      <c r="L66" s="28">
        <v>1.25E-3</v>
      </c>
      <c r="M66" s="197">
        <f>'Parameters, country spec'!G19</f>
        <v>0.30763475488022607</v>
      </c>
    </row>
    <row r="67" spans="1:13" x14ac:dyDescent="0.3">
      <c r="A67" s="22" t="s">
        <v>292</v>
      </c>
      <c r="B67" s="17" t="s">
        <v>176</v>
      </c>
      <c r="C67" s="17" t="s">
        <v>291</v>
      </c>
      <c r="D67" s="23" t="s">
        <v>27</v>
      </c>
      <c r="E67" s="23" t="s">
        <v>80</v>
      </c>
      <c r="F67" s="21"/>
      <c r="G67" s="39"/>
      <c r="H67" s="39"/>
      <c r="I67" s="28">
        <v>0</v>
      </c>
      <c r="J67" s="28"/>
      <c r="K67" s="28"/>
      <c r="L67" s="28"/>
      <c r="M67" s="197">
        <f>'Parameters, country spec'!G20</f>
        <v>8.4790139584359644E-2</v>
      </c>
    </row>
    <row r="68" spans="1:13" x14ac:dyDescent="0.3">
      <c r="A68" s="22" t="s">
        <v>293</v>
      </c>
      <c r="B68" s="17" t="s">
        <v>180</v>
      </c>
      <c r="C68" s="17" t="s">
        <v>291</v>
      </c>
      <c r="D68" s="23" t="s">
        <v>27</v>
      </c>
      <c r="E68" s="23" t="s">
        <v>80</v>
      </c>
      <c r="F68" s="21">
        <v>1.31</v>
      </c>
      <c r="G68" s="39">
        <v>1.7999999999999999E-2</v>
      </c>
      <c r="H68" s="39">
        <v>3.8E-3</v>
      </c>
      <c r="I68" s="28">
        <v>1.4889164731429301E-5</v>
      </c>
      <c r="J68" s="28">
        <v>0.39</v>
      </c>
      <c r="K68" s="28">
        <v>4.6299999999999998E-11</v>
      </c>
      <c r="L68" s="28">
        <v>1.1000000000000001E-3</v>
      </c>
      <c r="M68" s="197">
        <f>'Parameters, country spec'!G21</f>
        <v>1.77320656507646E-2</v>
      </c>
    </row>
    <row r="69" spans="1:13" x14ac:dyDescent="0.3">
      <c r="A69" s="22" t="s">
        <v>294</v>
      </c>
      <c r="B69" s="17" t="s">
        <v>181</v>
      </c>
      <c r="C69" s="17" t="s">
        <v>291</v>
      </c>
      <c r="D69" s="23" t="s">
        <v>27</v>
      </c>
      <c r="E69" s="23" t="s">
        <v>80</v>
      </c>
      <c r="F69" s="21">
        <v>3</v>
      </c>
      <c r="G69" s="39">
        <v>1.6E-2</v>
      </c>
      <c r="H69" s="39">
        <v>1.1999999999999999E-3</v>
      </c>
      <c r="I69" s="28">
        <v>0</v>
      </c>
      <c r="J69" s="28">
        <v>0</v>
      </c>
      <c r="K69" s="28">
        <v>1.06E-10</v>
      </c>
      <c r="L69" s="28">
        <v>9.68E-4</v>
      </c>
      <c r="M69" s="197">
        <f>'Parameters, country spec'!G22</f>
        <v>0</v>
      </c>
    </row>
    <row r="70" spans="1:13" x14ac:dyDescent="0.3">
      <c r="A70" s="22" t="s">
        <v>295</v>
      </c>
      <c r="B70" s="17" t="s">
        <v>182</v>
      </c>
      <c r="C70" s="17" t="s">
        <v>291</v>
      </c>
      <c r="D70" s="23" t="s">
        <v>27</v>
      </c>
      <c r="E70" s="23" t="s">
        <v>80</v>
      </c>
      <c r="F70" s="21">
        <v>1.0900000000000001</v>
      </c>
      <c r="G70" s="39">
        <v>2.4E-2</v>
      </c>
      <c r="H70" s="39">
        <v>2.2000000000000001E-3</v>
      </c>
      <c r="I70" s="28">
        <v>0</v>
      </c>
      <c r="J70" s="28">
        <v>0.54</v>
      </c>
      <c r="K70" s="28">
        <v>3.8799999999999998E-11</v>
      </c>
      <c r="L70" s="28">
        <v>1.4300000000000001E-3</v>
      </c>
      <c r="M70" s="197">
        <f>'Parameters, country spec'!G23</f>
        <v>0.13212925363733041</v>
      </c>
    </row>
    <row r="71" spans="1:13" x14ac:dyDescent="0.3">
      <c r="A71" s="22" t="s">
        <v>296</v>
      </c>
      <c r="B71" s="17" t="s">
        <v>183</v>
      </c>
      <c r="C71" s="17" t="s">
        <v>297</v>
      </c>
      <c r="D71" s="23" t="s">
        <v>27</v>
      </c>
      <c r="E71" s="23" t="s">
        <v>80</v>
      </c>
      <c r="F71" s="21">
        <v>2.64</v>
      </c>
      <c r="G71" s="39">
        <v>1.7000000000000001E-2</v>
      </c>
      <c r="H71" s="39">
        <v>1.6999999999999999E-3</v>
      </c>
      <c r="I71" s="28">
        <v>0</v>
      </c>
      <c r="J71" s="28">
        <v>0.36</v>
      </c>
      <c r="K71" s="28">
        <v>9.3600000000000005E-11</v>
      </c>
      <c r="L71" s="28">
        <v>0</v>
      </c>
      <c r="M71" s="197">
        <f>'Parameters, country spec'!G24</f>
        <v>1.3715568697676599E-3</v>
      </c>
    </row>
    <row r="72" spans="1:13" x14ac:dyDescent="0.3">
      <c r="A72" s="22" t="s">
        <v>298</v>
      </c>
      <c r="B72" s="17" t="s">
        <v>184</v>
      </c>
      <c r="C72" s="17" t="s">
        <v>297</v>
      </c>
      <c r="D72" s="23" t="s">
        <v>27</v>
      </c>
      <c r="E72" s="23" t="s">
        <v>80</v>
      </c>
      <c r="F72" s="305">
        <v>2.09</v>
      </c>
      <c r="G72" s="305">
        <v>6.0000000000000001E-3</v>
      </c>
      <c r="H72" s="305">
        <v>2E-3</v>
      </c>
      <c r="I72" s="306">
        <v>0</v>
      </c>
      <c r="J72" s="306">
        <v>0.52</v>
      </c>
      <c r="K72" s="307">
        <v>7.4000000000000003E-11</v>
      </c>
      <c r="L72" s="308">
        <v>6.1400000000000002E-5</v>
      </c>
      <c r="M72" s="197">
        <f>'Parameters, country spec'!G25</f>
        <v>1.3473208286461219E-3</v>
      </c>
    </row>
    <row r="73" spans="1:13" x14ac:dyDescent="0.3">
      <c r="B73" s="18" t="s">
        <v>185</v>
      </c>
      <c r="C73" s="17" t="s">
        <v>299</v>
      </c>
      <c r="D73" s="23" t="str">
        <f>'Off-farm feed'!$D$88</f>
        <v>France, Germany, Poland</v>
      </c>
      <c r="E73" s="23" t="s">
        <v>74</v>
      </c>
      <c r="F73" s="19">
        <f>'Off-farm feed'!$F$88</f>
        <v>1.5397450382845088</v>
      </c>
      <c r="G73" s="20">
        <f>'Off-farm feed'!$G$88</f>
        <v>4.1115595157230206E-2</v>
      </c>
      <c r="H73" s="20">
        <f>'Off-farm feed'!$H$88</f>
        <v>4.4751668198345796E-3</v>
      </c>
      <c r="I73" s="19">
        <f>'Off-farm feed'!$I$88</f>
        <v>2.5747126436781614E-3</v>
      </c>
      <c r="J73" s="19">
        <f>'Off-farm feed'!$J$88</f>
        <v>0.29368572248181501</v>
      </c>
      <c r="K73" s="29">
        <f>'Off-farm feed'!$K$88</f>
        <v>1.777473414827503E-10</v>
      </c>
      <c r="L73" s="29">
        <f>'Off-farm feed'!$L$88</f>
        <v>2.4996062723023757E-3</v>
      </c>
      <c r="M73" s="197">
        <f>'Parameters, country spec'!G26</f>
        <v>7.3430139783317777E-2</v>
      </c>
    </row>
    <row r="74" spans="1:13" x14ac:dyDescent="0.3">
      <c r="B74" s="18" t="s">
        <v>300</v>
      </c>
      <c r="C74" s="17" t="s">
        <v>299</v>
      </c>
      <c r="D74" s="23" t="str">
        <f>'Off-farm feed'!$D$36</f>
        <v>Brazil, Argentina</v>
      </c>
      <c r="E74" s="23" t="s">
        <v>74</v>
      </c>
      <c r="F74" s="19">
        <f>'Off-farm feed'!$F$36</f>
        <v>2.5509164954964132</v>
      </c>
      <c r="G74" s="20">
        <f>'Off-farm feed'!$G$36</f>
        <v>4.2620923125915477E-2</v>
      </c>
      <c r="H74" s="20">
        <f>'Off-farm feed'!$H$36</f>
        <v>3.2959349471355036E-3</v>
      </c>
      <c r="I74" s="19">
        <f>'Off-farm feed'!$I$36</f>
        <v>2.3780487804878048E-3</v>
      </c>
      <c r="J74" s="19">
        <f>'Off-farm feed'!$J$36</f>
        <v>0.25920846302270939</v>
      </c>
      <c r="K74" s="29">
        <f>'Off-farm feed'!$K$36</f>
        <v>6.1197957373175144E-10</v>
      </c>
      <c r="L74" s="29">
        <f>'Off-farm feed'!$L$36</f>
        <v>1.0450321677831981E-4</v>
      </c>
      <c r="M74" s="197">
        <f>'Parameters, country spec'!G27</f>
        <v>0.13973103889626368</v>
      </c>
    </row>
    <row r="75" spans="1:13" x14ac:dyDescent="0.3">
      <c r="B75" s="17" t="s">
        <v>187</v>
      </c>
      <c r="C75" s="17" t="s">
        <v>301</v>
      </c>
      <c r="D75" s="23" t="s">
        <v>27</v>
      </c>
      <c r="E75" s="23" t="s">
        <v>80</v>
      </c>
      <c r="F75" s="107"/>
      <c r="G75" s="108"/>
      <c r="H75" s="108"/>
      <c r="I75" s="116"/>
      <c r="J75" s="116"/>
      <c r="K75" s="116"/>
      <c r="L75" s="116"/>
      <c r="M75" s="197">
        <f>'Parameters, country spec'!G28</f>
        <v>0.13800716313225697</v>
      </c>
    </row>
    <row r="76" spans="1:13" x14ac:dyDescent="0.3">
      <c r="A76" s="83"/>
      <c r="B76" s="17" t="s">
        <v>302</v>
      </c>
      <c r="C76" s="84" t="s">
        <v>303</v>
      </c>
      <c r="D76" s="23" t="s">
        <v>27</v>
      </c>
      <c r="E76" s="23" t="s">
        <v>80</v>
      </c>
      <c r="F76" s="109">
        <f t="shared" ref="F76:L76" si="5">AVERAGE(F66:F74)</f>
        <v>1.9413326917226152</v>
      </c>
      <c r="G76" s="109">
        <f t="shared" si="5"/>
        <v>2.3217064785393211E-2</v>
      </c>
      <c r="H76" s="109">
        <f t="shared" si="5"/>
        <v>2.7213877208712603E-3</v>
      </c>
      <c r="I76" s="226">
        <f>AVERAGE(I66:I74)</f>
        <v>5.5196117654415496E-4</v>
      </c>
      <c r="J76" s="226">
        <f t="shared" si="5"/>
        <v>0.34786177318806555</v>
      </c>
      <c r="K76" s="226">
        <f t="shared" si="5"/>
        <v>1.4936586440181272E-10</v>
      </c>
      <c r="L76" s="226">
        <f t="shared" si="5"/>
        <v>9.2668868613508695E-4</v>
      </c>
      <c r="M76" s="197">
        <f>'Parameters, country spec'!G29</f>
        <v>0.1038265667370671</v>
      </c>
    </row>
    <row r="77" spans="1:13" x14ac:dyDescent="0.3">
      <c r="A77" s="195"/>
      <c r="B77" s="25" t="s">
        <v>304</v>
      </c>
      <c r="C77" s="26"/>
      <c r="D77" s="103"/>
      <c r="E77" s="103"/>
      <c r="F77" s="30">
        <f>SUMPRODUCT(F66:F76,M66:M76)</f>
        <v>1.2477560457495647</v>
      </c>
      <c r="G77" s="30">
        <f>SUMPRODUCT(G66:G76,M66:M76)</f>
        <v>2.1367147406403483E-2</v>
      </c>
      <c r="H77" s="30">
        <f>SUMPRODUCT(H66:H76,M66:M76)</f>
        <v>2.3884691191899698E-3</v>
      </c>
      <c r="I77" s="30">
        <f>SUMPRODUCT(I66:I76,M66:M76)</f>
        <v>5.7892098554995146E-4</v>
      </c>
      <c r="J77" s="30">
        <f>SUMPRODUCT(J66:J76,M66:M76)</f>
        <v>0.30256841201392037</v>
      </c>
      <c r="K77" s="30">
        <f>SUMPRODUCT(K66:K76,M66:M76)</f>
        <v>1.3455340388759561E-10</v>
      </c>
      <c r="L77" s="30">
        <f>SUMPRODUCT(L66:L76,M66:M76)</f>
        <v>8.8743995975873208E-4</v>
      </c>
      <c r="M77" s="198"/>
    </row>
    <row r="78" spans="1:13" x14ac:dyDescent="0.3">
      <c r="A78" s="22" t="s">
        <v>290</v>
      </c>
      <c r="B78" s="17" t="s">
        <v>173</v>
      </c>
      <c r="C78" s="17" t="s">
        <v>291</v>
      </c>
      <c r="D78" s="23" t="s">
        <v>33</v>
      </c>
      <c r="E78" s="23" t="s">
        <v>81</v>
      </c>
      <c r="F78" s="24">
        <v>2.41</v>
      </c>
      <c r="G78" s="39">
        <v>2.1000000000000001E-2</v>
      </c>
      <c r="H78" s="39">
        <v>3.0999999999999999E-3</v>
      </c>
      <c r="I78" s="28">
        <v>0</v>
      </c>
      <c r="J78" s="28">
        <v>0.16</v>
      </c>
      <c r="K78" s="28">
        <v>2.8400000000000001E-9</v>
      </c>
      <c r="L78" s="28">
        <v>1.25E-3</v>
      </c>
      <c r="M78" s="197">
        <f>'Parameters, country spec'!H19</f>
        <v>6.9755357742184998E-2</v>
      </c>
    </row>
    <row r="79" spans="1:13" x14ac:dyDescent="0.3">
      <c r="A79" s="22" t="s">
        <v>292</v>
      </c>
      <c r="B79" s="17" t="s">
        <v>176</v>
      </c>
      <c r="C79" s="17" t="s">
        <v>291</v>
      </c>
      <c r="D79" s="23" t="s">
        <v>33</v>
      </c>
      <c r="E79" s="23" t="s">
        <v>81</v>
      </c>
      <c r="F79" s="21">
        <v>0.97</v>
      </c>
      <c r="G79" s="39">
        <v>0.02</v>
      </c>
      <c r="H79" s="39">
        <v>5.5999999999999999E-3</v>
      </c>
      <c r="I79" s="28">
        <v>0.107875159755801</v>
      </c>
      <c r="J79" s="28">
        <v>0.19</v>
      </c>
      <c r="K79" s="28">
        <v>1.14E-9</v>
      </c>
      <c r="L79" s="28">
        <v>1.2099999999999999E-3</v>
      </c>
      <c r="M79" s="197">
        <f>'Parameters, country spec'!H20</f>
        <v>0.45612129266564322</v>
      </c>
    </row>
    <row r="80" spans="1:13" x14ac:dyDescent="0.3">
      <c r="A80" s="22" t="s">
        <v>293</v>
      </c>
      <c r="B80" s="17" t="s">
        <v>180</v>
      </c>
      <c r="C80" s="17" t="s">
        <v>291</v>
      </c>
      <c r="D80" s="23" t="s">
        <v>33</v>
      </c>
      <c r="E80" s="23" t="s">
        <v>81</v>
      </c>
      <c r="F80" s="21">
        <v>4.3099999999999996</v>
      </c>
      <c r="G80" s="39">
        <v>1.7999999999999999E-2</v>
      </c>
      <c r="H80" s="39">
        <v>3.8E-3</v>
      </c>
      <c r="I80" s="28">
        <v>7.4401097074734898E-2</v>
      </c>
      <c r="J80" s="28">
        <v>0</v>
      </c>
      <c r="K80" s="28">
        <v>5.0600000000000003E-9</v>
      </c>
      <c r="L80" s="28">
        <v>1.1000000000000001E-3</v>
      </c>
      <c r="M80" s="197">
        <f>'Parameters, country spec'!H21</f>
        <v>1.4486341810785938E-2</v>
      </c>
    </row>
    <row r="81" spans="1:13" x14ac:dyDescent="0.3">
      <c r="A81" s="22" t="s">
        <v>294</v>
      </c>
      <c r="B81" s="17" t="s">
        <v>181</v>
      </c>
      <c r="C81" s="17" t="s">
        <v>291</v>
      </c>
      <c r="D81" s="23" t="s">
        <v>33</v>
      </c>
      <c r="E81" s="23" t="s">
        <v>81</v>
      </c>
      <c r="F81" s="21">
        <v>3.11</v>
      </c>
      <c r="G81" s="39">
        <v>1.6E-2</v>
      </c>
      <c r="H81" s="39">
        <v>1.1999999999999999E-3</v>
      </c>
      <c r="I81" s="28">
        <v>0</v>
      </c>
      <c r="J81" s="28">
        <v>0</v>
      </c>
      <c r="K81" s="28">
        <v>3.65E-9</v>
      </c>
      <c r="L81" s="28">
        <v>9.68E-4</v>
      </c>
      <c r="M81" s="197">
        <f>'Parameters, country spec'!H22</f>
        <v>1.154218810875446E-3</v>
      </c>
    </row>
    <row r="82" spans="1:13" x14ac:dyDescent="0.3">
      <c r="A82" s="22" t="s">
        <v>295</v>
      </c>
      <c r="B82" s="17" t="s">
        <v>182</v>
      </c>
      <c r="C82" s="17" t="s">
        <v>291</v>
      </c>
      <c r="D82" s="23" t="s">
        <v>33</v>
      </c>
      <c r="E82" s="23" t="s">
        <v>81</v>
      </c>
      <c r="F82" s="21">
        <v>2.5299999999999998</v>
      </c>
      <c r="G82" s="39">
        <v>2.4E-2</v>
      </c>
      <c r="H82" s="39">
        <v>2.2000000000000001E-3</v>
      </c>
      <c r="I82" s="28">
        <v>1.6090387365381601E-2</v>
      </c>
      <c r="J82" s="28">
        <v>0.1</v>
      </c>
      <c r="K82" s="28">
        <v>2.98E-9</v>
      </c>
      <c r="L82" s="28">
        <v>1.4300000000000001E-3</v>
      </c>
      <c r="M82" s="197">
        <f>'Parameters, country spec'!H23</f>
        <v>6.607302843520492E-2</v>
      </c>
    </row>
    <row r="83" spans="1:13" x14ac:dyDescent="0.3">
      <c r="A83" s="22" t="s">
        <v>296</v>
      </c>
      <c r="B83" s="17" t="s">
        <v>183</v>
      </c>
      <c r="C83" s="17" t="s">
        <v>297</v>
      </c>
      <c r="D83" s="23" t="s">
        <v>33</v>
      </c>
      <c r="E83" s="23" t="s">
        <v>81</v>
      </c>
      <c r="F83" s="21">
        <v>3.42</v>
      </c>
      <c r="G83" s="39">
        <v>2.1999999999999999E-2</v>
      </c>
      <c r="H83" s="39">
        <v>1.6999999999999999E-3</v>
      </c>
      <c r="I83" s="28">
        <v>0</v>
      </c>
      <c r="J83" s="28">
        <v>0.49</v>
      </c>
      <c r="K83" s="28">
        <v>4.0199999999999998E-9</v>
      </c>
      <c r="L83" s="28">
        <v>0</v>
      </c>
      <c r="M83" s="197">
        <f>'Parameters, country spec'!H24</f>
        <v>2.8132125343424525E-3</v>
      </c>
    </row>
    <row r="84" spans="1:13" x14ac:dyDescent="0.3">
      <c r="A84" s="22" t="s">
        <v>298</v>
      </c>
      <c r="B84" s="17" t="s">
        <v>184</v>
      </c>
      <c r="C84" s="17" t="s">
        <v>297</v>
      </c>
      <c r="D84" s="23" t="s">
        <v>33</v>
      </c>
      <c r="E84" s="23" t="s">
        <v>81</v>
      </c>
      <c r="F84" s="21">
        <v>5.13</v>
      </c>
      <c r="G84" s="39">
        <v>1.2999999999999999E-2</v>
      </c>
      <c r="H84" s="39">
        <v>2E-3</v>
      </c>
      <c r="I84" s="28">
        <v>0</v>
      </c>
      <c r="J84" s="28">
        <v>1.05</v>
      </c>
      <c r="K84" s="28">
        <v>6.0200000000000003E-9</v>
      </c>
      <c r="L84" s="28">
        <v>6.1400000000000002E-5</v>
      </c>
      <c r="M84" s="197">
        <f>'Parameters, country spec'!H25</f>
        <v>2.763501773404974E-3</v>
      </c>
    </row>
    <row r="85" spans="1:13" x14ac:dyDescent="0.3">
      <c r="B85" s="18" t="s">
        <v>185</v>
      </c>
      <c r="C85" s="17" t="s">
        <v>299</v>
      </c>
      <c r="D85" s="23" t="str">
        <f>'Off-farm feed'!$D$88</f>
        <v>France, Germany, Poland</v>
      </c>
      <c r="E85" s="23" t="s">
        <v>74</v>
      </c>
      <c r="F85" s="19">
        <f>'Off-farm feed'!$F$88</f>
        <v>1.5397450382845088</v>
      </c>
      <c r="G85" s="20">
        <f>'Off-farm feed'!$G$88</f>
        <v>4.1115595157230206E-2</v>
      </c>
      <c r="H85" s="20">
        <f>'Off-farm feed'!$H$88</f>
        <v>4.4751668198345796E-3</v>
      </c>
      <c r="I85" s="19">
        <f>'Off-farm feed'!$I$88</f>
        <v>2.5747126436781614E-3</v>
      </c>
      <c r="J85" s="19">
        <f>'Off-farm feed'!$J$88</f>
        <v>0.29368572248181501</v>
      </c>
      <c r="K85" s="29">
        <f>'Off-farm feed'!$K$88</f>
        <v>1.777473414827503E-10</v>
      </c>
      <c r="L85" s="29">
        <f>'Off-farm feed'!$L$88</f>
        <v>2.4996062723023757E-3</v>
      </c>
      <c r="M85" s="197">
        <f>'Parameters, country spec'!H26</f>
        <v>4.7386628229038642E-3</v>
      </c>
    </row>
    <row r="86" spans="1:13" x14ac:dyDescent="0.3">
      <c r="B86" s="18" t="s">
        <v>300</v>
      </c>
      <c r="C86" s="17" t="s">
        <v>299</v>
      </c>
      <c r="D86" s="23" t="str">
        <f>'Off-farm feed'!$D$36</f>
        <v>Brazil, Argentina</v>
      </c>
      <c r="E86" s="23" t="s">
        <v>74</v>
      </c>
      <c r="F86" s="19">
        <f>'Off-farm feed'!$F$36</f>
        <v>2.5509164954964132</v>
      </c>
      <c r="G86" s="20">
        <f>'Off-farm feed'!$G$36</f>
        <v>4.2620923125915477E-2</v>
      </c>
      <c r="H86" s="20">
        <f>'Off-farm feed'!$H$36</f>
        <v>3.2959349471355036E-3</v>
      </c>
      <c r="I86" s="19">
        <f>'Off-farm feed'!$I$36</f>
        <v>2.3780487804878048E-3</v>
      </c>
      <c r="J86" s="19">
        <f>'Off-farm feed'!$J$36</f>
        <v>0.25920846302270939</v>
      </c>
      <c r="K86" s="29">
        <f>'Off-farm feed'!$K$36</f>
        <v>6.1197957373175144E-10</v>
      </c>
      <c r="L86" s="29">
        <f>'Off-farm feed'!$L$36</f>
        <v>1.0450321677831981E-4</v>
      </c>
      <c r="M86" s="197">
        <f>'Parameters, country spec'!H27</f>
        <v>0.11699211590575154</v>
      </c>
    </row>
    <row r="87" spans="1:13" x14ac:dyDescent="0.3">
      <c r="B87" s="17" t="s">
        <v>187</v>
      </c>
      <c r="C87" s="17" t="s">
        <v>301</v>
      </c>
      <c r="D87" s="23" t="s">
        <v>33</v>
      </c>
      <c r="E87" s="23" t="s">
        <v>81</v>
      </c>
      <c r="F87" s="107"/>
      <c r="G87" s="108"/>
      <c r="H87" s="108"/>
      <c r="I87" s="116"/>
      <c r="J87" s="116"/>
      <c r="K87" s="116"/>
      <c r="L87" s="116"/>
      <c r="M87" s="197">
        <f>'Parameters, country spec'!H28</f>
        <v>0.12350411469968688</v>
      </c>
    </row>
    <row r="88" spans="1:13" x14ac:dyDescent="0.3">
      <c r="A88" s="83"/>
      <c r="B88" s="17" t="s">
        <v>302</v>
      </c>
      <c r="C88" s="84" t="s">
        <v>303</v>
      </c>
      <c r="D88" s="23" t="s">
        <v>33</v>
      </c>
      <c r="E88" s="23" t="s">
        <v>81</v>
      </c>
      <c r="F88" s="109">
        <f t="shared" ref="F88:L88" si="6">AVERAGE(F78:F86)</f>
        <v>2.8856290593089913</v>
      </c>
      <c r="G88" s="109">
        <f t="shared" si="6"/>
        <v>2.4192946475905076E-2</v>
      </c>
      <c r="H88" s="109">
        <f t="shared" si="6"/>
        <v>3.0412335296633422E-3</v>
      </c>
      <c r="I88" s="226">
        <f>AVERAGE(I78:I86)</f>
        <v>2.2591045068898162E-2</v>
      </c>
      <c r="J88" s="226">
        <f t="shared" si="6"/>
        <v>0.28254379838939159</v>
      </c>
      <c r="K88" s="226">
        <f t="shared" si="6"/>
        <v>2.9444141016905002E-9</v>
      </c>
      <c r="L88" s="226">
        <f t="shared" si="6"/>
        <v>9.5816772100896597E-4</v>
      </c>
      <c r="M88" s="197">
        <f>'Parameters, country spec'!H29</f>
        <v>0.14159815279921578</v>
      </c>
    </row>
    <row r="89" spans="1:13" x14ac:dyDescent="0.3">
      <c r="A89" s="195"/>
      <c r="B89" s="25" t="s">
        <v>304</v>
      </c>
      <c r="C89" s="26"/>
      <c r="D89" s="103"/>
      <c r="E89" s="103"/>
      <c r="F89" s="30">
        <f>SUMPRODUCT(F78:F88,M78:M88)</f>
        <v>1.5818697279953082</v>
      </c>
      <c r="G89" s="30">
        <f>SUMPRODUCT(G78:G88,M78:M88)</f>
        <v>2.1156900353050435E-2</v>
      </c>
      <c r="H89" s="30">
        <f>SUMPRODUCT(H78:H88,M78:M88)</f>
        <v>3.8200618968149613E-3</v>
      </c>
      <c r="I89" s="30">
        <f>SUMPRODUCT(I78:I88,M78:M88)</f>
        <v>5.4834361564777549E-2</v>
      </c>
      <c r="J89" s="30">
        <f>SUMPRODUCT(J78:J88,M78:M88)</f>
        <v>0.18043606079390401</v>
      </c>
      <c r="K89" s="30">
        <f>SUMPRODUCT(K78:K88,M78:M88)</f>
        <v>1.5098029654660451E-9</v>
      </c>
      <c r="L89" s="30">
        <f>SUMPRODUCT(L78:L88,M78:M88)</f>
        <v>9.1055295390619526E-4</v>
      </c>
      <c r="M89" s="198"/>
    </row>
    <row r="90" spans="1:13" x14ac:dyDescent="0.3">
      <c r="A90" s="22" t="s">
        <v>290</v>
      </c>
      <c r="B90" s="17" t="s">
        <v>173</v>
      </c>
      <c r="C90" s="17" t="s">
        <v>291</v>
      </c>
      <c r="D90" s="23" t="s">
        <v>30</v>
      </c>
      <c r="E90" s="23" t="s">
        <v>82</v>
      </c>
      <c r="F90" s="24">
        <v>1.47</v>
      </c>
      <c r="G90" s="39">
        <v>2.1000000000000001E-2</v>
      </c>
      <c r="H90" s="39">
        <v>3.0999999999999999E-3</v>
      </c>
      <c r="I90" s="28">
        <v>0</v>
      </c>
      <c r="J90" s="28">
        <v>0.31</v>
      </c>
      <c r="K90" s="28">
        <v>3.7400000000000001E-11</v>
      </c>
      <c r="L90" s="28">
        <v>1.25E-3</v>
      </c>
      <c r="M90" s="197">
        <f>'Parameters, country spec'!I19</f>
        <v>6.5976692624369268E-2</v>
      </c>
    </row>
    <row r="91" spans="1:13" x14ac:dyDescent="0.3">
      <c r="A91" s="22" t="s">
        <v>292</v>
      </c>
      <c r="B91" s="17" t="s">
        <v>176</v>
      </c>
      <c r="C91" s="17" t="s">
        <v>291</v>
      </c>
      <c r="D91" s="23" t="s">
        <v>30</v>
      </c>
      <c r="E91" s="23" t="s">
        <v>82</v>
      </c>
      <c r="F91" s="21">
        <v>1.08</v>
      </c>
      <c r="G91" s="39">
        <v>0.02</v>
      </c>
      <c r="H91" s="39">
        <v>5.5999999999999999E-3</v>
      </c>
      <c r="I91" s="28">
        <v>1.6271234432720799E-2</v>
      </c>
      <c r="J91" s="28">
        <v>0.94</v>
      </c>
      <c r="K91" s="28">
        <v>2.76E-11</v>
      </c>
      <c r="L91" s="28">
        <v>1.2099999999999999E-3</v>
      </c>
      <c r="M91" s="197">
        <f>'Parameters, country spec'!I20</f>
        <v>0.19814107333385653</v>
      </c>
    </row>
    <row r="92" spans="1:13" x14ac:dyDescent="0.3">
      <c r="A92" s="22" t="s">
        <v>293</v>
      </c>
      <c r="B92" s="17" t="s">
        <v>180</v>
      </c>
      <c r="C92" s="17" t="s">
        <v>291</v>
      </c>
      <c r="D92" s="23" t="s">
        <v>30</v>
      </c>
      <c r="E92" s="23" t="s">
        <v>82</v>
      </c>
      <c r="F92" s="21">
        <v>1.96</v>
      </c>
      <c r="G92" s="39">
        <v>1.7999999999999999E-2</v>
      </c>
      <c r="H92" s="39">
        <v>3.8E-3</v>
      </c>
      <c r="I92" s="28">
        <v>2.4189052298800402E-3</v>
      </c>
      <c r="J92" s="28">
        <v>0.09</v>
      </c>
      <c r="K92" s="28">
        <v>5.01E-11</v>
      </c>
      <c r="L92" s="28">
        <v>1.1000000000000001E-3</v>
      </c>
      <c r="M92" s="197">
        <f>'Parameters, country spec'!I21</f>
        <v>2.1671841623166059E-3</v>
      </c>
    </row>
    <row r="93" spans="1:13" x14ac:dyDescent="0.3">
      <c r="A93" s="22" t="s">
        <v>294</v>
      </c>
      <c r="B93" s="17" t="s">
        <v>181</v>
      </c>
      <c r="C93" s="17" t="s">
        <v>291</v>
      </c>
      <c r="D93" s="23" t="s">
        <v>30</v>
      </c>
      <c r="E93" s="23" t="s">
        <v>82</v>
      </c>
      <c r="F93" s="21">
        <v>2.85</v>
      </c>
      <c r="G93" s="39">
        <v>1.6E-2</v>
      </c>
      <c r="H93" s="39">
        <v>1.1999999999999999E-3</v>
      </c>
      <c r="I93" s="28">
        <v>0</v>
      </c>
      <c r="J93" s="28">
        <v>0</v>
      </c>
      <c r="K93" s="28">
        <v>7.2700000000000005E-11</v>
      </c>
      <c r="L93" s="28">
        <v>9.68E-4</v>
      </c>
      <c r="M93" s="197">
        <f>'Parameters, country spec'!I22</f>
        <v>8.1550834411767848E-3</v>
      </c>
    </row>
    <row r="94" spans="1:13" x14ac:dyDescent="0.3">
      <c r="A94" s="22" t="s">
        <v>295</v>
      </c>
      <c r="B94" s="17" t="s">
        <v>182</v>
      </c>
      <c r="C94" s="17" t="s">
        <v>291</v>
      </c>
      <c r="D94" s="23" t="s">
        <v>30</v>
      </c>
      <c r="E94" s="23" t="s">
        <v>82</v>
      </c>
      <c r="F94" s="21">
        <v>1.1499999999999999</v>
      </c>
      <c r="G94" s="39">
        <v>2.4E-2</v>
      </c>
      <c r="H94" s="39">
        <v>2.2000000000000001E-3</v>
      </c>
      <c r="I94" s="28">
        <v>0</v>
      </c>
      <c r="J94" s="28">
        <v>0.26</v>
      </c>
      <c r="K94" s="28">
        <v>2.92E-11</v>
      </c>
      <c r="L94" s="28">
        <v>1.4300000000000001E-3</v>
      </c>
      <c r="M94" s="197">
        <f>'Parameters, country spec'!I23</f>
        <v>0.22324493125110034</v>
      </c>
    </row>
    <row r="95" spans="1:13" x14ac:dyDescent="0.3">
      <c r="A95" s="22" t="s">
        <v>296</v>
      </c>
      <c r="B95" s="17" t="s">
        <v>183</v>
      </c>
      <c r="C95" s="17" t="s">
        <v>297</v>
      </c>
      <c r="D95" s="23" t="s">
        <v>30</v>
      </c>
      <c r="E95" s="23" t="s">
        <v>82</v>
      </c>
      <c r="F95" s="21">
        <v>2</v>
      </c>
      <c r="G95" s="39">
        <v>1.2999999999999999E-2</v>
      </c>
      <c r="H95" s="39">
        <v>1.6999999999999999E-3</v>
      </c>
      <c r="I95" s="28">
        <v>0</v>
      </c>
      <c r="J95" s="28">
        <v>1.01</v>
      </c>
      <c r="K95" s="28">
        <v>5.0999999999999998E-11</v>
      </c>
      <c r="L95" s="28">
        <v>0</v>
      </c>
      <c r="M95" s="197">
        <f>'Parameters, country spec'!I24</f>
        <v>0</v>
      </c>
    </row>
    <row r="96" spans="1:13" x14ac:dyDescent="0.3">
      <c r="A96" s="22" t="s">
        <v>298</v>
      </c>
      <c r="B96" s="17" t="s">
        <v>184</v>
      </c>
      <c r="C96" s="17" t="s">
        <v>297</v>
      </c>
      <c r="D96" s="23" t="s">
        <v>30</v>
      </c>
      <c r="E96" s="23" t="s">
        <v>82</v>
      </c>
      <c r="F96" s="21">
        <v>2</v>
      </c>
      <c r="G96" s="39">
        <v>6.0000000000000001E-3</v>
      </c>
      <c r="H96" s="39">
        <v>2E-3</v>
      </c>
      <c r="I96" s="28">
        <v>0</v>
      </c>
      <c r="J96" s="28">
        <v>1.05</v>
      </c>
      <c r="K96" s="28">
        <v>5.1100000000000003E-11</v>
      </c>
      <c r="L96" s="28">
        <v>6.1400000000000002E-5</v>
      </c>
      <c r="M96" s="197">
        <f>'Parameters, country spec'!I25</f>
        <v>0</v>
      </c>
    </row>
    <row r="97" spans="1:13" x14ac:dyDescent="0.3">
      <c r="B97" s="18" t="s">
        <v>185</v>
      </c>
      <c r="C97" s="17" t="s">
        <v>299</v>
      </c>
      <c r="D97" s="23" t="str">
        <f>'Off-farm feed'!$D$88</f>
        <v>France, Germany, Poland</v>
      </c>
      <c r="E97" s="23" t="s">
        <v>74</v>
      </c>
      <c r="F97" s="19">
        <f>'Off-farm feed'!$F$88</f>
        <v>1.5397450382845088</v>
      </c>
      <c r="G97" s="20">
        <f>'Off-farm feed'!$G$88</f>
        <v>4.1115595157230206E-2</v>
      </c>
      <c r="H97" s="20">
        <f>'Off-farm feed'!$H$88</f>
        <v>4.4751668198345796E-3</v>
      </c>
      <c r="I97" s="19">
        <f>'Off-farm feed'!$I$88</f>
        <v>2.5747126436781614E-3</v>
      </c>
      <c r="J97" s="19">
        <f>'Off-farm feed'!$J$88</f>
        <v>0.29368572248181501</v>
      </c>
      <c r="K97" s="29">
        <f>'Off-farm feed'!$K$88</f>
        <v>1.777473414827503E-10</v>
      </c>
      <c r="L97" s="29">
        <f>'Off-farm feed'!$L$88</f>
        <v>2.4996062723023757E-3</v>
      </c>
      <c r="M97" s="197">
        <f>'Parameters, country spec'!I26</f>
        <v>0.12320054874364431</v>
      </c>
    </row>
    <row r="98" spans="1:13" x14ac:dyDescent="0.3">
      <c r="B98" s="18" t="s">
        <v>300</v>
      </c>
      <c r="C98" s="17" t="s">
        <v>299</v>
      </c>
      <c r="D98" s="23" t="str">
        <f>'Off-farm feed'!$D$36</f>
        <v>Brazil, Argentina</v>
      </c>
      <c r="E98" s="23" t="s">
        <v>74</v>
      </c>
      <c r="F98" s="19">
        <f>'Off-farm feed'!$F$36</f>
        <v>2.5509164954964132</v>
      </c>
      <c r="G98" s="20">
        <f>'Off-farm feed'!$G$36</f>
        <v>4.2620923125915477E-2</v>
      </c>
      <c r="H98" s="20">
        <f>'Off-farm feed'!$H$36</f>
        <v>3.2959349471355036E-3</v>
      </c>
      <c r="I98" s="19">
        <f>'Off-farm feed'!$I$36</f>
        <v>2.3780487804878048E-3</v>
      </c>
      <c r="J98" s="19">
        <f>'Off-farm feed'!$J$36</f>
        <v>0.25920846302270939</v>
      </c>
      <c r="K98" s="29">
        <f>'Off-farm feed'!$K$36</f>
        <v>6.1197957373175144E-10</v>
      </c>
      <c r="L98" s="29">
        <f>'Off-farm feed'!$L$36</f>
        <v>1.0450321677831981E-4</v>
      </c>
      <c r="M98" s="197">
        <f>'Parameters, country spec'!I27</f>
        <v>0.15910748774892908</v>
      </c>
    </row>
    <row r="99" spans="1:13" x14ac:dyDescent="0.3">
      <c r="B99" s="17" t="s">
        <v>187</v>
      </c>
      <c r="C99" s="17" t="s">
        <v>301</v>
      </c>
      <c r="D99" s="23" t="s">
        <v>30</v>
      </c>
      <c r="E99" s="23" t="s">
        <v>82</v>
      </c>
      <c r="F99" s="107"/>
      <c r="G99" s="108"/>
      <c r="H99" s="108"/>
      <c r="I99" s="116"/>
      <c r="J99" s="116"/>
      <c r="K99" s="116"/>
      <c r="L99" s="116"/>
      <c r="M99" s="197">
        <f>'Parameters, country spec'!I28</f>
        <v>1.7335418632101657E-2</v>
      </c>
    </row>
    <row r="100" spans="1:13" x14ac:dyDescent="0.3">
      <c r="A100" s="83"/>
      <c r="B100" s="17" t="s">
        <v>302</v>
      </c>
      <c r="C100" s="84" t="s">
        <v>303</v>
      </c>
      <c r="D100" s="23" t="s">
        <v>30</v>
      </c>
      <c r="E100" s="23" t="s">
        <v>82</v>
      </c>
      <c r="F100" s="109">
        <f t="shared" ref="F100:L100" si="7">AVERAGE(F90:F98)</f>
        <v>1.8445179481978802</v>
      </c>
      <c r="G100" s="109">
        <f t="shared" si="7"/>
        <v>2.2415168698127302E-2</v>
      </c>
      <c r="H100" s="109">
        <f t="shared" si="7"/>
        <v>3.0412335296633422E-3</v>
      </c>
      <c r="I100" s="226">
        <f>AVERAGE(I90:I98)</f>
        <v>2.6269890096407562E-3</v>
      </c>
      <c r="J100" s="226">
        <f t="shared" si="7"/>
        <v>0.46809935394494712</v>
      </c>
      <c r="K100" s="226">
        <f t="shared" si="7"/>
        <v>1.2320299057938908E-10</v>
      </c>
      <c r="L100" s="226">
        <f t="shared" si="7"/>
        <v>9.5816772100896597E-4</v>
      </c>
      <c r="M100" s="197">
        <f>'Parameters, country spec'!I29</f>
        <v>0.20267158006250544</v>
      </c>
    </row>
    <row r="101" spans="1:13" x14ac:dyDescent="0.3">
      <c r="A101" s="195"/>
      <c r="B101" s="25" t="s">
        <v>304</v>
      </c>
      <c r="C101" s="26"/>
      <c r="D101" s="103"/>
      <c r="E101" s="103"/>
      <c r="F101" s="30">
        <f>SUMPRODUCT(F90:F100,M90:M100)</f>
        <v>1.5645981527752544</v>
      </c>
      <c r="G101" s="30">
        <f>SUMPRODUCT(G90:G100,M90:M100)</f>
        <v>2.7265390558609826E-2</v>
      </c>
      <c r="H101" s="30">
        <f>SUMPRODUCT(H90:H100,M90:M100)</f>
        <v>3.5154005484453162E-3</v>
      </c>
      <c r="I101" s="30">
        <f>SUMPRODUCT(I90:I100,M90:M100)</f>
        <v>4.4572294592273402E-3</v>
      </c>
      <c r="J101" s="30">
        <f>SUMPRODUCT(J90:J100,M90:M100)</f>
        <v>0.43723879756027234</v>
      </c>
      <c r="K101" s="30">
        <f>SUMPRODUCT(K90:K100,M90:M100)</f>
        <v>1.5939527172107263E-10</v>
      </c>
      <c r="L101" s="30">
        <f>SUMPRODUCT(L90:L100,M90:M100)</f>
        <v>1.170513314208874E-3</v>
      </c>
      <c r="M101" s="198"/>
    </row>
    <row r="102" spans="1:13" x14ac:dyDescent="0.3">
      <c r="A102" s="22" t="s">
        <v>290</v>
      </c>
      <c r="B102" s="17" t="s">
        <v>173</v>
      </c>
      <c r="C102" s="17" t="s">
        <v>291</v>
      </c>
      <c r="D102" s="23" t="s">
        <v>28</v>
      </c>
      <c r="E102" s="23" t="s">
        <v>83</v>
      </c>
      <c r="F102" s="24">
        <v>2.64</v>
      </c>
      <c r="G102" s="39">
        <v>2.1000000000000001E-2</v>
      </c>
      <c r="H102" s="39">
        <v>3.0999999999999999E-3</v>
      </c>
      <c r="I102" s="28">
        <v>0</v>
      </c>
      <c r="J102" s="28">
        <v>0.23</v>
      </c>
      <c r="K102" s="28">
        <v>1.2E-10</v>
      </c>
      <c r="L102" s="28">
        <v>1.25E-3</v>
      </c>
      <c r="M102" s="197">
        <f>'Parameters, country spec'!J19</f>
        <v>0.16996898787594733</v>
      </c>
    </row>
    <row r="103" spans="1:13" x14ac:dyDescent="0.3">
      <c r="A103" s="22" t="s">
        <v>292</v>
      </c>
      <c r="B103" s="17" t="s">
        <v>176</v>
      </c>
      <c r="C103" s="17" t="s">
        <v>291</v>
      </c>
      <c r="D103" s="23" t="s">
        <v>28</v>
      </c>
      <c r="E103" s="23" t="s">
        <v>83</v>
      </c>
      <c r="F103" s="21">
        <v>1.52</v>
      </c>
      <c r="G103" s="39">
        <v>0.02</v>
      </c>
      <c r="H103" s="39">
        <v>5.5999999999999999E-3</v>
      </c>
      <c r="I103" s="28">
        <v>3.7403547823840698E-3</v>
      </c>
      <c r="J103" s="28">
        <v>0.13</v>
      </c>
      <c r="K103" s="28">
        <v>6.8700000000000006E-11</v>
      </c>
      <c r="L103" s="28">
        <v>1.2099999999999999E-3</v>
      </c>
      <c r="M103" s="197">
        <f>'Parameters, country spec'!J20</f>
        <v>0.23283885034476093</v>
      </c>
    </row>
    <row r="104" spans="1:13" x14ac:dyDescent="0.3">
      <c r="A104" s="22" t="s">
        <v>293</v>
      </c>
      <c r="B104" s="17" t="s">
        <v>180</v>
      </c>
      <c r="C104" s="17" t="s">
        <v>291</v>
      </c>
      <c r="D104" s="23" t="s">
        <v>28</v>
      </c>
      <c r="E104" s="23" t="s">
        <v>83</v>
      </c>
      <c r="F104" s="21">
        <v>3.56</v>
      </c>
      <c r="G104" s="39">
        <v>1.7999999999999999E-2</v>
      </c>
      <c r="H104" s="39">
        <v>3.8E-3</v>
      </c>
      <c r="I104" s="28">
        <v>8.19041835426825E-4</v>
      </c>
      <c r="J104" s="28">
        <v>0.14000000000000001</v>
      </c>
      <c r="K104" s="28">
        <v>1.6100000000000001E-10</v>
      </c>
      <c r="L104" s="28">
        <v>1.1000000000000001E-3</v>
      </c>
      <c r="M104" s="197">
        <f>'Parameters, country spec'!J21</f>
        <v>5.0904696791723991E-3</v>
      </c>
    </row>
    <row r="105" spans="1:13" x14ac:dyDescent="0.3">
      <c r="A105" s="22" t="s">
        <v>294</v>
      </c>
      <c r="B105" s="17" t="s">
        <v>181</v>
      </c>
      <c r="C105" s="17" t="s">
        <v>291</v>
      </c>
      <c r="D105" s="23" t="s">
        <v>28</v>
      </c>
      <c r="E105" s="23" t="s">
        <v>83</v>
      </c>
      <c r="F105" s="21">
        <v>3.38</v>
      </c>
      <c r="G105" s="39">
        <v>1.6E-2</v>
      </c>
      <c r="H105" s="39">
        <v>1.1999999999999999E-3</v>
      </c>
      <c r="I105" s="28">
        <v>1.87956044751104E-4</v>
      </c>
      <c r="J105" s="28">
        <v>7.0000000000000007E-2</v>
      </c>
      <c r="K105" s="28">
        <v>1.5299999999999999E-10</v>
      </c>
      <c r="L105" s="28">
        <v>9.68E-4</v>
      </c>
      <c r="M105" s="197">
        <f>'Parameters, country spec'!J22</f>
        <v>6.6462863913214348E-2</v>
      </c>
    </row>
    <row r="106" spans="1:13" x14ac:dyDescent="0.3">
      <c r="A106" s="22" t="s">
        <v>295</v>
      </c>
      <c r="B106" s="17" t="s">
        <v>182</v>
      </c>
      <c r="C106" s="17" t="s">
        <v>291</v>
      </c>
      <c r="D106" s="23" t="s">
        <v>28</v>
      </c>
      <c r="E106" s="23" t="s">
        <v>83</v>
      </c>
      <c r="F106" s="21">
        <v>2.14</v>
      </c>
      <c r="G106" s="39">
        <v>2.4E-2</v>
      </c>
      <c r="H106" s="39">
        <v>2.2000000000000001E-3</v>
      </c>
      <c r="I106" s="28">
        <v>3.9847055114357799E-4</v>
      </c>
      <c r="J106" s="28">
        <v>0.25</v>
      </c>
      <c r="K106" s="28">
        <v>9.6800000000000004E-11</v>
      </c>
      <c r="L106" s="28">
        <v>1.4300000000000001E-3</v>
      </c>
      <c r="M106" s="197">
        <f>'Parameters, country spec'!J23</f>
        <v>0.26723420141656068</v>
      </c>
    </row>
    <row r="107" spans="1:13" x14ac:dyDescent="0.3">
      <c r="A107" s="22" t="s">
        <v>296</v>
      </c>
      <c r="B107" s="17" t="s">
        <v>183</v>
      </c>
      <c r="C107" s="17" t="s">
        <v>297</v>
      </c>
      <c r="D107" s="23" t="s">
        <v>28</v>
      </c>
      <c r="E107" s="23" t="s">
        <v>83</v>
      </c>
      <c r="F107" s="21">
        <v>4.8600000000000003</v>
      </c>
      <c r="G107" s="39">
        <v>3.1E-2</v>
      </c>
      <c r="H107" s="39">
        <v>1.6999999999999999E-3</v>
      </c>
      <c r="I107" s="28">
        <v>0</v>
      </c>
      <c r="J107" s="28">
        <v>1.01</v>
      </c>
      <c r="K107" s="28">
        <v>2.1999999999999999E-10</v>
      </c>
      <c r="L107" s="28">
        <v>0</v>
      </c>
      <c r="M107" s="197">
        <f>'Parameters, country spec'!J24</f>
        <v>4.1789296546899217E-3</v>
      </c>
    </row>
    <row r="108" spans="1:13" x14ac:dyDescent="0.3">
      <c r="A108" s="22" t="s">
        <v>298</v>
      </c>
      <c r="B108" s="17" t="s">
        <v>184</v>
      </c>
      <c r="C108" s="17" t="s">
        <v>297</v>
      </c>
      <c r="D108" s="23" t="s">
        <v>28</v>
      </c>
      <c r="E108" s="23" t="s">
        <v>83</v>
      </c>
      <c r="F108" s="21">
        <v>3.93</v>
      </c>
      <c r="G108" s="39">
        <v>0.01</v>
      </c>
      <c r="H108" s="39">
        <v>2E-3</v>
      </c>
      <c r="I108" s="28">
        <v>0</v>
      </c>
      <c r="J108" s="28">
        <v>1.05</v>
      </c>
      <c r="K108" s="28">
        <v>1.7800000000000001E-10</v>
      </c>
      <c r="L108" s="28">
        <v>6.1400000000000002E-5</v>
      </c>
      <c r="M108" s="197">
        <f>'Parameters, country spec'!J25</f>
        <v>4.1050860427910675E-3</v>
      </c>
    </row>
    <row r="109" spans="1:13" x14ac:dyDescent="0.3">
      <c r="B109" s="18" t="s">
        <v>185</v>
      </c>
      <c r="C109" s="17" t="s">
        <v>299</v>
      </c>
      <c r="D109" s="23" t="str">
        <f>'Off-farm feed'!$D$88</f>
        <v>France, Germany, Poland</v>
      </c>
      <c r="E109" s="23" t="s">
        <v>74</v>
      </c>
      <c r="F109" s="19">
        <f>'Off-farm feed'!$F$88</f>
        <v>1.5397450382845088</v>
      </c>
      <c r="G109" s="20">
        <f>'Off-farm feed'!$G$88</f>
        <v>4.1115595157230206E-2</v>
      </c>
      <c r="H109" s="20">
        <f>'Off-farm feed'!$H$88</f>
        <v>4.4751668198345796E-3</v>
      </c>
      <c r="I109" s="19">
        <f>'Off-farm feed'!$I$88</f>
        <v>2.5747126436781614E-3</v>
      </c>
      <c r="J109" s="19">
        <f>'Off-farm feed'!$J$88</f>
        <v>0.29368572248181501</v>
      </c>
      <c r="K109" s="29">
        <f>'Off-farm feed'!$K$88</f>
        <v>1.777473414827503E-10</v>
      </c>
      <c r="L109" s="29">
        <f>'Off-farm feed'!$L$88</f>
        <v>2.4996062723023757E-3</v>
      </c>
      <c r="M109" s="197">
        <f>'Parameters, country spec'!J26</f>
        <v>3.0119810543340508E-2</v>
      </c>
    </row>
    <row r="110" spans="1:13" x14ac:dyDescent="0.3">
      <c r="B110" s="18" t="s">
        <v>300</v>
      </c>
      <c r="C110" s="17" t="s">
        <v>299</v>
      </c>
      <c r="D110" s="23" t="str">
        <f>'Off-farm feed'!$D$36</f>
        <v>Brazil, Argentina</v>
      </c>
      <c r="E110" s="23" t="s">
        <v>74</v>
      </c>
      <c r="F110" s="19">
        <f>'Off-farm feed'!$F$36</f>
        <v>2.5509164954964132</v>
      </c>
      <c r="G110" s="20">
        <f>'Off-farm feed'!$G$36</f>
        <v>4.2620923125915477E-2</v>
      </c>
      <c r="H110" s="20">
        <f>'Off-farm feed'!$H$36</f>
        <v>3.2959349471355036E-3</v>
      </c>
      <c r="I110" s="19">
        <f>'Off-farm feed'!$I$36</f>
        <v>2.3780487804878048E-3</v>
      </c>
      <c r="J110" s="19">
        <f>'Off-farm feed'!$J$36</f>
        <v>0.25920846302270939</v>
      </c>
      <c r="K110" s="29">
        <f>'Off-farm feed'!$K$36</f>
        <v>6.1197957373175144E-10</v>
      </c>
      <c r="L110" s="29">
        <f>'Off-farm feed'!$L$36</f>
        <v>1.0450321677831981E-4</v>
      </c>
      <c r="M110" s="197">
        <f>'Parameters, country spec'!J27</f>
        <v>0.1050568603152183</v>
      </c>
    </row>
    <row r="111" spans="1:13" x14ac:dyDescent="0.3">
      <c r="B111" s="17" t="s">
        <v>187</v>
      </c>
      <c r="C111" s="17" t="s">
        <v>301</v>
      </c>
      <c r="D111" s="23" t="s">
        <v>28</v>
      </c>
      <c r="E111" s="23" t="s">
        <v>83</v>
      </c>
      <c r="F111" s="107"/>
      <c r="G111" s="108"/>
      <c r="H111" s="108"/>
      <c r="I111" s="116"/>
      <c r="J111" s="116"/>
      <c r="K111" s="116"/>
      <c r="L111" s="116"/>
      <c r="M111" s="197">
        <f>'Parameters, country spec'!J28</f>
        <v>5.1412336687770274E-2</v>
      </c>
    </row>
    <row r="112" spans="1:13" x14ac:dyDescent="0.3">
      <c r="A112" s="83"/>
      <c r="B112" s="17" t="s">
        <v>302</v>
      </c>
      <c r="C112" s="84" t="s">
        <v>303</v>
      </c>
      <c r="D112" s="23" t="s">
        <v>28</v>
      </c>
      <c r="E112" s="23" t="s">
        <v>83</v>
      </c>
      <c r="F112" s="109">
        <f t="shared" ref="F112:L112" si="8">AVERAGE(F102:F110)</f>
        <v>2.9022957259756579</v>
      </c>
      <c r="G112" s="109">
        <f t="shared" si="8"/>
        <v>2.4859613142571745E-2</v>
      </c>
      <c r="H112" s="109">
        <f t="shared" si="8"/>
        <v>3.0412335296633422E-3</v>
      </c>
      <c r="I112" s="226">
        <f>AVERAGE(I102:I110)</f>
        <v>1.1220649597635047E-3</v>
      </c>
      <c r="J112" s="226">
        <f t="shared" si="8"/>
        <v>0.38143268727828045</v>
      </c>
      <c r="K112" s="226">
        <f t="shared" si="8"/>
        <v>1.9858076835716685E-10</v>
      </c>
      <c r="L112" s="226">
        <f t="shared" si="8"/>
        <v>9.5816772100896597E-4</v>
      </c>
      <c r="M112" s="197">
        <f>'Parameters, country spec'!J29</f>
        <v>6.3531603526534211E-2</v>
      </c>
    </row>
    <row r="113" spans="1:13" x14ac:dyDescent="0.3">
      <c r="A113" s="195"/>
      <c r="B113" s="25" t="s">
        <v>304</v>
      </c>
      <c r="C113" s="26"/>
      <c r="D113" s="103"/>
      <c r="E113" s="103"/>
      <c r="F113" s="30">
        <f>SUMPRODUCT(F102:F112,M102:M112)</f>
        <v>2.152479118063229</v>
      </c>
      <c r="G113" s="30">
        <f>SUMPRODUCT(G102:G112,M102:M112)</f>
        <v>2.3260763932701704E-2</v>
      </c>
      <c r="H113" s="30">
        <f>SUMPRODUCT(H102:H112,M102:M112)</f>
        <v>3.2073964383884943E-3</v>
      </c>
      <c r="I113" s="30">
        <f>SUMPRODUCT(I102:I112,M102:M112)</f>
        <v>1.3927130533282024E-3</v>
      </c>
      <c r="J113" s="30">
        <f>SUMPRODUCT(J102:J112,M102:M112)</f>
        <v>0.21037700950856331</v>
      </c>
      <c r="K113" s="30">
        <f>SUMPRODUCT(K102:K112,M102:M112)</f>
        <v>1.5716155538424737E-10</v>
      </c>
      <c r="L113" s="30">
        <f>SUMPRODUCT(L102:L112,M102:M112)</f>
        <v>1.0936691519512136E-3</v>
      </c>
      <c r="M113" s="198"/>
    </row>
    <row r="114" spans="1:13" x14ac:dyDescent="0.3">
      <c r="A114" s="22" t="s">
        <v>290</v>
      </c>
      <c r="B114" s="17" t="s">
        <v>173</v>
      </c>
      <c r="C114" s="17" t="s">
        <v>291</v>
      </c>
      <c r="D114" s="23" t="s">
        <v>37</v>
      </c>
      <c r="E114" s="23" t="s">
        <v>84</v>
      </c>
      <c r="F114" s="24">
        <v>3</v>
      </c>
      <c r="G114" s="39">
        <v>2.1000000000000001E-2</v>
      </c>
      <c r="H114" s="39">
        <v>3.0999999999999999E-3</v>
      </c>
      <c r="I114" s="28">
        <v>8.3690230745484803E-2</v>
      </c>
      <c r="J114" s="28">
        <v>0.16</v>
      </c>
      <c r="K114" s="28">
        <v>5.8500000000000003E-9</v>
      </c>
      <c r="L114" s="28">
        <v>1.25E-3</v>
      </c>
      <c r="M114" s="197">
        <f>'Parameters, country spec'!K19</f>
        <v>0.21894700375858384</v>
      </c>
    </row>
    <row r="115" spans="1:13" x14ac:dyDescent="0.3">
      <c r="A115" s="22" t="s">
        <v>292</v>
      </c>
      <c r="B115" s="17" t="s">
        <v>176</v>
      </c>
      <c r="C115" s="17" t="s">
        <v>291</v>
      </c>
      <c r="D115" s="23" t="s">
        <v>37</v>
      </c>
      <c r="E115" s="23" t="s">
        <v>84</v>
      </c>
      <c r="F115" s="21">
        <v>0.83</v>
      </c>
      <c r="G115" s="39">
        <v>0.02</v>
      </c>
      <c r="H115" s="39">
        <v>5.5999999999999999E-3</v>
      </c>
      <c r="I115" s="28">
        <v>0.40567118436717697</v>
      </c>
      <c r="J115" s="28">
        <v>0.05</v>
      </c>
      <c r="K115" s="28">
        <v>1.63E-9</v>
      </c>
      <c r="L115" s="28">
        <v>1.2099999999999999E-3</v>
      </c>
      <c r="M115" s="197">
        <f>'Parameters, country spec'!K20</f>
        <v>0.28877148486086363</v>
      </c>
    </row>
    <row r="116" spans="1:13" x14ac:dyDescent="0.3">
      <c r="A116" s="22" t="s">
        <v>293</v>
      </c>
      <c r="B116" s="17" t="s">
        <v>180</v>
      </c>
      <c r="C116" s="17" t="s">
        <v>291</v>
      </c>
      <c r="D116" s="23" t="s">
        <v>37</v>
      </c>
      <c r="E116" s="23" t="s">
        <v>84</v>
      </c>
      <c r="F116" s="21">
        <v>4.45</v>
      </c>
      <c r="G116" s="39">
        <v>1.7999999999999999E-2</v>
      </c>
      <c r="H116" s="39">
        <v>3.8E-3</v>
      </c>
      <c r="I116" s="28">
        <v>1.28183392190184</v>
      </c>
      <c r="J116" s="28">
        <v>0</v>
      </c>
      <c r="K116" s="28">
        <v>8.6900000000000004E-9</v>
      </c>
      <c r="L116" s="28">
        <v>1.1000000000000001E-3</v>
      </c>
      <c r="M116" s="197">
        <f>'Parameters, country spec'!K21</f>
        <v>3.4137674118133308E-2</v>
      </c>
    </row>
    <row r="117" spans="1:13" x14ac:dyDescent="0.3">
      <c r="A117" s="22" t="s">
        <v>294</v>
      </c>
      <c r="B117" s="17" t="s">
        <v>181</v>
      </c>
      <c r="C117" s="17" t="s">
        <v>291</v>
      </c>
      <c r="D117" s="23" t="s">
        <v>37</v>
      </c>
      <c r="E117" s="23" t="s">
        <v>84</v>
      </c>
      <c r="F117" s="21">
        <v>4.24</v>
      </c>
      <c r="G117" s="39">
        <v>1.6E-2</v>
      </c>
      <c r="H117" s="39">
        <v>1.1999999999999999E-3</v>
      </c>
      <c r="I117" s="28">
        <v>0</v>
      </c>
      <c r="J117" s="28">
        <v>0</v>
      </c>
      <c r="K117" s="28">
        <v>8.2800000000000004E-9</v>
      </c>
      <c r="L117" s="28">
        <v>9.68E-4</v>
      </c>
      <c r="M117" s="197">
        <f>'Parameters, country spec'!K22</f>
        <v>9.0108782601985467E-3</v>
      </c>
    </row>
    <row r="118" spans="1:13" x14ac:dyDescent="0.3">
      <c r="A118" s="22" t="s">
        <v>295</v>
      </c>
      <c r="B118" s="17" t="s">
        <v>182</v>
      </c>
      <c r="C118" s="17" t="s">
        <v>291</v>
      </c>
      <c r="D118" s="23" t="s">
        <v>37</v>
      </c>
      <c r="E118" s="23" t="s">
        <v>84</v>
      </c>
      <c r="F118" s="21">
        <v>2.81</v>
      </c>
      <c r="G118" s="39">
        <v>2.4E-2</v>
      </c>
      <c r="H118" s="39">
        <v>2.2000000000000001E-3</v>
      </c>
      <c r="I118" s="28">
        <v>4.7600961702642601E-2</v>
      </c>
      <c r="J118" s="28">
        <v>0.22</v>
      </c>
      <c r="K118" s="28">
        <v>5.4899999999999999E-9</v>
      </c>
      <c r="L118" s="28">
        <v>1.4300000000000001E-3</v>
      </c>
      <c r="M118" s="197">
        <f>'Parameters, country spec'!K23</f>
        <v>0.18547053507474909</v>
      </c>
    </row>
    <row r="119" spans="1:13" x14ac:dyDescent="0.3">
      <c r="A119" s="22" t="s">
        <v>296</v>
      </c>
      <c r="B119" s="17" t="s">
        <v>183</v>
      </c>
      <c r="C119" s="17" t="s">
        <v>297</v>
      </c>
      <c r="D119" s="23" t="s">
        <v>37</v>
      </c>
      <c r="E119" s="23" t="s">
        <v>84</v>
      </c>
      <c r="F119" s="21">
        <v>6.68</v>
      </c>
      <c r="G119" s="39">
        <v>4.2000000000000003E-2</v>
      </c>
      <c r="H119" s="39">
        <v>1.6999999999999999E-3</v>
      </c>
      <c r="I119" s="28">
        <v>9.3072167504476194E-2</v>
      </c>
      <c r="J119" s="28">
        <v>0.49</v>
      </c>
      <c r="K119" s="28">
        <v>1.3000000000000001E-8</v>
      </c>
      <c r="L119" s="28">
        <v>0</v>
      </c>
      <c r="M119" s="197">
        <f>'Parameters, country spec'!K24</f>
        <v>6.9661330661395359E-3</v>
      </c>
    </row>
    <row r="120" spans="1:13" x14ac:dyDescent="0.3">
      <c r="A120" s="22" t="s">
        <v>298</v>
      </c>
      <c r="B120" s="17" t="s">
        <v>184</v>
      </c>
      <c r="C120" s="17" t="s">
        <v>297</v>
      </c>
      <c r="D120" s="23" t="s">
        <v>37</v>
      </c>
      <c r="E120" s="23" t="s">
        <v>84</v>
      </c>
      <c r="F120" s="21">
        <v>7.73</v>
      </c>
      <c r="G120" s="39">
        <v>0.02</v>
      </c>
      <c r="H120" s="39">
        <v>2E-3</v>
      </c>
      <c r="I120" s="28">
        <v>0.14428759821834899</v>
      </c>
      <c r="J120" s="28">
        <v>1.05</v>
      </c>
      <c r="K120" s="28">
        <v>1.51E-8</v>
      </c>
      <c r="L120" s="28">
        <v>6.1400000000000002E-5</v>
      </c>
      <c r="M120" s="197">
        <f>'Parameters, country spec'!K25</f>
        <v>6.843038286368717E-3</v>
      </c>
    </row>
    <row r="121" spans="1:13" x14ac:dyDescent="0.3">
      <c r="B121" s="18" t="s">
        <v>185</v>
      </c>
      <c r="C121" s="17" t="s">
        <v>299</v>
      </c>
      <c r="D121" s="23" t="str">
        <f>'Off-farm feed'!$D$88</f>
        <v>France, Germany, Poland</v>
      </c>
      <c r="E121" s="23" t="s">
        <v>74</v>
      </c>
      <c r="F121" s="19">
        <f>'Off-farm feed'!$F$88</f>
        <v>1.5397450382845088</v>
      </c>
      <c r="G121" s="20">
        <f>'Off-farm feed'!$G$88</f>
        <v>4.1115595157230206E-2</v>
      </c>
      <c r="H121" s="20">
        <f>'Off-farm feed'!$H$88</f>
        <v>4.4751668198345796E-3</v>
      </c>
      <c r="I121" s="19">
        <f>'Off-farm feed'!$I$88</f>
        <v>2.5747126436781614E-3</v>
      </c>
      <c r="J121" s="19">
        <f>'Off-farm feed'!$J$88</f>
        <v>0.29368572248181501</v>
      </c>
      <c r="K121" s="29">
        <f>'Off-farm feed'!$K$88</f>
        <v>1.777473414827503E-10</v>
      </c>
      <c r="L121" s="29">
        <f>'Off-farm feed'!$L$88</f>
        <v>2.4996062723023757E-3</v>
      </c>
      <c r="M121" s="197">
        <f>'Parameters, country spec'!K26</f>
        <v>2.017458178365223E-2</v>
      </c>
    </row>
    <row r="122" spans="1:13" x14ac:dyDescent="0.3">
      <c r="B122" s="18" t="s">
        <v>300</v>
      </c>
      <c r="C122" s="17" t="s">
        <v>299</v>
      </c>
      <c r="D122" s="23" t="str">
        <f>'Off-farm feed'!$D$36</f>
        <v>Brazil, Argentina</v>
      </c>
      <c r="E122" s="23" t="s">
        <v>74</v>
      </c>
      <c r="F122" s="19">
        <f>'Off-farm feed'!$F$36</f>
        <v>2.5509164954964132</v>
      </c>
      <c r="G122" s="20">
        <f>'Off-farm feed'!$G$36</f>
        <v>4.2620923125915477E-2</v>
      </c>
      <c r="H122" s="20">
        <f>'Off-farm feed'!$H$36</f>
        <v>3.2959349471355036E-3</v>
      </c>
      <c r="I122" s="19">
        <f>'Off-farm feed'!$I$36</f>
        <v>2.3780487804878048E-3</v>
      </c>
      <c r="J122" s="19">
        <f>'Off-farm feed'!$J$36</f>
        <v>0.25920846302270939</v>
      </c>
      <c r="K122" s="29">
        <f>'Off-farm feed'!$K$36</f>
        <v>6.1197957373175144E-10</v>
      </c>
      <c r="L122" s="29">
        <f>'Off-farm feed'!$L$36</f>
        <v>1.0450321677831981E-4</v>
      </c>
      <c r="M122" s="197">
        <f>'Parameters, country spec'!K27</f>
        <v>0.1724593547162262</v>
      </c>
    </row>
    <row r="123" spans="1:13" x14ac:dyDescent="0.3">
      <c r="B123" s="17" t="s">
        <v>187</v>
      </c>
      <c r="C123" s="17" t="s">
        <v>301</v>
      </c>
      <c r="D123" s="23" t="s">
        <v>37</v>
      </c>
      <c r="E123" s="23" t="s">
        <v>84</v>
      </c>
      <c r="F123" s="107"/>
      <c r="G123" s="108"/>
      <c r="H123" s="108"/>
      <c r="I123" s="116"/>
      <c r="J123" s="116"/>
      <c r="K123" s="116"/>
      <c r="L123" s="116"/>
      <c r="M123" s="197">
        <f>'Parameters, country spec'!K28</f>
        <v>2.6495909583274708E-2</v>
      </c>
    </row>
    <row r="124" spans="1:13" x14ac:dyDescent="0.3">
      <c r="A124" s="83"/>
      <c r="B124" s="17" t="s">
        <v>302</v>
      </c>
      <c r="C124" s="84" t="s">
        <v>303</v>
      </c>
      <c r="D124" s="23" t="s">
        <v>37</v>
      </c>
      <c r="E124" s="23" t="s">
        <v>84</v>
      </c>
      <c r="F124" s="109">
        <f t="shared" ref="F124:L124" si="9">AVERAGE(F114:F122)</f>
        <v>3.7589623926423252</v>
      </c>
      <c r="G124" s="109">
        <f t="shared" si="9"/>
        <v>2.7192946475905075E-2</v>
      </c>
      <c r="H124" s="109">
        <f t="shared" si="9"/>
        <v>3.0412335296633422E-3</v>
      </c>
      <c r="I124" s="226">
        <f>AVERAGE(I114:I122)</f>
        <v>0.22901209176268175</v>
      </c>
      <c r="J124" s="226">
        <f t="shared" si="9"/>
        <v>0.28032157616716941</v>
      </c>
      <c r="K124" s="226">
        <f t="shared" si="9"/>
        <v>6.5366363239127219E-9</v>
      </c>
      <c r="L124" s="226">
        <f t="shared" si="9"/>
        <v>9.5816772100896597E-4</v>
      </c>
      <c r="M124" s="197">
        <f>'Parameters, country spec'!K29</f>
        <v>3.0723406491810091E-2</v>
      </c>
    </row>
    <row r="125" spans="1:13" x14ac:dyDescent="0.3">
      <c r="A125" s="195"/>
      <c r="B125" s="25" t="s">
        <v>304</v>
      </c>
      <c r="C125" s="26"/>
      <c r="D125" s="103"/>
      <c r="E125" s="103"/>
      <c r="F125" s="30">
        <f>SUMPRODUCT(F114:F124,M114:M124)</f>
        <v>2.2937240302803996</v>
      </c>
      <c r="G125" s="30">
        <f>SUMPRODUCT(G114:G124,M114:M124)</f>
        <v>2.5028026943813935E-2</v>
      </c>
      <c r="H125" s="30">
        <f>SUMPRODUCT(H114:H124,M114:M124)</f>
        <v>3.6220924095234702E-3</v>
      </c>
      <c r="I125" s="30">
        <f>SUMPRODUCT(I114:I124,M114:M124)</f>
        <v>0.19719121083525581</v>
      </c>
      <c r="J125" s="30">
        <f>SUMPRODUCT(J114:J124,M114:M124)</f>
        <v>0.16011255259374738</v>
      </c>
      <c r="K125" s="30">
        <f>SUMPRODUCT(K114:K124,M114:M124)</f>
        <v>3.6448821134678609E-9</v>
      </c>
      <c r="L125" s="30">
        <f>SUMPRODUCT(L114:L124,M114:M124)</f>
        <v>1.0329034956521109E-3</v>
      </c>
      <c r="M125" s="198"/>
    </row>
    <row r="126" spans="1:13" x14ac:dyDescent="0.3">
      <c r="A126" s="22" t="s">
        <v>290</v>
      </c>
      <c r="B126" s="17" t="s">
        <v>173</v>
      </c>
      <c r="C126" s="17" t="s">
        <v>291</v>
      </c>
      <c r="D126" s="23" t="s">
        <v>34</v>
      </c>
      <c r="E126" s="23" t="s">
        <v>85</v>
      </c>
      <c r="F126" s="24">
        <v>2.1800000000000002</v>
      </c>
      <c r="G126" s="39">
        <v>2.1000000000000001E-2</v>
      </c>
      <c r="H126" s="39">
        <v>1.5E-3</v>
      </c>
      <c r="I126" s="28">
        <v>0</v>
      </c>
      <c r="J126" s="28">
        <v>0.11</v>
      </c>
      <c r="K126" s="28">
        <v>1.7799999999999999E-11</v>
      </c>
      <c r="L126" s="28">
        <v>1.25E-3</v>
      </c>
      <c r="M126" s="197">
        <f>'Parameters, country spec'!L19</f>
        <v>0</v>
      </c>
    </row>
    <row r="127" spans="1:13" x14ac:dyDescent="0.3">
      <c r="A127" s="22" t="s">
        <v>292</v>
      </c>
      <c r="B127" s="17" t="s">
        <v>176</v>
      </c>
      <c r="C127" s="17" t="s">
        <v>291</v>
      </c>
      <c r="D127" s="23" t="s">
        <v>34</v>
      </c>
      <c r="E127" s="23" t="s">
        <v>85</v>
      </c>
      <c r="F127" s="21">
        <v>1.51</v>
      </c>
      <c r="G127" s="39">
        <v>0.02</v>
      </c>
      <c r="H127" s="39">
        <v>5.5999999999999999E-3</v>
      </c>
      <c r="I127" s="28">
        <v>0</v>
      </c>
      <c r="J127" s="28">
        <v>0.02</v>
      </c>
      <c r="K127" s="28">
        <v>1.23E-11</v>
      </c>
      <c r="L127" s="28">
        <v>1.2099999999999999E-3</v>
      </c>
      <c r="M127" s="197">
        <f>'Parameters, country spec'!L20</f>
        <v>2.9000000000000001E-2</v>
      </c>
    </row>
    <row r="128" spans="1:13" x14ac:dyDescent="0.3">
      <c r="A128" s="22" t="s">
        <v>293</v>
      </c>
      <c r="B128" s="17" t="s">
        <v>180</v>
      </c>
      <c r="C128" s="17" t="s">
        <v>291</v>
      </c>
      <c r="D128" s="23" t="s">
        <v>34</v>
      </c>
      <c r="E128" s="23" t="s">
        <v>85</v>
      </c>
      <c r="F128" s="21">
        <v>2.5499999999999998</v>
      </c>
      <c r="G128" s="39">
        <v>1.7999999999999999E-2</v>
      </c>
      <c r="H128" s="39">
        <v>3.8E-3</v>
      </c>
      <c r="I128" s="28">
        <v>3.2864863213405697E-4</v>
      </c>
      <c r="J128" s="28">
        <v>0.11</v>
      </c>
      <c r="K128" s="28">
        <v>2.0799999999999999E-11</v>
      </c>
      <c r="L128" s="28">
        <v>1.1000000000000001E-3</v>
      </c>
      <c r="M128" s="197">
        <f>'Parameters, country spec'!L21</f>
        <v>4.9000000000000002E-2</v>
      </c>
    </row>
    <row r="129" spans="1:14" x14ac:dyDescent="0.3">
      <c r="A129" s="22" t="s">
        <v>294</v>
      </c>
      <c r="B129" s="17" t="s">
        <v>181</v>
      </c>
      <c r="C129" s="17" t="s">
        <v>291</v>
      </c>
      <c r="D129" s="23" t="s">
        <v>34</v>
      </c>
      <c r="E129" s="23" t="s">
        <v>85</v>
      </c>
      <c r="F129" s="21">
        <v>1.68</v>
      </c>
      <c r="G129" s="39">
        <v>1.6E-2</v>
      </c>
      <c r="H129" s="39">
        <v>1.1999999999999999E-3</v>
      </c>
      <c r="I129" s="28">
        <v>0</v>
      </c>
      <c r="J129" s="28">
        <v>0.16</v>
      </c>
      <c r="K129" s="28">
        <v>1.37E-11</v>
      </c>
      <c r="L129" s="28">
        <v>9.68E-4</v>
      </c>
      <c r="M129" s="197">
        <f>'Parameters, country spec'!L22</f>
        <v>0</v>
      </c>
    </row>
    <row r="130" spans="1:14" x14ac:dyDescent="0.3">
      <c r="A130" s="22" t="s">
        <v>295</v>
      </c>
      <c r="B130" s="17" t="s">
        <v>182</v>
      </c>
      <c r="C130" s="17" t="s">
        <v>291</v>
      </c>
      <c r="D130" s="23" t="s">
        <v>34</v>
      </c>
      <c r="E130" s="23" t="s">
        <v>85</v>
      </c>
      <c r="F130" s="21">
        <v>1.54</v>
      </c>
      <c r="G130" s="39">
        <v>2.4E-2</v>
      </c>
      <c r="H130" s="39">
        <v>2.2000000000000001E-3</v>
      </c>
      <c r="I130" s="28">
        <v>0</v>
      </c>
      <c r="J130" s="28">
        <v>0.11</v>
      </c>
      <c r="K130" s="28">
        <v>1.25E-11</v>
      </c>
      <c r="L130" s="28">
        <v>1.4300000000000001E-3</v>
      </c>
      <c r="M130" s="197">
        <f>'Parameters, country spec'!L23</f>
        <v>0.59099999999999997</v>
      </c>
    </row>
    <row r="131" spans="1:14" x14ac:dyDescent="0.3">
      <c r="A131" s="22" t="s">
        <v>296</v>
      </c>
      <c r="B131" s="17" t="s">
        <v>183</v>
      </c>
      <c r="C131" s="17" t="s">
        <v>297</v>
      </c>
      <c r="D131" s="23" t="s">
        <v>34</v>
      </c>
      <c r="E131" s="23" t="s">
        <v>85</v>
      </c>
      <c r="F131" s="21">
        <v>3.38</v>
      </c>
      <c r="G131" s="39">
        <v>2.1000000000000001E-2</v>
      </c>
      <c r="H131" s="39">
        <v>1.6999999999999999E-3</v>
      </c>
      <c r="I131" s="28">
        <v>0</v>
      </c>
      <c r="J131" s="28">
        <v>0.2</v>
      </c>
      <c r="K131" s="28">
        <v>2.7499999999999999E-11</v>
      </c>
      <c r="L131" s="28">
        <v>0</v>
      </c>
      <c r="M131" s="197">
        <f>'Parameters, country spec'!L24</f>
        <v>0</v>
      </c>
    </row>
    <row r="132" spans="1:14" x14ac:dyDescent="0.3">
      <c r="A132" s="22" t="s">
        <v>298</v>
      </c>
      <c r="B132" s="17" t="s">
        <v>184</v>
      </c>
      <c r="C132" s="17" t="s">
        <v>297</v>
      </c>
      <c r="D132" s="23" t="s">
        <v>34</v>
      </c>
      <c r="E132" s="23" t="s">
        <v>85</v>
      </c>
      <c r="F132" s="21">
        <v>5.05</v>
      </c>
      <c r="G132" s="39">
        <v>1.2999999999999999E-2</v>
      </c>
      <c r="H132" s="39">
        <v>2E-3</v>
      </c>
      <c r="I132" s="28">
        <v>0</v>
      </c>
      <c r="J132" s="28">
        <v>0.31</v>
      </c>
      <c r="K132" s="28">
        <v>4.1199999999999997E-11</v>
      </c>
      <c r="L132" s="28">
        <v>6.1400000000000002E-5</v>
      </c>
      <c r="M132" s="197">
        <f>'Parameters, country spec'!L25</f>
        <v>0</v>
      </c>
    </row>
    <row r="133" spans="1:14" x14ac:dyDescent="0.3">
      <c r="B133" s="18" t="s">
        <v>185</v>
      </c>
      <c r="C133" s="17" t="s">
        <v>299</v>
      </c>
      <c r="D133" s="23" t="str">
        <f>'Off-farm feed'!$D$88</f>
        <v>France, Germany, Poland</v>
      </c>
      <c r="E133" s="23" t="s">
        <v>74</v>
      </c>
      <c r="F133" s="19">
        <f>'Off-farm feed'!$F$88</f>
        <v>1.5397450382845088</v>
      </c>
      <c r="G133" s="20">
        <f>'Off-farm feed'!$G$88</f>
        <v>4.1115595157230206E-2</v>
      </c>
      <c r="H133" s="20">
        <f>'Off-farm feed'!$H$88</f>
        <v>4.4751668198345796E-3</v>
      </c>
      <c r="I133" s="19">
        <f>'Off-farm feed'!$I$88</f>
        <v>2.5747126436781614E-3</v>
      </c>
      <c r="J133" s="19">
        <f>'Off-farm feed'!$J$88</f>
        <v>0.29368572248181501</v>
      </c>
      <c r="K133" s="29">
        <f>'Off-farm feed'!$K$88</f>
        <v>1.777473414827503E-10</v>
      </c>
      <c r="L133" s="29">
        <f>'Off-farm feed'!$L$88</f>
        <v>2.4996062723023757E-3</v>
      </c>
      <c r="M133" s="197">
        <f>'Parameters, country spec'!L26</f>
        <v>6.8000000000000005E-2</v>
      </c>
    </row>
    <row r="134" spans="1:14" x14ac:dyDescent="0.3">
      <c r="B134" s="18" t="s">
        <v>300</v>
      </c>
      <c r="C134" s="17" t="s">
        <v>299</v>
      </c>
      <c r="D134" s="23" t="str">
        <f>'Off-farm feed'!$D$36</f>
        <v>Brazil, Argentina</v>
      </c>
      <c r="E134" s="23" t="s">
        <v>74</v>
      </c>
      <c r="F134" s="19">
        <f>'Off-farm feed'!$F$36</f>
        <v>2.5509164954964132</v>
      </c>
      <c r="G134" s="20">
        <f>'Off-farm feed'!$G$36</f>
        <v>4.2620923125915477E-2</v>
      </c>
      <c r="H134" s="20">
        <f>'Off-farm feed'!$H$36</f>
        <v>3.2959349471355036E-3</v>
      </c>
      <c r="I134" s="19">
        <f>'Off-farm feed'!$I$36</f>
        <v>2.3780487804878048E-3</v>
      </c>
      <c r="J134" s="19">
        <f>'Off-farm feed'!$J$36</f>
        <v>0.25920846302270939</v>
      </c>
      <c r="K134" s="29">
        <f>'Off-farm feed'!$K$36</f>
        <v>6.1197957373175144E-10</v>
      </c>
      <c r="L134" s="29">
        <f>'Off-farm feed'!$L$36</f>
        <v>1.0450321677831981E-4</v>
      </c>
      <c r="M134" s="197">
        <f>'Parameters, country spec'!L27</f>
        <v>0.186</v>
      </c>
    </row>
    <row r="135" spans="1:14" x14ac:dyDescent="0.3">
      <c r="B135" s="17" t="s">
        <v>187</v>
      </c>
      <c r="C135" s="17" t="s">
        <v>301</v>
      </c>
      <c r="D135" s="23" t="s">
        <v>34</v>
      </c>
      <c r="E135" s="23" t="s">
        <v>85</v>
      </c>
      <c r="F135" s="107"/>
      <c r="G135" s="108"/>
      <c r="H135" s="108"/>
      <c r="I135" s="116"/>
      <c r="J135" s="116"/>
      <c r="K135" s="116"/>
      <c r="L135" s="116"/>
      <c r="M135" s="197">
        <f>'Parameters, country spec'!L28</f>
        <v>0</v>
      </c>
    </row>
    <row r="136" spans="1:14" x14ac:dyDescent="0.3">
      <c r="A136" s="83"/>
      <c r="B136" s="17" t="s">
        <v>302</v>
      </c>
      <c r="C136" s="84" t="s">
        <v>303</v>
      </c>
      <c r="D136" s="23" t="s">
        <v>34</v>
      </c>
      <c r="E136" s="23" t="s">
        <v>85</v>
      </c>
      <c r="F136" s="109">
        <f t="shared" ref="F136:L136" si="10">AVERAGE(F126:F134)</f>
        <v>2.4422957259756579</v>
      </c>
      <c r="G136" s="109">
        <f t="shared" si="10"/>
        <v>2.4081835364793965E-2</v>
      </c>
      <c r="H136" s="109">
        <f t="shared" si="10"/>
        <v>2.8634557518855647E-3</v>
      </c>
      <c r="I136" s="226">
        <f>AVERAGE(I126:I134)</f>
        <v>5.868233395888915E-4</v>
      </c>
      <c r="J136" s="226">
        <f t="shared" si="10"/>
        <v>0.17476602061161384</v>
      </c>
      <c r="K136" s="226">
        <f t="shared" si="10"/>
        <v>1.0394743502383353E-10</v>
      </c>
      <c r="L136" s="226">
        <f t="shared" si="10"/>
        <v>9.5816772100896597E-4</v>
      </c>
      <c r="M136" s="197">
        <f>'Parameters, country spec'!L29</f>
        <v>7.7000000000000179E-2</v>
      </c>
    </row>
    <row r="137" spans="1:14" x14ac:dyDescent="0.3">
      <c r="A137" s="195"/>
      <c r="B137" s="25" t="s">
        <v>304</v>
      </c>
      <c r="C137" s="26"/>
      <c r="D137" s="103"/>
      <c r="E137" s="103"/>
      <c r="F137" s="30">
        <f>SUMPRODUCT(F126:F136,M126:M136)</f>
        <v>1.8461099016658056</v>
      </c>
      <c r="G137" s="30">
        <f>SUMPRODUCT(G126:G136,M126:M136)</f>
        <v>2.8223653495201076E-2</v>
      </c>
      <c r="H137" s="30">
        <f>SUMPRODUCT(H126:H136,M126:M136)</f>
        <v>2.7866413368111444E-3</v>
      </c>
      <c r="I137" s="30">
        <f>SUMPRODUCT(I126:I136,M126:M136)</f>
        <v>6.7868671306376012E-4</v>
      </c>
      <c r="J137" s="30">
        <f>SUMPRODUCT(J126:J136,M126:M136)</f>
        <v>0.15262038683808166</v>
      </c>
      <c r="K137" s="30">
        <f>SUMPRODUCT(K126:K136,M126:M136)</f>
        <v>1.4268237243176798E-10</v>
      </c>
      <c r="L137" s="30">
        <f>SUMPRODUCT(L126:L136,M126:M136)</f>
        <v>1.1973097393550196E-3</v>
      </c>
      <c r="M137" s="198"/>
    </row>
    <row r="138" spans="1:14" x14ac:dyDescent="0.3">
      <c r="A138" s="22" t="s">
        <v>290</v>
      </c>
      <c r="B138" s="17" t="s">
        <v>173</v>
      </c>
      <c r="C138" s="17" t="s">
        <v>291</v>
      </c>
      <c r="D138" s="23" t="s">
        <v>26</v>
      </c>
      <c r="E138" s="23" t="s">
        <v>86</v>
      </c>
      <c r="F138" s="24">
        <v>1.6319336782153173</v>
      </c>
      <c r="G138" s="39">
        <v>2.0506108202443279E-2</v>
      </c>
      <c r="H138" s="39">
        <v>3.0541012216404886E-3</v>
      </c>
      <c r="I138" s="28">
        <v>3.77221836632074E-5</v>
      </c>
      <c r="J138" s="28">
        <v>0.15887290167865709</v>
      </c>
      <c r="K138" s="28">
        <v>3.1861554687021772E-9</v>
      </c>
      <c r="L138" s="28">
        <v>1.246660701063081E-3</v>
      </c>
      <c r="M138" s="197">
        <f>'Parameters, country spec'!M19</f>
        <v>0.24290688316534448</v>
      </c>
    </row>
    <row r="139" spans="1:14" x14ac:dyDescent="0.3">
      <c r="A139" s="22" t="s">
        <v>292</v>
      </c>
      <c r="B139" s="17" t="s">
        <v>176</v>
      </c>
      <c r="C139" s="17" t="s">
        <v>291</v>
      </c>
      <c r="D139" s="23" t="s">
        <v>26</v>
      </c>
      <c r="E139" s="23" t="s">
        <v>86</v>
      </c>
      <c r="F139" s="21">
        <v>5.0505050505050502</v>
      </c>
      <c r="G139" s="39">
        <v>1.3131313131313131E-2</v>
      </c>
      <c r="H139" s="39">
        <v>2.0202020202020202E-3</v>
      </c>
      <c r="I139" s="28">
        <v>0</v>
      </c>
      <c r="J139" s="28">
        <v>3.0808080808080806E-7</v>
      </c>
      <c r="K139" s="28">
        <v>2.1607108620310969E-15</v>
      </c>
      <c r="L139" s="28">
        <v>2.5791649629730588E-5</v>
      </c>
      <c r="M139" s="197">
        <f>'Parameters, country spec'!M20</f>
        <v>1.1405036092928852E-2</v>
      </c>
      <c r="N139" t="s">
        <v>452</v>
      </c>
    </row>
    <row r="140" spans="1:14" x14ac:dyDescent="0.3">
      <c r="A140" s="22" t="s">
        <v>293</v>
      </c>
      <c r="B140" s="17" t="s">
        <v>180</v>
      </c>
      <c r="C140" s="17" t="s">
        <v>291</v>
      </c>
      <c r="D140" s="23" t="s">
        <v>26</v>
      </c>
      <c r="E140" s="23" t="s">
        <v>86</v>
      </c>
      <c r="F140" s="21">
        <v>1.8627385236679557</v>
      </c>
      <c r="G140" s="39">
        <v>1.8075356415478614E-2</v>
      </c>
      <c r="H140" s="39">
        <v>3.8187372708757641E-3</v>
      </c>
      <c r="I140" s="28">
        <v>3.3802236745868902E-3</v>
      </c>
      <c r="J140" s="28">
        <v>0</v>
      </c>
      <c r="K140" s="28">
        <v>3.6367743451666279E-9</v>
      </c>
      <c r="L140" s="28">
        <v>1.098884111915529E-3</v>
      </c>
      <c r="M140" s="197">
        <f>'Parameters, country spec'!M21</f>
        <v>2.6784717007595302E-2</v>
      </c>
    </row>
    <row r="141" spans="1:14" x14ac:dyDescent="0.3">
      <c r="A141" s="22" t="s">
        <v>294</v>
      </c>
      <c r="B141" s="17" t="s">
        <v>181</v>
      </c>
      <c r="C141" s="17" t="s">
        <v>291</v>
      </c>
      <c r="D141" s="23" t="s">
        <v>26</v>
      </c>
      <c r="E141" s="23" t="s">
        <v>86</v>
      </c>
      <c r="F141" s="21">
        <v>3.7103548583386519</v>
      </c>
      <c r="G141" s="39">
        <v>1.5923566878980892E-2</v>
      </c>
      <c r="H141" s="39">
        <v>1.1733154542406972E-3</v>
      </c>
      <c r="I141" s="28">
        <v>0</v>
      </c>
      <c r="J141" s="28">
        <v>0</v>
      </c>
      <c r="K141" s="28">
        <v>7.2440244236209842E-9</v>
      </c>
      <c r="L141" s="28">
        <v>9.6806692195303612E-4</v>
      </c>
      <c r="M141" s="197">
        <f>'Parameters, country spec'!M22</f>
        <v>1.2703483591450424E-3</v>
      </c>
    </row>
    <row r="142" spans="1:14" x14ac:dyDescent="0.3">
      <c r="A142" s="22" t="s">
        <v>295</v>
      </c>
      <c r="B142" s="17" t="s">
        <v>182</v>
      </c>
      <c r="C142" s="17" t="s">
        <v>291</v>
      </c>
      <c r="D142" s="23" t="s">
        <v>26</v>
      </c>
      <c r="E142" s="23" t="s">
        <v>86</v>
      </c>
      <c r="F142" s="21">
        <v>1.2579755650826239</v>
      </c>
      <c r="G142" s="39">
        <v>2.350591488707943E-2</v>
      </c>
      <c r="H142" s="39">
        <v>2.150868028883085E-3</v>
      </c>
      <c r="I142" s="28">
        <v>1E-3</v>
      </c>
      <c r="J142" s="28">
        <v>0.53529283216783219</v>
      </c>
      <c r="K142" s="28">
        <v>6.1317982506461337E-11</v>
      </c>
      <c r="L142" s="28">
        <v>1.4290327566282921E-3</v>
      </c>
      <c r="M142" s="197">
        <f>'Parameters, country spec'!M23</f>
        <v>0.36306225085662319</v>
      </c>
    </row>
    <row r="143" spans="1:14" x14ac:dyDescent="0.3">
      <c r="A143" s="22" t="s">
        <v>296</v>
      </c>
      <c r="B143" s="17" t="s">
        <v>183</v>
      </c>
      <c r="C143" s="17" t="s">
        <v>297</v>
      </c>
      <c r="D143" s="23" t="s">
        <v>26</v>
      </c>
      <c r="E143" s="23" t="s">
        <v>86</v>
      </c>
      <c r="F143" s="21">
        <v>3.7103548583386519</v>
      </c>
      <c r="G143" s="39">
        <v>1.5923566878980892E-2</v>
      </c>
      <c r="H143" s="39">
        <v>1.1733154542406972E-3</v>
      </c>
      <c r="I143" s="28">
        <v>0</v>
      </c>
      <c r="J143" s="28">
        <v>0</v>
      </c>
      <c r="K143" s="28">
        <v>7.2440244236209842E-9</v>
      </c>
      <c r="L143" s="28">
        <v>9.6806692195303612E-4</v>
      </c>
      <c r="M143" s="197">
        <f>'Parameters, country spec'!M24</f>
        <v>6.0909129056991628E-3</v>
      </c>
    </row>
    <row r="144" spans="1:14" x14ac:dyDescent="0.3">
      <c r="A144" s="22" t="s">
        <v>298</v>
      </c>
      <c r="B144" s="17" t="s">
        <v>184</v>
      </c>
      <c r="C144" s="17" t="s">
        <v>297</v>
      </c>
      <c r="D144" s="23" t="s">
        <v>26</v>
      </c>
      <c r="E144" s="23" t="s">
        <v>86</v>
      </c>
      <c r="F144" s="21">
        <v>2.8810805204383856</v>
      </c>
      <c r="G144" s="39">
        <v>7.9246942591531359E-3</v>
      </c>
      <c r="H144" s="39">
        <v>2.0202020202020202E-3</v>
      </c>
      <c r="I144" s="28">
        <v>0</v>
      </c>
      <c r="J144" s="28">
        <v>1.0524551341223105</v>
      </c>
      <c r="K144" s="28">
        <v>5.6249653883023324E-9</v>
      </c>
      <c r="L144" s="28">
        <v>6.1408689594596641E-5</v>
      </c>
      <c r="M144" s="197">
        <f>'Parameters, country spec'!M25</f>
        <v>5.9832836689627722E-3</v>
      </c>
    </row>
    <row r="145" spans="1:13" x14ac:dyDescent="0.3">
      <c r="B145" s="18" t="s">
        <v>185</v>
      </c>
      <c r="C145" s="17" t="s">
        <v>299</v>
      </c>
      <c r="D145" s="23" t="str">
        <f>'Off-farm feed'!$D$88</f>
        <v>France, Germany, Poland</v>
      </c>
      <c r="E145" s="23" t="s">
        <v>74</v>
      </c>
      <c r="F145" s="19">
        <f>'Off-farm feed'!$F$88</f>
        <v>1.5397450382845088</v>
      </c>
      <c r="G145" s="20">
        <f>'Off-farm feed'!$G$88</f>
        <v>4.1115595157230206E-2</v>
      </c>
      <c r="H145" s="20">
        <f>'Off-farm feed'!$H$88</f>
        <v>4.4751668198345796E-3</v>
      </c>
      <c r="I145" s="19">
        <f>'Off-farm feed'!$I$88</f>
        <v>2.5747126436781614E-3</v>
      </c>
      <c r="J145" s="19">
        <f>'Off-farm feed'!$J$88</f>
        <v>0.29368572248181501</v>
      </c>
      <c r="K145" s="29">
        <f>'Off-farm feed'!$K$88</f>
        <v>1.777473414827503E-10</v>
      </c>
      <c r="L145" s="29">
        <f>'Off-farm feed'!$L$88</f>
        <v>2.4996062723023757E-3</v>
      </c>
      <c r="M145" s="197">
        <f>'Parameters, country spec'!M26</f>
        <v>9.4633897453147445E-2</v>
      </c>
    </row>
    <row r="146" spans="1:13" x14ac:dyDescent="0.3">
      <c r="B146" s="18" t="s">
        <v>300</v>
      </c>
      <c r="C146" s="17" t="s">
        <v>299</v>
      </c>
      <c r="D146" s="23" t="str">
        <f>'Off-farm feed'!$D$36</f>
        <v>Brazil, Argentina</v>
      </c>
      <c r="E146" s="23" t="s">
        <v>74</v>
      </c>
      <c r="F146" s="19">
        <f>'Off-farm feed'!$F$36</f>
        <v>2.5509164954964132</v>
      </c>
      <c r="G146" s="20">
        <f>'Off-farm feed'!$G$36</f>
        <v>4.2620923125915477E-2</v>
      </c>
      <c r="H146" s="20">
        <f>'Off-farm feed'!$H$36</f>
        <v>3.2959349471355036E-3</v>
      </c>
      <c r="I146" s="19">
        <f>'Off-farm feed'!$I$36</f>
        <v>2.3780487804878048E-3</v>
      </c>
      <c r="J146" s="19">
        <f>'Off-farm feed'!$J$36</f>
        <v>0.25920846302270939</v>
      </c>
      <c r="K146" s="29">
        <f>'Off-farm feed'!$K$36</f>
        <v>6.1197957373175144E-10</v>
      </c>
      <c r="L146" s="29">
        <f>'Off-farm feed'!$L$36</f>
        <v>1.0450321677831981E-4</v>
      </c>
      <c r="M146" s="197">
        <f>'Parameters, country spec'!M27</f>
        <v>0.1863493678947572</v>
      </c>
    </row>
    <row r="147" spans="1:13" x14ac:dyDescent="0.3">
      <c r="B147" s="17" t="s">
        <v>187</v>
      </c>
      <c r="C147" s="17" t="s">
        <v>301</v>
      </c>
      <c r="D147" s="23" t="s">
        <v>26</v>
      </c>
      <c r="E147" s="23" t="s">
        <v>86</v>
      </c>
      <c r="F147" s="107"/>
      <c r="G147" s="108"/>
      <c r="H147" s="108"/>
      <c r="I147" s="116"/>
      <c r="J147" s="116"/>
      <c r="K147" s="116"/>
      <c r="L147" s="116"/>
      <c r="M147" s="197">
        <f>'Parameters, country spec'!M28</f>
        <v>1.2143080899157416E-2</v>
      </c>
    </row>
    <row r="148" spans="1:13" x14ac:dyDescent="0.3">
      <c r="A148" s="83"/>
      <c r="B148" s="17" t="s">
        <v>302</v>
      </c>
      <c r="C148" s="84" t="s">
        <v>303</v>
      </c>
      <c r="D148" s="23" t="s">
        <v>26</v>
      </c>
      <c r="E148" s="23" t="s">
        <v>86</v>
      </c>
      <c r="F148" s="109">
        <f t="shared" ref="F148:L148" si="11">AVERAGE(F138:F146)</f>
        <v>2.6884005098186172</v>
      </c>
      <c r="G148" s="109">
        <f t="shared" si="11"/>
        <v>2.2080782104063897E-2</v>
      </c>
      <c r="H148" s="109">
        <f t="shared" si="11"/>
        <v>2.5757603596949837E-3</v>
      </c>
      <c r="I148" s="226">
        <f>AVERAGE(I138:I146)</f>
        <v>1.0411896980462292E-3</v>
      </c>
      <c r="J148" s="226">
        <f t="shared" si="11"/>
        <v>0.25550170683934798</v>
      </c>
      <c r="K148" s="226">
        <f t="shared" si="11"/>
        <v>3.0874434564272146E-9</v>
      </c>
      <c r="L148" s="226">
        <f t="shared" si="11"/>
        <v>9.3355791575755519E-4</v>
      </c>
      <c r="M148" s="197">
        <f>'Parameters, country spec'!M29</f>
        <v>4.9370221696639315E-2</v>
      </c>
    </row>
    <row r="149" spans="1:13" x14ac:dyDescent="0.3">
      <c r="A149" s="195"/>
      <c r="B149" s="25" t="s">
        <v>304</v>
      </c>
      <c r="C149" s="26"/>
      <c r="D149" s="103"/>
      <c r="E149" s="103"/>
      <c r="F149" s="30">
        <f>SUMPRODUCT(F138:F148,M138:M148)</f>
        <v>1.758977373342089</v>
      </c>
      <c r="G149" s="30">
        <f>SUMPRODUCT(G138:G148,M138:M148)</f>
        <v>2.7237169040223632E-2</v>
      </c>
      <c r="H149" s="30">
        <f>SUMPRODUCT(H138:H148,M138:M148)</f>
        <v>2.8336737258548559E-3</v>
      </c>
      <c r="I149" s="30">
        <f>SUMPRODUCT(I138:I148,M138:M148)</f>
        <v>1.2009703090433885E-3</v>
      </c>
      <c r="J149" s="30">
        <f>SUMPRODUCT(J138:J148,M138:M148)</f>
        <v>0.32794321670302878</v>
      </c>
      <c r="K149" s="30">
        <f>SUMPRODUCT(K138:K148,M138:M148)</f>
        <v>1.263882953501212E-9</v>
      </c>
      <c r="L149" s="30">
        <f>SUMPRODUCT(L138:L148,M138:M148)</f>
        <v>1.1609829415334448E-3</v>
      </c>
      <c r="M149" s="198"/>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79998168889431442"/>
  </sheetPr>
  <dimension ref="A2:F28"/>
  <sheetViews>
    <sheetView zoomScale="80" zoomScaleNormal="80" workbookViewId="0">
      <selection activeCell="E29" sqref="E29"/>
    </sheetView>
  </sheetViews>
  <sheetFormatPr defaultColWidth="8.88671875" defaultRowHeight="14.4" x14ac:dyDescent="0.3"/>
  <cols>
    <col min="1" max="1" width="34.44140625" customWidth="1"/>
    <col min="2" max="2" width="14.6640625" customWidth="1"/>
    <col min="3" max="3" width="14.33203125" customWidth="1"/>
    <col min="4" max="4" width="14.6640625" customWidth="1"/>
    <col min="5" max="5" width="14.33203125" customWidth="1"/>
  </cols>
  <sheetData>
    <row r="2" spans="1:6" ht="21" x14ac:dyDescent="0.4">
      <c r="A2" s="2" t="s">
        <v>314</v>
      </c>
    </row>
    <row r="4" spans="1:6" x14ac:dyDescent="0.3">
      <c r="A4" s="119" t="s">
        <v>315</v>
      </c>
      <c r="B4" s="218" t="s">
        <v>316</v>
      </c>
      <c r="C4" s="218" t="s">
        <v>317</v>
      </c>
      <c r="D4" s="218" t="s">
        <v>318</v>
      </c>
      <c r="E4" s="119"/>
      <c r="F4" s="119" t="s">
        <v>191</v>
      </c>
    </row>
    <row r="5" spans="1:6" x14ac:dyDescent="0.3">
      <c r="A5" s="3" t="s">
        <v>319</v>
      </c>
      <c r="B5" s="4">
        <v>0.29001600000000005</v>
      </c>
      <c r="C5" s="34">
        <v>1.1016000000000002E-4</v>
      </c>
      <c r="D5" s="34">
        <v>1.0269360000000001E-5</v>
      </c>
      <c r="E5" s="97"/>
      <c r="F5" s="97" t="s">
        <v>320</v>
      </c>
    </row>
    <row r="6" spans="1:6" x14ac:dyDescent="0.3">
      <c r="A6" s="3" t="s">
        <v>321</v>
      </c>
      <c r="B6" s="4">
        <v>9.6299999999999997E-3</v>
      </c>
      <c r="C6" s="34">
        <v>3.6659999999999876E-5</v>
      </c>
      <c r="D6" s="34">
        <v>1.5257999999999987E-5</v>
      </c>
      <c r="E6" s="97"/>
      <c r="F6" s="97" t="s">
        <v>322</v>
      </c>
    </row>
    <row r="7" spans="1:6" x14ac:dyDescent="0.3">
      <c r="A7" s="3" t="s">
        <v>448</v>
      </c>
      <c r="B7" s="20">
        <v>0.2692782509153</v>
      </c>
      <c r="C7" s="33">
        <v>9.8059260756689997E-4</v>
      </c>
      <c r="D7" s="33">
        <v>3.4931896850000001E-5</v>
      </c>
      <c r="F7" s="97" t="s">
        <v>241</v>
      </c>
    </row>
    <row r="9" spans="1:6" x14ac:dyDescent="0.3">
      <c r="A9" s="119" t="s">
        <v>315</v>
      </c>
      <c r="B9" s="218" t="s">
        <v>323</v>
      </c>
      <c r="C9" s="218" t="s">
        <v>324</v>
      </c>
      <c r="D9" s="218" t="s">
        <v>325</v>
      </c>
      <c r="E9" s="119"/>
      <c r="F9" s="119" t="s">
        <v>191</v>
      </c>
    </row>
    <row r="10" spans="1:6" x14ac:dyDescent="0.3">
      <c r="A10" s="3" t="s">
        <v>326</v>
      </c>
      <c r="B10" s="120">
        <v>2.2999999999999998</v>
      </c>
      <c r="C10" s="121">
        <v>0</v>
      </c>
      <c r="D10" s="121">
        <v>4.3624161073825508E-3</v>
      </c>
      <c r="F10" s="126" t="s">
        <v>327</v>
      </c>
    </row>
    <row r="11" spans="1:6" x14ac:dyDescent="0.3">
      <c r="A11" s="3" t="s">
        <v>328</v>
      </c>
      <c r="B11" s="122">
        <v>4.3928213588059704</v>
      </c>
      <c r="C11" s="121">
        <v>9.8666566537313431E-3</v>
      </c>
      <c r="D11" s="121">
        <v>9.948031617910448E-3</v>
      </c>
      <c r="F11" s="127" t="s">
        <v>329</v>
      </c>
    </row>
    <row r="13" spans="1:6" x14ac:dyDescent="0.3">
      <c r="A13" s="119" t="s">
        <v>330</v>
      </c>
      <c r="B13" s="119"/>
    </row>
    <row r="14" spans="1:6" x14ac:dyDescent="0.3">
      <c r="A14" s="91" t="s">
        <v>123</v>
      </c>
      <c r="B14" s="123">
        <v>1</v>
      </c>
      <c r="C14" s="123"/>
    </row>
    <row r="15" spans="1:6" x14ac:dyDescent="0.3">
      <c r="A15" s="3" t="s">
        <v>124</v>
      </c>
      <c r="B15" s="124">
        <v>29.8</v>
      </c>
      <c r="C15" s="124"/>
    </row>
    <row r="16" spans="1:6" x14ac:dyDescent="0.3">
      <c r="A16" s="3" t="s">
        <v>125</v>
      </c>
      <c r="B16" s="5">
        <v>27</v>
      </c>
      <c r="C16" s="123"/>
    </row>
    <row r="17" spans="1:4" x14ac:dyDescent="0.3">
      <c r="A17" s="3" t="s">
        <v>126</v>
      </c>
      <c r="B17" s="123">
        <v>273</v>
      </c>
      <c r="C17" s="125"/>
    </row>
    <row r="19" spans="1:4" x14ac:dyDescent="0.3">
      <c r="A19" s="119" t="s">
        <v>50</v>
      </c>
      <c r="B19" s="119"/>
      <c r="D19" s="253"/>
    </row>
    <row r="20" spans="1:4" x14ac:dyDescent="0.3">
      <c r="A20" s="3" t="s">
        <v>331</v>
      </c>
      <c r="B20" s="110">
        <v>0.12197</v>
      </c>
      <c r="D20" s="253"/>
    </row>
    <row r="21" spans="1:4" x14ac:dyDescent="0.3">
      <c r="A21" s="3" t="s">
        <v>332</v>
      </c>
      <c r="B21">
        <v>1</v>
      </c>
      <c r="D21" s="253"/>
    </row>
    <row r="23" spans="1:4" x14ac:dyDescent="0.3">
      <c r="A23" s="3" t="s">
        <v>333</v>
      </c>
      <c r="B23">
        <v>0.25</v>
      </c>
    </row>
    <row r="24" spans="1:4" x14ac:dyDescent="0.3">
      <c r="A24" s="3" t="s">
        <v>334</v>
      </c>
      <c r="B24">
        <v>1</v>
      </c>
    </row>
    <row r="25" spans="1:4" x14ac:dyDescent="0.3">
      <c r="A25" s="3" t="s">
        <v>335</v>
      </c>
      <c r="B25">
        <v>2</v>
      </c>
    </row>
    <row r="26" spans="1:4" x14ac:dyDescent="0.3">
      <c r="A26" s="3" t="s">
        <v>336</v>
      </c>
      <c r="B26">
        <v>2</v>
      </c>
    </row>
    <row r="27" spans="1:4" x14ac:dyDescent="0.3">
      <c r="A27" s="3" t="s">
        <v>337</v>
      </c>
      <c r="B27">
        <v>2</v>
      </c>
    </row>
    <row r="28" spans="1:4" x14ac:dyDescent="0.3">
      <c r="A28" s="3" t="s">
        <v>338</v>
      </c>
      <c r="B28">
        <v>1</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BF420-A685-44FF-95BC-AC63899DBFE9}">
  <sheetPr>
    <tabColor theme="4" tint="0.79998168889431442"/>
  </sheetPr>
  <dimension ref="A2:S106"/>
  <sheetViews>
    <sheetView zoomScale="68" zoomScaleNormal="90" workbookViewId="0">
      <selection activeCell="O26" sqref="O26"/>
    </sheetView>
  </sheetViews>
  <sheetFormatPr defaultColWidth="8.88671875" defaultRowHeight="14.4" x14ac:dyDescent="0.3"/>
  <cols>
    <col min="1" max="1" width="10.88671875" customWidth="1"/>
    <col min="2" max="2" width="18.33203125" customWidth="1"/>
    <col min="3" max="3" width="11.6640625" customWidth="1"/>
    <col min="4" max="4" width="16.6640625" customWidth="1"/>
    <col min="6" max="6" width="14.6640625" customWidth="1"/>
    <col min="7" max="7" width="14.88671875" customWidth="1"/>
    <col min="8" max="8" width="11.109375" customWidth="1"/>
    <col min="9" max="9" width="12.109375" customWidth="1"/>
    <col min="10" max="10" width="14.33203125" customWidth="1"/>
    <col min="11" max="11" width="12" customWidth="1"/>
    <col min="12" max="12" width="14.6640625" customWidth="1"/>
    <col min="13" max="13" width="14.33203125" customWidth="1"/>
    <col min="14" max="14" width="15" customWidth="1"/>
    <col min="15" max="15" width="15.44140625" customWidth="1"/>
    <col min="16" max="16" width="15" customWidth="1"/>
    <col min="17" max="17" width="17.6640625" customWidth="1"/>
    <col min="18" max="18" width="24.88671875" customWidth="1"/>
  </cols>
  <sheetData>
    <row r="2" spans="1:19" ht="21" x14ac:dyDescent="0.4">
      <c r="A2" s="2" t="s">
        <v>339</v>
      </c>
    </row>
    <row r="4" spans="1:19" ht="18" x14ac:dyDescent="0.35">
      <c r="A4" s="287" t="s">
        <v>300</v>
      </c>
      <c r="B4" s="119"/>
      <c r="C4" s="119"/>
      <c r="D4" s="119"/>
      <c r="E4" s="119"/>
      <c r="F4" s="119"/>
      <c r="G4" s="119"/>
      <c r="H4" s="119"/>
      <c r="I4" s="119"/>
      <c r="J4" s="119"/>
      <c r="K4" s="119"/>
      <c r="L4" s="119"/>
      <c r="M4" s="119"/>
      <c r="N4" s="119"/>
      <c r="O4" s="119"/>
      <c r="P4" s="119"/>
    </row>
    <row r="6" spans="1:19" ht="18" x14ac:dyDescent="0.35">
      <c r="A6" s="1" t="s">
        <v>340</v>
      </c>
    </row>
    <row r="8" spans="1:19" x14ac:dyDescent="0.3">
      <c r="A8" s="279" t="s">
        <v>282</v>
      </c>
      <c r="B8" s="280"/>
      <c r="C8" s="280"/>
      <c r="D8" s="280"/>
      <c r="E8" s="281" t="s">
        <v>97</v>
      </c>
      <c r="F8" s="281" t="s">
        <v>98</v>
      </c>
      <c r="G8" s="282"/>
      <c r="H8" s="281" t="s">
        <v>99</v>
      </c>
      <c r="I8" s="283"/>
      <c r="J8" s="276" t="s">
        <v>100</v>
      </c>
      <c r="K8" s="283"/>
      <c r="L8" s="283"/>
      <c r="M8" s="283"/>
      <c r="N8" s="276" t="s">
        <v>101</v>
      </c>
      <c r="O8" s="276" t="s">
        <v>283</v>
      </c>
      <c r="P8" s="276" t="s">
        <v>102</v>
      </c>
    </row>
    <row r="9" spans="1:19" ht="43.2" x14ac:dyDescent="0.3">
      <c r="A9" s="273" t="s">
        <v>52</v>
      </c>
      <c r="B9" s="273" t="s">
        <v>282</v>
      </c>
      <c r="C9" s="273" t="s">
        <v>106</v>
      </c>
      <c r="D9" s="274" t="s">
        <v>341</v>
      </c>
      <c r="E9" s="284"/>
      <c r="F9" s="53" t="s">
        <v>14</v>
      </c>
      <c r="G9" s="53" t="s">
        <v>15</v>
      </c>
      <c r="H9" s="53" t="s">
        <v>286</v>
      </c>
      <c r="I9" s="53" t="s">
        <v>287</v>
      </c>
      <c r="J9" s="53" t="s">
        <v>111</v>
      </c>
      <c r="K9" s="53" t="s">
        <v>112</v>
      </c>
      <c r="L9" s="53" t="s">
        <v>113</v>
      </c>
      <c r="M9" s="53" t="s">
        <v>114</v>
      </c>
      <c r="N9" s="53" t="s">
        <v>115</v>
      </c>
      <c r="O9" s="53"/>
      <c r="P9" s="53"/>
      <c r="R9" s="277" t="s">
        <v>342</v>
      </c>
    </row>
    <row r="10" spans="1:19" ht="18" customHeight="1" x14ac:dyDescent="0.3">
      <c r="A10" t="s">
        <v>343</v>
      </c>
      <c r="B10" t="s">
        <v>344</v>
      </c>
      <c r="C10" t="s">
        <v>127</v>
      </c>
      <c r="D10" t="s">
        <v>87</v>
      </c>
      <c r="E10" s="4">
        <f>SUMPRODUCT(E11:E14,'Parameters, general'!$B$14:$B$17)</f>
        <v>0.9762625042220614</v>
      </c>
      <c r="F10" s="4">
        <f>SUMPRODUCT(F11:F14,'Parameters, general'!$B$14:$B$17)</f>
        <v>6.3780206352419501E-3</v>
      </c>
      <c r="G10" s="4">
        <f>SUMPRODUCT(G11:G14,'Parameters, general'!$B$14:$B$17)</f>
        <v>3.01313E-2</v>
      </c>
      <c r="H10" s="4">
        <f>SUMPRODUCT(H11:H14,'Parameters, general'!$B$14:$B$17)</f>
        <v>4.3198581779485427E-2</v>
      </c>
      <c r="I10" s="4">
        <f>SUMPRODUCT(I11:I14,'Parameters, general'!$B$14:$B$17)</f>
        <v>4.3198581779485433E-3</v>
      </c>
      <c r="J10" s="4">
        <f>SUMPRODUCT(J11:J14,'Parameters, general'!$B$14:$B$17)</f>
        <v>5.168680555007258E-2</v>
      </c>
      <c r="K10" s="4">
        <f>SUMPRODUCT(K11:K14,'Parameters, general'!$B$14:$B$17)</f>
        <v>0</v>
      </c>
      <c r="L10" s="4">
        <f>SUMPRODUCT(L11:L14,'Parameters, general'!$B$14:$B$17)</f>
        <v>8.3348896151578009E-5</v>
      </c>
      <c r="M10" s="4">
        <f>SUMPRODUCT(M11:M14,'Parameters, general'!$B$14:$B$17)</f>
        <v>3.9645293683161227E-2</v>
      </c>
      <c r="N10" s="4">
        <f>SUMPRODUCT(N11:N14,'Parameters, general'!$B$14:$B$17)</f>
        <v>0.80081929549999997</v>
      </c>
      <c r="O10" s="4">
        <f>SUMPRODUCT(O11:O14,'Parameters, general'!$B$14:$B$17)</f>
        <v>0</v>
      </c>
      <c r="P10" s="4">
        <f>SUMPRODUCT(P11:P14,'Parameters, general'!$B$14:$B$17)</f>
        <v>0</v>
      </c>
      <c r="R10" s="169" t="s">
        <v>345</v>
      </c>
      <c r="S10" s="8"/>
    </row>
    <row r="11" spans="1:19" x14ac:dyDescent="0.3">
      <c r="A11" t="s">
        <v>343</v>
      </c>
      <c r="B11" t="s">
        <v>344</v>
      </c>
      <c r="C11" t="s">
        <v>123</v>
      </c>
      <c r="D11" t="s">
        <v>87</v>
      </c>
      <c r="E11" s="4">
        <f t="shared" ref="E11:E20" si="0">SUM(F11:P11)</f>
        <v>0.92073417828065618</v>
      </c>
      <c r="F11" s="4">
        <v>3.8012291590112874E-3</v>
      </c>
      <c r="G11" s="4">
        <v>2.7E-2</v>
      </c>
      <c r="H11" s="4">
        <v>0</v>
      </c>
      <c r="I11" s="4"/>
      <c r="J11" s="4">
        <v>5.0646723842195554E-2</v>
      </c>
      <c r="K11" s="4"/>
      <c r="L11" s="4">
        <v>7.5028151531290012E-5</v>
      </c>
      <c r="M11" s="4">
        <v>3.8391901627918008E-2</v>
      </c>
      <c r="N11" s="12">
        <v>0.80081929549999997</v>
      </c>
      <c r="O11" s="4"/>
      <c r="P11" s="4"/>
    </row>
    <row r="12" spans="1:19" x14ac:dyDescent="0.3">
      <c r="A12" t="s">
        <v>343</v>
      </c>
      <c r="B12" t="s">
        <v>344</v>
      </c>
      <c r="C12" t="s">
        <v>124</v>
      </c>
      <c r="D12" t="s">
        <v>87</v>
      </c>
      <c r="E12" s="4">
        <f t="shared" si="0"/>
        <v>1.549735128053641E-4</v>
      </c>
      <c r="F12" s="4">
        <v>8.1660966199362198E-6</v>
      </c>
      <c r="G12" s="4">
        <v>9.5000000000000005E-5</v>
      </c>
      <c r="H12" s="4"/>
      <c r="I12" s="4"/>
      <c r="J12" s="4">
        <v>2.2434790869507859E-5</v>
      </c>
      <c r="K12" s="4"/>
      <c r="L12" s="4">
        <v>2.5092881999999999E-7</v>
      </c>
      <c r="M12" s="4">
        <v>2.9121696495920008E-5</v>
      </c>
      <c r="N12" s="4"/>
      <c r="O12" s="4"/>
      <c r="P12" s="4"/>
    </row>
    <row r="13" spans="1:19" x14ac:dyDescent="0.3">
      <c r="A13" t="s">
        <v>343</v>
      </c>
      <c r="B13" t="s">
        <v>344</v>
      </c>
      <c r="C13" t="s">
        <v>346</v>
      </c>
      <c r="D13" t="s">
        <v>87</v>
      </c>
      <c r="E13" s="4">
        <f t="shared" si="0"/>
        <v>0</v>
      </c>
      <c r="F13" s="4"/>
      <c r="G13" s="4"/>
      <c r="H13" s="4"/>
      <c r="I13" s="4"/>
      <c r="J13" s="4"/>
      <c r="K13" s="4"/>
      <c r="L13" s="4"/>
      <c r="M13" s="4"/>
      <c r="N13" s="4"/>
      <c r="O13" s="4"/>
      <c r="P13" s="4"/>
    </row>
    <row r="14" spans="1:19" x14ac:dyDescent="0.3">
      <c r="A14" t="s">
        <v>343</v>
      </c>
      <c r="B14" t="s">
        <v>344</v>
      </c>
      <c r="C14" t="s">
        <v>126</v>
      </c>
      <c r="D14" t="s">
        <v>87</v>
      </c>
      <c r="E14" s="4">
        <f t="shared" si="0"/>
        <v>1.8648393868060559E-4</v>
      </c>
      <c r="F14" s="4">
        <v>8.5474058496577423E-6</v>
      </c>
      <c r="G14" s="4">
        <v>1.1000000000000001E-6</v>
      </c>
      <c r="H14" s="4">
        <v>1.5823656329481842E-4</v>
      </c>
      <c r="I14" s="4">
        <v>1.5823656329481842E-5</v>
      </c>
      <c r="J14" s="4">
        <v>1.360897215991556E-6</v>
      </c>
      <c r="K14" s="4"/>
      <c r="L14" s="4">
        <v>3.0881530559999997E-9</v>
      </c>
      <c r="M14" s="4">
        <v>1.4123278376000001E-6</v>
      </c>
      <c r="N14" s="4"/>
      <c r="O14" s="4"/>
      <c r="P14" s="4"/>
    </row>
    <row r="15" spans="1:19" x14ac:dyDescent="0.3">
      <c r="E15" s="4"/>
      <c r="F15" s="4"/>
      <c r="G15" s="4"/>
      <c r="H15" s="4"/>
      <c r="I15" s="4"/>
      <c r="J15" s="4"/>
      <c r="K15" s="4"/>
      <c r="L15" s="4"/>
      <c r="M15" s="4"/>
      <c r="N15" s="4"/>
      <c r="O15" s="4"/>
      <c r="P15" s="4"/>
    </row>
    <row r="16" spans="1:19" x14ac:dyDescent="0.3">
      <c r="A16" t="s">
        <v>343</v>
      </c>
      <c r="B16" t="s">
        <v>344</v>
      </c>
      <c r="C16" t="s">
        <v>127</v>
      </c>
      <c r="D16" t="s">
        <v>347</v>
      </c>
      <c r="E16" s="4">
        <f>SUMPRODUCT(E17:E20,'Parameters, general'!$B$14:$B$17)</f>
        <v>0.20785730445628486</v>
      </c>
      <c r="F16" s="4">
        <f>SUMPRODUCT(F17:F20,'Parameters, general'!$B$14:$B$17)</f>
        <v>2.4370510521528055E-2</v>
      </c>
      <c r="G16" s="4">
        <f>SUMPRODUCT(G17:G20,'Parameters, general'!$B$14:$B$17)</f>
        <v>3.01313E-2</v>
      </c>
      <c r="H16" s="4">
        <f>SUMPRODUCT(H17:H20,'Parameters, general'!$B$14:$B$17)</f>
        <v>4.8642220755341865E-2</v>
      </c>
      <c r="I16" s="4">
        <f>SUMPRODUCT(I17:I20,'Parameters, general'!$B$14:$B$17)</f>
        <v>4.8642220755341862E-3</v>
      </c>
      <c r="J16" s="4">
        <f>SUMPRODUCT(J17:J20,'Parameters, general'!$B$14:$B$17)</f>
        <v>5.9248812939961648E-2</v>
      </c>
      <c r="K16" s="4">
        <f>SUMPRODUCT(K17:K20,'Parameters, general'!$B$14:$B$17)</f>
        <v>0</v>
      </c>
      <c r="L16" s="4">
        <f>SUMPRODUCT(L17:L20,'Parameters, general'!$B$14:$B$17)</f>
        <v>4.1674448075789007E-4</v>
      </c>
      <c r="M16" s="4">
        <f>SUMPRODUCT(M17:M20,'Parameters, general'!$B$14:$B$17)</f>
        <v>3.9645293683161227E-2</v>
      </c>
      <c r="N16" s="4">
        <f>SUMPRODUCT(N17:N20,'Parameters, general'!$B$14:$B$17)</f>
        <v>5.3819999999999996E-4</v>
      </c>
      <c r="O16" s="4">
        <f>SUMPRODUCT(O17:O20,'Parameters, general'!$B$14:$B$17)</f>
        <v>0</v>
      </c>
      <c r="P16" s="4">
        <f>SUMPRODUCT(P17:P20,'Parameters, general'!$B$14:$B$17)</f>
        <v>0</v>
      </c>
      <c r="R16" s="169" t="s">
        <v>345</v>
      </c>
      <c r="S16" s="8"/>
    </row>
    <row r="17" spans="1:18" x14ac:dyDescent="0.3">
      <c r="A17" t="s">
        <v>343</v>
      </c>
      <c r="B17" t="s">
        <v>344</v>
      </c>
      <c r="C17" t="s">
        <v>123</v>
      </c>
      <c r="D17" t="s">
        <v>347</v>
      </c>
      <c r="E17" s="4">
        <f t="shared" si="0"/>
        <v>0.13888635752648032</v>
      </c>
      <c r="F17" s="4">
        <v>1.4524552445401365E-2</v>
      </c>
      <c r="G17" s="4">
        <v>2.7E-2</v>
      </c>
      <c r="H17" s="4">
        <v>0</v>
      </c>
      <c r="I17" s="4"/>
      <c r="J17" s="4">
        <v>5.8056562695504521E-2</v>
      </c>
      <c r="K17" s="4"/>
      <c r="L17" s="4">
        <v>3.7514075765645005E-4</v>
      </c>
      <c r="M17" s="4">
        <v>3.8391901627918008E-2</v>
      </c>
      <c r="N17" s="315">
        <v>5.3819999999999996E-4</v>
      </c>
      <c r="O17" s="4"/>
      <c r="P17" s="4"/>
    </row>
    <row r="18" spans="1:18" x14ac:dyDescent="0.3">
      <c r="A18" t="s">
        <v>343</v>
      </c>
      <c r="B18" t="s">
        <v>344</v>
      </c>
      <c r="C18" t="s">
        <v>124</v>
      </c>
      <c r="D18" t="s">
        <v>347</v>
      </c>
      <c r="E18" s="4">
        <f t="shared" si="0"/>
        <v>1.8229621534045906E-4</v>
      </c>
      <c r="F18" s="4">
        <v>3.1202775120595208E-5</v>
      </c>
      <c r="G18" s="4">
        <v>9.5000000000000005E-5</v>
      </c>
      <c r="H18" s="4"/>
      <c r="I18" s="4"/>
      <c r="J18" s="4">
        <v>2.5717099623943848E-5</v>
      </c>
      <c r="K18" s="4"/>
      <c r="L18" s="4">
        <v>1.2546440999999999E-6</v>
      </c>
      <c r="M18" s="4">
        <v>2.9121696495920008E-5</v>
      </c>
      <c r="N18" s="4"/>
      <c r="O18" s="4"/>
      <c r="P18" s="4"/>
    </row>
    <row r="19" spans="1:18" x14ac:dyDescent="0.3">
      <c r="A19" t="s">
        <v>343</v>
      </c>
      <c r="B19" t="s">
        <v>344</v>
      </c>
      <c r="C19" t="s">
        <v>346</v>
      </c>
      <c r="D19" t="s">
        <v>347</v>
      </c>
      <c r="E19" s="4">
        <f t="shared" si="0"/>
        <v>0</v>
      </c>
      <c r="F19" s="4"/>
      <c r="G19" s="4"/>
      <c r="H19" s="4"/>
      <c r="I19" s="4"/>
      <c r="J19" s="4"/>
      <c r="K19" s="4"/>
      <c r="L19" s="4"/>
      <c r="M19" s="4"/>
      <c r="N19" s="4"/>
      <c r="O19" s="4"/>
      <c r="P19" s="4"/>
    </row>
    <row r="20" spans="1:18" x14ac:dyDescent="0.3">
      <c r="A20" t="s">
        <v>343</v>
      </c>
      <c r="B20" t="s">
        <v>344</v>
      </c>
      <c r="C20" t="s">
        <v>126</v>
      </c>
      <c r="D20" t="s">
        <v>347</v>
      </c>
      <c r="E20" s="4">
        <f t="shared" si="0"/>
        <v>2.3274183044929981E-4</v>
      </c>
      <c r="F20" s="4">
        <v>3.2659763287666505E-5</v>
      </c>
      <c r="G20" s="4">
        <v>1.1000000000000001E-6</v>
      </c>
      <c r="H20" s="4">
        <v>1.7817663280345004E-4</v>
      </c>
      <c r="I20" s="4">
        <v>1.7817663280345004E-5</v>
      </c>
      <c r="J20" s="4">
        <v>1.5600024749582352E-6</v>
      </c>
      <c r="K20" s="4"/>
      <c r="L20" s="4">
        <v>1.5440765279999996E-8</v>
      </c>
      <c r="M20" s="4">
        <v>1.4123278376000001E-6</v>
      </c>
      <c r="N20" s="4"/>
      <c r="O20" s="4"/>
      <c r="P20" s="4"/>
    </row>
    <row r="21" spans="1:18" x14ac:dyDescent="0.3">
      <c r="E21" s="4"/>
      <c r="F21" s="4"/>
      <c r="G21" s="4"/>
      <c r="H21" s="4"/>
      <c r="I21" s="4"/>
      <c r="J21" s="4"/>
      <c r="K21" s="4"/>
      <c r="L21" s="4"/>
      <c r="M21" s="4"/>
      <c r="N21" s="4"/>
      <c r="O21" s="4"/>
      <c r="P21" s="4"/>
    </row>
    <row r="22" spans="1:18" x14ac:dyDescent="0.3">
      <c r="A22" t="s">
        <v>348</v>
      </c>
      <c r="B22" t="s">
        <v>300</v>
      </c>
      <c r="C22" t="s">
        <v>127</v>
      </c>
      <c r="D22" t="s">
        <v>313</v>
      </c>
      <c r="E22" s="4">
        <f>SUMPRODUCT(E23:E26,'Parameters, general'!$B$14:$B$17)</f>
        <v>0.77170772994138725</v>
      </c>
      <c r="F22" s="4">
        <f>SUMPRODUCT(F23:F26,'Parameters, general'!$B$14:$B$17)</f>
        <v>1.2186917836524699E-2</v>
      </c>
      <c r="G22" s="4">
        <f>SUMPRODUCT(G23:G26,'Parameters, general'!$B$14:$B$17)</f>
        <v>2.3884567073170736E-2</v>
      </c>
      <c r="H22" s="4">
        <f>SUMPRODUCT(H23:H26,'Parameters, general'!$B$14:$B$17)</f>
        <v>3.6400318077827891E-2</v>
      </c>
      <c r="I22" s="4">
        <f>SUMPRODUCT(I23:I26,'Parameters, general'!$B$14:$B$17)</f>
        <v>3.6400318077827896E-3</v>
      </c>
      <c r="J22" s="4">
        <f>SUMPRODUCT(J23:J26,'Parameters, general'!$B$14:$B$17)</f>
        <v>4.3968385377147715E-2</v>
      </c>
      <c r="K22" s="4">
        <f>SUMPRODUCT(K23:K26,'Parameters, general'!$B$14:$B$17)</f>
        <v>0</v>
      </c>
      <c r="L22" s="4">
        <f>SUMPRODUCT(L23:L26,'Parameters, general'!$B$14:$B$17)</f>
        <v>1.9820774084826478E-4</v>
      </c>
      <c r="M22" s="4">
        <f>SUMPRODUCT(M23:M26,'Parameters, general'!$B$14:$B$17)</f>
        <v>3.1426147431774146E-2</v>
      </c>
      <c r="N22" s="4">
        <f>SUMPRODUCT(N23:N26,'Parameters, general'!$B$14:$B$17)</f>
        <v>0.31761120248475611</v>
      </c>
      <c r="O22" s="4">
        <f>SUMPRODUCT(O23:O26,'Parameters, general'!$B$14:$B$17)</f>
        <v>4.265297238182502E-2</v>
      </c>
      <c r="P22" s="4">
        <f>SUMPRODUCT(P23:P26,'Parameters, general'!$B$14:$B$17)</f>
        <v>0.2597389797297297</v>
      </c>
    </row>
    <row r="23" spans="1:18" x14ac:dyDescent="0.3">
      <c r="A23" s="288" t="s">
        <v>348</v>
      </c>
      <c r="B23" s="162" t="s">
        <v>300</v>
      </c>
      <c r="C23" s="162" t="s">
        <v>123</v>
      </c>
      <c r="D23" s="162" t="s">
        <v>313</v>
      </c>
      <c r="E23" s="183">
        <f>SUM(F23:P23)</f>
        <v>0.7061171705997602</v>
      </c>
      <c r="F23" s="183">
        <f>$C$40*(AVERAGE(F11,F17))/$C$39</f>
        <v>7.2632670993098931E-3</v>
      </c>
      <c r="G23" s="183">
        <f t="shared" ref="G23:M23" si="1">$C$40*(AVERAGE(G11,G17))/$C$39</f>
        <v>2.1402439024390246E-2</v>
      </c>
      <c r="H23" s="183">
        <f t="shared" si="1"/>
        <v>0</v>
      </c>
      <c r="I23" s="183"/>
      <c r="J23" s="183">
        <f t="shared" si="1"/>
        <v>4.308361966433235E-2</v>
      </c>
      <c r="K23" s="183"/>
      <c r="L23" s="183">
        <f t="shared" si="1"/>
        <v>1.7842060425123844E-4</v>
      </c>
      <c r="M23" s="183">
        <f t="shared" si="1"/>
        <v>3.0432604948959403E-2</v>
      </c>
      <c r="N23" s="183">
        <f>$C$40*(AVERAGE(N11,N17))/$C$39</f>
        <v>0.31761120248475611</v>
      </c>
      <c r="O23" s="183" cm="1">
        <f t="array" ref="O23">C40*(C43*EF_el_CO2_BR+C44*EF_biofuels_CO2)</f>
        <v>3.5145616773760872E-2</v>
      </c>
      <c r="P23" s="289">
        <v>0.251</v>
      </c>
      <c r="R23" t="s">
        <v>349</v>
      </c>
    </row>
    <row r="24" spans="1:18" x14ac:dyDescent="0.3">
      <c r="A24" s="290" t="s">
        <v>348</v>
      </c>
      <c r="B24" t="s">
        <v>300</v>
      </c>
      <c r="C24" t="s">
        <v>124</v>
      </c>
      <c r="D24" t="s">
        <v>313</v>
      </c>
      <c r="E24" s="4">
        <f>SUM(F24:P24)</f>
        <v>4.7266553697523981E-4</v>
      </c>
      <c r="F24" s="4">
        <f t="shared" ref="F24:M24" si="2">$C$40*(AVERAGE(F12,F18))/$C$39</f>
        <v>1.5603516238625262E-5</v>
      </c>
      <c r="G24" s="4">
        <f t="shared" si="2"/>
        <v>7.5304878048780503E-5</v>
      </c>
      <c r="H24" s="4"/>
      <c r="I24" s="4"/>
      <c r="J24" s="4">
        <f t="shared" si="2"/>
        <v>1.908459074435586E-5</v>
      </c>
      <c r="K24" s="4"/>
      <c r="L24" s="4">
        <f t="shared" si="2"/>
        <v>5.9672097439024396E-7</v>
      </c>
      <c r="M24" s="4">
        <f t="shared" si="2"/>
        <v>2.3084271612619523E-5</v>
      </c>
      <c r="N24" s="4"/>
      <c r="O24" s="4">
        <f>C40*(C43*EF_el_CH4_BR+C44*EF_biofuel_CH4)</f>
        <v>1.2899155935646844E-4</v>
      </c>
      <c r="P24" s="237">
        <f>4.83/1000/23</f>
        <v>2.1000000000000001E-4</v>
      </c>
      <c r="R24" t="s">
        <v>350</v>
      </c>
    </row>
    <row r="25" spans="1:18" x14ac:dyDescent="0.3">
      <c r="A25" s="290" t="s">
        <v>348</v>
      </c>
      <c r="B25" t="s">
        <v>300</v>
      </c>
      <c r="C25" t="s">
        <v>346</v>
      </c>
      <c r="D25" t="s">
        <v>313</v>
      </c>
      <c r="E25" s="4">
        <f>SUM(F25:P25)</f>
        <v>0</v>
      </c>
      <c r="F25" s="4"/>
      <c r="G25" s="4"/>
      <c r="H25" s="4"/>
      <c r="I25" s="4"/>
      <c r="J25" s="4"/>
      <c r="K25" s="4"/>
      <c r="L25" s="4"/>
      <c r="M25" s="4"/>
      <c r="N25" s="4"/>
      <c r="O25" s="4"/>
      <c r="P25" s="237"/>
    </row>
    <row r="26" spans="1:18" x14ac:dyDescent="0.3">
      <c r="A26" s="291" t="s">
        <v>348</v>
      </c>
      <c r="B26" s="278" t="s">
        <v>300</v>
      </c>
      <c r="C26" s="278" t="s">
        <v>126</v>
      </c>
      <c r="D26" s="278" t="s">
        <v>313</v>
      </c>
      <c r="E26" s="292">
        <f>SUM(F26:P26)</f>
        <v>1.8866346644602505E-4</v>
      </c>
      <c r="F26" s="292">
        <f t="shared" ref="F26:M26" si="3">$C$40*(AVERAGE(F14,F20))/$C$39</f>
        <v>1.6332109719061441E-5</v>
      </c>
      <c r="G26" s="292">
        <f t="shared" si="3"/>
        <v>8.7195121951219526E-7</v>
      </c>
      <c r="H26" s="317">
        <f t="shared" si="3"/>
        <v>1.3333449845358202E-4</v>
      </c>
      <c r="I26" s="292">
        <f t="shared" si="3"/>
        <v>1.3333449845358203E-5</v>
      </c>
      <c r="J26" s="292">
        <f t="shared" si="3"/>
        <v>1.1576736579983931E-6</v>
      </c>
      <c r="K26" s="292"/>
      <c r="L26" s="292">
        <f t="shared" si="3"/>
        <v>7.3437786087804866E-9</v>
      </c>
      <c r="M26" s="292">
        <f t="shared" si="3"/>
        <v>1.1195281639512197E-6</v>
      </c>
      <c r="N26" s="292"/>
      <c r="O26" s="292" cm="1">
        <f t="array" ref="O26">C40*(C43*EF_el_N2O_BR+C44*EF_biofuel_N2O)</f>
        <v>1.3419073770114991E-5</v>
      </c>
      <c r="P26" s="293">
        <f>2.69/1000/296</f>
        <v>9.087837837837838E-6</v>
      </c>
      <c r="R26" t="s">
        <v>350</v>
      </c>
    </row>
    <row r="29" spans="1:18" ht="18" x14ac:dyDescent="0.35">
      <c r="A29" s="1" t="s">
        <v>351</v>
      </c>
    </row>
    <row r="31" spans="1:18" x14ac:dyDescent="0.3">
      <c r="A31" s="212" t="s">
        <v>282</v>
      </c>
      <c r="B31" s="213"/>
      <c r="C31" s="213"/>
      <c r="D31" s="213"/>
      <c r="E31" s="213"/>
      <c r="F31" s="214" t="s">
        <v>42</v>
      </c>
      <c r="G31" s="214" t="s">
        <v>310</v>
      </c>
      <c r="H31" s="214" t="s">
        <v>44</v>
      </c>
      <c r="I31" s="214" t="s">
        <v>45</v>
      </c>
      <c r="J31" s="215" t="s">
        <v>46</v>
      </c>
      <c r="K31" s="215" t="s">
        <v>47</v>
      </c>
      <c r="L31" s="215" t="s">
        <v>48</v>
      </c>
      <c r="M31" s="285"/>
      <c r="N31" s="275"/>
      <c r="O31" s="275"/>
      <c r="P31" s="286"/>
    </row>
    <row r="32" spans="1:18" ht="43.2" x14ac:dyDescent="0.3">
      <c r="A32" s="217" t="s">
        <v>52</v>
      </c>
      <c r="B32" s="217" t="s">
        <v>282</v>
      </c>
      <c r="C32" s="217" t="s">
        <v>285</v>
      </c>
      <c r="D32" s="217" t="s">
        <v>55</v>
      </c>
      <c r="E32" s="194" t="s">
        <v>56</v>
      </c>
      <c r="F32" s="227" t="s">
        <v>63</v>
      </c>
      <c r="G32" s="227" t="s">
        <v>311</v>
      </c>
      <c r="H32" s="227" t="s">
        <v>312</v>
      </c>
      <c r="I32" s="228" t="s">
        <v>66</v>
      </c>
      <c r="J32" s="229" t="s">
        <v>67</v>
      </c>
      <c r="K32" s="230" t="s">
        <v>68</v>
      </c>
      <c r="L32" s="230" t="s">
        <v>69</v>
      </c>
      <c r="M32" s="275"/>
    </row>
    <row r="33" spans="1:18" x14ac:dyDescent="0.3">
      <c r="A33" s="79" t="s">
        <v>343</v>
      </c>
      <c r="B33" s="17" t="s">
        <v>344</v>
      </c>
      <c r="C33" s="17" t="s">
        <v>352</v>
      </c>
      <c r="D33" t="s">
        <v>87</v>
      </c>
      <c r="E33" t="s">
        <v>88</v>
      </c>
      <c r="F33">
        <v>2.9987165493168924</v>
      </c>
      <c r="G33">
        <v>7.5567657042785688E-2</v>
      </c>
      <c r="H33">
        <v>6.5971764084971638E-3</v>
      </c>
      <c r="I33">
        <v>1E-3</v>
      </c>
      <c r="J33">
        <v>0.33775822794753041</v>
      </c>
      <c r="K33">
        <v>1.2385238539351947E-9</v>
      </c>
      <c r="L33">
        <v>5.4691734366476756E-5</v>
      </c>
    </row>
    <row r="34" spans="1:18" x14ac:dyDescent="0.3">
      <c r="A34" s="79" t="s">
        <v>343</v>
      </c>
      <c r="B34" s="17" t="s">
        <v>344</v>
      </c>
      <c r="C34" s="17" t="s">
        <v>352</v>
      </c>
      <c r="D34" t="s">
        <v>347</v>
      </c>
      <c r="E34" t="s">
        <v>353</v>
      </c>
      <c r="F34">
        <v>3.4374419931663649</v>
      </c>
      <c r="G34">
        <v>3.1968210536447196E-2</v>
      </c>
      <c r="H34">
        <v>1.7187209965831825E-3</v>
      </c>
      <c r="I34">
        <v>4.9999999999999992E-3</v>
      </c>
      <c r="J34">
        <v>0.31624466337130558</v>
      </c>
      <c r="K34">
        <v>3.055476859418395E-10</v>
      </c>
      <c r="L34">
        <v>2.0897792027420705E-4</v>
      </c>
    </row>
    <row r="36" spans="1:18" x14ac:dyDescent="0.3">
      <c r="A36" s="294" t="s">
        <v>348</v>
      </c>
      <c r="B36" s="295" t="s">
        <v>300</v>
      </c>
      <c r="C36" s="295" t="s">
        <v>354</v>
      </c>
      <c r="D36" s="295" t="s">
        <v>313</v>
      </c>
      <c r="E36" s="295"/>
      <c r="F36" s="297">
        <f>$C$40*AVERAGE(F33:F34)/$C$39</f>
        <v>2.5509164954964132</v>
      </c>
      <c r="G36" s="297">
        <f t="shared" ref="G36:L36" si="4">$C$40*AVERAGE(G33:G34)/$C$39</f>
        <v>4.2620923125915477E-2</v>
      </c>
      <c r="H36" s="296">
        <f t="shared" si="4"/>
        <v>3.2959349471355036E-3</v>
      </c>
      <c r="I36" s="296">
        <f t="shared" si="4"/>
        <v>2.3780487804878048E-3</v>
      </c>
      <c r="J36" s="297">
        <f t="shared" si="4"/>
        <v>0.25920846302270939</v>
      </c>
      <c r="K36" s="298">
        <f t="shared" si="4"/>
        <v>6.1197957373175144E-10</v>
      </c>
      <c r="L36" s="298">
        <f t="shared" si="4"/>
        <v>1.0450321677831981E-4</v>
      </c>
    </row>
    <row r="38" spans="1:18" x14ac:dyDescent="0.3">
      <c r="A38" s="119" t="s">
        <v>355</v>
      </c>
      <c r="B38" s="119"/>
      <c r="C38" s="119"/>
      <c r="D38" s="119"/>
      <c r="E38" s="119"/>
      <c r="F38" s="119"/>
      <c r="G38" s="119"/>
      <c r="H38" s="119"/>
      <c r="I38" s="119"/>
      <c r="J38" s="119"/>
      <c r="K38" s="119"/>
      <c r="L38" s="119"/>
      <c r="M38" s="119"/>
      <c r="N38" s="119"/>
      <c r="O38" s="119"/>
      <c r="P38" s="119"/>
    </row>
    <row r="39" spans="1:18" x14ac:dyDescent="0.3">
      <c r="A39" t="s">
        <v>356</v>
      </c>
      <c r="C39">
        <v>0.82</v>
      </c>
      <c r="R39" t="s">
        <v>357</v>
      </c>
    </row>
    <row r="40" spans="1:18" x14ac:dyDescent="0.3">
      <c r="A40" t="s">
        <v>358</v>
      </c>
      <c r="C40">
        <v>0.65</v>
      </c>
      <c r="R40" t="s">
        <v>357</v>
      </c>
    </row>
    <row r="42" spans="1:18" x14ac:dyDescent="0.3">
      <c r="A42" t="s">
        <v>359</v>
      </c>
    </row>
    <row r="43" spans="1:18" x14ac:dyDescent="0.3">
      <c r="A43" t="s">
        <v>360</v>
      </c>
      <c r="C43">
        <v>0.16600000000000001</v>
      </c>
      <c r="D43" t="s">
        <v>361</v>
      </c>
      <c r="G43" t="s">
        <v>420</v>
      </c>
      <c r="I43" s="12">
        <f>C43/(C43+C44)</f>
        <v>0.14574187884108869</v>
      </c>
      <c r="R43" t="s">
        <v>362</v>
      </c>
    </row>
    <row r="44" spans="1:18" x14ac:dyDescent="0.3">
      <c r="A44" t="s">
        <v>363</v>
      </c>
      <c r="C44">
        <v>0.97299999999999998</v>
      </c>
      <c r="D44" t="s">
        <v>361</v>
      </c>
      <c r="R44" t="s">
        <v>362</v>
      </c>
    </row>
    <row r="46" spans="1:18" x14ac:dyDescent="0.3">
      <c r="A46" t="s">
        <v>364</v>
      </c>
      <c r="R46" t="s">
        <v>365</v>
      </c>
    </row>
    <row r="49" spans="1:18" ht="18" x14ac:dyDescent="0.35">
      <c r="A49" s="287" t="s">
        <v>366</v>
      </c>
      <c r="B49" s="119"/>
      <c r="C49" s="119"/>
      <c r="D49" s="119"/>
      <c r="E49" s="119"/>
      <c r="F49" s="119"/>
      <c r="G49" s="119"/>
      <c r="H49" s="119"/>
      <c r="I49" s="119"/>
      <c r="J49" s="119"/>
      <c r="K49" s="119"/>
      <c r="L49" s="119"/>
      <c r="M49" s="119"/>
      <c r="N49" s="119"/>
      <c r="O49" s="119"/>
      <c r="P49" s="119"/>
    </row>
    <row r="51" spans="1:18" ht="18" x14ac:dyDescent="0.35">
      <c r="A51" s="1" t="s">
        <v>340</v>
      </c>
    </row>
    <row r="53" spans="1:18" x14ac:dyDescent="0.3">
      <c r="A53" s="279" t="s">
        <v>282</v>
      </c>
      <c r="B53" s="280"/>
      <c r="C53" s="280"/>
      <c r="D53" s="280"/>
      <c r="E53" s="281" t="s">
        <v>97</v>
      </c>
      <c r="F53" s="281" t="s">
        <v>98</v>
      </c>
      <c r="G53" s="282"/>
      <c r="H53" s="281" t="s">
        <v>99</v>
      </c>
      <c r="I53" s="283"/>
      <c r="J53" s="276" t="s">
        <v>100</v>
      </c>
      <c r="K53" s="283"/>
      <c r="L53" s="283"/>
      <c r="M53" s="283"/>
      <c r="N53" s="276" t="s">
        <v>101</v>
      </c>
      <c r="O53" s="276" t="s">
        <v>283</v>
      </c>
      <c r="P53" s="276" t="s">
        <v>102</v>
      </c>
    </row>
    <row r="54" spans="1:18" ht="43.2" x14ac:dyDescent="0.3">
      <c r="A54" s="273" t="s">
        <v>52</v>
      </c>
      <c r="B54" s="273" t="s">
        <v>282</v>
      </c>
      <c r="C54" s="273" t="s">
        <v>106</v>
      </c>
      <c r="D54" s="274" t="s">
        <v>341</v>
      </c>
      <c r="E54" s="284"/>
      <c r="F54" s="53" t="s">
        <v>14</v>
      </c>
      <c r="G54" s="53" t="s">
        <v>15</v>
      </c>
      <c r="H54" s="53" t="s">
        <v>286</v>
      </c>
      <c r="I54" s="53" t="s">
        <v>287</v>
      </c>
      <c r="J54" s="53" t="s">
        <v>111</v>
      </c>
      <c r="K54" s="53" t="s">
        <v>112</v>
      </c>
      <c r="L54" s="53" t="s">
        <v>113</v>
      </c>
      <c r="M54" s="53" t="s">
        <v>114</v>
      </c>
      <c r="N54" s="53" t="s">
        <v>115</v>
      </c>
      <c r="O54" s="53"/>
      <c r="P54" s="53"/>
      <c r="R54" s="277"/>
    </row>
    <row r="55" spans="1:18" x14ac:dyDescent="0.3">
      <c r="A55" t="s">
        <v>367</v>
      </c>
      <c r="B55" t="s">
        <v>368</v>
      </c>
      <c r="C55" t="s">
        <v>127</v>
      </c>
      <c r="D55" t="s">
        <v>35</v>
      </c>
      <c r="E55" s="4">
        <f>SUMPRODUCT(E56:E59,'Parameters, general'!$B$14:$B$17)</f>
        <v>0.86652859022920592</v>
      </c>
      <c r="F55" s="4">
        <f>SUMPRODUCT(F56:F59,'Parameters, general'!$B$14:$B$17)</f>
        <v>0.45006858113490861</v>
      </c>
      <c r="G55" s="4">
        <f>SUMPRODUCT(G56:G59,'Parameters, general'!$B$14:$B$17)</f>
        <v>3.01313E-2</v>
      </c>
      <c r="H55" s="4">
        <f>SUMPRODUCT(H56:H59,'Parameters, general'!$B$14:$B$17)</f>
        <v>0.24176008201732435</v>
      </c>
      <c r="I55" s="4">
        <f>SUMPRODUCT(I56:I59,'Parameters, general'!$B$14:$B$17)</f>
        <v>2.4176008201732439E-2</v>
      </c>
      <c r="J55" s="4">
        <f>SUMPRODUCT(J56:J59,'Parameters, general'!$B$14:$B$17)</f>
        <v>4.9915761667236082E-2</v>
      </c>
      <c r="K55" s="4">
        <f>SUMPRODUCT(K56:K59,'Parameters, general'!$B$14:$B$17)</f>
        <v>0</v>
      </c>
      <c r="L55" s="4">
        <f>SUMPRODUCT(L56:L59,'Parameters, general'!$B$14:$B$17)</f>
        <v>1.0835356499705141E-3</v>
      </c>
      <c r="M55" s="4">
        <f>SUMPRODUCT(M56:M59,'Parameters, general'!$B$14:$B$17)</f>
        <v>6.9393321558033794E-2</v>
      </c>
      <c r="N55" s="4">
        <f>SUMPRODUCT(N56:N59,'Parameters, general'!$B$14:$B$17)</f>
        <v>0</v>
      </c>
      <c r="O55" s="4">
        <f>SUMPRODUCT(O56:O59,'Parameters, general'!$B$14:$B$17)</f>
        <v>0</v>
      </c>
      <c r="P55" s="4">
        <f>SUMPRODUCT(P56:P59,'Parameters, general'!$B$14:$B$17)</f>
        <v>0</v>
      </c>
      <c r="R55" s="169"/>
    </row>
    <row r="56" spans="1:18" x14ac:dyDescent="0.3">
      <c r="A56" t="s">
        <v>367</v>
      </c>
      <c r="B56" t="s">
        <v>368</v>
      </c>
      <c r="C56" t="s">
        <v>123</v>
      </c>
      <c r="D56" t="s">
        <v>35</v>
      </c>
      <c r="E56" s="4">
        <f t="shared" ref="E56:E59" si="5">SUM(F56:P56)</f>
        <v>0.47425566700327737</v>
      </c>
      <c r="F56" s="4">
        <v>0.32956752885768148</v>
      </c>
      <c r="G56" s="4">
        <v>2.7E-2</v>
      </c>
      <c r="H56" s="4">
        <v>0</v>
      </c>
      <c r="I56" s="4"/>
      <c r="J56" s="4">
        <v>4.891131826833911E-2</v>
      </c>
      <c r="K56" s="4"/>
      <c r="L56" s="4">
        <v>9.7536596990677009E-4</v>
      </c>
      <c r="M56" s="4">
        <v>6.7801453907350012E-2</v>
      </c>
      <c r="N56" s="5"/>
      <c r="O56" s="4"/>
      <c r="P56" s="4"/>
    </row>
    <row r="57" spans="1:18" x14ac:dyDescent="0.3">
      <c r="A57" t="s">
        <v>367</v>
      </c>
      <c r="B57" t="s">
        <v>368</v>
      </c>
      <c r="C57" t="s">
        <v>124</v>
      </c>
      <c r="D57" t="s">
        <v>35</v>
      </c>
      <c r="E57" s="4">
        <f t="shared" si="5"/>
        <v>4.9941072237528225E-4</v>
      </c>
      <c r="F57" s="34">
        <v>3.4898905873400086E-4</v>
      </c>
      <c r="G57" s="34">
        <v>9.5000000000000005E-5</v>
      </c>
      <c r="H57" s="34"/>
      <c r="I57" s="34"/>
      <c r="J57" s="34">
        <v>2.1666064717653378E-5</v>
      </c>
      <c r="K57" s="34"/>
      <c r="L57" s="34">
        <v>3.2620746600000001E-6</v>
      </c>
      <c r="M57" s="34">
        <v>3.0493524263628008E-5</v>
      </c>
      <c r="N57" s="34"/>
      <c r="O57" s="34"/>
      <c r="P57" s="34"/>
    </row>
    <row r="58" spans="1:18" x14ac:dyDescent="0.3">
      <c r="A58" t="s">
        <v>367</v>
      </c>
      <c r="B58" t="s">
        <v>368</v>
      </c>
      <c r="C58" t="s">
        <v>346</v>
      </c>
      <c r="D58" t="s">
        <v>35</v>
      </c>
      <c r="E58" s="4">
        <f t="shared" si="5"/>
        <v>0</v>
      </c>
      <c r="F58" s="34"/>
      <c r="G58" s="34"/>
      <c r="H58" s="34"/>
      <c r="I58" s="34"/>
      <c r="J58" s="34"/>
      <c r="K58" s="34"/>
      <c r="L58" s="34"/>
      <c r="M58" s="34"/>
      <c r="N58" s="34"/>
      <c r="O58" s="34"/>
      <c r="P58" s="34"/>
    </row>
    <row r="59" spans="1:18" x14ac:dyDescent="0.3">
      <c r="A59" t="s">
        <v>367</v>
      </c>
      <c r="B59" t="s">
        <v>368</v>
      </c>
      <c r="C59" t="s">
        <v>126</v>
      </c>
      <c r="D59" t="s">
        <v>35</v>
      </c>
      <c r="E59" s="4">
        <f t="shared" si="5"/>
        <v>1.3823827241726927E-3</v>
      </c>
      <c r="F59" s="34">
        <v>4.0330101951265181E-4</v>
      </c>
      <c r="G59" s="34">
        <v>1.1000000000000001E-6</v>
      </c>
      <c r="H59" s="34">
        <v>8.8556806599752514E-4</v>
      </c>
      <c r="I59" s="34">
        <v>8.8556806599752522E-5</v>
      </c>
      <c r="J59" s="34">
        <v>1.314266191615013E-6</v>
      </c>
      <c r="K59" s="34"/>
      <c r="L59" s="34">
        <v>4.014598972799999E-8</v>
      </c>
      <c r="M59" s="34">
        <v>2.50241988142E-6</v>
      </c>
      <c r="N59" s="34"/>
      <c r="O59" s="34"/>
      <c r="P59" s="34"/>
    </row>
    <row r="60" spans="1:18" x14ac:dyDescent="0.3">
      <c r="E60" s="4"/>
      <c r="F60" s="4"/>
      <c r="G60" s="4"/>
      <c r="H60" s="4"/>
      <c r="I60" s="4"/>
      <c r="J60" s="4"/>
      <c r="K60" s="4"/>
      <c r="L60" s="4"/>
      <c r="M60" s="4"/>
      <c r="N60" s="4"/>
      <c r="O60" s="4"/>
      <c r="P60" s="4"/>
    </row>
    <row r="61" spans="1:18" x14ac:dyDescent="0.3">
      <c r="A61" t="s">
        <v>367</v>
      </c>
      <c r="B61" t="s">
        <v>368</v>
      </c>
      <c r="C61" t="s">
        <v>127</v>
      </c>
      <c r="D61" t="s">
        <v>29</v>
      </c>
      <c r="E61" s="4">
        <f>SUMPRODUCT(E62:E65,'Parameters, general'!$B$14:$B$17)</f>
        <v>0.72542566300783895</v>
      </c>
      <c r="F61" s="4">
        <f>SUMPRODUCT(F62:F65,'Parameters, general'!$B$14:$B$17)</f>
        <v>0.30299497425616784</v>
      </c>
      <c r="G61" s="4">
        <f>SUMPRODUCT(G62:G65,'Parameters, general'!$B$14:$B$17)</f>
        <v>3.01313E-2</v>
      </c>
      <c r="H61" s="4">
        <f>SUMPRODUCT(H62:H65,'Parameters, general'!$B$14:$B$17)</f>
        <v>0.24176008201732435</v>
      </c>
      <c r="I61" s="4">
        <f>SUMPRODUCT(I62:I65,'Parameters, general'!$B$14:$B$17)</f>
        <v>2.4176008201732439E-2</v>
      </c>
      <c r="J61" s="4">
        <f>SUMPRODUCT(J62:J65,'Parameters, general'!$B$14:$B$17)</f>
        <v>4.8839231914042686E-2</v>
      </c>
      <c r="K61" s="4">
        <f>SUMPRODUCT(K62:K65,'Parameters, general'!$B$14:$B$17)</f>
        <v>0</v>
      </c>
      <c r="L61" s="4">
        <f>SUMPRODUCT(L62:L65,'Parameters, general'!$B$14:$B$17)</f>
        <v>1.6669779230315599E-4</v>
      </c>
      <c r="M61" s="4">
        <f>SUMPRODUCT(M62:M65,'Parameters, general'!$B$14:$B$17)</f>
        <v>7.735736882626848E-2</v>
      </c>
      <c r="N61" s="4">
        <f>SUMPRODUCT(N62:N65,'Parameters, general'!$B$14:$B$17)</f>
        <v>0</v>
      </c>
      <c r="O61" s="4">
        <f>SUMPRODUCT(O62:O65,'Parameters, general'!$B$14:$B$17)</f>
        <v>0</v>
      </c>
      <c r="P61" s="4">
        <f>SUMPRODUCT(P62:P65,'Parameters, general'!$B$14:$B$17)</f>
        <v>0</v>
      </c>
      <c r="R61" s="169"/>
    </row>
    <row r="62" spans="1:18" x14ac:dyDescent="0.3">
      <c r="A62" t="s">
        <v>367</v>
      </c>
      <c r="B62" t="s">
        <v>368</v>
      </c>
      <c r="C62" t="s">
        <v>123</v>
      </c>
      <c r="D62" t="s">
        <v>29</v>
      </c>
      <c r="E62" s="4">
        <f t="shared" ref="E62:E65" si="6">SUM(F62:P62)</f>
        <v>0.33282969749060426</v>
      </c>
      <c r="F62" s="4">
        <v>0.18249392197894071</v>
      </c>
      <c r="G62" s="4">
        <v>2.7E-2</v>
      </c>
      <c r="H62" s="4">
        <v>0</v>
      </c>
      <c r="I62" s="4"/>
      <c r="J62" s="4">
        <v>4.7856451275928968E-2</v>
      </c>
      <c r="K62" s="4"/>
      <c r="L62" s="4">
        <v>1.5005630306258E-4</v>
      </c>
      <c r="M62" s="4">
        <v>7.5329267932672014E-2</v>
      </c>
      <c r="N62" s="5"/>
      <c r="O62" s="4"/>
      <c r="P62" s="4"/>
    </row>
    <row r="63" spans="1:18" x14ac:dyDescent="0.3">
      <c r="A63" t="s">
        <v>367</v>
      </c>
      <c r="B63" t="s">
        <v>368</v>
      </c>
      <c r="C63" t="s">
        <v>124</v>
      </c>
      <c r="D63" t="s">
        <v>29</v>
      </c>
      <c r="E63" s="4">
        <f t="shared" si="6"/>
        <v>5.0851433192470826E-4</v>
      </c>
      <c r="F63" s="34">
        <v>3.4898905873400086E-4</v>
      </c>
      <c r="G63" s="34">
        <v>9.5000000000000005E-5</v>
      </c>
      <c r="H63" s="34"/>
      <c r="I63" s="34"/>
      <c r="J63" s="34">
        <v>2.1198794209819431E-5</v>
      </c>
      <c r="K63" s="34"/>
      <c r="L63" s="34">
        <v>5.0185763999999998E-7</v>
      </c>
      <c r="M63" s="34">
        <v>4.2824621340888011E-5</v>
      </c>
      <c r="N63" s="301"/>
      <c r="O63" s="301"/>
      <c r="P63" s="301"/>
    </row>
    <row r="64" spans="1:18" x14ac:dyDescent="0.3">
      <c r="A64" t="s">
        <v>367</v>
      </c>
      <c r="B64" t="s">
        <v>368</v>
      </c>
      <c r="C64" t="s">
        <v>346</v>
      </c>
      <c r="D64" t="s">
        <v>29</v>
      </c>
      <c r="E64" s="4">
        <f t="shared" si="6"/>
        <v>0</v>
      </c>
      <c r="F64" s="301"/>
      <c r="G64" s="301"/>
      <c r="H64" s="301"/>
      <c r="I64" s="301"/>
      <c r="J64" s="301"/>
      <c r="K64" s="301"/>
      <c r="L64" s="301"/>
      <c r="M64" s="301"/>
      <c r="N64" s="301"/>
      <c r="O64" s="301"/>
      <c r="P64" s="301"/>
    </row>
    <row r="65" spans="1:18" x14ac:dyDescent="0.3">
      <c r="A65" t="s">
        <v>367</v>
      </c>
      <c r="B65" t="s">
        <v>368</v>
      </c>
      <c r="C65" t="s">
        <v>126</v>
      </c>
      <c r="D65" t="s">
        <v>29</v>
      </c>
      <c r="E65" s="4">
        <f t="shared" si="6"/>
        <v>1.3825723019262944E-3</v>
      </c>
      <c r="F65" s="34">
        <v>4.0330101951265175E-4</v>
      </c>
      <c r="G65" s="34">
        <v>1.1000000000000001E-6</v>
      </c>
      <c r="H65" s="34">
        <v>8.8556806599752514E-4</v>
      </c>
      <c r="I65" s="34">
        <v>8.8556806599752522E-5</v>
      </c>
      <c r="J65" s="34">
        <v>1.2859215042530965E-6</v>
      </c>
      <c r="K65" s="34"/>
      <c r="L65" s="34">
        <v>6.1763061119999986E-9</v>
      </c>
      <c r="M65" s="34">
        <v>2.7543120060000002E-6</v>
      </c>
      <c r="N65" s="301"/>
      <c r="O65" s="301"/>
      <c r="P65" s="301"/>
    </row>
    <row r="66" spans="1:18" x14ac:dyDescent="0.3">
      <c r="E66" s="4"/>
      <c r="F66" s="4"/>
      <c r="G66" s="4"/>
      <c r="H66" s="4"/>
      <c r="I66" s="4"/>
      <c r="J66" s="4"/>
      <c r="K66" s="4"/>
      <c r="L66" s="4"/>
      <c r="M66" s="4"/>
      <c r="N66" s="4"/>
      <c r="O66" s="4"/>
      <c r="P66" s="4"/>
    </row>
    <row r="67" spans="1:18" x14ac:dyDescent="0.3">
      <c r="A67" t="s">
        <v>367</v>
      </c>
      <c r="B67" t="s">
        <v>368</v>
      </c>
      <c r="C67" t="s">
        <v>127</v>
      </c>
      <c r="D67" t="s">
        <v>28</v>
      </c>
      <c r="E67" s="4">
        <f>SUMPRODUCT(E68:E71,'Parameters, general'!$B$14:$B$17)</f>
        <v>0.74513506580091904</v>
      </c>
      <c r="F67" s="4">
        <f>SUMPRODUCT(F68:F71,'Parameters, general'!$B$14:$B$17)</f>
        <v>0.30299497425616784</v>
      </c>
      <c r="G67" s="4">
        <f>SUMPRODUCT(G68:G71,'Parameters, general'!$B$14:$B$17)</f>
        <v>3.01313E-2</v>
      </c>
      <c r="H67" s="4">
        <f>SUMPRODUCT(H68:H71,'Parameters, general'!$B$14:$B$17)</f>
        <v>0.24176008201732432</v>
      </c>
      <c r="I67" s="4">
        <f>SUMPRODUCT(I68:I71,'Parameters, general'!$B$14:$B$17)</f>
        <v>2.4176008201732435E-2</v>
      </c>
      <c r="J67" s="4">
        <f>SUMPRODUCT(J68:J71,'Parameters, general'!$B$14:$B$17)</f>
        <v>5.7818585001554686E-2</v>
      </c>
      <c r="K67" s="4">
        <f>SUMPRODUCT(K68:K71,'Parameters, general'!$B$14:$B$17)</f>
        <v>0</v>
      </c>
      <c r="L67" s="4">
        <f>SUMPRODUCT(L68:L71,'Parameters, general'!$B$14:$B$17)</f>
        <v>8.3348896151578009E-5</v>
      </c>
      <c r="M67" s="4">
        <f>SUMPRODUCT(M68:M71,'Parameters, general'!$B$14:$B$17)</f>
        <v>8.8170767427988142E-2</v>
      </c>
      <c r="N67" s="4"/>
      <c r="O67" s="4">
        <f>SUMPRODUCT(O68:O71,'Parameters, general'!$B$14:$B$17)</f>
        <v>0</v>
      </c>
      <c r="P67" s="4">
        <f>SUMPRODUCT(P68:P71,'Parameters, general'!$B$14:$B$17)</f>
        <v>0</v>
      </c>
      <c r="R67" s="169"/>
    </row>
    <row r="68" spans="1:18" x14ac:dyDescent="0.3">
      <c r="A68" t="s">
        <v>367</v>
      </c>
      <c r="B68" t="s">
        <v>368</v>
      </c>
      <c r="C68" t="s">
        <v>123</v>
      </c>
      <c r="D68" t="s">
        <v>28</v>
      </c>
      <c r="E68" s="4">
        <f t="shared" ref="E68:E71" si="7">SUM(F68:P68)</f>
        <v>0.35179228624786635</v>
      </c>
      <c r="F68" s="4">
        <v>0.18249392197894071</v>
      </c>
      <c r="G68" s="4">
        <v>2.7E-2</v>
      </c>
      <c r="H68" s="4">
        <v>0</v>
      </c>
      <c r="I68" s="4"/>
      <c r="J68" s="4">
        <v>5.6655114905164373E-2</v>
      </c>
      <c r="K68" s="4"/>
      <c r="L68" s="4">
        <v>7.5028151531290012E-5</v>
      </c>
      <c r="M68" s="4">
        <v>8.5568221212230011E-2</v>
      </c>
      <c r="N68" s="5"/>
      <c r="O68" s="4"/>
      <c r="P68" s="4"/>
    </row>
    <row r="69" spans="1:18" x14ac:dyDescent="0.3">
      <c r="A69" t="s">
        <v>367</v>
      </c>
      <c r="B69" t="s">
        <v>368</v>
      </c>
      <c r="C69" t="s">
        <v>124</v>
      </c>
      <c r="D69" t="s">
        <v>28</v>
      </c>
      <c r="E69" s="4">
        <f t="shared" si="7"/>
        <v>5.3201630943650285E-4</v>
      </c>
      <c r="F69" s="4">
        <v>3.4898905873400081E-4</v>
      </c>
      <c r="G69" s="4">
        <v>9.5000000000000005E-5</v>
      </c>
      <c r="H69" s="4"/>
      <c r="I69" s="4"/>
      <c r="J69" s="4">
        <v>2.5096305509229163E-5</v>
      </c>
      <c r="K69" s="4"/>
      <c r="L69" s="4">
        <v>2.5092882000000005E-7</v>
      </c>
      <c r="M69" s="4">
        <v>6.2680016373272817E-5</v>
      </c>
      <c r="N69" s="4"/>
      <c r="O69" s="4"/>
      <c r="P69" s="4"/>
    </row>
    <row r="70" spans="1:18" x14ac:dyDescent="0.3">
      <c r="A70" t="s">
        <v>367</v>
      </c>
      <c r="B70" t="s">
        <v>368</v>
      </c>
      <c r="C70" t="s">
        <v>346</v>
      </c>
      <c r="D70" t="s">
        <v>28</v>
      </c>
      <c r="E70" s="4">
        <f t="shared" si="7"/>
        <v>0</v>
      </c>
      <c r="F70" s="4"/>
      <c r="G70" s="4"/>
      <c r="H70" s="4"/>
      <c r="I70" s="4"/>
      <c r="J70" s="4"/>
      <c r="K70" s="4"/>
      <c r="L70" s="4"/>
      <c r="M70" s="4"/>
      <c r="N70" s="4"/>
      <c r="O70" s="4"/>
      <c r="P70" s="4"/>
    </row>
    <row r="71" spans="1:18" x14ac:dyDescent="0.3">
      <c r="A71" t="s">
        <v>367</v>
      </c>
      <c r="B71" t="s">
        <v>368</v>
      </c>
      <c r="C71" t="s">
        <v>126</v>
      </c>
      <c r="D71" t="s">
        <v>28</v>
      </c>
      <c r="E71" s="4">
        <f t="shared" si="7"/>
        <v>1.382742467149615E-3</v>
      </c>
      <c r="F71" s="4">
        <v>4.033010195126517E-4</v>
      </c>
      <c r="G71" s="4">
        <v>1.1000000000000001E-6</v>
      </c>
      <c r="H71" s="301">
        <v>8.8556806599752503E-4</v>
      </c>
      <c r="I71" s="4">
        <v>8.8556806599752509E-5</v>
      </c>
      <c r="J71" s="4">
        <v>1.5223450264296012E-6</v>
      </c>
      <c r="K71" s="4"/>
      <c r="L71" s="4">
        <v>3.0881530559999997E-9</v>
      </c>
      <c r="M71" s="4">
        <v>2.6911418602000003E-6</v>
      </c>
      <c r="N71" s="4"/>
      <c r="O71" s="4"/>
      <c r="P71" s="4"/>
    </row>
    <row r="72" spans="1:18" x14ac:dyDescent="0.3">
      <c r="E72" s="4"/>
      <c r="F72" s="4"/>
      <c r="G72" s="4"/>
      <c r="H72" s="4"/>
      <c r="I72" s="4"/>
      <c r="J72" s="4"/>
      <c r="K72" s="4"/>
      <c r="L72" s="4"/>
      <c r="M72" s="4"/>
      <c r="N72" s="4"/>
      <c r="O72" s="4"/>
      <c r="P72" s="4"/>
    </row>
    <row r="73" spans="1:18" x14ac:dyDescent="0.3">
      <c r="A73" t="s">
        <v>369</v>
      </c>
      <c r="B73" t="s">
        <v>366</v>
      </c>
      <c r="C73" t="s">
        <v>127</v>
      </c>
      <c r="D73" t="s">
        <v>306</v>
      </c>
      <c r="E73" s="4">
        <f>SUMPRODUCT(E74:E77,'Parameters, general'!$B$14:$B$17)</f>
        <v>0.46603913502229222</v>
      </c>
      <c r="F73" s="4">
        <f>SUMPRODUCT(F74:F77,'Parameters, general'!$B$14:$B$17)</f>
        <v>0.16994045304668304</v>
      </c>
      <c r="G73" s="4">
        <f>SUMPRODUCT(G74:G77,'Parameters, general'!$B$14:$B$17)</f>
        <v>1.454614482758621E-2</v>
      </c>
      <c r="H73" s="4">
        <f>SUMPRODUCT(H74:H77,'Parameters, general'!$B$14:$B$17)</f>
        <v>0.11671176373250142</v>
      </c>
      <c r="I73" s="4">
        <f>SUMPRODUCT(I74:I77,'Parameters, general'!$B$14:$B$17)</f>
        <v>1.1671176373250144E-2</v>
      </c>
      <c r="J73" s="4">
        <f>SUMPRODUCT(J74:J77,'Parameters, general'!$B$14:$B$17)</f>
        <v>2.5195748277697338E-2</v>
      </c>
      <c r="K73" s="4"/>
      <c r="L73" s="4">
        <f>SUMPRODUCT(L74:L77,'Parameters, general'!$B$14:$B$17)</f>
        <v>2.1459945675808594E-4</v>
      </c>
      <c r="M73" s="4">
        <f>SUMPRODUCT(M74:M77,'Parameters, general'!$B$14:$B$17)</f>
        <v>3.7803452981288115E-2</v>
      </c>
      <c r="N73" s="4"/>
      <c r="O73" s="4">
        <f>SUMPRODUCT(O74:O77,'Parameters, general'!$B$14:$B$17)</f>
        <v>2.3613703053907385E-2</v>
      </c>
      <c r="P73" s="4">
        <f>SUMPRODUCT(P74:P77,'Parameters, general'!$B$14:$B$17)</f>
        <v>6.6342093272620445E-2</v>
      </c>
      <c r="R73" s="244" t="s">
        <v>405</v>
      </c>
    </row>
    <row r="74" spans="1:18" x14ac:dyDescent="0.3">
      <c r="A74" s="288" t="s">
        <v>369</v>
      </c>
      <c r="B74" s="162" t="s">
        <v>366</v>
      </c>
      <c r="C74" s="162" t="s">
        <v>123</v>
      </c>
      <c r="D74" s="162" t="s">
        <v>306</v>
      </c>
      <c r="E74" s="183">
        <f>SUM(F74:P74)</f>
        <v>0.27085685084992916</v>
      </c>
      <c r="F74" s="183">
        <f>$C$92*(AVERAGE(F56,F62,F68))/$C$91</f>
        <v>0.11176753125767681</v>
      </c>
      <c r="G74" s="183">
        <f>$C$92*(AVERAGE(G56,G62,G68))/$C$91</f>
        <v>1.3034482758620692E-2</v>
      </c>
      <c r="H74" s="183">
        <f>$C$92*(AVERAGE(H56,H62,H68))/$C$91</f>
        <v>0</v>
      </c>
      <c r="I74" s="183"/>
      <c r="J74" s="183">
        <f>$C$92*(AVERAGE(J56,J62,J68))/$C$91</f>
        <v>2.4688740026345454E-2</v>
      </c>
      <c r="K74" s="183"/>
      <c r="L74" s="183">
        <f>$C$92*(AVERAGE(L56,L62,L68))/$C$91</f>
        <v>1.931759303794134E-4</v>
      </c>
      <c r="M74" s="183">
        <f>$C$92*(AVERAGE(M56,M62,M68))/$C$91</f>
        <v>3.6802128767029069E-2</v>
      </c>
      <c r="N74" s="183"/>
      <c r="O74" s="183">
        <f>C92*(C95*AVERAGE(EF_el_CO2_FR,EF_el_CO2_DE,EF_el_CO2_PL)+C96*EF_biofuels_CO2)</f>
        <v>2.1170792109877701E-2</v>
      </c>
      <c r="P74" s="289">
        <f>63.2/1000</f>
        <v>6.3200000000000006E-2</v>
      </c>
      <c r="R74" t="s">
        <v>416</v>
      </c>
    </row>
    <row r="75" spans="1:18" x14ac:dyDescent="0.3">
      <c r="A75" s="290" t="s">
        <v>369</v>
      </c>
      <c r="B75" t="s">
        <v>366</v>
      </c>
      <c r="C75" t="s">
        <v>124</v>
      </c>
      <c r="D75" t="s">
        <v>306</v>
      </c>
      <c r="E75" s="4">
        <f>SUM(F75:P75)</f>
        <v>3.8246443678729497E-4</v>
      </c>
      <c r="F75" s="4">
        <f>$C$92*(AVERAGE(F57,F63,F69))/$C$91</f>
        <v>1.684774766302073E-4</v>
      </c>
      <c r="G75" s="4">
        <f>$C$92*(AVERAGE(G57,G63,G69))/$C$91</f>
        <v>4.5862068965517246E-5</v>
      </c>
      <c r="H75" s="4"/>
      <c r="I75" s="4"/>
      <c r="J75" s="4">
        <f>$C$92*(AVERAGE(J57,J63,J69))/$C$91</f>
        <v>1.0936279334641699E-5</v>
      </c>
      <c r="K75" s="4"/>
      <c r="L75" s="4">
        <f>$C$92*(AVERAGE(L57,L63,L69))/$C$91</f>
        <v>6.4606960551724142E-7</v>
      </c>
      <c r="M75" s="4">
        <f>$C$92*(AVERAGE(M57,M63,M69))/$C$91</f>
        <v>2.1884761697575221E-5</v>
      </c>
      <c r="N75" s="4"/>
      <c r="O75" s="4">
        <f>C92*(C95*AVERAGE(EF_el_CH4_FR,EF_el_CH4_DE,EF_el_CH4_PL)+C96*EF_biofuel_CH4)</f>
        <v>4.5962128379923281E-5</v>
      </c>
      <c r="P75" s="237">
        <f>2.04/1000/23</f>
        <v>8.8695652173913049E-5</v>
      </c>
      <c r="R75" t="s">
        <v>417</v>
      </c>
    </row>
    <row r="76" spans="1:18" x14ac:dyDescent="0.3">
      <c r="A76" s="290" t="s">
        <v>369</v>
      </c>
      <c r="B76" t="s">
        <v>366</v>
      </c>
      <c r="C76" t="s">
        <v>346</v>
      </c>
      <c r="D76" t="s">
        <v>306</v>
      </c>
      <c r="E76" s="4">
        <f>SUM(F76:P76)</f>
        <v>0</v>
      </c>
      <c r="F76" s="4"/>
      <c r="G76" s="4"/>
      <c r="H76" s="4"/>
      <c r="I76" s="4"/>
      <c r="J76" s="4"/>
      <c r="K76" s="4"/>
      <c r="L76" s="4"/>
      <c r="M76" s="4"/>
      <c r="N76" s="4"/>
      <c r="O76" s="4"/>
      <c r="P76" s="237"/>
    </row>
    <row r="77" spans="1:18" x14ac:dyDescent="0.3">
      <c r="A77" s="291" t="s">
        <v>369</v>
      </c>
      <c r="B77" s="278" t="s">
        <v>366</v>
      </c>
      <c r="C77" s="278" t="s">
        <v>126</v>
      </c>
      <c r="D77" s="278" t="s">
        <v>306</v>
      </c>
      <c r="E77" s="292">
        <f>SUM(F77:P77)</f>
        <v>6.732045566157569E-4</v>
      </c>
      <c r="F77" s="292">
        <f>$C$92*(AVERAGE(F59,F65,F71))/$C$91</f>
        <v>1.946970439026595E-4</v>
      </c>
      <c r="G77" s="292">
        <f>$C$92*(AVERAGE(G59,G65,G71))/$C$91</f>
        <v>5.3103448275862083E-7</v>
      </c>
      <c r="H77" s="316">
        <f>$C$92*(AVERAGE(H59,H65,H71))/$C$91</f>
        <v>4.2751561806777074E-4</v>
      </c>
      <c r="I77" s="317">
        <f>$C$92*(AVERAGE(I59,I65,I71))/$C$91</f>
        <v>4.2751561806777089E-5</v>
      </c>
      <c r="J77" s="292">
        <f>$C$92*(AVERAGE(J59,J65,J71))/$C$91</f>
        <v>6.6339607025480414E-7</v>
      </c>
      <c r="K77" s="292"/>
      <c r="L77" s="292">
        <f>$C$92*(AVERAGE(L59,L65,L71))/$C$91</f>
        <v>7.9511067188965511E-9</v>
      </c>
      <c r="M77" s="292">
        <f>$C$92*(AVERAGE(M59,M65,M71))/$C$91</f>
        <v>1.2789681892721844E-6</v>
      </c>
      <c r="N77" s="292"/>
      <c r="O77" s="292">
        <f>C92*(C95*AVERAGE(EF_el_N2O_FR,EF_el_N2O_DE,EF_el_N2O_PL)+C96*EF_biofuel_N2O)</f>
        <v>3.9312802868423834E-6</v>
      </c>
      <c r="P77" s="293">
        <f>0.541/1000/296</f>
        <v>1.8277027027027027E-6</v>
      </c>
      <c r="R77" t="s">
        <v>417</v>
      </c>
    </row>
    <row r="80" spans="1:18" ht="18" x14ac:dyDescent="0.35">
      <c r="A80" s="1" t="s">
        <v>351</v>
      </c>
    </row>
    <row r="82" spans="1:18" x14ac:dyDescent="0.3">
      <c r="A82" s="212" t="s">
        <v>282</v>
      </c>
      <c r="B82" s="213"/>
      <c r="C82" s="213"/>
      <c r="D82" s="213"/>
      <c r="E82" s="213"/>
      <c r="F82" s="214" t="s">
        <v>42</v>
      </c>
      <c r="G82" s="214" t="s">
        <v>310</v>
      </c>
      <c r="H82" s="214" t="s">
        <v>44</v>
      </c>
      <c r="I82" s="214" t="s">
        <v>45</v>
      </c>
      <c r="J82" s="215" t="s">
        <v>46</v>
      </c>
      <c r="K82" s="215" t="s">
        <v>47</v>
      </c>
      <c r="L82" s="215" t="s">
        <v>48</v>
      </c>
      <c r="M82" s="285"/>
      <c r="N82" s="275"/>
      <c r="O82" s="275"/>
      <c r="P82" s="286"/>
    </row>
    <row r="83" spans="1:18" ht="43.2" x14ac:dyDescent="0.3">
      <c r="A83" s="217" t="s">
        <v>52</v>
      </c>
      <c r="B83" s="217" t="s">
        <v>282</v>
      </c>
      <c r="C83" s="217" t="s">
        <v>285</v>
      </c>
      <c r="D83" s="217" t="s">
        <v>55</v>
      </c>
      <c r="E83" s="194" t="s">
        <v>56</v>
      </c>
      <c r="F83" s="227" t="s">
        <v>63</v>
      </c>
      <c r="G83" s="227" t="s">
        <v>311</v>
      </c>
      <c r="H83" s="227" t="s">
        <v>312</v>
      </c>
      <c r="I83" s="228" t="s">
        <v>66</v>
      </c>
      <c r="J83" s="229" t="s">
        <v>67</v>
      </c>
      <c r="K83" s="230" t="s">
        <v>68</v>
      </c>
      <c r="L83" s="230" t="s">
        <v>69</v>
      </c>
      <c r="M83" s="275"/>
    </row>
    <row r="84" spans="1:18" x14ac:dyDescent="0.3">
      <c r="A84" s="290" t="s">
        <v>369</v>
      </c>
      <c r="B84" t="s">
        <v>366</v>
      </c>
      <c r="C84" s="17" t="s">
        <v>354</v>
      </c>
      <c r="D84" t="s">
        <v>35</v>
      </c>
      <c r="E84" t="s">
        <v>76</v>
      </c>
      <c r="F84">
        <v>3.0504172970862418</v>
      </c>
      <c r="G84">
        <v>8.5168018539976825E-2</v>
      </c>
      <c r="H84">
        <v>9.2699884125144842E-3</v>
      </c>
      <c r="I84">
        <v>1.2999999999999999E-2</v>
      </c>
      <c r="J84">
        <v>0.66988842289432138</v>
      </c>
      <c r="K84">
        <v>8.7948296566190488E-10</v>
      </c>
      <c r="L84">
        <v>5.1777558497692056E-3</v>
      </c>
    </row>
    <row r="85" spans="1:18" x14ac:dyDescent="0.3">
      <c r="A85" s="290" t="s">
        <v>369</v>
      </c>
      <c r="B85" t="s">
        <v>366</v>
      </c>
      <c r="C85" s="17" t="s">
        <v>354</v>
      </c>
      <c r="D85" t="s">
        <v>29</v>
      </c>
      <c r="E85" t="s">
        <v>77</v>
      </c>
      <c r="F85">
        <v>2.9846291598268917</v>
      </c>
      <c r="G85">
        <v>8.5168018539976825E-2</v>
      </c>
      <c r="H85">
        <v>9.2699884125144842E-3</v>
      </c>
      <c r="I85">
        <v>2E-3</v>
      </c>
      <c r="J85">
        <v>0.49457909998667982</v>
      </c>
      <c r="K85">
        <v>8.6318221922557154E-11</v>
      </c>
      <c r="L85">
        <v>5.1777558497692056E-3</v>
      </c>
    </row>
    <row r="86" spans="1:18" x14ac:dyDescent="0.3">
      <c r="A86" s="290" t="s">
        <v>369</v>
      </c>
      <c r="B86" t="s">
        <v>366</v>
      </c>
      <c r="C86" s="17" t="s">
        <v>354</v>
      </c>
      <c r="D86" t="s">
        <v>28</v>
      </c>
      <c r="E86" t="s">
        <v>83</v>
      </c>
      <c r="F86">
        <v>3.5333691381405998</v>
      </c>
      <c r="G86">
        <v>8.5168018539976825E-2</v>
      </c>
      <c r="H86">
        <v>9.2699884125144842E-3</v>
      </c>
      <c r="I86">
        <v>1E-3</v>
      </c>
      <c r="J86">
        <v>0.66057946682742008</v>
      </c>
      <c r="K86">
        <v>1.3877157734405748E-10</v>
      </c>
      <c r="L86">
        <v>5.1777558497692056E-3</v>
      </c>
    </row>
    <row r="88" spans="1:18" x14ac:dyDescent="0.3">
      <c r="A88" s="300" t="s">
        <v>369</v>
      </c>
      <c r="B88" s="295" t="s">
        <v>366</v>
      </c>
      <c r="C88" s="295" t="s">
        <v>354</v>
      </c>
      <c r="D88" s="295" t="s">
        <v>306</v>
      </c>
      <c r="E88" s="295"/>
      <c r="F88" s="297">
        <f>$C$92*AVERAGE(F84:F86)/$C$91</f>
        <v>1.5397450382845088</v>
      </c>
      <c r="G88" s="297">
        <f t="shared" ref="G88:L88" si="8">$C$92*AVERAGE(G84:G86)/$C$91</f>
        <v>4.1115595157230206E-2</v>
      </c>
      <c r="H88" s="296">
        <f t="shared" si="8"/>
        <v>4.4751668198345796E-3</v>
      </c>
      <c r="I88" s="296">
        <f t="shared" si="8"/>
        <v>2.5747126436781614E-3</v>
      </c>
      <c r="J88" s="297">
        <f t="shared" si="8"/>
        <v>0.29368572248181501</v>
      </c>
      <c r="K88" s="298">
        <f t="shared" si="8"/>
        <v>1.777473414827503E-10</v>
      </c>
      <c r="L88" s="298">
        <f t="shared" si="8"/>
        <v>2.4996062723023757E-3</v>
      </c>
    </row>
    <row r="90" spans="1:18" x14ac:dyDescent="0.3">
      <c r="A90" s="119" t="s">
        <v>370</v>
      </c>
      <c r="B90" s="119"/>
      <c r="C90" s="119"/>
      <c r="D90" s="119"/>
      <c r="E90" s="119"/>
      <c r="F90" s="119"/>
      <c r="G90" s="119"/>
      <c r="H90" s="119"/>
      <c r="I90" s="119"/>
      <c r="J90" s="119"/>
      <c r="K90" s="119"/>
      <c r="L90" s="119"/>
      <c r="M90" s="119"/>
      <c r="N90" s="119"/>
      <c r="O90" s="119"/>
      <c r="P90" s="119"/>
    </row>
    <row r="91" spans="1:18" x14ac:dyDescent="0.3">
      <c r="A91" t="s">
        <v>371</v>
      </c>
      <c r="C91">
        <v>0.57999999999999996</v>
      </c>
      <c r="R91" t="s">
        <v>362</v>
      </c>
    </row>
    <row r="92" spans="1:18" x14ac:dyDescent="0.3">
      <c r="A92" t="s">
        <v>358</v>
      </c>
      <c r="C92">
        <v>0.28000000000000003</v>
      </c>
      <c r="R92" t="s">
        <v>362</v>
      </c>
    </row>
    <row r="94" spans="1:18" x14ac:dyDescent="0.3">
      <c r="A94" t="s">
        <v>359</v>
      </c>
    </row>
    <row r="95" spans="1:18" x14ac:dyDescent="0.3">
      <c r="A95" t="s">
        <v>360</v>
      </c>
      <c r="C95" s="12">
        <f>0.918*I43</f>
        <v>0.13379104477611942</v>
      </c>
      <c r="D95" t="s">
        <v>421</v>
      </c>
      <c r="R95" t="s">
        <v>422</v>
      </c>
    </row>
    <row r="96" spans="1:18" x14ac:dyDescent="0.3">
      <c r="A96" t="s">
        <v>363</v>
      </c>
      <c r="C96" s="12">
        <f>0.918*(1-I43)</f>
        <v>0.78420895522388057</v>
      </c>
      <c r="D96" t="s">
        <v>421</v>
      </c>
    </row>
    <row r="98" spans="1:18" x14ac:dyDescent="0.3">
      <c r="A98" t="s">
        <v>372</v>
      </c>
      <c r="R98" t="s">
        <v>373</v>
      </c>
    </row>
    <row r="100" spans="1:18" x14ac:dyDescent="0.3">
      <c r="A100" s="119" t="s">
        <v>411</v>
      </c>
      <c r="B100" s="119"/>
      <c r="C100" s="119"/>
      <c r="D100" s="119"/>
      <c r="E100" s="119"/>
      <c r="F100" s="119"/>
      <c r="G100" s="119"/>
      <c r="H100" s="119"/>
      <c r="I100" s="119"/>
      <c r="J100" s="119"/>
      <c r="K100" s="119"/>
      <c r="L100" s="119"/>
      <c r="M100" s="119"/>
      <c r="N100" s="119"/>
      <c r="O100" s="119"/>
      <c r="P100" s="119"/>
    </row>
    <row r="102" spans="1:18" x14ac:dyDescent="0.3">
      <c r="B102" t="s">
        <v>377</v>
      </c>
      <c r="C102" t="s">
        <v>362</v>
      </c>
    </row>
    <row r="103" spans="1:18" x14ac:dyDescent="0.3">
      <c r="A103" t="s">
        <v>412</v>
      </c>
      <c r="B103" s="4">
        <f>SUM(F73:M73)</f>
        <v>0.37608333869576438</v>
      </c>
      <c r="C103" s="4">
        <f>(0.511+2.7+265+117)/1000</f>
        <v>0.38521100000000003</v>
      </c>
      <c r="D103" t="s">
        <v>419</v>
      </c>
    </row>
    <row r="104" spans="1:18" x14ac:dyDescent="0.3">
      <c r="A104" t="s">
        <v>413</v>
      </c>
      <c r="B104" s="4">
        <f>O73</f>
        <v>2.3613703053907385E-2</v>
      </c>
      <c r="C104" s="4">
        <f>(0.401+0.181+0.289+8)/1000</f>
        <v>8.8710000000000004E-3</v>
      </c>
      <c r="D104" t="s">
        <v>423</v>
      </c>
    </row>
    <row r="105" spans="1:18" x14ac:dyDescent="0.3">
      <c r="A105" t="s">
        <v>414</v>
      </c>
      <c r="B105" s="4">
        <f>P73</f>
        <v>6.6342093272620445E-2</v>
      </c>
      <c r="C105" s="4">
        <f>(1.15+2.04+0.541+63.2)/1000</f>
        <v>6.6930999999999991E-2</v>
      </c>
      <c r="D105" t="s">
        <v>418</v>
      </c>
    </row>
    <row r="106" spans="1:18" x14ac:dyDescent="0.3">
      <c r="A106" s="244" t="s">
        <v>415</v>
      </c>
      <c r="B106" s="318">
        <f>SUM(B103:B105)</f>
        <v>0.46603913502229222</v>
      </c>
      <c r="C106" s="318">
        <f>SUM(C103:C105)</f>
        <v>0.46101300000000001</v>
      </c>
    </row>
  </sheetData>
  <phoneticPr fontId="30" type="noConversion"/>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sheetPr>
  <dimension ref="A2:A4"/>
  <sheetViews>
    <sheetView workbookViewId="0">
      <selection activeCell="B8" sqref="B8"/>
    </sheetView>
  </sheetViews>
  <sheetFormatPr defaultColWidth="8.88671875" defaultRowHeight="14.4" x14ac:dyDescent="0.3"/>
  <sheetData>
    <row r="2" spans="1:1" ht="21" x14ac:dyDescent="0.4">
      <c r="A2" s="2" t="s">
        <v>374</v>
      </c>
    </row>
    <row r="4" spans="1:1" x14ac:dyDescent="0.3">
      <c r="A4" t="s">
        <v>375</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59999389629810485"/>
  </sheetPr>
  <dimension ref="A4:AD66"/>
  <sheetViews>
    <sheetView topLeftCell="A11" workbookViewId="0">
      <selection activeCell="C13" sqref="C13"/>
    </sheetView>
  </sheetViews>
  <sheetFormatPr defaultColWidth="8.88671875" defaultRowHeight="14.4" x14ac:dyDescent="0.3"/>
  <cols>
    <col min="1" max="1" width="31.5546875" customWidth="1"/>
    <col min="2" max="2" width="10.44140625" customWidth="1"/>
    <col min="3" max="3" width="14.6640625" customWidth="1"/>
  </cols>
  <sheetData>
    <row r="4" spans="1:9" x14ac:dyDescent="0.3">
      <c r="A4" s="244" t="s">
        <v>376</v>
      </c>
    </row>
    <row r="6" spans="1:9" x14ac:dyDescent="0.3">
      <c r="B6" t="s">
        <v>377</v>
      </c>
      <c r="C6" t="s">
        <v>378</v>
      </c>
      <c r="D6" t="s">
        <v>379</v>
      </c>
      <c r="F6" t="s">
        <v>377</v>
      </c>
      <c r="H6" t="s">
        <v>442</v>
      </c>
    </row>
    <row r="7" spans="1:9" x14ac:dyDescent="0.3">
      <c r="A7" t="s">
        <v>426</v>
      </c>
      <c r="B7">
        <v>1.5</v>
      </c>
      <c r="C7" s="5">
        <v>2</v>
      </c>
      <c r="D7">
        <v>1.81</v>
      </c>
      <c r="F7">
        <v>0.38</v>
      </c>
      <c r="H7">
        <v>0.56479367835914585</v>
      </c>
      <c r="I7" t="s">
        <v>428</v>
      </c>
    </row>
    <row r="8" spans="1:9" x14ac:dyDescent="0.3">
      <c r="A8" t="s">
        <v>380</v>
      </c>
      <c r="B8" s="12">
        <v>9.2999999999999999E-2</v>
      </c>
      <c r="C8">
        <v>9.9000000000000005E-2</v>
      </c>
      <c r="D8" s="12">
        <v>0.1</v>
      </c>
      <c r="F8" s="12">
        <v>0.37</v>
      </c>
      <c r="H8">
        <v>0.33391217667112483</v>
      </c>
      <c r="I8" t="s">
        <v>429</v>
      </c>
    </row>
    <row r="9" spans="1:9" x14ac:dyDescent="0.3">
      <c r="A9" t="s">
        <v>381</v>
      </c>
      <c r="B9">
        <v>6.5000000000000002E-2</v>
      </c>
      <c r="C9">
        <v>6.2E-2</v>
      </c>
      <c r="D9">
        <v>0.19</v>
      </c>
      <c r="H9">
        <v>0.30276247653946403</v>
      </c>
      <c r="I9" t="s">
        <v>430</v>
      </c>
    </row>
    <row r="10" spans="1:9" x14ac:dyDescent="0.3">
      <c r="A10" t="s">
        <v>382</v>
      </c>
      <c r="B10" s="12">
        <v>0.113</v>
      </c>
      <c r="C10">
        <v>0.03</v>
      </c>
      <c r="D10">
        <v>0.03</v>
      </c>
      <c r="H10">
        <v>0.6529008813160988</v>
      </c>
      <c r="I10" t="s">
        <v>431</v>
      </c>
    </row>
    <row r="11" spans="1:9" x14ac:dyDescent="0.3">
      <c r="B11" s="219">
        <f>SUM(B7:B10)</f>
        <v>1.7709999999999999</v>
      </c>
      <c r="C11" s="219">
        <f>SUM(C7:C10)</f>
        <v>2.1909999999999998</v>
      </c>
      <c r="D11" s="219">
        <f>SUM(D7:D10)</f>
        <v>2.13</v>
      </c>
      <c r="H11">
        <v>0.89418313601645116</v>
      </c>
      <c r="I11" t="s">
        <v>432</v>
      </c>
    </row>
    <row r="12" spans="1:9" x14ac:dyDescent="0.3">
      <c r="B12" s="219"/>
      <c r="C12" s="219"/>
      <c r="D12" s="219"/>
      <c r="F12">
        <f>'Off-farm feed'!E73</f>
        <v>0.46603913502229222</v>
      </c>
      <c r="H12">
        <v>0.92236976297377882</v>
      </c>
      <c r="I12" t="s">
        <v>433</v>
      </c>
    </row>
    <row r="13" spans="1:9" x14ac:dyDescent="0.3">
      <c r="A13" t="s">
        <v>427</v>
      </c>
      <c r="B13" s="12">
        <v>0.41</v>
      </c>
      <c r="C13" s="12">
        <v>0.6</v>
      </c>
      <c r="D13" s="219"/>
      <c r="F13">
        <f>'Off-farm feed'!E73</f>
        <v>0.46603913502229222</v>
      </c>
      <c r="H13">
        <v>0.46452012764856349</v>
      </c>
      <c r="I13" t="s">
        <v>434</v>
      </c>
    </row>
    <row r="14" spans="1:9" x14ac:dyDescent="0.3">
      <c r="B14" s="12"/>
      <c r="C14" s="12"/>
      <c r="D14" s="12"/>
      <c r="H14">
        <v>0.80797812867215046</v>
      </c>
      <c r="I14" t="s">
        <v>435</v>
      </c>
    </row>
    <row r="15" spans="1:9" x14ac:dyDescent="0.3">
      <c r="F15">
        <f>'Off-farm feed'!E22-'Off-farm feed'!N22</f>
        <v>0.45409652745663115</v>
      </c>
      <c r="H15">
        <v>0.61608605667862248</v>
      </c>
      <c r="I15" t="s">
        <v>436</v>
      </c>
    </row>
    <row r="16" spans="1:9" x14ac:dyDescent="0.3">
      <c r="B16" s="12"/>
      <c r="C16" s="12"/>
      <c r="H16">
        <v>0.29109249843400448</v>
      </c>
      <c r="I16" t="s">
        <v>437</v>
      </c>
    </row>
    <row r="17" spans="1:14" x14ac:dyDescent="0.3">
      <c r="B17" s="12"/>
      <c r="H17">
        <v>0.59883234478360636</v>
      </c>
      <c r="I17" t="s">
        <v>438</v>
      </c>
    </row>
    <row r="18" spans="1:14" x14ac:dyDescent="0.3">
      <c r="B18" s="12"/>
      <c r="H18">
        <v>0.60649726811808224</v>
      </c>
      <c r="I18" t="s">
        <v>439</v>
      </c>
    </row>
    <row r="19" spans="1:14" x14ac:dyDescent="0.3">
      <c r="H19">
        <v>0.13968811454861746</v>
      </c>
      <c r="I19" t="s">
        <v>440</v>
      </c>
    </row>
    <row r="20" spans="1:14" x14ac:dyDescent="0.3">
      <c r="A20" t="s">
        <v>383</v>
      </c>
      <c r="H20">
        <v>0.19114026637044654</v>
      </c>
      <c r="I20" t="s">
        <v>441</v>
      </c>
    </row>
    <row r="21" spans="1:14" x14ac:dyDescent="0.3">
      <c r="A21" t="s">
        <v>384</v>
      </c>
    </row>
    <row r="25" spans="1:14" ht="21" x14ac:dyDescent="0.4">
      <c r="A25" s="2" t="s">
        <v>385</v>
      </c>
      <c r="B25" s="2"/>
      <c r="D25" t="s">
        <v>386</v>
      </c>
    </row>
    <row r="27" spans="1:14" x14ac:dyDescent="0.3">
      <c r="A27" s="131" t="s">
        <v>387</v>
      </c>
      <c r="B27" s="131"/>
      <c r="C27" s="131"/>
      <c r="D27" s="131"/>
      <c r="E27" s="131"/>
      <c r="F27" s="131"/>
      <c r="G27" s="131"/>
      <c r="H27" s="131"/>
      <c r="I27" s="131"/>
      <c r="J27" s="131"/>
      <c r="K27" s="131"/>
    </row>
    <row r="28" spans="1:14" ht="115.2" x14ac:dyDescent="0.3">
      <c r="A28" s="119"/>
      <c r="B28" s="119"/>
      <c r="C28" s="119"/>
      <c r="D28" s="119"/>
      <c r="E28" s="129" t="s">
        <v>388</v>
      </c>
      <c r="F28" s="129" t="s">
        <v>389</v>
      </c>
      <c r="G28" s="129" t="s">
        <v>390</v>
      </c>
      <c r="H28" s="129" t="s">
        <v>391</v>
      </c>
      <c r="I28" s="130"/>
      <c r="J28" s="119" t="s">
        <v>191</v>
      </c>
      <c r="K28" s="119"/>
    </row>
    <row r="29" spans="1:14" x14ac:dyDescent="0.3">
      <c r="A29" t="s">
        <v>392</v>
      </c>
      <c r="C29" t="s">
        <v>393</v>
      </c>
      <c r="D29">
        <v>2022</v>
      </c>
      <c r="E29" s="128">
        <v>4203.5193248785663</v>
      </c>
      <c r="F29" s="128">
        <v>462.03716957868528</v>
      </c>
      <c r="G29" s="128">
        <v>3740.4874259673343</v>
      </c>
      <c r="H29" s="128">
        <v>0.9947293325467399</v>
      </c>
      <c r="J29" t="s">
        <v>394</v>
      </c>
    </row>
    <row r="30" spans="1:14" x14ac:dyDescent="0.3">
      <c r="A30" t="s">
        <v>395</v>
      </c>
      <c r="C30" t="s">
        <v>393</v>
      </c>
      <c r="D30">
        <v>2022</v>
      </c>
      <c r="E30" s="128">
        <v>4272.4788227470117</v>
      </c>
      <c r="F30" s="128">
        <v>575.83377190166277</v>
      </c>
      <c r="G30" s="128">
        <v>3696.6450508453481</v>
      </c>
      <c r="H30" s="128">
        <v>0</v>
      </c>
      <c r="J30" t="s">
        <v>396</v>
      </c>
    </row>
    <row r="31" spans="1:14" x14ac:dyDescent="0.3">
      <c r="A31" t="s">
        <v>397</v>
      </c>
      <c r="C31" t="s">
        <v>393</v>
      </c>
      <c r="D31">
        <v>2022</v>
      </c>
      <c r="E31" s="128">
        <v>500.40797293699222</v>
      </c>
      <c r="F31" s="128">
        <v>385.61457832167878</v>
      </c>
      <c r="G31" s="128">
        <v>50.028453278551773</v>
      </c>
      <c r="H31" s="128">
        <v>64.764941336761694</v>
      </c>
      <c r="J31" s="106"/>
      <c r="K31" s="106"/>
      <c r="L31" s="106"/>
      <c r="M31" s="106"/>
      <c r="N31" s="106"/>
    </row>
    <row r="33" spans="1:30" x14ac:dyDescent="0.3">
      <c r="A33" t="s">
        <v>398</v>
      </c>
    </row>
    <row r="35" spans="1:30" x14ac:dyDescent="0.3">
      <c r="A35" s="136"/>
      <c r="B35" s="136"/>
      <c r="C35" s="136" t="s">
        <v>106</v>
      </c>
      <c r="D35" s="136"/>
      <c r="E35" s="136" t="s">
        <v>97</v>
      </c>
      <c r="F35" s="136" t="s">
        <v>98</v>
      </c>
      <c r="G35" s="135"/>
      <c r="H35" s="136" t="s">
        <v>99</v>
      </c>
      <c r="I35" s="132"/>
      <c r="J35" s="136" t="s">
        <v>100</v>
      </c>
      <c r="K35" s="132"/>
      <c r="L35" s="132"/>
      <c r="M35" s="132"/>
      <c r="N35" s="132"/>
      <c r="O35" s="132"/>
    </row>
    <row r="36" spans="1:30" ht="129.6" x14ac:dyDescent="0.3">
      <c r="A36" s="138"/>
      <c r="B36" s="142" t="s">
        <v>399</v>
      </c>
      <c r="C36" s="138"/>
      <c r="D36" s="139"/>
      <c r="E36" s="139" t="s">
        <v>400</v>
      </c>
      <c r="F36" s="134" t="s">
        <v>14</v>
      </c>
      <c r="G36" s="134" t="s">
        <v>15</v>
      </c>
      <c r="H36" s="134" t="s">
        <v>286</v>
      </c>
      <c r="I36" s="134" t="s">
        <v>287</v>
      </c>
      <c r="J36" s="134" t="s">
        <v>111</v>
      </c>
      <c r="K36" s="134" t="s">
        <v>112</v>
      </c>
      <c r="L36" s="134" t="s">
        <v>113</v>
      </c>
      <c r="M36" s="134" t="s">
        <v>114</v>
      </c>
      <c r="N36" s="134"/>
      <c r="O36" s="134" t="s">
        <v>401</v>
      </c>
    </row>
    <row r="38" spans="1:30" x14ac:dyDescent="0.3">
      <c r="A38" s="22" t="s">
        <v>295</v>
      </c>
      <c r="B38" s="17" t="s">
        <v>182</v>
      </c>
      <c r="C38" t="s">
        <v>123</v>
      </c>
      <c r="E38" s="120">
        <v>0.35472897058825098</v>
      </c>
      <c r="F38" s="20">
        <v>7.3741076533864705E-2</v>
      </c>
      <c r="G38" s="17">
        <v>2.7E-2</v>
      </c>
      <c r="H38" s="17">
        <v>0.19</v>
      </c>
      <c r="I38" s="17"/>
      <c r="J38" s="20">
        <v>2.9150294054386239E-2</v>
      </c>
      <c r="K38" s="17"/>
      <c r="L38" s="17">
        <v>0</v>
      </c>
      <c r="M38" s="20">
        <v>3.4837600000000003E-2</v>
      </c>
      <c r="O38" s="12" t="e">
        <f>E38/$E$28</f>
        <v>#VALUE!</v>
      </c>
      <c r="P38" s="14"/>
    </row>
    <row r="39" spans="1:30" x14ac:dyDescent="0.3">
      <c r="A39" s="143"/>
      <c r="B39" s="91"/>
      <c r="C39" s="3" t="s">
        <v>123</v>
      </c>
      <c r="D39" s="3"/>
      <c r="E39" s="144" t="s">
        <v>402</v>
      </c>
      <c r="F39" s="145" t="e">
        <f t="shared" ref="F39:M39" si="0">F38/$E$22</f>
        <v>#DIV/0!</v>
      </c>
      <c r="G39" s="145" t="e">
        <f t="shared" si="0"/>
        <v>#DIV/0!</v>
      </c>
      <c r="H39" s="145" t="e">
        <f t="shared" si="0"/>
        <v>#DIV/0!</v>
      </c>
      <c r="I39" s="145" t="e">
        <f t="shared" si="0"/>
        <v>#DIV/0!</v>
      </c>
      <c r="J39" s="145" t="e">
        <f t="shared" si="0"/>
        <v>#DIV/0!</v>
      </c>
      <c r="K39" s="145" t="e">
        <f t="shared" si="0"/>
        <v>#DIV/0!</v>
      </c>
      <c r="L39" s="145" t="e">
        <f t="shared" si="0"/>
        <v>#DIV/0!</v>
      </c>
      <c r="M39" s="145" t="e">
        <f t="shared" si="0"/>
        <v>#DIV/0!</v>
      </c>
      <c r="N39" s="3"/>
      <c r="O39" s="3"/>
      <c r="P39" s="140"/>
      <c r="Q39" s="3"/>
      <c r="R39" s="3"/>
      <c r="S39" s="3"/>
      <c r="T39" s="3"/>
      <c r="U39" s="3"/>
      <c r="V39" s="3"/>
      <c r="W39" s="3"/>
      <c r="X39" s="3"/>
      <c r="Y39" s="3"/>
      <c r="Z39" s="3"/>
      <c r="AA39" s="3"/>
      <c r="AB39" s="3"/>
      <c r="AC39" s="3"/>
      <c r="AD39" s="3"/>
    </row>
    <row r="40" spans="1:30" x14ac:dyDescent="0.3">
      <c r="A40" s="79" t="s">
        <v>295</v>
      </c>
      <c r="B40" s="17" t="s">
        <v>182</v>
      </c>
      <c r="C40" s="17" t="s">
        <v>132</v>
      </c>
      <c r="E40" s="146">
        <v>2.1322851393583626E-4</v>
      </c>
      <c r="F40" s="33">
        <v>9.2769916609057948E-5</v>
      </c>
      <c r="G40" s="147">
        <v>9.5000000000000005E-5</v>
      </c>
      <c r="H40" s="17"/>
      <c r="I40" s="17"/>
      <c r="J40" s="29">
        <v>1.291259732677831E-5</v>
      </c>
      <c r="K40" s="29"/>
      <c r="L40" s="29">
        <v>0</v>
      </c>
      <c r="M40" s="29">
        <v>1.2546000000000003E-5</v>
      </c>
      <c r="N40" s="17"/>
      <c r="O40" s="12" t="e">
        <f>E40*CF_GWP_CH4_fossil/$E$28</f>
        <v>#VALUE!</v>
      </c>
      <c r="P40" s="17"/>
    </row>
    <row r="41" spans="1:30" x14ac:dyDescent="0.3">
      <c r="C41" s="91" t="s">
        <v>132</v>
      </c>
      <c r="E41" s="144" t="s">
        <v>402</v>
      </c>
      <c r="F41" s="145" t="e">
        <f t="shared" ref="F41:M41" si="1">F40/$E$24</f>
        <v>#DIV/0!</v>
      </c>
      <c r="G41" s="145" t="e">
        <f t="shared" si="1"/>
        <v>#DIV/0!</v>
      </c>
      <c r="H41" s="145" t="e">
        <f t="shared" si="1"/>
        <v>#DIV/0!</v>
      </c>
      <c r="I41" s="145" t="e">
        <f t="shared" si="1"/>
        <v>#DIV/0!</v>
      </c>
      <c r="J41" s="145" t="e">
        <f t="shared" si="1"/>
        <v>#DIV/0!</v>
      </c>
      <c r="K41" s="145" t="e">
        <f t="shared" si="1"/>
        <v>#DIV/0!</v>
      </c>
      <c r="L41" s="145" t="e">
        <f t="shared" si="1"/>
        <v>#DIV/0!</v>
      </c>
      <c r="M41" s="145" t="e">
        <f t="shared" si="1"/>
        <v>#DIV/0!</v>
      </c>
      <c r="N41" s="17"/>
      <c r="O41" s="29"/>
      <c r="P41" s="17"/>
    </row>
    <row r="42" spans="1:30" x14ac:dyDescent="0.3">
      <c r="A42" s="79" t="s">
        <v>295</v>
      </c>
      <c r="B42" s="17" t="s">
        <v>182</v>
      </c>
      <c r="C42" s="17" t="s">
        <v>126</v>
      </c>
      <c r="E42" s="146">
        <v>9.1657094895803305E-4</v>
      </c>
      <c r="F42" s="33">
        <v>1.5506058283512638E-4</v>
      </c>
      <c r="G42" s="147">
        <v>1.1000000000000001E-6</v>
      </c>
      <c r="H42" s="29">
        <v>6.8950683668766316E-4</v>
      </c>
      <c r="I42" s="29">
        <v>6.8950683668766316E-5</v>
      </c>
      <c r="J42" s="29">
        <v>7.832797664771855E-7</v>
      </c>
      <c r="K42" s="29"/>
      <c r="L42" s="29">
        <v>0</v>
      </c>
      <c r="M42" s="29">
        <v>1.1695660000000001E-6</v>
      </c>
      <c r="N42" s="17"/>
      <c r="O42" s="12" t="e">
        <f>E42*CF_GWP_N2O/$E$28</f>
        <v>#VALUE!</v>
      </c>
      <c r="P42" s="17"/>
    </row>
    <row r="43" spans="1:30" x14ac:dyDescent="0.3">
      <c r="A43" s="79"/>
      <c r="B43" s="17"/>
      <c r="C43" s="91" t="s">
        <v>126</v>
      </c>
      <c r="E43" s="144" t="s">
        <v>402</v>
      </c>
      <c r="F43" s="145" t="e">
        <f t="shared" ref="F43:M43" si="2">F42/$E$26</f>
        <v>#DIV/0!</v>
      </c>
      <c r="G43" s="145" t="e">
        <f t="shared" si="2"/>
        <v>#DIV/0!</v>
      </c>
      <c r="H43" s="145" t="e">
        <f t="shared" si="2"/>
        <v>#DIV/0!</v>
      </c>
      <c r="I43" s="145" t="e">
        <f t="shared" si="2"/>
        <v>#DIV/0!</v>
      </c>
      <c r="J43" s="145" t="e">
        <f t="shared" si="2"/>
        <v>#DIV/0!</v>
      </c>
      <c r="K43" s="145" t="e">
        <f t="shared" si="2"/>
        <v>#DIV/0!</v>
      </c>
      <c r="L43" s="145" t="e">
        <f t="shared" si="2"/>
        <v>#DIV/0!</v>
      </c>
      <c r="M43" s="145" t="e">
        <f t="shared" si="2"/>
        <v>#DIV/0!</v>
      </c>
      <c r="N43" s="17"/>
      <c r="O43" s="102"/>
      <c r="P43" s="17"/>
    </row>
    <row r="44" spans="1:30" x14ac:dyDescent="0.3">
      <c r="A44" s="149"/>
      <c r="B44" s="150"/>
      <c r="C44" s="151" t="s">
        <v>127</v>
      </c>
      <c r="D44" s="150"/>
      <c r="E44" s="152">
        <f>E38+E40*CF_GWP_CH4_fossil+E42*CF_GWP_N2O</f>
        <v>0.61130704936908198</v>
      </c>
      <c r="F44" s="153"/>
      <c r="G44" s="153"/>
      <c r="H44" s="153"/>
      <c r="I44" s="153"/>
      <c r="J44" s="153"/>
      <c r="K44" s="153"/>
      <c r="L44" s="153"/>
      <c r="M44" s="153"/>
      <c r="N44" s="153"/>
      <c r="O44" s="153"/>
      <c r="P44" s="17"/>
    </row>
    <row r="45" spans="1:30" x14ac:dyDescent="0.3">
      <c r="A45" s="22" t="s">
        <v>296</v>
      </c>
      <c r="B45" s="17" t="s">
        <v>183</v>
      </c>
      <c r="C45" s="17" t="s">
        <v>123</v>
      </c>
      <c r="E45" s="120">
        <v>0.43885153790044362</v>
      </c>
      <c r="F45" s="20">
        <v>0</v>
      </c>
      <c r="G45" s="17">
        <v>2.7E-2</v>
      </c>
      <c r="H45" s="19">
        <v>0.32</v>
      </c>
      <c r="I45" s="17"/>
      <c r="J45" s="20">
        <v>5.7013937900443575E-2</v>
      </c>
      <c r="K45" s="19"/>
      <c r="L45" s="17">
        <v>0</v>
      </c>
      <c r="M45" s="20">
        <v>3.4837600000000003E-2</v>
      </c>
      <c r="N45" s="17"/>
      <c r="O45" s="12" t="e">
        <f>E45/$E$35</f>
        <v>#VALUE!</v>
      </c>
      <c r="P45" s="17"/>
    </row>
    <row r="46" spans="1:30" x14ac:dyDescent="0.3">
      <c r="A46" s="3"/>
      <c r="B46" s="3"/>
      <c r="C46" s="91" t="s">
        <v>123</v>
      </c>
      <c r="D46" s="3"/>
      <c r="E46" s="144" t="s">
        <v>402</v>
      </c>
      <c r="F46" s="145">
        <f t="shared" ref="F46:M46" si="3">F45/$E$29</f>
        <v>0</v>
      </c>
      <c r="G46" s="145">
        <f t="shared" si="3"/>
        <v>6.423189216759457E-6</v>
      </c>
      <c r="H46" s="145">
        <f t="shared" si="3"/>
        <v>7.6126687013445423E-5</v>
      </c>
      <c r="I46" s="145">
        <f t="shared" si="3"/>
        <v>0</v>
      </c>
      <c r="J46" s="145">
        <f t="shared" si="3"/>
        <v>1.3563381893597129E-5</v>
      </c>
      <c r="K46" s="145">
        <f t="shared" si="3"/>
        <v>0</v>
      </c>
      <c r="L46" s="145">
        <f t="shared" si="3"/>
        <v>0</v>
      </c>
      <c r="M46" s="145">
        <f t="shared" si="3"/>
        <v>8.2877220984362692E-6</v>
      </c>
      <c r="N46" s="91"/>
      <c r="O46" s="3"/>
      <c r="P46" s="91"/>
      <c r="Q46" s="3"/>
      <c r="R46" s="3"/>
      <c r="S46" s="3"/>
      <c r="T46" s="3"/>
      <c r="U46" s="3"/>
      <c r="V46" s="3"/>
      <c r="W46" s="3"/>
      <c r="X46" s="3"/>
      <c r="Y46" s="3"/>
      <c r="Z46" s="3"/>
      <c r="AA46" s="3"/>
      <c r="AB46" s="3"/>
      <c r="AC46" s="3"/>
      <c r="AD46" s="3"/>
    </row>
    <row r="47" spans="1:30" x14ac:dyDescent="0.3">
      <c r="A47" s="79" t="s">
        <v>296</v>
      </c>
      <c r="B47" s="17" t="s">
        <v>183</v>
      </c>
      <c r="C47" s="17" t="s">
        <v>132</v>
      </c>
      <c r="E47" s="146">
        <v>1.3280125199673234E-4</v>
      </c>
      <c r="F47" s="33">
        <v>0</v>
      </c>
      <c r="G47" s="147">
        <v>9.5000000000000005E-5</v>
      </c>
      <c r="H47" s="19"/>
      <c r="I47" s="17"/>
      <c r="J47" s="29">
        <v>2.5255251996732317E-5</v>
      </c>
      <c r="K47" s="29"/>
      <c r="L47" s="29">
        <v>0</v>
      </c>
      <c r="M47" s="29">
        <v>1.2546000000000003E-5</v>
      </c>
      <c r="N47" s="17"/>
      <c r="O47" s="12" t="e">
        <f>E47*CF_GWP_CH4_fossil/$E$35</f>
        <v>#VALUE!</v>
      </c>
      <c r="P47" s="17"/>
    </row>
    <row r="48" spans="1:30" x14ac:dyDescent="0.3">
      <c r="C48" s="91" t="s">
        <v>132</v>
      </c>
      <c r="E48" s="144" t="s">
        <v>402</v>
      </c>
      <c r="F48" s="145">
        <f t="shared" ref="F48:M48" si="4">F47/$E$31</f>
        <v>0</v>
      </c>
      <c r="G48" s="145">
        <f t="shared" si="4"/>
        <v>1.898450966766705E-7</v>
      </c>
      <c r="H48" s="145">
        <f t="shared" si="4"/>
        <v>0</v>
      </c>
      <c r="I48" s="145">
        <f t="shared" si="4"/>
        <v>0</v>
      </c>
      <c r="J48" s="145">
        <f t="shared" si="4"/>
        <v>5.0469323756982341E-8</v>
      </c>
      <c r="K48" s="145">
        <f t="shared" si="4"/>
        <v>0</v>
      </c>
      <c r="L48" s="145">
        <f t="shared" si="4"/>
        <v>0</v>
      </c>
      <c r="M48" s="145">
        <f t="shared" si="4"/>
        <v>2.5071542977952723E-8</v>
      </c>
      <c r="N48" s="17"/>
      <c r="O48" s="29"/>
      <c r="P48" s="17"/>
    </row>
    <row r="49" spans="1:18" x14ac:dyDescent="0.3">
      <c r="A49" s="79" t="s">
        <v>296</v>
      </c>
      <c r="B49" s="17" t="s">
        <v>183</v>
      </c>
      <c r="C49" s="17" t="s">
        <v>126</v>
      </c>
      <c r="E49" s="146">
        <v>2.0683180874021213E-4</v>
      </c>
      <c r="F49" s="33">
        <v>0</v>
      </c>
      <c r="G49" s="147">
        <v>1.1000000000000001E-6</v>
      </c>
      <c r="H49" s="29">
        <v>1.8457296000000002E-4</v>
      </c>
      <c r="I49" s="29">
        <v>1.8457296000000003E-5</v>
      </c>
      <c r="J49" s="29">
        <v>1.5319867402121297E-6</v>
      </c>
      <c r="K49" s="29"/>
      <c r="L49" s="29">
        <v>0</v>
      </c>
      <c r="M49" s="29">
        <v>1.1695660000000001E-6</v>
      </c>
      <c r="N49" s="17"/>
      <c r="O49" s="12" t="e">
        <f>E49*CF_GWP_N2O/$E$35</f>
        <v>#VALUE!</v>
      </c>
      <c r="P49" s="17"/>
    </row>
    <row r="50" spans="1:18" x14ac:dyDescent="0.3">
      <c r="C50" s="91" t="s">
        <v>126</v>
      </c>
      <c r="E50" s="144" t="s">
        <v>402</v>
      </c>
      <c r="F50" s="145" t="e">
        <f t="shared" ref="F50:M50" si="5">F49/$E$33</f>
        <v>#DIV/0!</v>
      </c>
      <c r="G50" s="145" t="e">
        <f t="shared" si="5"/>
        <v>#DIV/0!</v>
      </c>
      <c r="H50" s="145" t="e">
        <f t="shared" si="5"/>
        <v>#DIV/0!</v>
      </c>
      <c r="I50" s="145" t="e">
        <f t="shared" si="5"/>
        <v>#DIV/0!</v>
      </c>
      <c r="J50" s="145" t="e">
        <f t="shared" si="5"/>
        <v>#DIV/0!</v>
      </c>
      <c r="K50" s="145" t="e">
        <f t="shared" si="5"/>
        <v>#DIV/0!</v>
      </c>
      <c r="L50" s="145" t="e">
        <f t="shared" si="5"/>
        <v>#DIV/0!</v>
      </c>
      <c r="M50" s="145" t="e">
        <f t="shared" si="5"/>
        <v>#DIV/0!</v>
      </c>
      <c r="N50" s="17"/>
      <c r="O50" s="17"/>
      <c r="P50" s="17"/>
    </row>
    <row r="51" spans="1:18" x14ac:dyDescent="0.3">
      <c r="A51" s="149"/>
      <c r="B51" s="150"/>
      <c r="C51" s="151" t="s">
        <v>127</v>
      </c>
      <c r="D51" s="150"/>
      <c r="E51" s="152">
        <f>E45+E47*CF_GWP_CH4_fossil+E49*CF_GWP_N2O</f>
        <v>0.49927409899602415</v>
      </c>
      <c r="F51" s="153"/>
      <c r="G51" s="153"/>
      <c r="H51" s="153"/>
      <c r="I51" s="153"/>
      <c r="J51" s="153"/>
      <c r="K51" s="153"/>
      <c r="L51" s="153"/>
      <c r="M51" s="153"/>
      <c r="N51" s="153"/>
      <c r="O51" s="153"/>
      <c r="P51" s="17"/>
    </row>
    <row r="52" spans="1:18" x14ac:dyDescent="0.3">
      <c r="C52" s="17"/>
      <c r="E52" s="17"/>
      <c r="F52" s="17"/>
      <c r="G52" s="17"/>
      <c r="H52" s="17"/>
      <c r="I52" s="17"/>
      <c r="J52" s="17"/>
      <c r="K52" s="17"/>
      <c r="L52" s="17"/>
      <c r="M52" s="17"/>
      <c r="N52" s="17"/>
    </row>
    <row r="53" spans="1:18" ht="21" x14ac:dyDescent="0.4">
      <c r="A53" s="148" t="s">
        <v>403</v>
      </c>
    </row>
    <row r="54" spans="1:18" x14ac:dyDescent="0.3">
      <c r="C54" s="17"/>
      <c r="E54" s="17"/>
      <c r="F54" s="17"/>
      <c r="G54" s="17"/>
      <c r="H54" s="17"/>
      <c r="I54" s="17"/>
      <c r="J54" s="17"/>
      <c r="K54" s="17"/>
      <c r="L54" s="17"/>
      <c r="M54" s="17"/>
      <c r="N54" s="17"/>
    </row>
    <row r="55" spans="1:18" x14ac:dyDescent="0.3">
      <c r="A55" s="136"/>
      <c r="B55" s="136"/>
      <c r="C55" s="136" t="s">
        <v>106</v>
      </c>
      <c r="D55" s="136" t="s">
        <v>97</v>
      </c>
      <c r="E55" s="136" t="s">
        <v>97</v>
      </c>
      <c r="F55" s="136" t="s">
        <v>98</v>
      </c>
      <c r="G55" s="135"/>
      <c r="H55" s="136" t="s">
        <v>99</v>
      </c>
      <c r="I55" s="132"/>
      <c r="J55" s="136" t="s">
        <v>100</v>
      </c>
      <c r="K55" s="132"/>
      <c r="L55" s="132"/>
      <c r="M55" s="132"/>
      <c r="N55" s="133"/>
      <c r="O55" s="137"/>
      <c r="Q55" s="137"/>
      <c r="R55" s="137"/>
    </row>
    <row r="56" spans="1:18" ht="72" x14ac:dyDescent="0.3">
      <c r="A56" s="138"/>
      <c r="B56" s="142"/>
      <c r="C56" s="138"/>
      <c r="D56" s="139" t="s">
        <v>404</v>
      </c>
      <c r="E56" s="138"/>
      <c r="F56" s="134" t="s">
        <v>14</v>
      </c>
      <c r="G56" s="134" t="s">
        <v>15</v>
      </c>
      <c r="H56" s="134" t="s">
        <v>286</v>
      </c>
      <c r="I56" s="134" t="s">
        <v>287</v>
      </c>
      <c r="J56" s="134" t="s">
        <v>111</v>
      </c>
      <c r="K56" s="134" t="s">
        <v>112</v>
      </c>
      <c r="L56" s="134" t="s">
        <v>113</v>
      </c>
      <c r="M56" s="134" t="s">
        <v>114</v>
      </c>
      <c r="N56" s="134" t="s">
        <v>115</v>
      </c>
      <c r="O56" s="139" t="s">
        <v>289</v>
      </c>
      <c r="Q56" s="139" t="s">
        <v>342</v>
      </c>
      <c r="R56" s="139" t="s">
        <v>405</v>
      </c>
    </row>
    <row r="57" spans="1:18" x14ac:dyDescent="0.3">
      <c r="B57" s="18" t="s">
        <v>185</v>
      </c>
      <c r="C57" s="155" t="s">
        <v>123</v>
      </c>
      <c r="D57" s="156" t="e">
        <f>E57+SUM(N57:O57)</f>
        <v>#VALUE!</v>
      </c>
      <c r="E57" s="157" t="e">
        <f>F31/1000*O38</f>
        <v>#VALUE!</v>
      </c>
      <c r="F57" s="158" t="e">
        <f t="shared" ref="F57:M57" si="6">$E$41*F39</f>
        <v>#VALUE!</v>
      </c>
      <c r="G57" s="158" t="e">
        <f t="shared" si="6"/>
        <v>#VALUE!</v>
      </c>
      <c r="H57" s="158" t="e">
        <f t="shared" si="6"/>
        <v>#VALUE!</v>
      </c>
      <c r="I57" s="158" t="e">
        <f t="shared" si="6"/>
        <v>#VALUE!</v>
      </c>
      <c r="J57" s="158" t="e">
        <f t="shared" si="6"/>
        <v>#VALUE!</v>
      </c>
      <c r="K57" s="158" t="e">
        <f t="shared" si="6"/>
        <v>#VALUE!</v>
      </c>
      <c r="L57" s="158" t="e">
        <f t="shared" si="6"/>
        <v>#VALUE!</v>
      </c>
      <c r="M57" s="158" t="e">
        <f t="shared" si="6"/>
        <v>#VALUE!</v>
      </c>
      <c r="N57" s="157"/>
      <c r="O57" s="141">
        <v>6.3200000000000006E-2</v>
      </c>
      <c r="R57" t="s">
        <v>349</v>
      </c>
    </row>
    <row r="58" spans="1:18" x14ac:dyDescent="0.3">
      <c r="A58" s="118"/>
      <c r="B58" t="s">
        <v>406</v>
      </c>
      <c r="C58" t="s">
        <v>407</v>
      </c>
      <c r="E58" s="110" t="e">
        <f>F31/1000*O40</f>
        <v>#VALUE!</v>
      </c>
      <c r="F58" s="154">
        <f t="shared" ref="F58:M58" si="7">$E$42*F40</f>
        <v>8.5030210501121839E-8</v>
      </c>
      <c r="G58" s="154">
        <f t="shared" si="7"/>
        <v>8.707424015101315E-8</v>
      </c>
      <c r="H58" s="154">
        <f t="shared" si="7"/>
        <v>0</v>
      </c>
      <c r="I58" s="154">
        <f t="shared" si="7"/>
        <v>0</v>
      </c>
      <c r="J58" s="154">
        <f t="shared" si="7"/>
        <v>1.1835311585318156E-8</v>
      </c>
      <c r="K58" s="154">
        <f t="shared" si="7"/>
        <v>0</v>
      </c>
      <c r="L58" s="154">
        <f t="shared" si="7"/>
        <v>0</v>
      </c>
      <c r="M58" s="154">
        <f t="shared" si="7"/>
        <v>1.1499299125627485E-8</v>
      </c>
      <c r="N58" s="12"/>
    </row>
    <row r="59" spans="1:18" x14ac:dyDescent="0.3">
      <c r="A59" s="118"/>
      <c r="B59" s="299" t="e">
        <f>D57+D59*29+D61*273</f>
        <v>#VALUE!</v>
      </c>
      <c r="C59" s="141" t="s">
        <v>408</v>
      </c>
      <c r="D59" s="156">
        <f>E59+SUM(N59:O59)</f>
        <v>8.8702210531676909E-5</v>
      </c>
      <c r="E59" s="159">
        <f>SUM(F59:M59)</f>
        <v>6.5583577638617659E-9</v>
      </c>
      <c r="F59" s="160">
        <f t="shared" ref="F59:M59" si="8">F58/CF_GWP_CH4_fossil</f>
        <v>2.8533627684940212E-9</v>
      </c>
      <c r="G59" s="160">
        <f t="shared" si="8"/>
        <v>2.9219543674836629E-9</v>
      </c>
      <c r="H59" s="160">
        <f t="shared" si="8"/>
        <v>0</v>
      </c>
      <c r="I59" s="160">
        <f t="shared" si="8"/>
        <v>0</v>
      </c>
      <c r="J59" s="160">
        <f t="shared" si="8"/>
        <v>3.9715810688987101E-10</v>
      </c>
      <c r="K59" s="160">
        <f t="shared" si="8"/>
        <v>0</v>
      </c>
      <c r="L59" s="160">
        <f t="shared" si="8"/>
        <v>0</v>
      </c>
      <c r="M59" s="160">
        <f t="shared" si="8"/>
        <v>3.8588252099421089E-10</v>
      </c>
      <c r="N59" s="156"/>
      <c r="O59" s="141">
        <f>0.00204/23</f>
        <v>8.8695652173913049E-5</v>
      </c>
      <c r="R59" t="s">
        <v>350</v>
      </c>
    </row>
    <row r="60" spans="1:18" x14ac:dyDescent="0.3">
      <c r="C60" t="s">
        <v>409</v>
      </c>
      <c r="E60" s="12" t="e">
        <f>F31/1000*O42</f>
        <v>#VALUE!</v>
      </c>
      <c r="F60" s="20" t="e">
        <f t="shared" ref="F60:M60" si="9">$E$44*F41</f>
        <v>#DIV/0!</v>
      </c>
      <c r="G60" s="20" t="e">
        <f t="shared" si="9"/>
        <v>#DIV/0!</v>
      </c>
      <c r="H60" s="20" t="e">
        <f t="shared" si="9"/>
        <v>#DIV/0!</v>
      </c>
      <c r="I60" s="20" t="e">
        <f t="shared" si="9"/>
        <v>#DIV/0!</v>
      </c>
      <c r="J60" s="20" t="e">
        <f t="shared" si="9"/>
        <v>#DIV/0!</v>
      </c>
      <c r="K60" s="20" t="e">
        <f t="shared" si="9"/>
        <v>#DIV/0!</v>
      </c>
      <c r="L60" s="20" t="e">
        <f t="shared" si="9"/>
        <v>#DIV/0!</v>
      </c>
      <c r="M60" s="20" t="e">
        <f t="shared" si="9"/>
        <v>#DIV/0!</v>
      </c>
      <c r="N60" s="12"/>
    </row>
    <row r="61" spans="1:18" x14ac:dyDescent="0.3">
      <c r="C61" s="141" t="s">
        <v>126</v>
      </c>
      <c r="D61" s="156" t="e">
        <f>E61+SUM(N61:O61)</f>
        <v>#DIV/0!</v>
      </c>
      <c r="E61" s="161" t="e">
        <f>SUM(F61:M61)</f>
        <v>#DIV/0!</v>
      </c>
      <c r="F61" s="161" t="e">
        <f t="shared" ref="F61:M61" si="10">F60/CF_GWP_N2O</f>
        <v>#DIV/0!</v>
      </c>
      <c r="G61" s="161" t="e">
        <f t="shared" si="10"/>
        <v>#DIV/0!</v>
      </c>
      <c r="H61" s="161" t="e">
        <f t="shared" si="10"/>
        <v>#DIV/0!</v>
      </c>
      <c r="I61" s="161" t="e">
        <f t="shared" si="10"/>
        <v>#DIV/0!</v>
      </c>
      <c r="J61" s="161" t="e">
        <f t="shared" si="10"/>
        <v>#DIV/0!</v>
      </c>
      <c r="K61" s="161" t="e">
        <f t="shared" si="10"/>
        <v>#DIV/0!</v>
      </c>
      <c r="L61" s="161" t="e">
        <f t="shared" si="10"/>
        <v>#DIV/0!</v>
      </c>
      <c r="M61" s="161" t="e">
        <f t="shared" si="10"/>
        <v>#DIV/0!</v>
      </c>
      <c r="N61" s="156"/>
      <c r="O61" s="141">
        <f>0.000541/296</f>
        <v>1.8277027027027027E-6</v>
      </c>
      <c r="R61" t="s">
        <v>350</v>
      </c>
    </row>
    <row r="62" spans="1:18" ht="27.6" x14ac:dyDescent="0.3">
      <c r="A62" s="162"/>
      <c r="B62" s="163" t="s">
        <v>300</v>
      </c>
      <c r="C62" s="164" t="s">
        <v>123</v>
      </c>
      <c r="D62" s="165" t="e">
        <f>E62+SUM(N62:O62)</f>
        <v>#VALUE!</v>
      </c>
      <c r="E62" s="166" t="e">
        <f>AVERAGE(F29:F30)*O45/1000</f>
        <v>#VALUE!</v>
      </c>
      <c r="F62" s="167" t="e">
        <f t="shared" ref="F62:M62" si="11">$E$46*F46</f>
        <v>#VALUE!</v>
      </c>
      <c r="G62" s="167" t="e">
        <f t="shared" si="11"/>
        <v>#VALUE!</v>
      </c>
      <c r="H62" s="167" t="e">
        <f t="shared" si="11"/>
        <v>#VALUE!</v>
      </c>
      <c r="I62" s="167" t="e">
        <f t="shared" si="11"/>
        <v>#VALUE!</v>
      </c>
      <c r="J62" s="167" t="e">
        <f t="shared" si="11"/>
        <v>#VALUE!</v>
      </c>
      <c r="K62" s="167" t="e">
        <f t="shared" si="11"/>
        <v>#VALUE!</v>
      </c>
      <c r="L62" s="167" t="e">
        <f t="shared" si="11"/>
        <v>#VALUE!</v>
      </c>
      <c r="M62" s="167" t="e">
        <f t="shared" si="11"/>
        <v>#VALUE!</v>
      </c>
      <c r="N62" s="165">
        <f>0.4*0.65</f>
        <v>0.26</v>
      </c>
      <c r="O62" s="168">
        <v>0.251</v>
      </c>
      <c r="Q62" s="169" t="s">
        <v>410</v>
      </c>
      <c r="R62" t="s">
        <v>349</v>
      </c>
    </row>
    <row r="63" spans="1:18" x14ac:dyDescent="0.3">
      <c r="B63" t="s">
        <v>406</v>
      </c>
      <c r="C63" t="s">
        <v>407</v>
      </c>
      <c r="E63" s="48" t="e">
        <f>AVERAGE(F29:F30)*O47/1000</f>
        <v>#VALUE!</v>
      </c>
      <c r="F63" s="48">
        <f t="shared" ref="F63:M63" si="12">$E$47*F48</f>
        <v>0</v>
      </c>
      <c r="G63" s="48">
        <f t="shared" si="12"/>
        <v>2.5211666524102533E-11</v>
      </c>
      <c r="H63" s="48">
        <f t="shared" si="12"/>
        <v>0</v>
      </c>
      <c r="I63" s="48">
        <f t="shared" si="12"/>
        <v>0</v>
      </c>
      <c r="J63" s="48">
        <f t="shared" si="12"/>
        <v>6.7023893823556815E-12</v>
      </c>
      <c r="K63" s="48">
        <f t="shared" si="12"/>
        <v>0</v>
      </c>
      <c r="L63" s="48">
        <f t="shared" si="12"/>
        <v>0</v>
      </c>
      <c r="M63" s="48">
        <f t="shared" si="12"/>
        <v>3.3295322969620047E-12</v>
      </c>
    </row>
    <row r="64" spans="1:18" x14ac:dyDescent="0.3">
      <c r="B64" s="299" t="e">
        <f>D62+D64*29+D66*273</f>
        <v>#VALUE!</v>
      </c>
      <c r="C64" s="141" t="s">
        <v>408</v>
      </c>
      <c r="D64" s="156">
        <f>E64+SUM(N64:O64)</f>
        <v>2.1000000118267075E-4</v>
      </c>
      <c r="E64" s="159">
        <f>SUM(F64:M64)</f>
        <v>1.1826707450812154E-12</v>
      </c>
      <c r="F64" s="159">
        <f t="shared" ref="F64:M64" si="13">F63/CF_GWP_CH4_fossil</f>
        <v>0</v>
      </c>
      <c r="G64" s="159">
        <f t="shared" si="13"/>
        <v>8.4602907799001785E-13</v>
      </c>
      <c r="H64" s="159">
        <f t="shared" si="13"/>
        <v>0</v>
      </c>
      <c r="I64" s="159">
        <f t="shared" si="13"/>
        <v>0</v>
      </c>
      <c r="J64" s="159">
        <f t="shared" si="13"/>
        <v>2.2491239538106314E-13</v>
      </c>
      <c r="K64" s="159">
        <f t="shared" si="13"/>
        <v>0</v>
      </c>
      <c r="L64" s="159">
        <f t="shared" si="13"/>
        <v>0</v>
      </c>
      <c r="M64" s="159">
        <f t="shared" si="13"/>
        <v>1.1172927171013438E-13</v>
      </c>
      <c r="N64" s="141"/>
      <c r="O64" s="141">
        <f>4.83/1000/23</f>
        <v>2.1000000000000001E-4</v>
      </c>
      <c r="R64" t="s">
        <v>350</v>
      </c>
    </row>
    <row r="65" spans="3:18" x14ac:dyDescent="0.3">
      <c r="C65" t="s">
        <v>409</v>
      </c>
      <c r="E65" s="34" t="e">
        <f>AVERAGE(F29:F30)*O49/1000</f>
        <v>#VALUE!</v>
      </c>
      <c r="F65" s="34" t="e">
        <f t="shared" ref="F65:M65" si="14">$E$49*F50</f>
        <v>#DIV/0!</v>
      </c>
      <c r="G65" s="34" t="e">
        <f t="shared" si="14"/>
        <v>#DIV/0!</v>
      </c>
      <c r="H65" s="34" t="e">
        <f t="shared" si="14"/>
        <v>#DIV/0!</v>
      </c>
      <c r="I65" s="34" t="e">
        <f t="shared" si="14"/>
        <v>#DIV/0!</v>
      </c>
      <c r="J65" s="34" t="e">
        <f t="shared" si="14"/>
        <v>#DIV/0!</v>
      </c>
      <c r="K65" s="34" t="e">
        <f t="shared" si="14"/>
        <v>#DIV/0!</v>
      </c>
      <c r="L65" s="34" t="e">
        <f t="shared" si="14"/>
        <v>#DIV/0!</v>
      </c>
      <c r="M65" s="34" t="e">
        <f t="shared" si="14"/>
        <v>#DIV/0!</v>
      </c>
    </row>
    <row r="66" spans="3:18" x14ac:dyDescent="0.3">
      <c r="C66" s="141" t="s">
        <v>126</v>
      </c>
      <c r="D66" s="156" t="e">
        <f>E66+SUM(N66:O66)</f>
        <v>#DIV/0!</v>
      </c>
      <c r="E66" s="159" t="e">
        <f>SUM(F66:M66)</f>
        <v>#DIV/0!</v>
      </c>
      <c r="F66" s="161" t="e">
        <f t="shared" ref="F66:M66" si="15">F65/CF_GWP_N2O</f>
        <v>#DIV/0!</v>
      </c>
      <c r="G66" s="161" t="e">
        <f t="shared" si="15"/>
        <v>#DIV/0!</v>
      </c>
      <c r="H66" s="161" t="e">
        <f t="shared" si="15"/>
        <v>#DIV/0!</v>
      </c>
      <c r="I66" s="161" t="e">
        <f t="shared" si="15"/>
        <v>#DIV/0!</v>
      </c>
      <c r="J66" s="161" t="e">
        <f t="shared" si="15"/>
        <v>#DIV/0!</v>
      </c>
      <c r="K66" s="161" t="e">
        <f t="shared" si="15"/>
        <v>#DIV/0!</v>
      </c>
      <c r="L66" s="161" t="e">
        <f t="shared" si="15"/>
        <v>#DIV/0!</v>
      </c>
      <c r="M66" s="161" t="e">
        <f t="shared" si="15"/>
        <v>#DIV/0!</v>
      </c>
      <c r="N66" s="141"/>
      <c r="O66" s="161">
        <f>2.69/1000/296</f>
        <v>9.087837837837838E-6</v>
      </c>
      <c r="R66" t="s">
        <v>350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603BB68AE5C0F4C908E70EB4D1DDDC3" ma:contentTypeVersion="15" ma:contentTypeDescription="Skapa ett nytt dokument." ma:contentTypeScope="" ma:versionID="bc1901b771652496ef02f4cbdf878f9e">
  <xsd:schema xmlns:xsd="http://www.w3.org/2001/XMLSchema" xmlns:xs="http://www.w3.org/2001/XMLSchema" xmlns:p="http://schemas.microsoft.com/office/2006/metadata/properties" xmlns:ns3="31ffec6e-e0c6-46d3-bf16-e7019fdf1f95" xmlns:ns4="20b5f8f8-e964-4ea5-9bc5-5fa83731a92f" targetNamespace="http://schemas.microsoft.com/office/2006/metadata/properties" ma:root="true" ma:fieldsID="6c61e44642a1e9e2aad865b2f0b39e8f" ns3:_="" ns4:_="">
    <xsd:import namespace="31ffec6e-e0c6-46d3-bf16-e7019fdf1f95"/>
    <xsd:import namespace="20b5f8f8-e964-4ea5-9bc5-5fa83731a92f"/>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GenerationTime" minOccurs="0"/>
                <xsd:element ref="ns4:MediaServiceEventHashCode" minOccurs="0"/>
                <xsd:element ref="ns4:MediaServiceOCR" minOccurs="0"/>
                <xsd:element ref="ns4:MediaServiceAutoKeyPoints" minOccurs="0"/>
                <xsd:element ref="ns4:MediaServiceKeyPoints" minOccurs="0"/>
                <xsd:element ref="ns4:MediaServiceDateTaken" minOccurs="0"/>
                <xsd:element ref="ns4:MediaServiceLocation" minOccurs="0"/>
                <xsd:element ref="ns4:MediaLengthInSeconds"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ffec6e-e0c6-46d3-bf16-e7019fdf1f95" elementFormDefault="qualified">
    <xsd:import namespace="http://schemas.microsoft.com/office/2006/documentManagement/types"/>
    <xsd:import namespace="http://schemas.microsoft.com/office/infopath/2007/PartnerControls"/>
    <xsd:element name="SharedWithUsers" ma:index="8" nillable="true" ma:displayName="Delat med"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lat med information" ma:internalName="SharedWithDetails" ma:readOnly="true">
      <xsd:simpleType>
        <xsd:restriction base="dms:Note">
          <xsd:maxLength value="255"/>
        </xsd:restriction>
      </xsd:simpleType>
    </xsd:element>
    <xsd:element name="SharingHintHash" ma:index="10" nillable="true" ma:displayName="Delar tips,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0b5f8f8-e964-4ea5-9bc5-5fa83731a92f"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nehållstyp"/>
        <xsd:element ref="dc:title" minOccurs="0" maxOccurs="1" ma:index="4" ma:displayName="Rubri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20b5f8f8-e964-4ea5-9bc5-5fa83731a92f" xsi:nil="true"/>
  </documentManagement>
</p:properties>
</file>

<file path=customXml/itemProps1.xml><?xml version="1.0" encoding="utf-8"?>
<ds:datastoreItem xmlns:ds="http://schemas.openxmlformats.org/officeDocument/2006/customXml" ds:itemID="{C9466767-CC6B-4313-B005-51AE488866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ffec6e-e0c6-46d3-bf16-e7019fdf1f95"/>
    <ds:schemaRef ds:uri="20b5f8f8-e964-4ea5-9bc5-5fa83731a9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5AA8BD2-4DFD-46C4-AB5A-9922D802D05E}">
  <ds:schemaRefs>
    <ds:schemaRef ds:uri="http://schemas.microsoft.com/sharepoint/v3/contenttype/forms"/>
  </ds:schemaRefs>
</ds:datastoreItem>
</file>

<file path=customXml/itemProps3.xml><?xml version="1.0" encoding="utf-8"?>
<ds:datastoreItem xmlns:ds="http://schemas.openxmlformats.org/officeDocument/2006/customXml" ds:itemID="{35C14542-2642-452A-849B-1DD08CED073B}">
  <ds:schemaRefs>
    <ds:schemaRef ds:uri="http://schemas.microsoft.com/office/2006/metadata/properties"/>
    <ds:schemaRef ds:uri="http://schemas.microsoft.com/office/infopath/2007/PartnerControls"/>
    <ds:schemaRef ds:uri="20b5f8f8-e964-4ea5-9bc5-5fa83731a92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316</vt:i4>
      </vt:variant>
    </vt:vector>
  </HeadingPairs>
  <TitlesOfParts>
    <vt:vector size="330" baseType="lpstr">
      <vt:lpstr>README</vt:lpstr>
      <vt:lpstr>Figures</vt:lpstr>
      <vt:lpstr>Footprints, results per kg</vt:lpstr>
      <vt:lpstr>GHG detailed, results per kg</vt:lpstr>
      <vt:lpstr>Production</vt:lpstr>
      <vt:lpstr>Parameters, country spec</vt:lpstr>
      <vt:lpstr>CO2 per kg feed</vt:lpstr>
      <vt:lpstr>CH4 per kg feed</vt:lpstr>
      <vt:lpstr>N2O per kg feed</vt:lpstr>
      <vt:lpstr>EFP per kg feed</vt:lpstr>
      <vt:lpstr>Parameters, general</vt:lpstr>
      <vt:lpstr>Off-farm feed</vt:lpstr>
      <vt:lpstr>References</vt:lpstr>
      <vt:lpstr>Verification</vt:lpstr>
      <vt:lpstr>Ability_to_perceive_handling</vt:lpstr>
      <vt:lpstr>Bonefree_outof_CW_DE</vt:lpstr>
      <vt:lpstr>Bonefree_outof_CW_DK</vt:lpstr>
      <vt:lpstr>Bonefree_outof_CW_ES</vt:lpstr>
      <vt:lpstr>Bonefree_outof_CW_FR</vt:lpstr>
      <vt:lpstr>Bonefree_outof_CW_GB</vt:lpstr>
      <vt:lpstr>Bonefree_outof_CW_GR</vt:lpstr>
      <vt:lpstr>Bonefree_outof_CW_HU</vt:lpstr>
      <vt:lpstr>Bonefree_outof_CW_IE</vt:lpstr>
      <vt:lpstr>Bonefree_outof_CW_IT</vt:lpstr>
      <vt:lpstr>Bonefree_outof_CW_NL</vt:lpstr>
      <vt:lpstr>Bonefree_outof_CW_PL</vt:lpstr>
      <vt:lpstr>Bonefree_outof_CW_SE</vt:lpstr>
      <vt:lpstr>CF_GWP_CH4_fossil</vt:lpstr>
      <vt:lpstr>CF_GWP_N2O</vt:lpstr>
      <vt:lpstr>EF_ammonia_DE</vt:lpstr>
      <vt:lpstr>EF_ammonia_DK</vt:lpstr>
      <vt:lpstr>EF_ammonia_ES</vt:lpstr>
      <vt:lpstr>EF_ammonia_FR</vt:lpstr>
      <vt:lpstr>EF_ammonia_GB</vt:lpstr>
      <vt:lpstr>EF_ammonia_GR</vt:lpstr>
      <vt:lpstr>EF_ammonia_HU</vt:lpstr>
      <vt:lpstr>EF_ammonia_IE</vt:lpstr>
      <vt:lpstr>EF_ammonia_IT</vt:lpstr>
      <vt:lpstr>EF_ammonia_NL</vt:lpstr>
      <vt:lpstr>EF_ammonia_PL</vt:lpstr>
      <vt:lpstr>EF_ammonia_SE</vt:lpstr>
      <vt:lpstr>EF_biofuel_CH4</vt:lpstr>
      <vt:lpstr>EF_biofuel_N2O</vt:lpstr>
      <vt:lpstr>EF_biofuels_CO2</vt:lpstr>
      <vt:lpstr>EF_CH4_manure_DE</vt:lpstr>
      <vt:lpstr>EF_CH4_manure_DK</vt:lpstr>
      <vt:lpstr>EF_CH4_manure_ES</vt:lpstr>
      <vt:lpstr>EF_CH4_manure_FR</vt:lpstr>
      <vt:lpstr>EF_CH4_manure_GB</vt:lpstr>
      <vt:lpstr>EF_CH4_manure_GR</vt:lpstr>
      <vt:lpstr>EF_CH4_manure_HU</vt:lpstr>
      <vt:lpstr>EF_CH4_manure_IE</vt:lpstr>
      <vt:lpstr>EF_CH4_manure_IT</vt:lpstr>
      <vt:lpstr>EF_CH4_manure_NL</vt:lpstr>
      <vt:lpstr>EF_CH4_manure_PL</vt:lpstr>
      <vt:lpstr>EF_CH4_manure_SE</vt:lpstr>
      <vt:lpstr>EF_el_CH4_BR</vt:lpstr>
      <vt:lpstr>EF_el_CH4_DE</vt:lpstr>
      <vt:lpstr>EF_el_CH4_DK</vt:lpstr>
      <vt:lpstr>EF_el_CH4_ES</vt:lpstr>
      <vt:lpstr>EF_el_CH4_FR</vt:lpstr>
      <vt:lpstr>EF_el_CH4_GB</vt:lpstr>
      <vt:lpstr>EF_el_CH4_GR</vt:lpstr>
      <vt:lpstr>EF_el_CH4_HU</vt:lpstr>
      <vt:lpstr>EF_el_CH4_IE</vt:lpstr>
      <vt:lpstr>EF_el_CH4_IT</vt:lpstr>
      <vt:lpstr>EF_el_CH4_NL</vt:lpstr>
      <vt:lpstr>EF_el_CH4_PL</vt:lpstr>
      <vt:lpstr>EF_el_CH4_SE</vt:lpstr>
      <vt:lpstr>EF_el_CO2_BR</vt:lpstr>
      <vt:lpstr>EF_el_CO2_DE</vt:lpstr>
      <vt:lpstr>EF_el_CO2_DK</vt:lpstr>
      <vt:lpstr>EF_el_CO2_ES</vt:lpstr>
      <vt:lpstr>EF_el_CO2_FR</vt:lpstr>
      <vt:lpstr>EF_el_CO2_GB</vt:lpstr>
      <vt:lpstr>EF_el_CO2_GR</vt:lpstr>
      <vt:lpstr>EF_el_CO2_HU</vt:lpstr>
      <vt:lpstr>EF_el_CO2_IE</vt:lpstr>
      <vt:lpstr>EF_el_CO2_IT</vt:lpstr>
      <vt:lpstr>EF_el_CO2_NL</vt:lpstr>
      <vt:lpstr>EF_el_CO2_PL</vt:lpstr>
      <vt:lpstr>EF_el_CO2_SE</vt:lpstr>
      <vt:lpstr>EF_el_N2O_BR</vt:lpstr>
      <vt:lpstr>EF_el_N2O_DE</vt:lpstr>
      <vt:lpstr>EF_el_N2O_DK</vt:lpstr>
      <vt:lpstr>EF_el_N2O_ES</vt:lpstr>
      <vt:lpstr>EF_el_N2O_FR</vt:lpstr>
      <vt:lpstr>EF_el_N2O_GB</vt:lpstr>
      <vt:lpstr>EF_el_N2O_GR</vt:lpstr>
      <vt:lpstr>EF_el_N2O_HU</vt:lpstr>
      <vt:lpstr>EF_el_N2O_IE</vt:lpstr>
      <vt:lpstr>EF_el_N2O_IT</vt:lpstr>
      <vt:lpstr>EF_el_N2O_NL</vt:lpstr>
      <vt:lpstr>EF_el_N2O_PL</vt:lpstr>
      <vt:lpstr>EF_el_N2O_SE</vt:lpstr>
      <vt:lpstr>EF_electricity</vt:lpstr>
      <vt:lpstr>EF_indirect_N2O_DE</vt:lpstr>
      <vt:lpstr>EF_indirect_N2O_DK</vt:lpstr>
      <vt:lpstr>EF_indirect_N2O_ES</vt:lpstr>
      <vt:lpstr>EF_indirect_N2O_FR</vt:lpstr>
      <vt:lpstr>EF_indirect_N2O_GB</vt:lpstr>
      <vt:lpstr>EF_indirect_N2O_GR</vt:lpstr>
      <vt:lpstr>EF_indirect_N2O_HU</vt:lpstr>
      <vt:lpstr>EF_indirect_N2O_IE</vt:lpstr>
      <vt:lpstr>EF_indirect_N2O_IT</vt:lpstr>
      <vt:lpstr>EF_indirect_N2O_NL</vt:lpstr>
      <vt:lpstr>EF_indirect_N2O_PL</vt:lpstr>
      <vt:lpstr>EF_indirect_N2O_SE</vt:lpstr>
      <vt:lpstr>EF_min_fert_AN_CH4</vt:lpstr>
      <vt:lpstr>EF_min_fert_AN_CO2</vt:lpstr>
      <vt:lpstr>EF_min_fert_AN_N2O</vt:lpstr>
      <vt:lpstr>EF_min_fert_BAT_CH4</vt:lpstr>
      <vt:lpstr>EF_min_fert_BAT_CO2</vt:lpstr>
      <vt:lpstr>EF_min_fert_BAT_N2O</vt:lpstr>
      <vt:lpstr>EF_N2O_diff_DE</vt:lpstr>
      <vt:lpstr>EF_N2O_diff_DK</vt:lpstr>
      <vt:lpstr>EF_N2O_diff_ES</vt:lpstr>
      <vt:lpstr>EF_N2O_diff_FR</vt:lpstr>
      <vt:lpstr>EF_N2O_diff_GB</vt:lpstr>
      <vt:lpstr>EF_N2O_diff_GR</vt:lpstr>
      <vt:lpstr>EF_N2O_diff_HU</vt:lpstr>
      <vt:lpstr>EF_N2O_diff_IE</vt:lpstr>
      <vt:lpstr>EF_N2O_diff_IT</vt:lpstr>
      <vt:lpstr>EF_N2O_diff_NL</vt:lpstr>
      <vt:lpstr>EF_N2O_diff_PL</vt:lpstr>
      <vt:lpstr>EF_N2O_diff_SE</vt:lpstr>
      <vt:lpstr>EF_N2O_manure_direct_DE</vt:lpstr>
      <vt:lpstr>EF_N2O_manure_direct_DK</vt:lpstr>
      <vt:lpstr>EF_N2O_manure_direct_ES</vt:lpstr>
      <vt:lpstr>EF_N2O_manure_direct_FR</vt:lpstr>
      <vt:lpstr>EF_N2O_manure_direct_GB</vt:lpstr>
      <vt:lpstr>EF_N2O_manure_direct_GR</vt:lpstr>
      <vt:lpstr>EF_N2O_manure_direct_HU</vt:lpstr>
      <vt:lpstr>EF_N2O_manure_direct_IE</vt:lpstr>
      <vt:lpstr>EF_N2O_manure_direct_IT</vt:lpstr>
      <vt:lpstr>EF_N2O_manure_direct_NL</vt:lpstr>
      <vt:lpstr>EF_N2O_manure_direct_PL</vt:lpstr>
      <vt:lpstr>EF_N2O_manure_direct_SE</vt:lpstr>
      <vt:lpstr>EF_N2O_manure_indirect_DE</vt:lpstr>
      <vt:lpstr>EF_N2O_manure_indirect_DK</vt:lpstr>
      <vt:lpstr>EF_N2O_manure_indirect_ES</vt:lpstr>
      <vt:lpstr>EF_N2O_manure_indirect_FR</vt:lpstr>
      <vt:lpstr>EF_N2O_manure_indirect_GB</vt:lpstr>
      <vt:lpstr>EF_N2O_manure_indirect_GR</vt:lpstr>
      <vt:lpstr>EF_N2O_manure_indirect_HU</vt:lpstr>
      <vt:lpstr>EF_N2O_manure_indirect_IE</vt:lpstr>
      <vt:lpstr>EF_N2O_manure_indirect_IT</vt:lpstr>
      <vt:lpstr>EF_N2O_manure_indirect_NL</vt:lpstr>
      <vt:lpstr>EF_N2O_manure_indirect_PL</vt:lpstr>
      <vt:lpstr>EF_N2O_manure_indirect_SE</vt:lpstr>
      <vt:lpstr>EF_oil_CH4</vt:lpstr>
      <vt:lpstr>EF_oil_CO2</vt:lpstr>
      <vt:lpstr>EF_oil_N2O</vt:lpstr>
      <vt:lpstr>Energy_slaughter_el_DE</vt:lpstr>
      <vt:lpstr>Energy_slaughter_el_DK</vt:lpstr>
      <vt:lpstr>Energy_slaughter_el_ES</vt:lpstr>
      <vt:lpstr>Energy_slaughter_el_FR</vt:lpstr>
      <vt:lpstr>Energy_slaughter_el_GB</vt:lpstr>
      <vt:lpstr>Energy_slaughter_el_GR</vt:lpstr>
      <vt:lpstr>Energy_slaughter_el_HU</vt:lpstr>
      <vt:lpstr>Energy_slaughter_el_IE</vt:lpstr>
      <vt:lpstr>Energy_slaughter_el_IT</vt:lpstr>
      <vt:lpstr>Energy_slaughter_el_NL</vt:lpstr>
      <vt:lpstr>Energy_slaughter_el_PL</vt:lpstr>
      <vt:lpstr>Energy_slaughter_el_SE</vt:lpstr>
      <vt:lpstr>Energy_slaughter_oil_DE</vt:lpstr>
      <vt:lpstr>Energy_slaughter_oil_DK</vt:lpstr>
      <vt:lpstr>Energy_slaughter_oil_ES</vt:lpstr>
      <vt:lpstr>Energy_slaughter_oil_FR</vt:lpstr>
      <vt:lpstr>Energy_slaughter_oil_GB</vt:lpstr>
      <vt:lpstr>Energy_slaughter_oil_GR</vt:lpstr>
      <vt:lpstr>Energy_slaughter_oil_HU</vt:lpstr>
      <vt:lpstr>Energy_slaughter_oil_IE</vt:lpstr>
      <vt:lpstr>Energy_slaughter_oil_IT</vt:lpstr>
      <vt:lpstr>Energy_slaughter_oil_NL</vt:lpstr>
      <vt:lpstr>Energy_slaughter_oil_PL</vt:lpstr>
      <vt:lpstr>Energy_slaughter_oil_SE</vt:lpstr>
      <vt:lpstr>Energy_stables_DE</vt:lpstr>
      <vt:lpstr>Energy_stables_DK</vt:lpstr>
      <vt:lpstr>Energy_stables_ES</vt:lpstr>
      <vt:lpstr>Energy_stables_FR</vt:lpstr>
      <vt:lpstr>Energy_stables_GB</vt:lpstr>
      <vt:lpstr>Energy_stables_GR</vt:lpstr>
      <vt:lpstr>Energy_stables_HU</vt:lpstr>
      <vt:lpstr>Energy_stables_IE</vt:lpstr>
      <vt:lpstr>Energy_stables_IT</vt:lpstr>
      <vt:lpstr>Energy_stables_NL</vt:lpstr>
      <vt:lpstr>Energy_stables_PL</vt:lpstr>
      <vt:lpstr>Energy_stables_SE</vt:lpstr>
      <vt:lpstr>Excreted_N_after_losses_DE</vt:lpstr>
      <vt:lpstr>Excreted_N_after_losses_DK</vt:lpstr>
      <vt:lpstr>Excreted_N_after_losses_ES</vt:lpstr>
      <vt:lpstr>Excreted_N_after_losses_FR</vt:lpstr>
      <vt:lpstr>Excreted_N_after_losses_GB</vt:lpstr>
      <vt:lpstr>Excreted_N_after_losses_GR</vt:lpstr>
      <vt:lpstr>Excreted_N_after_losses_HU</vt:lpstr>
      <vt:lpstr>Excreted_N_after_losses_IE</vt:lpstr>
      <vt:lpstr>Excreted_N_after_losses_IT</vt:lpstr>
      <vt:lpstr>Excreted_N_after_losses_NL</vt:lpstr>
      <vt:lpstr>Excreted_N_after_losses_PL</vt:lpstr>
      <vt:lpstr>Excreted_N_after_losses_SE</vt:lpstr>
      <vt:lpstr>Excreted_N_per_kg_of_bonefree_meat_DE</vt:lpstr>
      <vt:lpstr>Excreted_N_per_kg_of_bonefree_meat_DK</vt:lpstr>
      <vt:lpstr>Excreted_N_per_kg_of_bonefree_meat_ES</vt:lpstr>
      <vt:lpstr>Excreted_N_per_kg_of_bonefree_meat_FR</vt:lpstr>
      <vt:lpstr>Excreted_N_per_kg_of_bonefree_meat_GB</vt:lpstr>
      <vt:lpstr>Excreted_N_per_kg_of_bonefree_meat_GR</vt:lpstr>
      <vt:lpstr>Excreted_N_per_kg_of_bonefree_meat_HU</vt:lpstr>
      <vt:lpstr>Excreted_N_per_kg_of_bonefree_meat_IE</vt:lpstr>
      <vt:lpstr>Excreted_N_per_kg_of_bonefree_meat_IT</vt:lpstr>
      <vt:lpstr>Excreted_N_per_kg_of_bonefree_meat_NL</vt:lpstr>
      <vt:lpstr>Excreted_N_per_kg_of_bonefree_meat_PL</vt:lpstr>
      <vt:lpstr>Excreted_N_per_kg_of_bonefree_meat_SE</vt:lpstr>
      <vt:lpstr>FCR_bonefree_incl_parents_DE</vt:lpstr>
      <vt:lpstr>FCR_bonefree_incl_parents_DK</vt:lpstr>
      <vt:lpstr>FCR_bonefree_incl_parents_ES</vt:lpstr>
      <vt:lpstr>FCR_bonefree_incl_parents_FR</vt:lpstr>
      <vt:lpstr>FCR_bonefree_incl_parents_GB</vt:lpstr>
      <vt:lpstr>FCR_bonefree_incl_parents_GR</vt:lpstr>
      <vt:lpstr>FCR_bonefree_incl_parents_HU</vt:lpstr>
      <vt:lpstr>FCR_bonefree_incl_parents_IE</vt:lpstr>
      <vt:lpstr>FCR_bonefree_incl_parents_IT</vt:lpstr>
      <vt:lpstr>FCR_bonefree_incl_parents_NL</vt:lpstr>
      <vt:lpstr>FCR_bonefree_incl_parents_PL</vt:lpstr>
      <vt:lpstr>FCR_bonefree_incl_parents_SE</vt:lpstr>
      <vt:lpstr>Frac_AN_DE</vt:lpstr>
      <vt:lpstr>Frac_AN_DK</vt:lpstr>
      <vt:lpstr>Frac_AN_ES</vt:lpstr>
      <vt:lpstr>Frac_AN_FR</vt:lpstr>
      <vt:lpstr>Frac_AN_GB</vt:lpstr>
      <vt:lpstr>Frac_AN_GR</vt:lpstr>
      <vt:lpstr>Frac_AN_HU</vt:lpstr>
      <vt:lpstr>Frac_AN_IE</vt:lpstr>
      <vt:lpstr>Frac_AN_IT</vt:lpstr>
      <vt:lpstr>Frac_AN_NL</vt:lpstr>
      <vt:lpstr>Frac_AN_PL</vt:lpstr>
      <vt:lpstr>Frac_AN_SE</vt:lpstr>
      <vt:lpstr>Frac_BAT_DE</vt:lpstr>
      <vt:lpstr>Frac_BAT_DK</vt:lpstr>
      <vt:lpstr>Frac_BAT_ES</vt:lpstr>
      <vt:lpstr>Frac_BAT_FR</vt:lpstr>
      <vt:lpstr>Frac_BAT_GB</vt:lpstr>
      <vt:lpstr>Frac_BAT_GR</vt:lpstr>
      <vt:lpstr>Frac_BAT_HU</vt:lpstr>
      <vt:lpstr>Frac_BAT_IE</vt:lpstr>
      <vt:lpstr>Frac_BAT_IT</vt:lpstr>
      <vt:lpstr>Frac_BAT_NL</vt:lpstr>
      <vt:lpstr>Frac_BAT_PL</vt:lpstr>
      <vt:lpstr>Frac_BAT_SE</vt:lpstr>
      <vt:lpstr>GBughter_el_AT</vt:lpstr>
      <vt:lpstr>GRAT</vt:lpstr>
      <vt:lpstr>Labour_per_animal_DE</vt:lpstr>
      <vt:lpstr>Labour_per_animal_DK</vt:lpstr>
      <vt:lpstr>Labour_per_animal_ES</vt:lpstr>
      <vt:lpstr>Labour_per_animal_FR</vt:lpstr>
      <vt:lpstr>Labour_per_animal_GB</vt:lpstr>
      <vt:lpstr>Labour_per_animal_GR</vt:lpstr>
      <vt:lpstr>Labour_per_animal_HU</vt:lpstr>
      <vt:lpstr>Labour_per_animal_IE</vt:lpstr>
      <vt:lpstr>Labour_per_animal_IT</vt:lpstr>
      <vt:lpstr>Labour_per_animal_NL</vt:lpstr>
      <vt:lpstr>Labour_per_animal_PL</vt:lpstr>
      <vt:lpstr>Labour_per_animal_SE</vt:lpstr>
      <vt:lpstr>Manure_repl_factor_DE</vt:lpstr>
      <vt:lpstr>Manure_repl_factor_DK</vt:lpstr>
      <vt:lpstr>Manure_repl_factor_ES</vt:lpstr>
      <vt:lpstr>Manure_repl_factor_FR</vt:lpstr>
      <vt:lpstr>Manure_repl_factor_GB</vt:lpstr>
      <vt:lpstr>Manure_repl_factor_GR</vt:lpstr>
      <vt:lpstr>Manure_repl_factor_HU</vt:lpstr>
      <vt:lpstr>Manure_repl_factor_IE</vt:lpstr>
      <vt:lpstr>Manure_repl_factor_IT</vt:lpstr>
      <vt:lpstr>Manure_repl_factor_NL</vt:lpstr>
      <vt:lpstr>Manure_repl_factor_PL</vt:lpstr>
      <vt:lpstr>Manure_repl_factor_SE</vt:lpstr>
      <vt:lpstr>Share_biofuels_DE</vt:lpstr>
      <vt:lpstr>Share_biofuels_DK</vt:lpstr>
      <vt:lpstr>Share_biofuels_ES</vt:lpstr>
      <vt:lpstr>Share_biofuels_FR</vt:lpstr>
      <vt:lpstr>Share_biofuels_GB</vt:lpstr>
      <vt:lpstr>Share_biofuels_GR</vt:lpstr>
      <vt:lpstr>Share_biofuels_HU</vt:lpstr>
      <vt:lpstr>Share_biofuels_IE</vt:lpstr>
      <vt:lpstr>Share_biofuels_IT</vt:lpstr>
      <vt:lpstr>Share_biofuels_NL</vt:lpstr>
      <vt:lpstr>Share_biofuels_PL</vt:lpstr>
      <vt:lpstr>Share_biofuels_SE</vt:lpstr>
      <vt:lpstr>Share_heating_DE</vt:lpstr>
      <vt:lpstr>Share_heating_DK</vt:lpstr>
      <vt:lpstr>Share_heating_ES</vt:lpstr>
      <vt:lpstr>Share_heating_FR</vt:lpstr>
      <vt:lpstr>Share_heating_GB</vt:lpstr>
      <vt:lpstr>Share_heating_GR</vt:lpstr>
      <vt:lpstr>Share_heating_HU</vt:lpstr>
      <vt:lpstr>Share_heating_IE</vt:lpstr>
      <vt:lpstr>Share_heating_IT</vt:lpstr>
      <vt:lpstr>Share_heating_NL</vt:lpstr>
      <vt:lpstr>Share_heating_PL</vt:lpstr>
      <vt:lpstr>Share_heating_SE</vt:lpstr>
      <vt:lpstr>Slaughter_age_DE</vt:lpstr>
      <vt:lpstr>Slaughter_age_DK</vt:lpstr>
      <vt:lpstr>Slaughter_age_ES</vt:lpstr>
      <vt:lpstr>Slaughter_age_FR</vt:lpstr>
      <vt:lpstr>Slaughter_age_GB</vt:lpstr>
      <vt:lpstr>Slaughter_age_GR</vt:lpstr>
      <vt:lpstr>Slaughter_age_HU</vt:lpstr>
      <vt:lpstr>Slaughter_age_IE</vt:lpstr>
      <vt:lpstr>Slaughter_age_IT</vt:lpstr>
      <vt:lpstr>Slaughter_age_NL</vt:lpstr>
      <vt:lpstr>Slaughter_age_PL</vt:lpstr>
      <vt:lpstr>Slaughter_age_SE</vt:lpstr>
      <vt:lpstr>Slaughter_duration_class</vt:lpstr>
      <vt:lpstr>Water_stables_DE</vt:lpstr>
      <vt:lpstr>Water_stables_DK</vt:lpstr>
      <vt:lpstr>Water_stables_ES</vt:lpstr>
      <vt:lpstr>Water_stables_FR</vt:lpstr>
      <vt:lpstr>Water_stables_GB</vt:lpstr>
      <vt:lpstr>Water_stables_GR</vt:lpstr>
      <vt:lpstr>Water_stables_HU</vt:lpstr>
      <vt:lpstr>Water_stables_IE</vt:lpstr>
      <vt:lpstr>Water_stables_IT</vt:lpstr>
      <vt:lpstr>Water_stables_NL</vt:lpstr>
      <vt:lpstr>Water_stables_PL</vt:lpstr>
      <vt:lpstr>Water_stables_SE</vt:lpstr>
      <vt:lpstr>Weight_ability_to_perceive_handling</vt:lpstr>
      <vt:lpstr>Weight_diseases</vt:lpstr>
      <vt:lpstr>Weight_mortality</vt:lpstr>
      <vt:lpstr>Weight_no_of_animal</vt:lpstr>
      <vt:lpstr>Weight_slaughter_duration_class</vt:lpstr>
      <vt:lpstr>Weight_space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Elin Röös</cp:lastModifiedBy>
  <cp:revision/>
  <dcterms:created xsi:type="dcterms:W3CDTF">2015-06-05T18:19:34Z</dcterms:created>
  <dcterms:modified xsi:type="dcterms:W3CDTF">2024-04-23T11:19:00Z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0x010100A603BB68AE5C0F4C908E70EB4D1DDDC3</vt:lpwstr>
  </property>
</Properties>
</file>